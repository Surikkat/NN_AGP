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2dfe13fa4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s" sheetId="1" r:id="R642e8f4aee0146eb"/>
    <x:sheet xmlns:r="http://schemas.openxmlformats.org/officeDocument/2006/relationships" name="Results" sheetId="2" r:id="R3a44e045c7284c21"/>
    <x:sheet xmlns:r="http://schemas.openxmlformats.org/officeDocument/2006/relationships" name="Runs" sheetId="3" r:id="Rf557f1dcc1b645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"/>
    <x:numFmt numFmtId="202" formatCode="0.00"/>
    <x:numFmt numFmtId="203" formatCode="0.0"/>
    <x:numFmt numFmtId="204" formatCode="0.00%"/>
  </x:numFmts>
  <x:fonts count="5">
    <x:font>
      <x:sz val="11"/>
      <x:name val="Carlito"/>
    </x:font>
    <x:font>
      <x:sz val="10"/>
      <x:color rgb="FF22394A"/>
      <x:name val="Arial"/>
    </x:font>
    <x:font>
      <x:b/>
      <x:sz val="14"/>
      <x:color rgb="FF22394A"/>
      <x:name val="Arial"/>
    </x:font>
    <x:font>
      <x:b/>
      <x:sz val="10"/>
      <x:color rgb="FFFFFFFF"/>
      <x:name val="Arial"/>
    </x:font>
    <x:font>
      <x:b/>
      <x:sz val="10"/>
      <x:color rgb="FF22394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7485E"/>
      </x:patternFill>
    </x:fill>
    <x:fill>
      <x:patternFill patternType="solid">
        <x:fgColor rgb="FF27485E"/>
      </x:patternFill>
    </x:fill>
    <x:fill>
      <x:patternFill patternType="solid">
        <x:fgColor rgb="FF27485E"/>
      </x:patternFill>
    </x:fill>
    <x:fill>
      <x:patternFill patternType="solid">
        <x:fgColor rgb="FF27485E"/>
      </x:patternFill>
    </x:fill>
    <x:fill>
      <x:patternFill patternType="solid">
        <x:fgColor rgb="FF27485E"/>
      </x:patternFill>
    </x:fill>
    <x:fill>
      <x:patternFill patternType="solid">
        <x:fgColor rgb="FF27485E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2C2C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0"/>
    </x:xf>
    <x:xf numFmtId="0" fontId="3" fillId="2" borderId="3" xfId="0" applyNumberFormat="1" applyFont="1" applyFill="1" applyBorder="1" applyAlignment="1">
      <x:alignment vertical="center" wrapText="0"/>
    </x:xf>
    <x:xf numFmtId="0" fontId="3" fillId="2" borderId="4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4" fillId="2" borderId="4" xfId="0" applyNumberFormat="1" applyFont="1" applyFill="1" applyBorder="1" applyAlignment="1">
      <x:alignment horizontal="center" vertical="center" wrapText="0"/>
    </x:xf>
    <x:xf numFmtId="0" fontId="4" fillId="3" borderId="2" xfId="0" applyNumberFormat="1" applyFont="1" applyFill="1" applyBorder="1" applyAlignment="1">
      <x:alignment horizontal="center" vertical="center" wrapText="0"/>
    </x:xf>
    <x:xf numFmtId="0" fontId="4" fillId="3" borderId="3" xfId="0" applyNumberFormat="1" applyFont="1" applyFill="1" applyBorder="1" applyAlignment="1">
      <x:alignment horizontal="center" vertical="center" wrapText="0"/>
    </x:xf>
    <x:xf numFmtId="0" fontId="4" fillId="3" borderId="4" xfId="0" applyNumberFormat="1" applyFont="1" applyFill="1" applyBorder="1" applyAlignment="1">
      <x:alignment horizontal="center" vertical="center" wrapText="0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0"/>
    </x:xf>
    <x:xf numFmtId="0" fontId="4" fillId="4" borderId="3" xfId="0" applyNumberFormat="1" applyFont="1" applyFill="1" applyBorder="1" applyAlignment="1">
      <x:alignment horizontal="center" vertical="center" wrapText="0"/>
    </x:xf>
    <x:xf numFmtId="0" fontId="4" fillId="4" borderId="4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0"/>
    </x:xf>
    <x:xf numFmtId="0" fontId="3" fillId="4" borderId="3" xfId="0" applyNumberFormat="1" applyFont="1" applyFill="1" applyBorder="1" applyAlignment="1">
      <x:alignment horizontal="center" vertical="center" wrapText="0"/>
    </x:xf>
    <x:xf numFmtId="0" fontId="3" fillId="4" borderId="4" xfId="0" applyNumberFormat="1" applyFont="1" applyFill="1" applyBorder="1" applyAlignment="1">
      <x:alignment horizontal="center" vertical="center" wrapText="0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0"/>
    </x:xf>
    <x:xf numFmtId="0" fontId="4" fillId="5" borderId="3" xfId="0" applyNumberFormat="1" applyFont="1" applyFill="1" applyBorder="1" applyAlignment="1">
      <x:alignment horizontal="center" vertical="center" wrapText="0"/>
    </x:xf>
    <x:xf numFmtId="0" fontId="4" fillId="5" borderId="4" xfId="0" applyNumberFormat="1" applyFont="1" applyFill="1" applyBorder="1" applyAlignment="1">
      <x:alignment horizontal="center" vertical="center" wrapText="0"/>
    </x:xf>
    <x:xf numFmtId="0" fontId="3" fillId="5" borderId="2" xfId="0" applyNumberFormat="1" applyFont="1" applyFill="1" applyBorder="1" applyAlignment="1">
      <x:alignment horizontal="center" vertical="center" wrapText="0"/>
    </x:xf>
    <x:xf numFmtId="0" fontId="3" fillId="5" borderId="3" xfId="0" applyNumberFormat="1" applyFont="1" applyFill="1" applyBorder="1" applyAlignment="1">
      <x:alignment horizontal="center" vertical="center" wrapText="0"/>
    </x:xf>
    <x:xf numFmtId="0" fontId="3" fillId="5" borderId="4" xfId="0" applyNumberFormat="1" applyFont="1" applyFill="1" applyBorder="1" applyAlignment="1">
      <x:alignment horizontal="center" vertical="center" wrapText="0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0"/>
    </x:xf>
    <x:xf numFmtId="0" fontId="4" fillId="6" borderId="3" xfId="0" applyNumberFormat="1" applyFont="1" applyFill="1" applyBorder="1" applyAlignment="1">
      <x:alignment horizontal="center" vertical="center" wrapText="0"/>
    </x:xf>
    <x:xf numFmtId="0" fontId="4" fillId="6" borderId="4" xfId="0" applyNumberFormat="1" applyFont="1" applyFill="1" applyBorder="1" applyAlignment="1">
      <x:alignment horizontal="center" vertical="center" wrapText="0"/>
    </x:xf>
    <x:xf numFmtId="0" fontId="3" fillId="6" borderId="2" xfId="0" applyNumberFormat="1" applyFont="1" applyFill="1" applyBorder="1" applyAlignment="1">
      <x:alignment horizontal="center" vertical="center" wrapText="0"/>
    </x:xf>
    <x:xf numFmtId="0" fontId="3" fillId="6" borderId="3" xfId="0" applyNumberFormat="1" applyFont="1" applyFill="1" applyBorder="1" applyAlignment="1">
      <x:alignment horizontal="center" vertical="center" wrapText="0"/>
    </x:xf>
    <x:xf numFmtId="0" fontId="3" fillId="6" borderId="4" xfId="0" applyNumberFormat="1" applyFont="1" applyFill="1" applyBorder="1" applyAlignment="1">
      <x:alignment horizontal="center" vertical="center" wrapText="0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0"/>
    </x:xf>
    <x:xf numFmtId="0" fontId="4" fillId="7" borderId="3" xfId="0" applyNumberFormat="1" applyFont="1" applyFill="1" applyBorder="1" applyAlignment="1">
      <x:alignment horizontal="center" vertical="center" wrapText="0"/>
    </x:xf>
    <x:xf numFmtId="0" fontId="4" fillId="7" borderId="4" xfId="0" applyNumberFormat="1" applyFont="1" applyFill="1" applyBorder="1" applyAlignment="1">
      <x:alignment horizontal="center" vertical="center" wrapText="0"/>
    </x:xf>
    <x:xf numFmtId="0" fontId="3" fillId="7" borderId="2" xfId="0" applyNumberFormat="1" applyFont="1" applyFill="1" applyBorder="1" applyAlignment="1">
      <x:alignment horizontal="center" vertical="center" wrapText="0"/>
    </x:xf>
    <x:xf numFmtId="0" fontId="3" fillId="7" borderId="3" xfId="0" applyNumberFormat="1" applyFont="1" applyFill="1" applyBorder="1" applyAlignment="1">
      <x:alignment horizontal="center" vertical="center" wrapText="0"/>
    </x:xf>
    <x:xf numFmtId="0" fontId="3" fillId="7" borderId="4" xfId="0" applyNumberFormat="1" applyFont="1" applyFill="1" applyBorder="1" applyAlignment="1">
      <x:alignment horizontal="center" vertical="center" wrapText="0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a9d1c62a74ded" /><Relationship Type="http://schemas.openxmlformats.org/officeDocument/2006/relationships/theme" Target="/xl/theme/theme1.xml" Id="R7c86e0c0eac848c6" /><Relationship Type="http://schemas.openxmlformats.org/officeDocument/2006/relationships/sharedStrings" Target="/xl/sharedStrings.xml" Id="R8560c48250604c1a" /><Relationship Type="http://schemas.openxmlformats.org/officeDocument/2006/relationships/worksheet" Target="/xl/worksheets/sheet1.xml" Id="R642e8f4aee0146eb" /><Relationship Type="http://schemas.openxmlformats.org/officeDocument/2006/relationships/worksheet" Target="/xl/worksheets/sheet2.xml" Id="R3a44e045c7284c21" /><Relationship Type="http://schemas.openxmlformats.org/officeDocument/2006/relationships/worksheet" Target="/xl/worksheets/sheet3.xml" Id="Rf557f1dcc1b6459c" /></Relationships>
</file>

<file path=xl/tables/table1.xml><?xml version="1.0" encoding="utf-8"?>
<x:table xmlns:x="http://schemas.openxmlformats.org/spreadsheetml/2006/main" id="1" name="ExperimentsTable" displayName="ExperimentsTable" ref="A5:H37" headerRowCount="1" totalsRowCount="0" totalsRowShown="0">
  <x:autoFilter ref="A5:H37"/>
  <x:tableColumns count="8">
    <x:tableColumn id="1" name="ID"/>
    <x:tableColumn id="2" name="Environment"/>
    <x:tableColumn id="3" name="Settings"/>
    <x:tableColumn id="4" name="Rounds"/>
    <x:tableColumn id="5" name="Seeds"/>
    <x:tableColumn id="6" name="Methods"/>
    <x:tableColumn id="7" name="Paper reference"/>
    <x:tableColumn id="8" name="Fol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Table" displayName="ResultsTable" ref="A5:M203" headerRowCount="1" totalsRowCount="0" totalsRowShown="0">
  <x:autoFilter ref="A5:M203"/>
  <x:tableColumns count="13">
    <x:tableColumn id="1" name="ID"/>
    <x:tableColumn id="2" name="Environment"/>
    <x:tableColumn id="3" name="Method"/>
    <x:tableColumn id="4" name="n"/>
    <x:tableColumn id="5" name="Rounds"/>
    <x:tableColumn id="6" name="Regret"/>
    <x:tableColumn id="7" name="After 100"/>
    <x:tableColumn id="8" name="Mean GP dimension"/>
    <x:tableColumn id="9" name="CPU (s)"/>
    <x:tableColumn id="10" name="Wall (s)"/>
    <x:tableColumn id="11" name="Peak RSS (MiB)"/>
    <x:tableColumn id="12" name="R_BBP/R_full-1"/>
    <x:tableColumn id="13" name="R_BBP/R_baseline-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sTable" displayName="RunsTable" ref="A5:K4384" headerRowCount="1" totalsRowCount="0" totalsRowShown="0">
  <x:autoFilter ref="A5:K4384"/>
  <x:tableColumns count="11">
    <x:tableColumn id="1" name="ID"/>
    <x:tableColumn id="2" name="Environment"/>
    <x:tableColumn id="3" name="Seed"/>
    <x:tableColumn id="4" name="Method"/>
    <x:tableColumn id="5" name="Rounds"/>
    <x:tableColumn id="6" name="Regret"/>
    <x:tableColumn id="7" name="BBP regret"/>
    <x:tableColumn id="8" name="Full regret"/>
    <x:tableColumn id="9" name="R_BBP/R_full-1"/>
    <x:tableColumn id="10" name="R_BBP/R_baseline-1"/>
    <x:tableColumn id="11" name="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5083e9f25941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353870b23c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e75c469511414c" /></Relationships>
</file>

<file path=xl/worksheets/sheet1.xml><?xml version="1.0" encoding="utf-8"?>
<x:worksheet xmlns:x="http://schemas.openxmlformats.org/spreadsheetml/2006/main">
  <x:sheetPr>
    <x:tabColor rgb="FF27485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48" hidden="0" customWidth="1"/>
    <x:col min="4" max="4" width="10" hidden="0" customWidth="1"/>
    <x:col min="5" max="5" width="10" hidden="0" customWidth="1"/>
    <x:col min="6" max="6" width="55" hidden="0" customWidth="1"/>
    <x:col min="7" max="7" width="35" hidden="0" customWidth="1"/>
    <x:col min="8" max="8" width="48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</x:row>
    <x:row r="2" ht="21" customHeight="1">
      <x:c r="A2" s="4" t="str">
        <x:v>Paper experiments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/>
      <x:c r="B3" s="5"/>
      <x:c r="C3" s="5"/>
      <x:c r="D3" s="5"/>
      <x:c r="E3" s="5"/>
      <x:c r="F3" s="5"/>
      <x:c r="G3" s="5"/>
      <x:c r="H3" s="5"/>
    </x:row>
    <x:row r="4" ht="21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77" t="str">
        <x:v>ID</x:v>
      </x:c>
      <x:c r="B5" s="78" t="str">
        <x:v>Environment</x:v>
      </x:c>
      <x:c r="C5" s="78" t="str">
        <x:v>Settings</x:v>
      </x:c>
      <x:c r="D5" s="78" t="str">
        <x:v>Rounds</x:v>
      </x:c>
      <x:c r="E5" s="78" t="str">
        <x:v>Seeds</x:v>
      </x:c>
      <x:c r="F5" s="78" t="str">
        <x:v>Methods</x:v>
      </x:c>
      <x:c r="G5" s="78" t="str">
        <x:v>Paper reference</x:v>
      </x:c>
      <x:c r="H5" s="79" t="str">
        <x:v>Folder</x:v>
      </x:c>
    </x:row>
    <x:row r="6" ht="24" hidden="0" customHeight="1">
      <x:c r="A6" s="3" t="str">
        <x:v>EXP248</x:v>
      </x:c>
      <x:c r="B6" s="3" t="str">
        <x:v>Weak</x:v>
      </x:c>
      <x:c r="C6" s="19" t="str">
        <x:v>Weak / weak=0.25 / fresh calibration</x:v>
      </x:c>
      <x:c r="D6" s="18" t="n">
        <x:v>800</x:v>
      </x:c>
      <x:c r="E6" s="18" t="n">
        <x:v>64</x:v>
      </x:c>
      <x:c r="F6" s="19" t="str">
        <x:v>BBP, Fixed rank 25, Relative cutoff 1e-6, Full, Relative cutoff 1e-2, Relative cutoff 1e-4, Fixed rank 10, Relative cutoff 1e-5</x:v>
      </x:c>
      <x:c r="G6" s="19" t="str">
        <x:v>Fig. 2, Fig. 3, Fig. 6, Table 3, Table 4, Table 5</x:v>
      </x:c>
      <x:c r="H6" s="19" t="str">
        <x:v>Weak/EXP248</x:v>
      </x:c>
    </x:row>
    <x:row r="7" ht="24" hidden="0" customHeight="1">
      <x:c r="A7" s="3" t="str">
        <x:v>EXP001</x:v>
      </x:c>
      <x:c r="B7" s="3" t="str">
        <x:v>Balanced</x:v>
      </x:c>
      <x:c r="C7" s="19" t="str">
        <x:v>Balanced / weak=1 / fresh calibration</x:v>
      </x:c>
      <x:c r="D7" s="18" t="n">
        <x:v>800</x:v>
      </x:c>
      <x:c r="E7" s="18" t="n">
        <x:v>65</x:v>
      </x:c>
      <x:c r="F7" s="19" t="str">
        <x:v>BBP, Fixed rank 25, Relative cutoff 1e-6, Full, Relative cutoff 1e-2, Relative cutoff 1e-4, Fixed rank 10, Relative cutoff 1e-5</x:v>
      </x:c>
      <x:c r="G7" s="19" t="str">
        <x:v>Fig. 2, Fig. 6, Table 3, Table 4, Table 5</x:v>
      </x:c>
      <x:c r="H7" s="19" t="str">
        <x:v>Balanced/EXP001</x:v>
      </x:c>
    </x:row>
    <x:row r="8" ht="24" hidden="0" customHeight="1">
      <x:c r="A8" s="3" t="str">
        <x:v>EXP095</x:v>
      </x:c>
      <x:c r="B8" s="3" t="str">
        <x:v>KuaiRec</x:v>
      </x:c>
      <x:c r="C8" s="19" t="str">
        <x:v>KuaiRec / 100 users / history calibration</x:v>
      </x:c>
      <x:c r="D8" s="18" t="n">
        <x:v>600</x:v>
      </x:c>
      <x:c r="E8" s="18" t="n">
        <x:v>73</x:v>
      </x:c>
      <x:c r="F8" s="19" t="str">
        <x:v>BBP, Fixed rank 10, Fixed rank 25, Relative cutoff 1e-6, Full, Relative cutoff 1e-2, Relative cutoff 1e-4, Relative cutoff 1e-5</x:v>
      </x:c>
      <x:c r="G8" s="19" t="str">
        <x:v>Fig. 2, Fig. 3, Fig. 6, Table 3, Table 4, Table 5</x:v>
      </x:c>
      <x:c r="H8" s="19" t="str">
        <x:v>KuaiRec/EXP095</x:v>
      </x:c>
    </x:row>
    <x:row r="9" ht="24" hidden="0" customHeight="1">
      <x:c r="A9" s="3" t="str">
        <x:v>EXP121</x:v>
      </x:c>
      <x:c r="B9" s="3" t="str">
        <x:v>Smooth 12</x:v>
      </x:c>
      <x:c r="C9" s="19" t="str">
        <x:v>Smooth 12 / history calibration</x:v>
      </x:c>
      <x:c r="D9" s="18" t="n">
        <x:v>400</x:v>
      </x:c>
      <x:c r="E9" s="18" t="n">
        <x:v>14</x:v>
      </x:c>
      <x:c r="F9" s="19" t="str">
        <x:v>BBP, Relative cutoff 1e-5, Fixed rank 10, Fixed rank 25, Relative cutoff 1e-6, Full, Relative cutoff 1e-2, Relative cutoff 1e-4</x:v>
      </x:c>
      <x:c r="G9" s="19" t="str">
        <x:v>Fig. 6, Table 3, Table 4, Table 5</x:v>
      </x:c>
      <x:c r="H9" s="19" t="str">
        <x:v>Smooth_12/EXP121</x:v>
      </x:c>
    </x:row>
    <x:row r="10" ht="24" hidden="0" customHeight="1">
      <x:c r="A10" s="3" t="str">
        <x:v>EXP131</x:v>
      </x:c>
      <x:c r="B10" s="3" t="str">
        <x:v>Smooth 3</x:v>
      </x:c>
      <x:c r="C10" s="19" t="str">
        <x:v>Smooth 3 / history calibration</x:v>
      </x:c>
      <x:c r="D10" s="18" t="n">
        <x:v>400</x:v>
      </x:c>
      <x:c r="E10" s="18" t="n">
        <x:v>16</x:v>
      </x:c>
      <x:c r="F10" s="19" t="str">
        <x:v>BBP, Relative cutoff 1e-5, Fixed rank 10, Fixed rank 25, Relative cutoff 1e-6, Full, Relative cutoff 1e-2, Relative cutoff 1e-4</x:v>
      </x:c>
      <x:c r="G10" s="19" t="str">
        <x:v>Fig. 6, Table 3, Table 4, Table 5</x:v>
      </x:c>
      <x:c r="H10" s="19" t="str">
        <x:v>Smooth_3/EXP131</x:v>
      </x:c>
    </x:row>
    <x:row r="11" ht="24" hidden="0" customHeight="1">
      <x:c r="A11" s="3" t="str">
        <x:v>EXP133</x:v>
      </x:c>
      <x:c r="B11" s="3" t="str">
        <x:v>Smooth 3 (128 inputs)</x:v>
      </x:c>
      <x:c r="C11" s="19" t="str">
        <x:v>Smooth 3 (128 inputs) / history calibration</x:v>
      </x:c>
      <x:c r="D11" s="18" t="n">
        <x:v>400</x:v>
      </x:c>
      <x:c r="E11" s="18" t="n">
        <x:v>18</x:v>
      </x:c>
      <x:c r="F11" s="19" t="str">
        <x:v>BBP, Relative cutoff 1e-5, Fixed rank 10, Fixed rank 25, Relative cutoff 1e-6, Full, Relative cutoff 1e-2, Relative cutoff 1e-4</x:v>
      </x:c>
      <x:c r="G11" s="19" t="str">
        <x:v>Fig. 6, Table 3, Table 4, Table 5</x:v>
      </x:c>
      <x:c r="H11" s="19" t="str">
        <x:v>Smooth_3_128_inputs/EXP133</x:v>
      </x:c>
    </x:row>
    <x:row r="12" ht="24" hidden="0" customHeight="1">
      <x:c r="A12" s="3" t="str">
        <x:v>EXP020</x:v>
      </x:c>
      <x:c r="B12" s="3" t="str">
        <x:v>Exp. 1</x:v>
      </x:c>
      <x:c r="C12" s="19" t="str">
        <x:v>Exp. 1 / dominant factors / history calibration</x:v>
      </x:c>
      <x:c r="D12" s="18" t="n">
        <x:v>200</x:v>
      </x:c>
      <x:c r="E12" s="18" t="n">
        <x:v>13</x:v>
      </x:c>
      <x:c r="F12" s="19" t="str">
        <x:v>BBP, Relative cutoff 1e-5, Fixed rank 10, Fixed rank 25, Relative cutoff 1e-6, Full, Relative cutoff 1e-2, Relative cutoff 1e-4</x:v>
      </x:c>
      <x:c r="G12" s="19" t="str">
        <x:v>Fig. 7, Table 3, Table 4, Table 5</x:v>
      </x:c>
      <x:c r="H12" s="19" t="str">
        <x:v>Exp_1/EXP020</x:v>
      </x:c>
    </x:row>
    <x:row r="13" ht="36" hidden="0" customHeight="1">
      <x:c r="A13" s="3" t="str">
        <x:v>EXP029</x:v>
      </x:c>
      <x:c r="B13" s="3" t="str">
        <x:v>Exp. 2</x:v>
      </x:c>
      <x:c r="C13" s="19" t="str">
        <x:v>Exp. 2 / rank 3 / history calibration</x:v>
      </x:c>
      <x:c r="D13" s="18" t="n">
        <x:v>200</x:v>
      </x:c>
      <x:c r="E13" s="18" t="n">
        <x:v>14</x:v>
      </x:c>
      <x:c r="F13" s="19" t="str">
        <x:v>BBP, Relative cutoff 1e-5, NN-AGP (m=7), Fixed rank 10, Fixed rank 25, Relative cutoff 1e-6, Full, GP-UCB (weighted sum), GP-UCB (product), NN-UCB, NeuralUCB, Relative cutoff 1e-2, Relative cutoff 1e-4</x:v>
      </x:c>
      <x:c r="G13" s="19" t="str">
        <x:v>Fig. 4, Fig. 7, Table 3, Table 4, Table 5</x:v>
      </x:c>
      <x:c r="H13" s="19" t="str">
        <x:v>Exp_2/EXP029</x:v>
      </x:c>
    </x:row>
    <x:row r="14" ht="24" hidden="0" customHeight="1">
      <x:c r="A14" s="3" t="str">
        <x:v>EXP035</x:v>
      </x:c>
      <x:c r="B14" s="3" t="str">
        <x:v>Exp. 3</x:v>
      </x:c>
      <x:c r="C14" s="19" t="str">
        <x:v>Exp. 3 / rank 10 with weak factors / history calibration</x:v>
      </x:c>
      <x:c r="D14" s="18" t="n">
        <x:v>200</x:v>
      </x:c>
      <x:c r="E14" s="18" t="n">
        <x:v>15</x:v>
      </x:c>
      <x:c r="F14" s="19" t="str">
        <x:v>BBP, Relative cutoff 1e-5, Fixed rank 10, Fixed rank 25, Relative cutoff 1e-6, Full, Relative cutoff 1e-2, Relative cutoff 1e-4</x:v>
      </x:c>
      <x:c r="G14" s="19" t="str">
        <x:v>Fig. 7, Table 3, Table 4, Table 5</x:v>
      </x:c>
      <x:c r="H14" s="19" t="str">
        <x:v>Exp_3/EXP035</x:v>
      </x:c>
    </x:row>
    <x:row r="15" ht="24" hidden="0" customHeight="1">
      <x:c r="A15" s="3" t="str">
        <x:v>EXP043</x:v>
      </x:c>
      <x:c r="B15" s="3" t="str">
        <x:v>Exp. 4</x:v>
      </x:c>
      <x:c r="C15" s="19" t="str">
        <x:v>Exp. 4 / nonlinear rewards / history calibration</x:v>
      </x:c>
      <x:c r="D15" s="18" t="n">
        <x:v>200</x:v>
      </x:c>
      <x:c r="E15" s="18" t="n">
        <x:v>14</x:v>
      </x:c>
      <x:c r="F15" s="19" t="str">
        <x:v>BBP, Relative cutoff 1e-5, Fixed rank 10, Fixed rank 25, Relative cutoff 1e-6, Full, Relative cutoff 1e-2, Relative cutoff 1e-4</x:v>
      </x:c>
      <x:c r="G15" s="19" t="str">
        <x:v>Fig. 7, Table 3, Table 4, Table 5</x:v>
      </x:c>
      <x:c r="H15" s="19" t="str">
        <x:v>Exp_4/EXP043</x:v>
      </x:c>
    </x:row>
    <x:row r="16" ht="36" hidden="0" customHeight="1">
      <x:c r="A16" s="3" t="str">
        <x:v>EXP049</x:v>
      </x:c>
      <x:c r="B16" s="3" t="str">
        <x:v>Exp. 5</x:v>
      </x:c>
      <x:c r="C16" s="19" t="str">
        <x:v>Exp. 5 / heavy-tailed noise / history calibration</x:v>
      </x:c>
      <x:c r="D16" s="18" t="n">
        <x:v>200</x:v>
      </x:c>
      <x:c r="E16" s="18" t="n">
        <x:v>15</x:v>
      </x:c>
      <x:c r="F16" s="19" t="str">
        <x:v>BBP, Relative cutoff 1e-5, NN-AGP (m=7), Fixed rank 10, Fixed rank 25, Relative cutoff 1e-6, Full, GP-UCB (weighted sum), GP-UCB (product), NN-UCB, NeuralUCB, Relative cutoff 1e-2, Relative cutoff 1e-4</x:v>
      </x:c>
      <x:c r="G16" s="19" t="str">
        <x:v>Fig. 4, Fig. 7, Table 3, Table 4, Table 5</x:v>
      </x:c>
      <x:c r="H16" s="19" t="str">
        <x:v>Exp_5/EXP049</x:v>
      </x:c>
    </x:row>
    <x:row r="17" ht="24" hidden="0" customHeight="1">
      <x:c r="A17" s="3" t="str">
        <x:v>EXP055</x:v>
      </x:c>
      <x:c r="B17" s="3" t="str">
        <x:v>Exp. 6</x:v>
      </x:c>
      <x:c r="C17" s="19" t="str">
        <x:v>Exp. 6 / growing rank / history calibration</x:v>
      </x:c>
      <x:c r="D17" s="18" t="n">
        <x:v>200</x:v>
      </x:c>
      <x:c r="E17" s="18" t="n">
        <x:v>15</x:v>
      </x:c>
      <x:c r="F17" s="19" t="str">
        <x:v>BBP, Relative cutoff 1e-5, Fixed rank 10, Fixed rank 25, Relative cutoff 1e-6, Full, Relative cutoff 1e-2, Relative cutoff 1e-4</x:v>
      </x:c>
      <x:c r="G17" s="19" t="str">
        <x:v>Fig. 7, Table 3, Table 4, Table 5</x:v>
      </x:c>
      <x:c r="H17" s="19" t="str">
        <x:v>Exp_6/EXP055</x:v>
      </x:c>
    </x:row>
    <x:row r="18" ht="24" hidden="0" customHeight="1">
      <x:c r="A18" s="3" t="str">
        <x:v>EXP061</x:v>
      </x:c>
      <x:c r="B18" s="3" t="str">
        <x:v>Exp. 7</x:v>
      </x:c>
      <x:c r="C18" s="19" t="str">
        <x:v>Exp. 7 / near-cutoff nuisance / history calibration</x:v>
      </x:c>
      <x:c r="D18" s="18" t="n">
        <x:v>200</x:v>
      </x:c>
      <x:c r="E18" s="18" t="n">
        <x:v>13</x:v>
      </x:c>
      <x:c r="F18" s="19" t="str">
        <x:v>BBP, Relative cutoff 1e-5, Fixed rank 10, Fixed rank 25, Relative cutoff 1e-6, Full, Relative cutoff 1e-2, Relative cutoff 1e-4</x:v>
      </x:c>
      <x:c r="G18" s="19" t="str">
        <x:v>Fig. 7, Table 3, Table 4, Table 5</x:v>
      </x:c>
      <x:c r="H18" s="19" t="str">
        <x:v>Exp_7/EXP061</x:v>
      </x:c>
    </x:row>
    <x:row r="19" ht="24" hidden="0" customHeight="1">
      <x:c r="A19" s="3" t="str">
        <x:v>EXP068</x:v>
      </x:c>
      <x:c r="B19" s="3" t="str">
        <x:v>Exp. 8</x:v>
      </x:c>
      <x:c r="C19" s="19" t="str">
        <x:v>Exp. 8 / rank spike / history calibration</x:v>
      </x:c>
      <x:c r="D19" s="18" t="n">
        <x:v>200</x:v>
      </x:c>
      <x:c r="E19" s="18" t="n">
        <x:v>15</x:v>
      </x:c>
      <x:c r="F19" s="19" t="str">
        <x:v>BBP, Relative cutoff 1e-5, Fixed rank 10, Fixed rank 25, Relative cutoff 1e-6, Full, Relative cutoff 1e-2, Relative cutoff 1e-4</x:v>
      </x:c>
      <x:c r="G19" s="19" t="str">
        <x:v>Fig. 7, Table 3, Table 4, Table 5</x:v>
      </x:c>
      <x:c r="H19" s="19" t="str">
        <x:v>Exp_8/EXP068</x:v>
      </x:c>
    </x:row>
    <x:row r="20" ht="24" hidden="0" customHeight="1">
      <x:c r="A20" s="3" t="str">
        <x:v>EXP075</x:v>
      </x:c>
      <x:c r="B20" s="3" t="str">
        <x:v>Exp. 9</x:v>
      </x:c>
      <x:c r="C20" s="19" t="str">
        <x:v>Exp. 9 / gradual rotation / history calibration</x:v>
      </x:c>
      <x:c r="D20" s="18" t="n">
        <x:v>200</x:v>
      </x:c>
      <x:c r="E20" s="18" t="n">
        <x:v>14</x:v>
      </x:c>
      <x:c r="F20" s="19" t="str">
        <x:v>BBP, Relative cutoff 1e-5, Fixed rank 10, Fixed rank 25, Relative cutoff 1e-6, Full, Relative cutoff 1e-2, Relative cutoff 1e-4</x:v>
      </x:c>
      <x:c r="G20" s="19" t="str">
        <x:v>Fig. 7, Table 3, Table 4, Table 5</x:v>
      </x:c>
      <x:c r="H20" s="19" t="str">
        <x:v>Exp_9/EXP075</x:v>
      </x:c>
    </x:row>
    <x:row r="21" ht="24" hidden="0" customHeight="1">
      <x:c r="A21" s="3" t="str">
        <x:v>EXP083</x:v>
      </x:c>
      <x:c r="B21" s="3" t="str">
        <x:v>Exp. 10</x:v>
      </x:c>
      <x:c r="C21" s="19" t="str">
        <x:v>Exp. 10 / abrupt rotation / history calibration</x:v>
      </x:c>
      <x:c r="D21" s="18" t="n">
        <x:v>200</x:v>
      </x:c>
      <x:c r="E21" s="18" t="n">
        <x:v>15</x:v>
      </x:c>
      <x:c r="F21" s="19" t="str">
        <x:v>BBP, Relative cutoff 1e-5, Fixed rank 10, Fixed rank 25, Relative cutoff 1e-6, Full, Relative cutoff 1e-2, Relative cutoff 1e-4</x:v>
      </x:c>
      <x:c r="G21" s="19" t="str">
        <x:v>Fig. 7, Table 3, Table 4, Table 5</x:v>
      </x:c>
      <x:c r="H21" s="19" t="str">
        <x:v>Exp_10/EXP083</x:v>
      </x:c>
    </x:row>
    <x:row r="22" ht="15" hidden="0" customHeight="1">
      <x:c r="A22" s="3" t="str">
        <x:v>EXP268</x:v>
      </x:c>
      <x:c r="B22" s="3" t="str">
        <x:v>Weak</x:v>
      </x:c>
      <x:c r="C22" s="19" t="str">
        <x:v>Weak / physical compression at round 300</x:v>
      </x:c>
      <x:c r="D22" s="18" t="n">
        <x:v>800</x:v>
      </x:c>
      <x:c r="E22" s="18" t="n">
        <x:v>5</x:v>
      </x:c>
      <x:c r="F22" s="19" t="str">
        <x:v>BBP, BBP + physical compression</x:v>
      </x:c>
      <x:c r="G22" s="19" t="str">
        <x:v>Table 1, Table 6</x:v>
      </x:c>
      <x:c r="H22" s="19" t="str">
        <x:v>Weak/EXP268</x:v>
      </x:c>
    </x:row>
    <x:row r="23" ht="15" hidden="0" customHeight="1">
      <x:c r="A23" s="3" t="str">
        <x:v>EXP018</x:v>
      </x:c>
      <x:c r="B23" s="3" t="str">
        <x:v>Balanced</x:v>
      </x:c>
      <x:c r="C23" s="19" t="str">
        <x:v>Balanced / physical compression at round 300</x:v>
      </x:c>
      <x:c r="D23" s="18" t="n">
        <x:v>800</x:v>
      </x:c>
      <x:c r="E23" s="18" t="n">
        <x:v>5</x:v>
      </x:c>
      <x:c r="F23" s="19" t="str">
        <x:v>BBP, BBP + physical compression</x:v>
      </x:c>
      <x:c r="G23" s="19" t="str">
        <x:v>Table 1, Table 6</x:v>
      </x:c>
      <x:c r="H23" s="19" t="str">
        <x:v>Balanced/EXP018</x:v>
      </x:c>
    </x:row>
    <x:row r="24" ht="15" hidden="0" customHeight="1">
      <x:c r="A24" s="3" t="str">
        <x:v>EXP104</x:v>
      </x:c>
      <x:c r="B24" s="3" t="str">
        <x:v>KuaiRec</x:v>
      </x:c>
      <x:c r="C24" s="19" t="str">
        <x:v>KuaiRec / physical compression at round 300</x:v>
      </x:c>
      <x:c r="D24" s="18" t="n">
        <x:v>600</x:v>
      </x:c>
      <x:c r="E24" s="18" t="n">
        <x:v>5</x:v>
      </x:c>
      <x:c r="F24" s="19" t="str">
        <x:v>BBP, BBP + physical compression</x:v>
      </x:c>
      <x:c r="G24" s="19" t="str">
        <x:v>Table 1, Table 6</x:v>
      </x:c>
      <x:c r="H24" s="19" t="str">
        <x:v>KuaiRec/EXP104</x:v>
      </x:c>
    </x:row>
    <x:row r="25" ht="15" hidden="0" customHeight="1">
      <x:c r="A25" s="3" t="str">
        <x:v>EXP283</x:v>
      </x:c>
      <x:c r="B25" s="3" t="str">
        <x:v>KuaiRec (10 users)</x:v>
      </x:c>
      <x:c r="C25" s="19" t="str">
        <x:v>KuaiRec / 10 users / Relative cutoff 1e-2 versus Full</x:v>
      </x:c>
      <x:c r="D25" s="18" t="n">
        <x:v>2000</x:v>
      </x:c>
      <x:c r="E25" s="18" t="n">
        <x:v>20</x:v>
      </x:c>
      <x:c r="F25" s="19" t="str">
        <x:v>Full, Relative cutoff 1e-2</x:v>
      </x:c>
      <x:c r="G25" s="19" t="str">
        <x:v>Table 9</x:v>
      </x:c>
      <x:c r="H25" s="19" t="str">
        <x:v>KuaiRec/EXP283</x:v>
      </x:c>
    </x:row>
    <x:row r="26" ht="15" hidden="0" customHeight="1">
      <x:c r="A26" s="3" t="str">
        <x:v>EXP284</x:v>
      </x:c>
      <x:c r="B26" s="3" t="str">
        <x:v>KuaiRec</x:v>
      </x:c>
      <x:c r="C26" s="19" t="str">
        <x:v>KuaiRec / 100 users / Relative cutoff 1e-2 versus Full</x:v>
      </x:c>
      <x:c r="D26" s="18" t="n">
        <x:v>2000</x:v>
      </x:c>
      <x:c r="E26" s="18" t="n">
        <x:v>10</x:v>
      </x:c>
      <x:c r="F26" s="19" t="str">
        <x:v>Full, Relative cutoff 1e-2</x:v>
      </x:c>
      <x:c r="G26" s="19" t="str">
        <x:v>Table 9</x:v>
      </x:c>
      <x:c r="H26" s="19" t="str">
        <x:v>KuaiRec/EXP284</x:v>
      </x:c>
    </x:row>
    <x:row r="27" ht="15" hidden="0" customHeight="1">
      <x:c r="A27" s="3" t="str">
        <x:v>EXP026</x:v>
      </x:c>
      <x:c r="B27" s="3" t="str">
        <x:v>Exp. 1</x:v>
      </x:c>
      <x:c r="C27" s="19" t="str">
        <x:v>Exp. 1 / Relative cutoff 1e-2 / fixed ranks 3, 5, 10</x:v>
      </x:c>
      <x:c r="D27" s="18" t="n">
        <x:v>200</x:v>
      </x:c>
      <x:c r="E27" s="18" t="n">
        <x:v>20</x:v>
      </x:c>
      <x:c r="F27" s="19" t="str">
        <x:v>Fixed rank 10, Fixed rank 3, Fixed rank 5, Full, Relative cutoff 1e-2</x:v>
      </x:c>
      <x:c r="G27" s="19" t="str">
        <x:v>Table 7, Table 8</x:v>
      </x:c>
      <x:c r="H27" s="19" t="str">
        <x:v>Exp_1/EXP026</x:v>
      </x:c>
    </x:row>
    <x:row r="28" ht="15" hidden="0" customHeight="1">
      <x:c r="A28" s="3" t="str">
        <x:v>EXP032</x:v>
      </x:c>
      <x:c r="B28" s="3" t="str">
        <x:v>Exp. 2</x:v>
      </x:c>
      <x:c r="C28" s="19" t="str">
        <x:v>Exp. 2 / Relative cutoff 1e-2 / fixed ranks 3, 5, 10</x:v>
      </x:c>
      <x:c r="D28" s="18" t="n">
        <x:v>200</x:v>
      </x:c>
      <x:c r="E28" s="18" t="n">
        <x:v>20</x:v>
      </x:c>
      <x:c r="F28" s="19" t="str">
        <x:v>Fixed rank 10, Fixed rank 3, Fixed rank 5, Full, Relative cutoff 1e-2</x:v>
      </x:c>
      <x:c r="G28" s="19" t="str">
        <x:v>Table 7, Table 8</x:v>
      </x:c>
      <x:c r="H28" s="19" t="str">
        <x:v>Exp_2/EXP032</x:v>
      </x:c>
    </x:row>
    <x:row r="29" ht="15" hidden="0" customHeight="1">
      <x:c r="A29" s="3" t="str">
        <x:v>EXP040</x:v>
      </x:c>
      <x:c r="B29" s="3" t="str">
        <x:v>Exp. 3</x:v>
      </x:c>
      <x:c r="C29" s="19" t="str">
        <x:v>Exp. 3 / Relative cutoff 1e-2 / fixed ranks 3, 5, 10</x:v>
      </x:c>
      <x:c r="D29" s="18" t="n">
        <x:v>200</x:v>
      </x:c>
      <x:c r="E29" s="18" t="n">
        <x:v>20</x:v>
      </x:c>
      <x:c r="F29" s="19" t="str">
        <x:v>Fixed rank 10, Fixed rank 3, Fixed rank 5, Full, Relative cutoff 1e-2</x:v>
      </x:c>
      <x:c r="G29" s="19" t="str">
        <x:v>Table 7, Table 8</x:v>
      </x:c>
      <x:c r="H29" s="19" t="str">
        <x:v>Exp_3/EXP040</x:v>
      </x:c>
    </x:row>
    <x:row r="30" ht="15" hidden="0" customHeight="1">
      <x:c r="A30" s="3" t="str">
        <x:v>EXP046</x:v>
      </x:c>
      <x:c r="B30" s="3" t="str">
        <x:v>Exp. 4</x:v>
      </x:c>
      <x:c r="C30" s="19" t="str">
        <x:v>Exp. 4 / Relative cutoff 1e-2 / fixed ranks 3, 5, 10</x:v>
      </x:c>
      <x:c r="D30" s="18" t="n">
        <x:v>200</x:v>
      </x:c>
      <x:c r="E30" s="18" t="n">
        <x:v>20</x:v>
      </x:c>
      <x:c r="F30" s="19" t="str">
        <x:v>Fixed rank 10, Fixed rank 3, Fixed rank 5, Full, Relative cutoff 1e-2</x:v>
      </x:c>
      <x:c r="G30" s="19" t="str">
        <x:v>Table 7, Table 8</x:v>
      </x:c>
      <x:c r="H30" s="19" t="str">
        <x:v>Exp_4/EXP046</x:v>
      </x:c>
    </x:row>
    <x:row r="31" ht="15" hidden="0" customHeight="1">
      <x:c r="A31" s="3" t="str">
        <x:v>EXP052</x:v>
      </x:c>
      <x:c r="B31" s="3" t="str">
        <x:v>Exp. 5</x:v>
      </x:c>
      <x:c r="C31" s="19" t="str">
        <x:v>Exp. 5 / Relative cutoff 1e-2 / fixed ranks 3, 5, 10</x:v>
      </x:c>
      <x:c r="D31" s="18" t="n">
        <x:v>200</x:v>
      </x:c>
      <x:c r="E31" s="18" t="n">
        <x:v>20</x:v>
      </x:c>
      <x:c r="F31" s="19" t="str">
        <x:v>Fixed rank 10, Fixed rank 3, Fixed rank 5, Full, Relative cutoff 1e-2</x:v>
      </x:c>
      <x:c r="G31" s="19" t="str">
        <x:v>Table 7, Table 8</x:v>
      </x:c>
      <x:c r="H31" s="19" t="str">
        <x:v>Exp_5/EXP052</x:v>
      </x:c>
    </x:row>
    <x:row r="32" ht="15" hidden="0" customHeight="1">
      <x:c r="A32" s="3" t="str">
        <x:v>EXP058</x:v>
      </x:c>
      <x:c r="B32" s="3" t="str">
        <x:v>Exp. 6</x:v>
      </x:c>
      <x:c r="C32" s="19" t="str">
        <x:v>Exp. 6 / Relative cutoff 1e-2 / fixed ranks 3, 5, 10</x:v>
      </x:c>
      <x:c r="D32" s="18" t="n">
        <x:v>200</x:v>
      </x:c>
      <x:c r="E32" s="18" t="n">
        <x:v>20</x:v>
      </x:c>
      <x:c r="F32" s="19" t="str">
        <x:v>Fixed rank 10, Fixed rank 3, Fixed rank 5, Full, Relative cutoff 1e-2</x:v>
      </x:c>
      <x:c r="G32" s="19" t="str">
        <x:v>Table 7, Table 8</x:v>
      </x:c>
      <x:c r="H32" s="19" t="str">
        <x:v>Exp_6/EXP058</x:v>
      </x:c>
    </x:row>
    <x:row r="33" ht="15" hidden="0" customHeight="1">
      <x:c r="A33" s="3" t="str">
        <x:v>EXP064</x:v>
      </x:c>
      <x:c r="B33" s="3" t="str">
        <x:v>Exp. 7</x:v>
      </x:c>
      <x:c r="C33" s="19" t="str">
        <x:v>Exp. 7 / Relative cutoff 1e-2 / fixed ranks 3, 5, 10</x:v>
      </x:c>
      <x:c r="D33" s="18" t="n">
        <x:v>200</x:v>
      </x:c>
      <x:c r="E33" s="18" t="n">
        <x:v>20</x:v>
      </x:c>
      <x:c r="F33" s="19" t="str">
        <x:v>Fixed rank 10, Fixed rank 3, Fixed rank 5, Full, Relative cutoff 1e-2</x:v>
      </x:c>
      <x:c r="G33" s="19" t="str">
        <x:v>Table 7, Table 8</x:v>
      </x:c>
      <x:c r="H33" s="19" t="str">
        <x:v>Exp_7/EXP064</x:v>
      </x:c>
    </x:row>
    <x:row r="34" ht="15" hidden="0" customHeight="1">
      <x:c r="A34" s="3" t="str">
        <x:v>EXP071</x:v>
      </x:c>
      <x:c r="B34" s="3" t="str">
        <x:v>Exp. 8</x:v>
      </x:c>
      <x:c r="C34" s="19" t="str">
        <x:v>Exp. 8 / Relative cutoff 1e-2 / fixed ranks 3, 5, 10</x:v>
      </x:c>
      <x:c r="D34" s="18" t="n">
        <x:v>200</x:v>
      </x:c>
      <x:c r="E34" s="18" t="n">
        <x:v>20</x:v>
      </x:c>
      <x:c r="F34" s="19" t="str">
        <x:v>Fixed rank 10, Fixed rank 3, Fixed rank 5, Full, Relative cutoff 1e-2</x:v>
      </x:c>
      <x:c r="G34" s="19" t="str">
        <x:v>Table 7, Table 8</x:v>
      </x:c>
      <x:c r="H34" s="19" t="str">
        <x:v>Exp_8/EXP071</x:v>
      </x:c>
    </x:row>
    <x:row r="35" ht="15" hidden="0" customHeight="1">
      <x:c r="A35" s="3" t="str">
        <x:v>EXP079</x:v>
      </x:c>
      <x:c r="B35" s="3" t="str">
        <x:v>Exp. 9</x:v>
      </x:c>
      <x:c r="C35" s="19" t="str">
        <x:v>Exp. 9 / Relative cutoff 1e-2 / fixed ranks 3, 5, 10</x:v>
      </x:c>
      <x:c r="D35" s="18" t="n">
        <x:v>200</x:v>
      </x:c>
      <x:c r="E35" s="18" t="n">
        <x:v>20</x:v>
      </x:c>
      <x:c r="F35" s="19" t="str">
        <x:v>Fixed rank 10, Fixed rank 3, Fixed rank 5, Full, Relative cutoff 1e-2</x:v>
      </x:c>
      <x:c r="G35" s="19" t="str">
        <x:v>Table 7, Table 8</x:v>
      </x:c>
      <x:c r="H35" s="19" t="str">
        <x:v>Exp_9/EXP079</x:v>
      </x:c>
    </x:row>
    <x:row r="36" ht="15" hidden="0" customHeight="1">
      <x:c r="A36" s="3" t="str">
        <x:v>EXP086</x:v>
      </x:c>
      <x:c r="B36" s="3" t="str">
        <x:v>Exp. 10</x:v>
      </x:c>
      <x:c r="C36" s="19" t="str">
        <x:v>Exp. 10 / Relative cutoff 1e-2 / fixed ranks 3, 5, 10</x:v>
      </x:c>
      <x:c r="D36" s="18" t="n">
        <x:v>200</x:v>
      </x:c>
      <x:c r="E36" s="18" t="n">
        <x:v>20</x:v>
      </x:c>
      <x:c r="F36" s="19" t="str">
        <x:v>Fixed rank 10, Fixed rank 3, Fixed rank 5, Full, Relative cutoff 1e-2</x:v>
      </x:c>
      <x:c r="G36" s="19" t="str">
        <x:v>Table 7, Table 8</x:v>
      </x:c>
      <x:c r="H36" s="19" t="str">
        <x:v>Exp_10/EXP086</x:v>
      </x:c>
    </x:row>
    <x:row r="37" ht="15" hidden="0" customHeight="1">
      <x:c r="A37" s="3" t="str">
        <x:v>EXP285</x:v>
      </x:c>
      <x:c r="B37" s="3" t="str">
        <x:v>BBP transition</x:v>
      </x:c>
      <x:c r="C37" s="19" t="str">
        <x:v>Frozen width-128 trained NN–AGP: BBP transition</x:v>
      </x:c>
      <x:c r="D37" s="18"/>
      <x:c r="E37" s="18" t="n">
        <x:v>1</x:v>
      </x:c>
      <x:c r="F37" s="19" t="str">
        <x:v>Trained features, Gaussian control, BBP prediction</x:v>
      </x:c>
      <x:c r="G37" s="19" t="str">
        <x:v>Fig. 1</x:v>
      </x:c>
      <x:c r="H37" s="19" t="str">
        <x:v>BBP_transition/EXP285</x:v>
      </x:c>
    </x:row>
  </x:sheetData>
  <x:pageMargins left="0.7" right="0.7" top="0.75" bottom="0.75" header="0.3" footer="0.3"/>
  <x:tableParts count="1">
    <x:tablePart xmlns:r="http://schemas.openxmlformats.org/officeDocument/2006/relationships" r:id="R495083e9f25941e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8" hidden="0" customWidth="1"/>
    <x:col min="5" max="5" width="10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8" hidden="0" customWidth="1"/>
    <x:col min="12" max="12" width="24" hidden="0" customWidth="1"/>
    <x:col min="13" max="13" width="26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1" customHeight="1">
      <x:c r="A2" s="4" t="str">
        <x:v>Results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1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8" customHeight="1">
      <x:c r="A5" s="77" t="str">
        <x:v>ID</x:v>
      </x:c>
      <x:c r="B5" s="78" t="str">
        <x:v>Environment</x:v>
      </x:c>
      <x:c r="C5" s="78" t="str">
        <x:v>Method</x:v>
      </x:c>
      <x:c r="D5" s="78" t="str">
        <x:v>n</x:v>
      </x:c>
      <x:c r="E5" s="78" t="str">
        <x:v>Rounds</x:v>
      </x:c>
      <x:c r="F5" s="78" t="str">
        <x:v>Regret</x:v>
      </x:c>
      <x:c r="G5" s="78" t="str">
        <x:v>After 100</x:v>
      </x:c>
      <x:c r="H5" s="78" t="str">
        <x:v>Mean GP dimension</x:v>
      </x:c>
      <x:c r="I5" s="78" t="str">
        <x:v>CPU (s)</x:v>
      </x:c>
      <x:c r="J5" s="78" t="str">
        <x:v>Wall (s)</x:v>
      </x:c>
      <x:c r="K5" s="78" t="str">
        <x:v>Peak RSS (MiB)</x:v>
      </x:c>
      <x:c r="L5" s="78" t="str">
        <x:v>R_BBP/R_full-1</x:v>
      </x:c>
      <x:c r="M5" s="79" t="str">
        <x:v>R_BBP/R_baseline-1</x:v>
      </x:c>
    </x:row>
    <x:row r="6" ht="21" customHeight="1">
      <x:c r="A6" s="3" t="str">
        <x:v>EXP001</x:v>
      </x:c>
      <x:c r="B6" s="3" t="str">
        <x:v>Balanced</x:v>
      </x:c>
      <x:c r="C6" s="3" t="str">
        <x:v>BBP</x:v>
      </x:c>
      <x:c r="D6" s="18" t="n">
        <x:v>65</x:v>
      </x:c>
      <x:c r="E6" s="18" t="n">
        <x:v>800</x:v>
      </x:c>
      <x:c r="F6" s="21" t="n">
        <x:f>AVERAGEIFS('Runs'!$F$6:$F$525,'Runs'!$A$6:$A$525,A6,'Runs'!$D$6:$D$525,C6)</x:f>
        <x:v>564.5213145876456</x:v>
      </x:c>
      <x:c r="G6" s="21" t="n">
        <x:v>379.64314978140635</x:v>
      </x:c>
      <x:c r="H6" s="23" t="n">
        <x:v>28.801098901098907</x:v>
      </x:c>
      <x:c r="I6" s="21" t="n">
        <x:v>49.80948993846194</x:v>
      </x:c>
      <x:c r="J6" s="21" t="n">
        <x:v>141.3654311728019</x:v>
      </x:c>
      <x:c r="K6" s="25"/>
      <x:c r="L6" s="27" t="n">
        <x:f>SUMIFS('Runs'!$G$6:$G$525,'Runs'!$D$6:$D$525,"Full",'Runs'!$G$6:$G$525,"&lt;&gt;")/SUMIFS('Runs'!$F$6:$F$525,'Runs'!$D$6:$D$525,"Full",'Runs'!$G$6:$G$525,"&lt;&gt;")-1</x:f>
        <x:v>-0.02978977971423591</x:v>
      </x:c>
      <x:c r="M6" s="27" t="n">
        <x:f>SUMIFS('Runs'!$G$6:$G$525,'Runs'!$D$6:$D$525,"BBP",'Runs'!$G$6:$G$525,"&lt;&gt;")/SUMIFS('Runs'!$F$6:$F$525,'Runs'!$D$6:$D$525,"BBP",'Runs'!$G$6:$G$525,"&lt;&gt;")-1</x:f>
        <x:v>0</x:v>
      </x:c>
    </x:row>
    <x:row r="7" ht="21" customHeight="1">
      <x:c r="A7" s="3" t="str">
        <x:v>EXP001</x:v>
      </x:c>
      <x:c r="B7" s="3" t="str">
        <x:v>Balanced</x:v>
      </x:c>
      <x:c r="C7" s="3" t="str">
        <x:v>Relative cutoff 1e-5</x:v>
      </x:c>
      <x:c r="D7" s="18" t="n">
        <x:v>65</x:v>
      </x:c>
      <x:c r="E7" s="18" t="n">
        <x:v>800</x:v>
      </x:c>
      <x:c r="F7" s="21" t="n">
        <x:f>AVERAGEIFS('Runs'!$F$6:$F$525,'Runs'!$A$6:$A$525,A7,'Runs'!$D$6:$D$525,C7)</x:f>
        <x:v>577.1202987360427</x:v>
      </x:c>
      <x:c r="G7" s="21" t="n">
        <x:v>392.24213392980323</x:v>
      </x:c>
      <x:c r="H7" s="23" t="n">
        <x:v>11.726593406593405</x:v>
      </x:c>
      <x:c r="I7" s="21" t="n">
        <x:v>18.388197584615376</x:v>
      </x:c>
      <x:c r="J7" s="21" t="n">
        <x:v>18.50975094363071</x:v>
      </x:c>
      <x:c r="K7" s="25" t="n">
        <x:v>625.9165865384615</x:v>
      </x:c>
      <x:c r="L7" s="27" t="n">
        <x:f>SUMIFS('Runs'!$G$6:$G$525,'Runs'!$D$6:$D$525,"Full",'Runs'!$G$6:$G$525,"&lt;&gt;")/SUMIFS('Runs'!$F$6:$F$525,'Runs'!$D$6:$D$525,"Full",'Runs'!$G$6:$G$525,"&lt;&gt;")-1</x:f>
        <x:v>-0.02978977971423591</x:v>
      </x:c>
      <x:c r="M7" s="27" t="n">
        <x:f>SUMIFS('Runs'!$G$6:$G$525,'Runs'!$D$6:$D$525,"Relative cutoff 1e-5",'Runs'!$G$6:$G$525,"&lt;&gt;")/SUMIFS('Runs'!$F$6:$F$525,'Runs'!$D$6:$D$525,"Relative cutoff 1e-5",'Runs'!$G$6:$G$525,"&lt;&gt;")-1</x:f>
        <x:v>-0.021830776314730738</x:v>
      </x:c>
    </x:row>
    <x:row r="8" ht="21" customHeight="1">
      <x:c r="A8" s="3" t="str">
        <x:v>EXP001</x:v>
      </x:c>
      <x:c r="B8" s="3" t="str">
        <x:v>Balanced</x:v>
      </x:c>
      <x:c r="C8" s="3" t="str">
        <x:v>Fixed rank 10</x:v>
      </x:c>
      <x:c r="D8" s="18" t="n">
        <x:v>65</x:v>
      </x:c>
      <x:c r="E8" s="18" t="n">
        <x:v>800</x:v>
      </x:c>
      <x:c r="F8" s="21" t="n">
        <x:f>AVERAGEIFS('Runs'!$F$6:$F$525,'Runs'!$A$6:$A$525,A8,'Runs'!$D$6:$D$525,C8)</x:f>
        <x:v>592.1941078532413</x:v>
      </x:c>
      <x:c r="G8" s="21" t="n">
        <x:v>407.3159430470019</x:v>
      </x:c>
      <x:c r="H8" s="23" t="n">
        <x:v>10</x:v>
      </x:c>
      <x:c r="I8" s="21" t="n">
        <x:v>18.38983090769231</x:v>
      </x:c>
      <x:c r="J8" s="21" t="n">
        <x:v>18.511726257676884</x:v>
      </x:c>
      <x:c r="K8" s="25" t="n">
        <x:v>626.0194711538461</x:v>
      </x:c>
      <x:c r="L8" s="27" t="n">
        <x:f>SUMIFS('Runs'!$G$6:$G$525,'Runs'!$D$6:$D$525,"Full",'Runs'!$G$6:$G$525,"&lt;&gt;")/SUMIFS('Runs'!$F$6:$F$525,'Runs'!$D$6:$D$525,"Full",'Runs'!$G$6:$G$525,"&lt;&gt;")-1</x:f>
        <x:v>-0.02978977971423591</x:v>
      </x:c>
      <x:c r="M8" s="27" t="n">
        <x:f>SUMIFS('Runs'!$G$6:$G$525,'Runs'!$D$6:$D$525,"Fixed rank 10",'Runs'!$G$6:$G$525,"&lt;&gt;")/SUMIFS('Runs'!$F$6:$F$525,'Runs'!$D$6:$D$525,"Fixed rank 10",'Runs'!$G$6:$G$525,"&lt;&gt;")-1</x:f>
        <x:v>-0.046729261400306865</x:v>
      </x:c>
    </x:row>
    <x:row r="9" ht="21" customHeight="1">
      <x:c r="A9" s="3" t="str">
        <x:v>EXP001</x:v>
      </x:c>
      <x:c r="B9" s="3" t="str">
        <x:v>Balanced</x:v>
      </x:c>
      <x:c r="C9" s="3" t="str">
        <x:v>Fixed rank 25</x:v>
      </x:c>
      <x:c r="D9" s="18" t="n">
        <x:v>65</x:v>
      </x:c>
      <x:c r="E9" s="18" t="n">
        <x:v>800</x:v>
      </x:c>
      <x:c r="F9" s="21" t="n">
        <x:f>AVERAGEIFS('Runs'!$F$6:$F$525,'Runs'!$A$6:$A$525,A9,'Runs'!$D$6:$D$525,C9)</x:f>
        <x:v>573.9656223789277</x:v>
      </x:c>
      <x:c r="G9" s="21" t="n">
        <x:v>389.08745757268844</x:v>
      </x:c>
      <x:c r="H9" s="23" t="n">
        <x:v>25</x:v>
      </x:c>
      <x:c r="I9" s="21" t="n">
        <x:v>51.52982721538468</x:v>
      </x:c>
      <x:c r="J9" s="21" t="n">
        <x:v>142.4385523826063</x:v>
      </x:c>
      <x:c r="K9" s="25"/>
      <x:c r="L9" s="27" t="n">
        <x:f>SUMIFS('Runs'!$G$6:$G$525,'Runs'!$D$6:$D$525,"Full",'Runs'!$G$6:$G$525,"&lt;&gt;")/SUMIFS('Runs'!$F$6:$F$525,'Runs'!$D$6:$D$525,"Full",'Runs'!$G$6:$G$525,"&lt;&gt;")-1</x:f>
        <x:v>-0.02978977971423591</x:v>
      </x:c>
      <x:c r="M9" s="27" t="n">
        <x:f>SUMIFS('Runs'!$G$6:$G$525,'Runs'!$D$6:$D$525,"Fixed rank 25",'Runs'!$G$6:$G$525,"&lt;&gt;")/SUMIFS('Runs'!$F$6:$F$525,'Runs'!$D$6:$D$525,"Fixed rank 25",'Runs'!$G$6:$G$525,"&lt;&gt;")-1</x:f>
        <x:v>-0.01645448337504607</x:v>
      </x:c>
    </x:row>
    <x:row r="10" ht="21" customHeight="1">
      <x:c r="A10" s="3" t="str">
        <x:v>EXP001</x:v>
      </x:c>
      <x:c r="B10" s="3" t="str">
        <x:v>Balanced</x:v>
      </x:c>
      <x:c r="C10" s="3" t="str">
        <x:v>Relative cutoff 1e-6</x:v>
      </x:c>
      <x:c r="D10" s="18" t="n">
        <x:v>65</x:v>
      </x:c>
      <x:c r="E10" s="18" t="n">
        <x:v>800</x:v>
      </x:c>
      <x:c r="F10" s="21" t="n">
        <x:f>AVERAGEIFS('Runs'!$F$6:$F$525,'Runs'!$A$6:$A$525,A10,'Runs'!$D$6:$D$525,C10)</x:f>
        <x:v>577.291357737548</x:v>
      </x:c>
      <x:c r="G10" s="21" t="n">
        <x:v>392.4131929313087</x:v>
      </x:c>
      <x:c r="H10" s="23" t="n">
        <x:v>21.227032967032955</x:v>
      </x:c>
      <x:c r="I10" s="21" t="n">
        <x:v>50.92540635384627</x:v>
      </x:c>
      <x:c r="J10" s="21" t="n">
        <x:v>142.79852995198004</x:v>
      </x:c>
      <x:c r="K10" s="25"/>
      <x:c r="L10" s="27" t="n">
        <x:f>SUMIFS('Runs'!$G$6:$G$525,'Runs'!$D$6:$D$525,"Full",'Runs'!$G$6:$G$525,"&lt;&gt;")/SUMIFS('Runs'!$F$6:$F$525,'Runs'!$D$6:$D$525,"Full",'Runs'!$G$6:$G$525,"&lt;&gt;")-1</x:f>
        <x:v>-0.02978977971423591</x:v>
      </x:c>
      <x:c r="M10" s="27" t="n">
        <x:f>SUMIFS('Runs'!$G$6:$G$525,'Runs'!$D$6:$D$525,"Relative cutoff 1e-6",'Runs'!$G$6:$G$525,"&lt;&gt;")/SUMIFS('Runs'!$F$6:$F$525,'Runs'!$D$6:$D$525,"Relative cutoff 1e-6",'Runs'!$G$6:$G$525,"&lt;&gt;")-1</x:f>
        <x:v>-0.02212062068614573</x:v>
      </x:c>
    </x:row>
    <x:row r="11" ht="21" customHeight="1">
      <x:c r="A11" s="3" t="str">
        <x:v>EXP001</x:v>
      </x:c>
      <x:c r="B11" s="3" t="str">
        <x:v>Balanced</x:v>
      </x:c>
      <x:c r="C11" s="3" t="str">
        <x:v>Full</x:v>
      </x:c>
      <x:c r="D11" s="18" t="n">
        <x:v>65</x:v>
      </x:c>
      <x:c r="E11" s="18" t="n">
        <x:v>800</x:v>
      </x:c>
      <x:c r="F11" s="21" t="n">
        <x:f>AVERAGEIFS('Runs'!$F$6:$F$525,'Runs'!$A$6:$A$525,A11,'Runs'!$D$6:$D$525,C11)</x:f>
        <x:v>581.8546360204003</x:v>
      </x:c>
      <x:c r="G11" s="21" t="n">
        <x:v>396.97647121416077</x:v>
      </x:c>
      <x:c r="H11" s="23" t="n">
        <x:v>100</x:v>
      </x:c>
      <x:c r="I11" s="21" t="n">
        <x:v>49.733792323076976</x:v>
      </x:c>
      <x:c r="J11" s="21" t="n">
        <x:v>142.23360844287447</x:v>
      </x:c>
      <x:c r="K11" s="25"/>
      <x:c r="L11" s="27" t="n">
        <x:f>SUMIFS('Runs'!$G$6:$G$525,'Runs'!$D$6:$D$525,"Full",'Runs'!$G$6:$G$525,"&lt;&gt;")/SUMIFS('Runs'!$F$6:$F$525,'Runs'!$D$6:$D$525,"Full",'Runs'!$G$6:$G$525,"&lt;&gt;")-1</x:f>
        <x:v>-0.02978977971423591</x:v>
      </x:c>
      <x:c r="M11" s="27" t="n">
        <x:f>SUMIFS('Runs'!$G$6:$G$525,'Runs'!$D$6:$D$525,"Full",'Runs'!$G$6:$G$525,"&lt;&gt;")/SUMIFS('Runs'!$F$6:$F$525,'Runs'!$D$6:$D$525,"Full",'Runs'!$G$6:$G$525,"&lt;&gt;")-1</x:f>
        <x:v>-0.02978977971423591</x:v>
      </x:c>
    </x:row>
    <x:row r="12" ht="21" customHeight="1">
      <x:c r="A12" s="3" t="str">
        <x:v>EXP001</x:v>
      </x:c>
      <x:c r="B12" s="3" t="str">
        <x:v>Balanced</x:v>
      </x:c>
      <x:c r="C12" s="3" t="str">
        <x:v>Relative cutoff 1e-2</x:v>
      </x:c>
      <x:c r="D12" s="18" t="n">
        <x:v>65</x:v>
      </x:c>
      <x:c r="E12" s="18" t="n">
        <x:v>800</x:v>
      </x:c>
      <x:c r="F12" s="21" t="n">
        <x:f>AVERAGEIFS('Runs'!$F$6:$F$525,'Runs'!$A$6:$A$525,A12,'Runs'!$D$6:$D$525,C12)</x:f>
        <x:v>685.425113463555</x:v>
      </x:c>
      <x:c r="G12" s="21" t="n">
        <x:v>500.5469486573156</x:v>
      </x:c>
      <x:c r="H12" s="23" t="n">
        <x:v>2.2035164835164838</x:v>
      </x:c>
      <x:c r="I12" s="21" t="n">
        <x:v>49.702901400000094</x:v>
      </x:c>
      <x:c r="J12" s="21" t="n">
        <x:v>142.14357452223507</x:v>
      </x:c>
      <x:c r="K12" s="25"/>
      <x:c r="L12" s="27" t="n">
        <x:f>SUMIFS('Runs'!$G$6:$G$525,'Runs'!$D$6:$D$525,"Full",'Runs'!$G$6:$G$525,"&lt;&gt;")/SUMIFS('Runs'!$F$6:$F$525,'Runs'!$D$6:$D$525,"Full",'Runs'!$G$6:$G$525,"&lt;&gt;")-1</x:f>
        <x:v>-0.02978977971423591</x:v>
      </x:c>
      <x:c r="M12" s="27" t="n">
        <x:f>SUMIFS('Runs'!$G$6:$G$525,'Runs'!$D$6:$D$525,"Relative cutoff 1e-2",'Runs'!$G$6:$G$525,"&lt;&gt;")/SUMIFS('Runs'!$F$6:$F$525,'Runs'!$D$6:$D$525,"Relative cutoff 1e-2",'Runs'!$G$6:$G$525,"&lt;&gt;")-1</x:f>
        <x:v>-0.17639242639500685</x:v>
      </x:c>
    </x:row>
    <x:row r="13" ht="21" customHeight="1">
      <x:c r="A13" s="3" t="str">
        <x:v>EXP001</x:v>
      </x:c>
      <x:c r="B13" s="3" t="str">
        <x:v>Balanced</x:v>
      </x:c>
      <x:c r="C13" s="3" t="str">
        <x:v>Relative cutoff 1e-4</x:v>
      </x:c>
      <x:c r="D13" s="18" t="n">
        <x:v>65</x:v>
      </x:c>
      <x:c r="E13" s="18" t="n">
        <x:v>800</x:v>
      </x:c>
      <x:c r="F13" s="21" t="n">
        <x:f>AVERAGEIFS('Runs'!$F$6:$F$525,'Runs'!$A$6:$A$525,A13,'Runs'!$D$6:$D$525,C13)</x:f>
        <x:v>589.611418377986</x:v>
      </x:c>
      <x:c r="G13" s="21" t="n">
        <x:v>404.73325357174673</x:v>
      </x:c>
      <x:c r="H13" s="23" t="n">
        <x:v>4.656703296703296</x:v>
      </x:c>
      <x:c r="I13" s="21" t="n">
        <x:v>51.39640976923076</x:v>
      </x:c>
      <x:c r="J13" s="21" t="n">
        <x:v>144.41128912326664</x:v>
      </x:c>
      <x:c r="K13" s="25"/>
      <x:c r="L13" s="27" t="n">
        <x:f>SUMIFS('Runs'!$G$6:$G$525,'Runs'!$D$6:$D$525,"Full",'Runs'!$G$6:$G$525,"&lt;&gt;")/SUMIFS('Runs'!$F$6:$F$525,'Runs'!$D$6:$D$525,"Full",'Runs'!$G$6:$G$525,"&lt;&gt;")-1</x:f>
        <x:v>-0.02978977971423591</x:v>
      </x:c>
      <x:c r="M13" s="27" t="n">
        <x:f>SUMIFS('Runs'!$G$6:$G$525,'Runs'!$D$6:$D$525,"Relative cutoff 1e-4",'Runs'!$G$6:$G$525,"&lt;&gt;")/SUMIFS('Runs'!$F$6:$F$525,'Runs'!$D$6:$D$525,"Relative cutoff 1e-4",'Runs'!$G$6:$G$525,"&lt;&gt;")-1</x:f>
        <x:v>-0.04255362601247259</x:v>
      </x:c>
    </x:row>
    <x:row r="14" ht="21" customHeight="1">
      <x:c r="A14" s="3" t="str">
        <x:v>EXP018</x:v>
      </x:c>
      <x:c r="B14" s="3" t="str">
        <x:v>Balanced</x:v>
      </x:c>
      <x:c r="C14" s="3" t="str">
        <x:v>BBP</x:v>
      </x:c>
      <x:c r="D14" s="18" t="n">
        <x:v>5</x:v>
      </x:c>
      <x:c r="E14" s="18" t="n">
        <x:v>800</x:v>
      </x:c>
      <x:c r="F14" s="21" t="n">
        <x:f>AVERAGEIFS('Runs'!$F$526:$F$535,'Runs'!$A$526:$A$535,A14,'Runs'!$D$526:$D$535,C14)</x:f>
        <x:v>473.6185154263846</x:v>
      </x:c>
      <x:c r="G14" s="21" t="n">
        <x:v>313.91695867379724</x:v>
      </x:c>
      <x:c r="H14" s="23" t="n">
        <x:v>28.734285714285715</x:v>
      </x:c>
      <x:c r="I14" s="21" t="n">
        <x:v>12.908138399999999</x:v>
      </x:c>
      <x:c r="J14" s="21" t="n">
        <x:v>13.08121520834975</x:v>
      </x:c>
      <x:c r="K14" s="25" t="n">
        <x:v>523.85625</x:v>
      </x:c>
      <x:c r="L14" s="27" t="str">
        <x:f>""</x:f>
      </x:c>
      <x:c r="M14" s="27" t="n">
        <x:f>SUMIFS('Runs'!$G$526:$G$535,'Runs'!$D$526:$D$535,"BBP",'Runs'!$G$526:$G$535,"&lt;&gt;")/SUMIFS('Runs'!$F$526:$F$535,'Runs'!$D$526:$D$535,"BBP",'Runs'!$G$526:$G$535,"&lt;&gt;")-1</x:f>
        <x:v>0</x:v>
      </x:c>
    </x:row>
    <x:row r="15" ht="21" customHeight="1">
      <x:c r="A15" s="3" t="str">
        <x:v>EXP018</x:v>
      </x:c>
      <x:c r="B15" s="3" t="str">
        <x:v>Balanced</x:v>
      </x:c>
      <x:c r="C15" s="3" t="str">
        <x:v>BBP + physical compression</x:v>
      </x:c>
      <x:c r="D15" s="18" t="n">
        <x:v>5</x:v>
      </x:c>
      <x:c r="E15" s="18" t="n">
        <x:v>800</x:v>
      </x:c>
      <x:c r="F15" s="21" t="n">
        <x:f>AVERAGEIFS('Runs'!$F$526:$F$535,'Runs'!$A$526:$A$535,A15,'Runs'!$D$526:$D$535,C15)</x:f>
        <x:v>471.43058532649275</x:v>
      </x:c>
      <x:c r="G15" s="21" t="n">
        <x:v>311.72902857390534</x:v>
      </x:c>
      <x:c r="H15" s="23" t="n">
        <x:v>26.919999999999998</x:v>
      </x:c>
      <x:c r="I15" s="21" t="n">
        <x:v>12.000258</x:v>
      </x:c>
      <x:c r="J15" s="21" t="n">
        <x:v>12.101260933279992</x:v>
      </x:c>
      <x:c r="K15" s="25" t="n">
        <x:v>565.80625</x:v>
      </x:c>
      <x:c r="L15" s="27" t="str">
        <x:f>""</x:f>
      </x:c>
      <x:c r="M15" s="27" t="n">
        <x:f>SUMIFS('Runs'!$G$526:$G$535,'Runs'!$D$526:$D$535,"BBP + physical compression",'Runs'!$G$526:$G$535,"&lt;&gt;")/SUMIFS('Runs'!$F$526:$F$535,'Runs'!$D$526:$D$535,"BBP + physical compression",'Runs'!$G$526:$G$535,"&lt;&gt;")-1</x:f>
        <x:v>0.004641044022157814</x:v>
      </x:c>
    </x:row>
    <x:row r="16" ht="21" customHeight="1">
      <x:c r="A16" s="3" t="str">
        <x:v>EXP020</x:v>
      </x:c>
      <x:c r="B16" s="3" t="str">
        <x:v>Exp. 1</x:v>
      </x:c>
      <x:c r="C16" s="3" t="str">
        <x:v>BBP</x:v>
      </x:c>
      <x:c r="D16" s="18" t="n">
        <x:v>13</x:v>
      </x:c>
      <x:c r="E16" s="18" t="n">
        <x:v>200</x:v>
      </x:c>
      <x:c r="F16" s="21" t="n">
        <x:f>AVERAGEIFS('Runs'!$F$536:$F$639,'Runs'!$A$536:$A$639,A16,'Runs'!$D$536:$D$639,C16)</x:f>
        <x:v>323.5480100358723</x:v>
      </x:c>
      <x:c r="G16" s="21" t="n">
        <x:v>145.81431997397385</x:v>
      </x:c>
      <x:c r="H16" s="23" t="n">
        <x:v>23.33076923076923</x:v>
      </x:c>
      <x:c r="I16" s="21" t="n">
        <x:v>3.4410119230769314</x:v>
      </x:c>
      <x:c r="J16" s="21" t="n">
        <x:v>8.396584445431541</x:v>
      </x:c>
      <x:c r="K16" s="25"/>
      <x:c r="L16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16" s="27" t="n">
        <x:f>SUMIFS('Runs'!$G$536:$G$639,'Runs'!$D$536:$D$639,"BBP",'Runs'!$G$536:$G$639,"&lt;&gt;")/SUMIFS('Runs'!$F$536:$F$639,'Runs'!$D$536:$D$639,"BBP",'Runs'!$G$536:$G$639,"&lt;&gt;")-1</x:f>
        <x:v>0</x:v>
      </x:c>
    </x:row>
    <x:row r="17" ht="21" customHeight="1">
      <x:c r="A17" s="3" t="str">
        <x:v>EXP020</x:v>
      </x:c>
      <x:c r="B17" s="3" t="str">
        <x:v>Exp. 1</x:v>
      </x:c>
      <x:c r="C17" s="3" t="str">
        <x:v>Relative cutoff 1e-5</x:v>
      </x:c>
      <x:c r="D17" s="18" t="n">
        <x:v>13</x:v>
      </x:c>
      <x:c r="E17" s="18" t="n">
        <x:v>200</x:v>
      </x:c>
      <x:c r="F17" s="21" t="n">
        <x:f>AVERAGEIFS('Runs'!$F$536:$F$639,'Runs'!$A$536:$A$639,A17,'Runs'!$D$536:$D$639,C17)</x:f>
        <x:v>324.3839902222204</x:v>
      </x:c>
      <x:c r="G17" s="21" t="n">
        <x:v>146.650300160322</x:v>
      </x:c>
      <x:c r="H17" s="23" t="n">
        <x:v>30.853846153846153</x:v>
      </x:c>
      <x:c r="I17" s="21" t="n">
        <x:v>3.4097058461538556</x:v>
      </x:c>
      <x:c r="J17" s="21" t="n">
        <x:v>9.531788477602486</x:v>
      </x:c>
      <x:c r="K17" s="25"/>
      <x:c r="L17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17" s="27" t="n">
        <x:f>SUMIFS('Runs'!$G$536:$G$639,'Runs'!$D$536:$D$639,"Relative cutoff 1e-5",'Runs'!$G$536:$G$639,"&lt;&gt;")/SUMIFS('Runs'!$F$536:$F$639,'Runs'!$D$536:$D$639,"Relative cutoff 1e-5",'Runs'!$G$536:$G$639,"&lt;&gt;")-1</x:f>
        <x:v>-0.0025771314600804285</x:v>
      </x:c>
    </x:row>
    <x:row r="18" ht="21" customHeight="1">
      <x:c r="A18" s="3" t="str">
        <x:v>EXP020</x:v>
      </x:c>
      <x:c r="B18" s="3" t="str">
        <x:v>Exp. 1</x:v>
      </x:c>
      <x:c r="C18" s="3" t="str">
        <x:v>Fixed rank 10</x:v>
      </x:c>
      <x:c r="D18" s="18" t="n">
        <x:v>13</x:v>
      </x:c>
      <x:c r="E18" s="18" t="n">
        <x:v>200</x:v>
      </x:c>
      <x:c r="F18" s="21" t="n">
        <x:f>AVERAGEIFS('Runs'!$F$536:$F$639,'Runs'!$A$536:$A$639,A18,'Runs'!$D$536:$D$639,C18)</x:f>
        <x:v>323.4486905658842</x:v>
      </x:c>
      <x:c r="G18" s="21" t="n">
        <x:v>145.71500050398578</x:v>
      </x:c>
      <x:c r="H18" s="23" t="n">
        <x:v>10</x:v>
      </x:c>
      <x:c r="I18" s="21" t="n">
        <x:v>3.386862307692312</x:v>
      </x:c>
      <x:c r="J18" s="21" t="n">
        <x:v>10.03699033587383</x:v>
      </x:c>
      <x:c r="K18" s="25"/>
      <x:c r="L18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18" s="27" t="n">
        <x:f>SUMIFS('Runs'!$G$536:$G$639,'Runs'!$D$536:$D$639,"Fixed rank 10",'Runs'!$G$536:$G$639,"&lt;&gt;")/SUMIFS('Runs'!$F$536:$F$639,'Runs'!$D$536:$D$639,"Fixed rank 10",'Runs'!$G$536:$G$639,"&lt;&gt;")-1</x:f>
        <x:v>0.00030706406575431444</x:v>
      </x:c>
    </x:row>
    <x:row r="19" ht="21" customHeight="1">
      <x:c r="A19" s="3" t="str">
        <x:v>EXP020</x:v>
      </x:c>
      <x:c r="B19" s="3" t="str">
        <x:v>Exp. 1</x:v>
      </x:c>
      <x:c r="C19" s="3" t="str">
        <x:v>Fixed rank 25</x:v>
      </x:c>
      <x:c r="D19" s="18" t="n">
        <x:v>13</x:v>
      </x:c>
      <x:c r="E19" s="18" t="n">
        <x:v>200</x:v>
      </x:c>
      <x:c r="F19" s="21" t="n">
        <x:f>AVERAGEIFS('Runs'!$F$536:$F$639,'Runs'!$A$536:$A$639,A19,'Runs'!$D$536:$D$639,C19)</x:f>
        <x:v>324.3635288211654</x:v>
      </x:c>
      <x:c r="G19" s="21" t="n">
        <x:v>146.629838759267</x:v>
      </x:c>
      <x:c r="H19" s="23" t="n">
        <x:v>25</x:v>
      </x:c>
      <x:c r="I19" s="21" t="n">
        <x:v>3.415448846153848</x:v>
      </x:c>
      <x:c r="J19" s="21" t="n">
        <x:v>7.368107358763854</x:v>
      </x:c>
      <x:c r="K19" s="25"/>
      <x:c r="L19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19" s="27" t="n">
        <x:f>SUMIFS('Runs'!$G$536:$G$639,'Runs'!$D$536:$D$639,"Fixed rank 25",'Runs'!$G$536:$G$639,"&lt;&gt;")/SUMIFS('Runs'!$F$536:$F$639,'Runs'!$D$536:$D$639,"Fixed rank 25",'Runs'!$G$536:$G$639,"&lt;&gt;")-1</x:f>
        <x:v>-0.0025142123353293355</x:v>
      </x:c>
    </x:row>
    <x:row r="20" ht="21" customHeight="1">
      <x:c r="A20" s="3" t="str">
        <x:v>EXP020</x:v>
      </x:c>
      <x:c r="B20" s="3" t="str">
        <x:v>Exp. 1</x:v>
      </x:c>
      <x:c r="C20" s="3" t="str">
        <x:v>Relative cutoff 1e-6</x:v>
      </x:c>
      <x:c r="D20" s="18" t="n">
        <x:v>13</x:v>
      </x:c>
      <x:c r="E20" s="18" t="n">
        <x:v>200</x:v>
      </x:c>
      <x:c r="F20" s="21" t="n">
        <x:f>AVERAGEIFS('Runs'!$F$536:$F$639,'Runs'!$A$536:$A$639,A20,'Runs'!$D$536:$D$639,C20)</x:f>
        <x:v>325.528273386331</x:v>
      </x:c>
      <x:c r="G20" s="21" t="n">
        <x:v>147.79458332443258</x:v>
      </x:c>
      <x:c r="H20" s="23" t="n">
        <x:v>44.73846153846154</x:v>
      </x:c>
      <x:c r="I20" s="21" t="n">
        <x:v>3.396278692307701</x:v>
      </x:c>
      <x:c r="J20" s="21" t="n">
        <x:v>7.5209015741442835</x:v>
      </x:c>
      <x:c r="K20" s="25"/>
      <x:c r="L20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20" s="27" t="n">
        <x:f>SUMIFS('Runs'!$G$536:$G$639,'Runs'!$D$536:$D$639,"Relative cutoff 1e-6",'Runs'!$G$536:$G$639,"&lt;&gt;")/SUMIFS('Runs'!$F$536:$F$639,'Runs'!$D$536:$D$639,"Relative cutoff 1e-6",'Runs'!$G$536:$G$639,"&lt;&gt;")-1</x:f>
        <x:v>-0.006083229975261006</x:v>
      </x:c>
    </x:row>
    <x:row r="21" ht="21" customHeight="1">
      <x:c r="A21" s="3" t="str">
        <x:v>EXP020</x:v>
      </x:c>
      <x:c r="B21" s="3" t="str">
        <x:v>Exp. 1</x:v>
      </x:c>
      <x:c r="C21" s="3" t="str">
        <x:v>Full</x:v>
      </x:c>
      <x:c r="D21" s="18" t="n">
        <x:v>13</x:v>
      </x:c>
      <x:c r="E21" s="18" t="n">
        <x:v>200</x:v>
      </x:c>
      <x:c r="F21" s="21" t="n">
        <x:f>AVERAGEIFS('Runs'!$F$536:$F$639,'Runs'!$A$536:$A$639,A21,'Runs'!$D$536:$D$639,C21)</x:f>
        <x:v>325.4494305176325</x:v>
      </x:c>
      <x:c r="G21" s="21" t="n">
        <x:v>147.71574045573408</x:v>
      </x:c>
      <x:c r="H21" s="23" t="n">
        <x:v>100</x:v>
      </x:c>
      <x:c r="I21" s="21" t="n">
        <x:v>3.352258153846152</x:v>
      </x:c>
      <x:c r="J21" s="21" t="n">
        <x:v>12.99442614065125</x:v>
      </x:c>
      <x:c r="K21" s="25"/>
      <x:c r="L21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21" s="27" t="n">
        <x:f>SUMIFS('Runs'!$G$536:$G$639,'Runs'!$D$536:$D$639,"Full",'Runs'!$G$536:$G$639,"&lt;&gt;")/SUMIFS('Runs'!$F$536:$F$639,'Runs'!$D$536:$D$639,"Full",'Runs'!$G$536:$G$639,"&lt;&gt;")-1</x:f>
        <x:v>-0.005842445257120077</x:v>
      </x:c>
    </x:row>
    <x:row r="22" ht="21" customHeight="1">
      <x:c r="A22" s="3" t="str">
        <x:v>EXP020</x:v>
      </x:c>
      <x:c r="B22" s="3" t="str">
        <x:v>Exp. 1</x:v>
      </x:c>
      <x:c r="C22" s="3" t="str">
        <x:v>Relative cutoff 1e-2</x:v>
      </x:c>
      <x:c r="D22" s="18" t="n">
        <x:v>13</x:v>
      </x:c>
      <x:c r="E22" s="18" t="n">
        <x:v>200</x:v>
      </x:c>
      <x:c r="F22" s="21" t="n">
        <x:f>AVERAGEIFS('Runs'!$F$536:$F$639,'Runs'!$A$536:$A$639,A22,'Runs'!$D$536:$D$639,C22)</x:f>
        <x:v>330.78259573054254</x:v>
      </x:c>
      <x:c r="G22" s="21" t="n">
        <x:v>153.04890566864412</x:v>
      </x:c>
      <x:c r="H22" s="23" t="n">
        <x:v>3.469230769230769</x:v>
      </x:c>
      <x:c r="I22" s="21" t="n">
        <x:v>3.394821461538466</x:v>
      </x:c>
      <x:c r="J22" s="21" t="n">
        <x:v>10.25871752619815</x:v>
      </x:c>
      <x:c r="K22" s="25"/>
      <x:c r="L22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22" s="27" t="n">
        <x:f>SUMIFS('Runs'!$G$536:$G$639,'Runs'!$D$536:$D$639,"Relative cutoff 1e-2",'Runs'!$G$536:$G$639,"&lt;&gt;")/SUMIFS('Runs'!$F$536:$F$639,'Runs'!$D$536:$D$639,"Relative cutoff 1e-2",'Runs'!$G$536:$G$639,"&lt;&gt;")-1</x:f>
        <x:v>-0.021871119545127438</x:v>
      </x:c>
    </x:row>
    <x:row r="23" ht="21" customHeight="1">
      <x:c r="A23" s="3" t="str">
        <x:v>EXP020</x:v>
      </x:c>
      <x:c r="B23" s="3" t="str">
        <x:v>Exp. 1</x:v>
      </x:c>
      <x:c r="C23" s="3" t="str">
        <x:v>Relative cutoff 1e-4</x:v>
      </x:c>
      <x:c r="D23" s="18" t="n">
        <x:v>13</x:v>
      </x:c>
      <x:c r="E23" s="18" t="n">
        <x:v>200</x:v>
      </x:c>
      <x:c r="F23" s="21" t="n">
        <x:f>AVERAGEIFS('Runs'!$F$536:$F$639,'Runs'!$A$536:$A$639,A23,'Runs'!$D$536:$D$639,C23)</x:f>
        <x:v>323.9678385865533</x:v>
      </x:c>
      <x:c r="G23" s="21" t="n">
        <x:v>146.2341485246548</x:v>
      </x:c>
      <x:c r="H23" s="23" t="n">
        <x:v>13.646153846153847</x:v>
      </x:c>
      <x:c r="I23" s="21" t="n">
        <x:v>3.3936606923076877</x:v>
      </x:c>
      <x:c r="J23" s="21" t="n">
        <x:v>9.051929954600592</x:v>
      </x:c>
      <x:c r="K23" s="25"/>
      <x:c r="L23" s="27" t="n">
        <x:f>SUMIFS('Runs'!$G$536:$G$639,'Runs'!$D$536:$D$639,"Full",'Runs'!$G$536:$G$639,"&lt;&gt;")/SUMIFS('Runs'!$F$536:$F$639,'Runs'!$D$536:$D$639,"Full",'Runs'!$G$536:$G$639,"&lt;&gt;")-1</x:f>
        <x:v>-0.005842445257120077</x:v>
      </x:c>
      <x:c r="M23" s="27" t="n">
        <x:f>SUMIFS('Runs'!$G$536:$G$639,'Runs'!$D$536:$D$639,"Relative cutoff 1e-4",'Runs'!$G$536:$G$639,"&lt;&gt;")/SUMIFS('Runs'!$F$536:$F$639,'Runs'!$D$536:$D$639,"Relative cutoff 1e-4",'Runs'!$G$536:$G$639,"&lt;&gt;")-1</x:f>
        <x:v>-0.0012958957670387017</x:v>
      </x:c>
    </x:row>
    <x:row r="24" ht="21" customHeight="1">
      <x:c r="A24" s="3" t="str">
        <x:v>EXP026</x:v>
      </x:c>
      <x:c r="B24" s="3" t="str">
        <x:v>Exp. 1</x:v>
      </x:c>
      <x:c r="C24" s="3" t="str">
        <x:v>Fixed rank 10</x:v>
      </x:c>
      <x:c r="D24" s="18" t="n">
        <x:v>20</x:v>
      </x:c>
      <x:c r="E24" s="18" t="n">
        <x:v>200</x:v>
      </x:c>
      <x:c r="F24" s="21" t="n">
        <x:f>AVERAGEIFS('Runs'!$F$640:$F$739,'Runs'!$A$640:$A$739,A24,'Runs'!$D$640:$D$739,C24)</x:f>
        <x:v>331.88978983068836</x:v>
      </x:c>
      <x:c r="G24" s="21" t="n">
        <x:v>149.85105098977797</x:v>
      </x:c>
      <x:c r="H24" s="23" t="n">
        <x:v>10</x:v>
      </x:c>
      <x:c r="I24" s="21" t="n">
        <x:v>5.604217199999999</x:v>
      </x:c>
      <x:c r="J24" s="21" t="n">
        <x:v>6.714363079238683</x:v>
      </x:c>
      <x:c r="K24" s="25"/>
      <x:c r="L24" s="27" t="str">
        <x:f>""</x:f>
      </x:c>
      <x:c r="M24" s="27" t="str">
        <x:f>""</x:f>
      </x:c>
    </x:row>
    <x:row r="25" ht="21" customHeight="1">
      <x:c r="A25" s="3" t="str">
        <x:v>EXP026</x:v>
      </x:c>
      <x:c r="B25" s="3" t="str">
        <x:v>Exp. 1</x:v>
      </x:c>
      <x:c r="C25" s="3" t="str">
        <x:v>Fixed rank 3</x:v>
      </x:c>
      <x:c r="D25" s="18" t="n">
        <x:v>20</x:v>
      </x:c>
      <x:c r="E25" s="18" t="n">
        <x:v>200</x:v>
      </x:c>
      <x:c r="F25" s="21" t="n">
        <x:f>AVERAGEIFS('Runs'!$F$640:$F$739,'Runs'!$A$640:$A$739,A25,'Runs'!$D$640:$D$739,C25)</x:f>
        <x:v>333.28516011361205</x:v>
      </x:c>
      <x:c r="G25" s="21" t="n">
        <x:v>151.24642127270158</x:v>
      </x:c>
      <x:c r="H25" s="23" t="n">
        <x:v>3</x:v>
      </x:c>
      <x:c r="I25" s="21" t="n">
        <x:v>5.544425650000001</x:v>
      </x:c>
      <x:c r="J25" s="21" t="n">
        <x:v>6.6945560208288954</x:v>
      </x:c>
      <x:c r="K25" s="25"/>
      <x:c r="L25" s="27" t="str">
        <x:f>""</x:f>
      </x:c>
      <x:c r="M25" s="27" t="str">
        <x:f>""</x:f>
      </x:c>
    </x:row>
    <x:row r="26" ht="21" customHeight="1">
      <x:c r="A26" s="3" t="str">
        <x:v>EXP026</x:v>
      </x:c>
      <x:c r="B26" s="3" t="str">
        <x:v>Exp. 1</x:v>
      </x:c>
      <x:c r="C26" s="3" t="str">
        <x:v>Fixed rank 5</x:v>
      </x:c>
      <x:c r="D26" s="18" t="n">
        <x:v>20</x:v>
      </x:c>
      <x:c r="E26" s="18" t="n">
        <x:v>200</x:v>
      </x:c>
      <x:c r="F26" s="21" t="n">
        <x:f>AVERAGEIFS('Runs'!$F$640:$F$739,'Runs'!$A$640:$A$739,A26,'Runs'!$D$640:$D$739,C26)</x:f>
        <x:v>333.09635367125594</x:v>
      </x:c>
      <x:c r="G26" s="21" t="n">
        <x:v>151.05761483034541</x:v>
      </x:c>
      <x:c r="H26" s="23" t="n">
        <x:v>5</x:v>
      </x:c>
      <x:c r="I26" s="21" t="n">
        <x:v>4.8805568500000005</x:v>
      </x:c>
      <x:c r="J26" s="21" t="n">
        <x:v>5.994290704070591</x:v>
      </x:c>
      <x:c r="K26" s="25"/>
      <x:c r="L26" s="27" t="str">
        <x:f>""</x:f>
      </x:c>
      <x:c r="M26" s="27" t="str">
        <x:f>""</x:f>
      </x:c>
    </x:row>
    <x:row r="27" ht="21" customHeight="1">
      <x:c r="A27" s="3" t="str">
        <x:v>EXP026</x:v>
      </x:c>
      <x:c r="B27" s="3" t="str">
        <x:v>Exp. 1</x:v>
      </x:c>
      <x:c r="C27" s="3" t="str">
        <x:v>Full</x:v>
      </x:c>
      <x:c r="D27" s="18" t="n">
        <x:v>20</x:v>
      </x:c>
      <x:c r="E27" s="18" t="n">
        <x:v>200</x:v>
      </x:c>
      <x:c r="F27" s="21" t="n">
        <x:f>AVERAGEIFS('Runs'!$F$640:$F$739,'Runs'!$A$640:$A$739,A27,'Runs'!$D$640:$D$739,C27)</x:f>
        <x:v>328.11502526377035</x:v>
      </x:c>
      <x:c r="G27" s="21" t="n">
        <x:v>146.07628642285994</x:v>
      </x:c>
      <x:c r="H27" s="23" t="n">
        <x:v>100</x:v>
      </x:c>
      <x:c r="I27" s="21" t="n">
        <x:v>1.2014401500000003</x:v>
      </x:c>
      <x:c r="J27" s="21" t="n">
        <x:v>1.2255690750083885</x:v>
      </x:c>
      <x:c r="K27" s="25"/>
      <x:c r="L27" s="27" t="str">
        <x:f>""</x:f>
      </x:c>
      <x:c r="M27" s="27" t="str">
        <x:f>""</x:f>
      </x:c>
    </x:row>
    <x:row r="28" ht="21" customHeight="1">
      <x:c r="A28" s="3" t="str">
        <x:v>EXP026</x:v>
      </x:c>
      <x:c r="B28" s="3" t="str">
        <x:v>Exp. 1</x:v>
      </x:c>
      <x:c r="C28" s="3" t="str">
        <x:v>Relative cutoff 1e-2</x:v>
      </x:c>
      <x:c r="D28" s="18" t="n">
        <x:v>20</x:v>
      </x:c>
      <x:c r="E28" s="18" t="n">
        <x:v>200</x:v>
      </x:c>
      <x:c r="F28" s="21" t="n">
        <x:f>AVERAGEIFS('Runs'!$F$640:$F$739,'Runs'!$A$640:$A$739,A28,'Runs'!$D$640:$D$739,C28)</x:f>
        <x:v>335.3026504875254</x:v>
      </x:c>
      <x:c r="G28" s="21" t="n">
        <x:v>153.263911646615</x:v>
      </x:c>
      <x:c r="H28" s="23" t="n">
        <x:v>3.2999999999999994</x:v>
      </x:c>
      <x:c r="I28" s="21" t="n">
        <x:v>1.2145102000000003</x:v>
      </x:c>
      <x:c r="J28" s="21" t="n">
        <x:v>1.2397760853928048</x:v>
      </x:c>
      <x:c r="K28" s="25"/>
      <x:c r="L28" s="27" t="str">
        <x:f>""</x:f>
      </x:c>
      <x:c r="M28" s="27" t="str">
        <x:f>""</x:f>
      </x:c>
    </x:row>
    <x:row r="29" ht="21" customHeight="1">
      <x:c r="A29" s="3" t="str">
        <x:v>EXP029</x:v>
      </x:c>
      <x:c r="B29" s="3" t="str">
        <x:v>Exp. 2</x:v>
      </x:c>
      <x:c r="C29" s="3" t="str">
        <x:v>BBP</x:v>
      </x:c>
      <x:c r="D29" s="18" t="n">
        <x:v>14</x:v>
      </x:c>
      <x:c r="E29" s="18" t="n">
        <x:v>200</x:v>
      </x:c>
      <x:c r="F29" s="21" t="n">
        <x:f>AVERAGEIFS('Runs'!$F$740:$F$921,'Runs'!$A$740:$A$921,A29,'Runs'!$D$740:$D$921,C29)</x:f>
        <x:v>62.44276229565658</x:v>
      </x:c>
      <x:c r="G29" s="21" t="n">
        <x:v>25.513164260767496</x:v>
      </x:c>
      <x:c r="H29" s="23" t="n">
        <x:v>34.43571428571429</x:v>
      </x:c>
      <x:c r="I29" s="21" t="n">
        <x:v>3.687176857142848</x:v>
      </x:c>
      <x:c r="J29" s="21" t="n">
        <x:v>10.70293171060205</x:v>
      </x:c>
      <x:c r="K29" s="25"/>
      <x:c r="L29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29" s="27" t="n">
        <x:f>SUMIFS('Runs'!$G$740:$G$921,'Runs'!$D$740:$D$921,"BBP",'Runs'!$G$740:$G$921,"&lt;&gt;")/SUMIFS('Runs'!$F$740:$F$921,'Runs'!$D$740:$D$921,"BBP",'Runs'!$G$740:$G$921,"&lt;&gt;")-1</x:f>
        <x:v>0</x:v>
      </x:c>
    </x:row>
    <x:row r="30" ht="21" customHeight="1">
      <x:c r="A30" s="3" t="str">
        <x:v>EXP029</x:v>
      </x:c>
      <x:c r="B30" s="3" t="str">
        <x:v>Exp. 2</x:v>
      </x:c>
      <x:c r="C30" s="3" t="str">
        <x:v>Relative cutoff 1e-5</x:v>
      </x:c>
      <x:c r="D30" s="18" t="n">
        <x:v>14</x:v>
      </x:c>
      <x:c r="E30" s="18" t="n">
        <x:v>200</x:v>
      </x:c>
      <x:c r="F30" s="21" t="n">
        <x:f>AVERAGEIFS('Runs'!$F$740:$F$921,'Runs'!$A$740:$A$921,A30,'Runs'!$D$740:$D$921,C30)</x:f>
        <x:v>62.541058520402395</x:v>
      </x:c>
      <x:c r="G30" s="21" t="n">
        <x:v>25.611460485513312</x:v>
      </x:c>
      <x:c r="H30" s="23" t="n">
        <x:v>23.321428571428573</x:v>
      </x:c>
      <x:c r="I30" s="21" t="n">
        <x:v>3.6470974285714304</x:v>
      </x:c>
      <x:c r="J30" s="21" t="n">
        <x:v>11.764140712962087</x:v>
      </x:c>
      <x:c r="K30" s="25"/>
      <x:c r="L30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0" s="27" t="n">
        <x:f>SUMIFS('Runs'!$G$740:$G$921,'Runs'!$D$740:$D$921,"Relative cutoff 1e-5",'Runs'!$G$740:$G$921,"&lt;&gt;")/SUMIFS('Runs'!$F$740:$F$921,'Runs'!$D$740:$D$921,"Relative cutoff 1e-5",'Runs'!$G$740:$G$921,"&lt;&gt;")-1</x:f>
        <x:v>-0.0015717070844547543</x:v>
      </x:c>
    </x:row>
    <x:row r="31" ht="21" customHeight="1">
      <x:c r="A31" s="3" t="str">
        <x:v>EXP029</x:v>
      </x:c>
      <x:c r="B31" s="3" t="str">
        <x:v>Exp. 2</x:v>
      </x:c>
      <x:c r="C31" s="3" t="str">
        <x:v>NN-AGP (m=7)</x:v>
      </x:c>
      <x:c r="D31" s="18" t="n">
        <x:v>14</x:v>
      </x:c>
      <x:c r="E31" s="18" t="n">
        <x:v>200</x:v>
      </x:c>
      <x:c r="F31" s="21" t="n">
        <x:f>AVERAGEIFS('Runs'!$F$740:$F$921,'Runs'!$A$740:$A$921,A31,'Runs'!$D$740:$D$921,C31)</x:f>
        <x:v>76.20361109218663</x:v>
      </x:c>
      <x:c r="G31" s="21" t="n">
        <x:v>36.078238243982575</x:v>
      </x:c>
      <x:c r="H31" s="23" t="n">
        <x:v>7</x:v>
      </x:c>
      <x:c r="I31" s="21" t="n">
        <x:v>32.844305142857145</x:v>
      </x:c>
      <x:c r="J31" s="21" t="n">
        <x:v>52.24474807527648</x:v>
      </x:c>
      <x:c r="K31" s="25"/>
      <x:c r="L31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1" s="27" t="n">
        <x:f>SUMIFS('Runs'!$G$740:$G$921,'Runs'!$D$740:$D$921,"NN-AGP (m=7)",'Runs'!$G$740:$G$921,"&lt;&gt;")/SUMIFS('Runs'!$F$740:$F$921,'Runs'!$D$740:$D$921,"NN-AGP (m=7)",'Runs'!$G$740:$G$921,"&lt;&gt;")-1</x:f>
        <x:v>-0.18058000925813067</x:v>
      </x:c>
    </x:row>
    <x:row r="32" ht="21" customHeight="1">
      <x:c r="A32" s="3" t="str">
        <x:v>EXP029</x:v>
      </x:c>
      <x:c r="B32" s="3" t="str">
        <x:v>Exp. 2</x:v>
      </x:c>
      <x:c r="C32" s="3" t="str">
        <x:v>Fixed rank 10</x:v>
      </x:c>
      <x:c r="D32" s="18" t="n">
        <x:v>14</x:v>
      </x:c>
      <x:c r="E32" s="18" t="n">
        <x:v>200</x:v>
      </x:c>
      <x:c r="F32" s="21" t="n">
        <x:f>AVERAGEIFS('Runs'!$F$740:$F$921,'Runs'!$A$740:$A$921,A32,'Runs'!$D$740:$D$921,C32)</x:f>
        <x:v>64.07717122611449</x:v>
      </x:c>
      <x:c r="G32" s="21" t="n">
        <x:v>27.1475731912254</x:v>
      </x:c>
      <x:c r="H32" s="23" t="n">
        <x:v>10</x:v>
      </x:c>
      <x:c r="I32" s="21" t="n">
        <x:v>3.6487152142857155</x:v>
      </x:c>
      <x:c r="J32" s="21" t="n">
        <x:v>10.517965781652103</x:v>
      </x:c>
      <x:c r="K32" s="25"/>
      <x:c r="L32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2" s="27" t="n">
        <x:f>SUMIFS('Runs'!$G$740:$G$921,'Runs'!$D$740:$D$921,"Fixed rank 10",'Runs'!$G$740:$G$921,"&lt;&gt;")/SUMIFS('Runs'!$F$740:$F$921,'Runs'!$D$740:$D$921,"Fixed rank 10",'Runs'!$G$740:$G$921,"&lt;&gt;")-1</x:f>
        <x:v>-0.025506883328079932</x:v>
      </x:c>
    </x:row>
    <x:row r="33" ht="21" customHeight="1">
      <x:c r="A33" s="3" t="str">
        <x:v>EXP029</x:v>
      </x:c>
      <x:c r="B33" s="3" t="str">
        <x:v>Exp. 2</x:v>
      </x:c>
      <x:c r="C33" s="3" t="str">
        <x:v>Fixed rank 25</x:v>
      </x:c>
      <x:c r="D33" s="18" t="n">
        <x:v>14</x:v>
      </x:c>
      <x:c r="E33" s="18" t="n">
        <x:v>200</x:v>
      </x:c>
      <x:c r="F33" s="21" t="n">
        <x:f>AVERAGEIFS('Runs'!$F$740:$F$921,'Runs'!$A$740:$A$921,A33,'Runs'!$D$740:$D$921,C33)</x:f>
        <x:v>62.541058520402395</x:v>
      </x:c>
      <x:c r="G33" s="21" t="n">
        <x:v>25.611460485513312</x:v>
      </x:c>
      <x:c r="H33" s="23" t="n">
        <x:v>25</x:v>
      </x:c>
      <x:c r="I33" s="21" t="n">
        <x:v>3.623976000000012</x:v>
      </x:c>
      <x:c r="J33" s="21" t="n">
        <x:v>10.19105433374976</x:v>
      </x:c>
      <x:c r="K33" s="25"/>
      <x:c r="L33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3" s="27" t="n">
        <x:f>SUMIFS('Runs'!$G$740:$G$921,'Runs'!$D$740:$D$921,"Fixed rank 25",'Runs'!$G$740:$G$921,"&lt;&gt;")/SUMIFS('Runs'!$F$740:$F$921,'Runs'!$D$740:$D$921,"Fixed rank 25",'Runs'!$G$740:$G$921,"&lt;&gt;")-1</x:f>
        <x:v>-0.0015717070844547543</x:v>
      </x:c>
    </x:row>
    <x:row r="34" ht="21" customHeight="1">
      <x:c r="A34" s="3" t="str">
        <x:v>EXP029</x:v>
      </x:c>
      <x:c r="B34" s="3" t="str">
        <x:v>Exp. 2</x:v>
      </x:c>
      <x:c r="C34" s="3" t="str">
        <x:v>Relative cutoff 1e-6</x:v>
      </x:c>
      <x:c r="D34" s="18" t="n">
        <x:v>14</x:v>
      </x:c>
      <x:c r="E34" s="18" t="n">
        <x:v>200</x:v>
      </x:c>
      <x:c r="F34" s="21" t="n">
        <x:f>AVERAGEIFS('Runs'!$F$740:$F$921,'Runs'!$A$740:$A$921,A34,'Runs'!$D$740:$D$921,C34)</x:f>
        <x:v>62.279786033066664</x:v>
      </x:c>
      <x:c r="G34" s="21" t="n">
        <x:v>25.350187998177578</x:v>
      </x:c>
      <x:c r="H34" s="23" t="n">
        <x:v>31.407142857142855</x:v>
      </x:c>
      <x:c r="I34" s="21" t="n">
        <x:v>3.6401812142857213</x:v>
      </x:c>
      <x:c r="J34" s="21" t="n">
        <x:v>12.226889199011826</x:v>
      </x:c>
      <x:c r="K34" s="25"/>
      <x:c r="L34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4" s="27" t="n">
        <x:f>SUMIFS('Runs'!$G$740:$G$921,'Runs'!$D$740:$D$921,"Relative cutoff 1e-6",'Runs'!$G$740:$G$921,"&lt;&gt;")/SUMIFS('Runs'!$F$740:$F$921,'Runs'!$D$740:$D$921,"Relative cutoff 1e-6",'Runs'!$G$740:$G$921,"&lt;&gt;")-1</x:f>
        <x:v>0.0026168404384592225</x:v>
      </x:c>
    </x:row>
    <x:row r="35" ht="21" customHeight="1">
      <x:c r="A35" s="3" t="str">
        <x:v>EXP029</x:v>
      </x:c>
      <x:c r="B35" s="3" t="str">
        <x:v>Exp. 2</x:v>
      </x:c>
      <x:c r="C35" s="3" t="str">
        <x:v>Full</x:v>
      </x:c>
      <x:c r="D35" s="18" t="n">
        <x:v>14</x:v>
      </x:c>
      <x:c r="E35" s="18" t="n">
        <x:v>200</x:v>
      </x:c>
      <x:c r="F35" s="21" t="n">
        <x:f>AVERAGEIFS('Runs'!$F$740:$F$921,'Runs'!$A$740:$A$921,A35,'Runs'!$D$740:$D$921,C35)</x:f>
        <x:v>62.35893297710253</x:v>
      </x:c>
      <x:c r="G35" s="21" t="n">
        <x:v>25.429334942213448</x:v>
      </x:c>
      <x:c r="H35" s="23" t="n">
        <x:v>100</x:v>
      </x:c>
      <x:c r="I35" s="21" t="n">
        <x:v>3.6019914285714214</x:v>
      </x:c>
      <x:c r="J35" s="21" t="n">
        <x:v>8.928597830651727</x:v>
      </x:c>
      <x:c r="K35" s="25"/>
      <x:c r="L35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5" s="27" t="n">
        <x:f>SUMIFS('Runs'!$G$740:$G$921,'Runs'!$D$740:$D$921,"Full",'Runs'!$G$740:$G$921,"&lt;&gt;")/SUMIFS('Runs'!$F$740:$F$921,'Runs'!$D$740:$D$921,"Full",'Runs'!$G$740:$G$921,"&lt;&gt;")-1</x:f>
        <x:v>0.0013443032866651272</x:v>
      </x:c>
    </x:row>
    <x:row r="36" ht="21" customHeight="1">
      <x:c r="A36" s="3" t="str">
        <x:v>EXP029</x:v>
      </x:c>
      <x:c r="B36" s="3" t="str">
        <x:v>Exp. 2</x:v>
      </x:c>
      <x:c r="C36" s="3" t="str">
        <x:v>GP-UCB (weighted sum)</x:v>
      </x:c>
      <x:c r="D36" s="18" t="n">
        <x:v>14</x:v>
      </x:c>
      <x:c r="E36" s="18" t="n">
        <x:v>200</x:v>
      </x:c>
      <x:c r="F36" s="21" t="n">
        <x:f>AVERAGEIFS('Runs'!$F$740:$F$921,'Runs'!$A$740:$A$921,A36,'Runs'!$D$740:$D$921,C36)</x:f>
        <x:v>89.1938833835817</x:v>
      </x:c>
      <x:c r="G36" s="21" t="n">
        <x:v>45.88806447283453</x:v>
      </x:c>
      <x:c r="H36" s="23"/>
      <x:c r="I36" s="21" t="n">
        <x:v>0.628747928571414</x:v>
      </x:c>
      <x:c r="J36" s="21" t="n">
        <x:v>1.0234039330223044</x:v>
      </x:c>
      <x:c r="K36" s="25"/>
      <x:c r="L36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6" s="27" t="n">
        <x:f>SUMIFS('Runs'!$G$740:$G$921,'Runs'!$D$740:$D$921,"GP-UCB (weighted sum)",'Runs'!$G$740:$G$921,"&lt;&gt;")/SUMIFS('Runs'!$F$740:$F$921,'Runs'!$D$740:$D$921,"GP-UCB (weighted sum)",'Runs'!$G$740:$G$921,"&lt;&gt;")-1</x:f>
        <x:v>-0.2999210267914999</x:v>
      </x:c>
    </x:row>
    <x:row r="37" ht="21" customHeight="1">
      <x:c r="A37" s="3" t="str">
        <x:v>EXP029</x:v>
      </x:c>
      <x:c r="B37" s="3" t="str">
        <x:v>Exp. 2</x:v>
      </x:c>
      <x:c r="C37" s="3" t="str">
        <x:v>GP-UCB (product)</x:v>
      </x:c>
      <x:c r="D37" s="18" t="n">
        <x:v>14</x:v>
      </x:c>
      <x:c r="E37" s="18" t="n">
        <x:v>200</x:v>
      </x:c>
      <x:c r="F37" s="21" t="n">
        <x:f>AVERAGEIFS('Runs'!$F$740:$F$921,'Runs'!$A$740:$A$921,A37,'Runs'!$D$740:$D$921,C37)</x:f>
        <x:v>83.68646499936827</x:v>
      </x:c>
      <x:c r="G37" s="21" t="n">
        <x:v>41.89896538097025</x:v>
      </x:c>
      <x:c r="H37" s="23"/>
      <x:c r="I37" s="21" t="n">
        <x:v>0.6553731428571258</x:v>
      </x:c>
      <x:c r="J37" s="21" t="n">
        <x:v>1.1370209997985512</x:v>
      </x:c>
      <x:c r="K37" s="25"/>
      <x:c r="L37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7" s="27" t="n">
        <x:f>SUMIFS('Runs'!$G$740:$G$921,'Runs'!$D$740:$D$921,"GP-UCB (product)",'Runs'!$G$740:$G$921,"&lt;&gt;")/SUMIFS('Runs'!$F$740:$F$921,'Runs'!$D$740:$D$921,"GP-UCB (product)",'Runs'!$G$740:$G$921,"&lt;&gt;")-1</x:f>
        <x:v>-0.25384872815301796</x:v>
      </x:c>
    </x:row>
    <x:row r="38" ht="21" customHeight="1">
      <x:c r="A38" s="3" t="str">
        <x:v>EXP029</x:v>
      </x:c>
      <x:c r="B38" s="3" t="str">
        <x:v>Exp. 2</x:v>
      </x:c>
      <x:c r="C38" s="3" t="str">
        <x:v>NeuralUCB</x:v>
      </x:c>
      <x:c r="D38" s="18" t="n">
        <x:v>14</x:v>
      </x:c>
      <x:c r="E38" s="18" t="n">
        <x:v>200</x:v>
      </x:c>
      <x:c r="F38" s="21" t="n">
        <x:f>AVERAGEIFS('Runs'!$F$740:$F$921,'Runs'!$A$740:$A$921,A38,'Runs'!$D$740:$D$921,C38)</x:f>
        <x:v>95.50094321212715</x:v>
      </x:c>
      <x:c r="G38" s="21" t="n">
        <x:v>49.146092880916804</x:v>
      </x:c>
      <x:c r="H38" s="23"/>
      <x:c r="I38" s="21" t="n">
        <x:v>11.569200714285737</x:v>
      </x:c>
      <x:c r="J38" s="21" t="n">
        <x:v>19.435637412892124</x:v>
      </x:c>
      <x:c r="K38" s="25"/>
      <x:c r="L38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8" s="27" t="n">
        <x:f>SUMIFS('Runs'!$G$740:$G$921,'Runs'!$D$740:$D$921,"NeuralUCB",'Runs'!$G$740:$G$921,"&lt;&gt;")/SUMIFS('Runs'!$F$740:$F$921,'Runs'!$D$740:$D$921,"NeuralUCB",'Runs'!$G$740:$G$921,"&lt;&gt;")-1</x:f>
        <x:v>-0.3461555436477898</x:v>
      </x:c>
    </x:row>
    <x:row r="39" ht="21" customHeight="1">
      <x:c r="A39" s="3" t="str">
        <x:v>EXP029</x:v>
      </x:c>
      <x:c r="B39" s="3" t="str">
        <x:v>Exp. 2</x:v>
      </x:c>
      <x:c r="C39" s="3" t="str">
        <x:v>NN-UCB</x:v>
      </x:c>
      <x:c r="D39" s="18" t="n">
        <x:v>14</x:v>
      </x:c>
      <x:c r="E39" s="18" t="n">
        <x:v>200</x:v>
      </x:c>
      <x:c r="F39" s="21" t="n">
        <x:f>AVERAGEIFS('Runs'!$F$740:$F$921,'Runs'!$A$740:$A$921,A39,'Runs'!$D$740:$D$921,C39)</x:f>
        <x:v>94.17868651211322</x:v>
      </x:c>
      <x:c r="G39" s="21" t="n">
        <x:v>48.16073077694023</x:v>
      </x:c>
      <x:c r="H39" s="23"/>
      <x:c r="I39" s="21" t="n">
        <x:v>6.726467714285706</x:v>
      </x:c>
      <x:c r="J39" s="21" t="n">
        <x:v>11.37110291850487</x:v>
      </x:c>
      <x:c r="K39" s="25"/>
      <x:c r="L39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39" s="27" t="n">
        <x:f>SUMIFS('Runs'!$G$740:$G$921,'Runs'!$D$740:$D$921,"NN-UCB",'Runs'!$G$740:$G$921,"&lt;&gt;")/SUMIFS('Runs'!$F$740:$F$921,'Runs'!$D$740:$D$921,"NN-UCB",'Runs'!$G$740:$G$921,"&lt;&gt;")-1</x:f>
        <x:v>-0.33697565119869</x:v>
      </x:c>
    </x:row>
    <x:row r="40" ht="21" customHeight="1">
      <x:c r="A40" s="3" t="str">
        <x:v>EXP029</x:v>
      </x:c>
      <x:c r="B40" s="3" t="str">
        <x:v>Exp. 2</x:v>
      </x:c>
      <x:c r="C40" s="3" t="str">
        <x:v>Relative cutoff 1e-2</x:v>
      </x:c>
      <x:c r="D40" s="18" t="n">
        <x:v>14</x:v>
      </x:c>
      <x:c r="E40" s="18" t="n">
        <x:v>200</x:v>
      </x:c>
      <x:c r="F40" s="21" t="n">
        <x:f>AVERAGEIFS('Runs'!$F$740:$F$921,'Runs'!$A$740:$A$921,A40,'Runs'!$D$740:$D$921,C40)</x:f>
        <x:v>62.88733706810724</x:v>
      </x:c>
      <x:c r="G40" s="21" t="n">
        <x:v>25.957739033218157</x:v>
      </x:c>
      <x:c r="H40" s="23" t="n">
        <x:v>3.3</x:v>
      </x:c>
      <x:c r="I40" s="21" t="n">
        <x:v>3.625701000000003</x:v>
      </x:c>
      <x:c r="J40" s="21" t="n">
        <x:v>8.536133826793437</x:v>
      </x:c>
      <x:c r="K40" s="25"/>
      <x:c r="L40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40" s="27" t="n">
        <x:f>SUMIFS('Runs'!$G$740:$G$921,'Runs'!$D$740:$D$921,"Relative cutoff 1e-2",'Runs'!$G$740:$G$921,"&lt;&gt;")/SUMIFS('Runs'!$F$740:$F$921,'Runs'!$D$740:$D$921,"Relative cutoff 1e-2",'Runs'!$G$740:$G$921,"&lt;&gt;")-1</x:f>
        <x:v>-0.0070693846039178165</x:v>
      </x:c>
    </x:row>
    <x:row r="41" ht="21" customHeight="1">
      <x:c r="A41" s="3" t="str">
        <x:v>EXP029</x:v>
      </x:c>
      <x:c r="B41" s="3" t="str">
        <x:v>Exp. 2</x:v>
      </x:c>
      <x:c r="C41" s="3" t="str">
        <x:v>Relative cutoff 1e-4</x:v>
      </x:c>
      <x:c r="D41" s="18" t="n">
        <x:v>14</x:v>
      </x:c>
      <x:c r="E41" s="18" t="n">
        <x:v>200</x:v>
      </x:c>
      <x:c r="F41" s="21" t="n">
        <x:f>AVERAGEIFS('Runs'!$F$740:$F$921,'Runs'!$A$740:$A$921,A41,'Runs'!$D$740:$D$921,C41)</x:f>
        <x:v>62.56522413610504</x:v>
      </x:c>
      <x:c r="G41" s="21" t="n">
        <x:v>25.635626101215962</x:v>
      </x:c>
      <x:c r="H41" s="23" t="n">
        <x:v>12.614285714285714</x:v>
      </x:c>
      <x:c r="I41" s="21" t="n">
        <x:v>3.664074571428563</x:v>
      </x:c>
      <x:c r="J41" s="21" t="n">
        <x:v>10.229632107491073</x:v>
      </x:c>
      <x:c r="K41" s="25"/>
      <x:c r="L41" s="27" t="n">
        <x:f>SUMIFS('Runs'!$G$740:$G$921,'Runs'!$D$740:$D$921,"Full",'Runs'!$G$740:$G$921,"&lt;&gt;")/SUMIFS('Runs'!$F$740:$F$921,'Runs'!$D$740:$D$921,"Full",'Runs'!$G$740:$G$921,"&lt;&gt;")-1</x:f>
        <x:v>0.0013443032866651272</x:v>
      </x:c>
      <x:c r="M41" s="27" t="n">
        <x:f>SUMIFS('Runs'!$G$740:$G$921,'Runs'!$D$740:$D$921,"Relative cutoff 1e-4",'Runs'!$G$740:$G$921,"&lt;&gt;")/SUMIFS('Runs'!$F$740:$F$921,'Runs'!$D$740:$D$921,"Relative cutoff 1e-4",'Runs'!$G$740:$G$921,"&lt;&gt;")-1</x:f>
        <x:v>-0.0019573467871233374</x:v>
      </x:c>
    </x:row>
    <x:row r="42" ht="21" customHeight="1">
      <x:c r="A42" s="3" t="str">
        <x:v>EXP032</x:v>
      </x:c>
      <x:c r="B42" s="3" t="str">
        <x:v>Exp. 2</x:v>
      </x:c>
      <x:c r="C42" s="3" t="str">
        <x:v>Fixed rank 10</x:v>
      </x:c>
      <x:c r="D42" s="18" t="n">
        <x:v>20</x:v>
      </x:c>
      <x:c r="E42" s="18" t="n">
        <x:v>200</x:v>
      </x:c>
      <x:c r="F42" s="21" t="n">
        <x:f>AVERAGEIFS('Runs'!$F$922:$F$1021,'Runs'!$A$922:$A$1021,A42,'Runs'!$D$922:$D$1021,C42)</x:f>
        <x:v>62.473102028794344</x:v>
      </x:c>
      <x:c r="G42" s="21" t="n">
        <x:v>25.14502794852816</x:v>
      </x:c>
      <x:c r="H42" s="23" t="n">
        <x:v>10</x:v>
      </x:c>
      <x:c r="I42" s="21" t="n">
        <x:v>5.202402200000001</x:v>
      </x:c>
      <x:c r="J42" s="21" t="n">
        <x:v>6.161491231236141</x:v>
      </x:c>
      <x:c r="K42" s="25"/>
      <x:c r="L42" s="27" t="str">
        <x:f>""</x:f>
      </x:c>
      <x:c r="M42" s="27" t="str">
        <x:f>""</x:f>
      </x:c>
    </x:row>
    <x:row r="43" ht="21" customHeight="1">
      <x:c r="A43" s="3" t="str">
        <x:v>EXP032</x:v>
      </x:c>
      <x:c r="B43" s="3" t="str">
        <x:v>Exp. 2</x:v>
      </x:c>
      <x:c r="C43" s="3" t="str">
        <x:v>Fixed rank 3</x:v>
      </x:c>
      <x:c r="D43" s="18" t="n">
        <x:v>20</x:v>
      </x:c>
      <x:c r="E43" s="18" t="n">
        <x:v>200</x:v>
      </x:c>
      <x:c r="F43" s="21" t="n">
        <x:f>AVERAGEIFS('Runs'!$F$922:$F$1021,'Runs'!$A$922:$A$1021,A43,'Runs'!$D$922:$D$1021,C43)</x:f>
        <x:v>63.217970364651265</x:v>
      </x:c>
      <x:c r="G43" s="21" t="n">
        <x:v>25.889896284385067</x:v>
      </x:c>
      <x:c r="H43" s="23" t="n">
        <x:v>3</x:v>
      </x:c>
      <x:c r="I43" s="21" t="n">
        <x:v>5.3638447</x:v>
      </x:c>
      <x:c r="J43" s="21" t="n">
        <x:v>6.28931640839437</x:v>
      </x:c>
      <x:c r="K43" s="25"/>
      <x:c r="L43" s="27" t="str">
        <x:f>""</x:f>
      </x:c>
      <x:c r="M43" s="27" t="str">
        <x:f>""</x:f>
      </x:c>
    </x:row>
    <x:row r="44" ht="21" customHeight="1">
      <x:c r="A44" s="3" t="str">
        <x:v>EXP032</x:v>
      </x:c>
      <x:c r="B44" s="3" t="str">
        <x:v>Exp. 2</x:v>
      </x:c>
      <x:c r="C44" s="3" t="str">
        <x:v>Fixed rank 5</x:v>
      </x:c>
      <x:c r="D44" s="18" t="n">
        <x:v>20</x:v>
      </x:c>
      <x:c r="E44" s="18" t="n">
        <x:v>200</x:v>
      </x:c>
      <x:c r="F44" s="21" t="n">
        <x:f>AVERAGEIFS('Runs'!$F$922:$F$1021,'Runs'!$A$922:$A$1021,A44,'Runs'!$D$922:$D$1021,C44)</x:f>
        <x:v>62.059160969020674</x:v>
      </x:c>
      <x:c r="G44" s="21" t="n">
        <x:v>24.731086888754472</x:v>
      </x:c>
      <x:c r="H44" s="23" t="n">
        <x:v>5</x:v>
      </x:c>
      <x:c r="I44" s="21" t="n">
        <x:v>5.011366450000001</x:v>
      </x:c>
      <x:c r="J44" s="21" t="n">
        <x:v>12.11499453340657</x:v>
      </x:c>
      <x:c r="K44" s="25"/>
      <x:c r="L44" s="27" t="str">
        <x:f>""</x:f>
      </x:c>
      <x:c r="M44" s="27" t="str">
        <x:f>""</x:f>
      </x:c>
    </x:row>
    <x:row r="45" ht="21" customHeight="1">
      <x:c r="A45" s="3" t="str">
        <x:v>EXP032</x:v>
      </x:c>
      <x:c r="B45" s="3" t="str">
        <x:v>Exp. 2</x:v>
      </x:c>
      <x:c r="C45" s="3" t="str">
        <x:v>Full</x:v>
      </x:c>
      <x:c r="D45" s="18" t="n">
        <x:v>20</x:v>
      </x:c>
      <x:c r="E45" s="18" t="n">
        <x:v>200</x:v>
      </x:c>
      <x:c r="F45" s="21" t="n">
        <x:f>AVERAGEIFS('Runs'!$F$922:$F$1021,'Runs'!$A$922:$A$1021,A45,'Runs'!$D$922:$D$1021,C45)</x:f>
        <x:v>62.549288840983856</x:v>
      </x:c>
      <x:c r="G45" s="21" t="n">
        <x:v>25.221214760717643</x:v>
      </x:c>
      <x:c r="H45" s="23" t="n">
        <x:v>100</x:v>
      </x:c>
      <x:c r="I45" s="21" t="n">
        <x:v>1.20523065</x:v>
      </x:c>
      <x:c r="J45" s="21" t="n">
        <x:v>1.228289560583653</x:v>
      </x:c>
      <x:c r="K45" s="25"/>
      <x:c r="L45" s="27" t="str">
        <x:f>""</x:f>
      </x:c>
      <x:c r="M45" s="27" t="str">
        <x:f>""</x:f>
      </x:c>
    </x:row>
    <x:row r="46" ht="21" customHeight="1">
      <x:c r="A46" s="3" t="str">
        <x:v>EXP032</x:v>
      </x:c>
      <x:c r="B46" s="3" t="str">
        <x:v>Exp. 2</x:v>
      </x:c>
      <x:c r="C46" s="3" t="str">
        <x:v>Relative cutoff 1e-2</x:v>
      </x:c>
      <x:c r="D46" s="18" t="n">
        <x:v>20</x:v>
      </x:c>
      <x:c r="E46" s="18" t="n">
        <x:v>200</x:v>
      </x:c>
      <x:c r="F46" s="21" t="n">
        <x:f>AVERAGEIFS('Runs'!$F$922:$F$1021,'Runs'!$A$922:$A$1021,A46,'Runs'!$D$922:$D$1021,C46)</x:f>
        <x:v>62.150815268652366</x:v>
      </x:c>
      <x:c r="G46" s="21" t="n">
        <x:v>24.82274118838618</x:v>
      </x:c>
      <x:c r="H46" s="23" t="n">
        <x:v>3.08</x:v>
      </x:c>
      <x:c r="I46" s="21" t="n">
        <x:v>1.5430847999999981</x:v>
      </x:c>
      <x:c r="J46" s="21" t="n">
        <x:v>1.6022866271494423</x:v>
      </x:c>
      <x:c r="K46" s="25"/>
      <x:c r="L46" s="27" t="str">
        <x:f>""</x:f>
      </x:c>
      <x:c r="M46" s="27" t="str">
        <x:f>""</x:f>
      </x:c>
    </x:row>
    <x:row r="47" ht="21" customHeight="1">
      <x:c r="A47" s="3" t="str">
        <x:v>EXP035</x:v>
      </x:c>
      <x:c r="B47" s="3" t="str">
        <x:v>Exp. 3</x:v>
      </x:c>
      <x:c r="C47" s="3" t="str">
        <x:v>BBP</x:v>
      </x:c>
      <x:c r="D47" s="18" t="n">
        <x:v>15</x:v>
      </x:c>
      <x:c r="E47" s="18" t="n">
        <x:v>200</x:v>
      </x:c>
      <x:c r="F47" s="21" t="n">
        <x:f>AVERAGEIFS('Runs'!$F$1022:$F$1141,'Runs'!$A$1022:$A$1141,A47,'Runs'!$D$1022:$D$1141,C47)</x:f>
        <x:v>673.8731436135041</x:v>
      </x:c>
      <x:c r="G47" s="21" t="n">
        <x:v>351.46688922825774</x:v>
      </x:c>
      <x:c r="H47" s="23" t="n">
        <x:v>24.00666666666667</x:v>
      </x:c>
      <x:c r="I47" s="21" t="n">
        <x:v>2.4778353999999907</x:v>
      </x:c>
      <x:c r="J47" s="21" t="n">
        <x:v>3.0029278717779864</x:v>
      </x:c>
      <x:c r="K47" s="25"/>
      <x:c r="L47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47" s="27" t="n">
        <x:f>SUMIFS('Runs'!$G$1022:$G$1141,'Runs'!$D$1022:$D$1141,"BBP",'Runs'!$G$1022:$G$1141,"&lt;&gt;")/SUMIFS('Runs'!$F$1022:$F$1141,'Runs'!$D$1022:$D$1141,"BBP",'Runs'!$G$1022:$G$1141,"&lt;&gt;")-1</x:f>
        <x:v>0</x:v>
      </x:c>
    </x:row>
    <x:row r="48" ht="21" customHeight="1">
      <x:c r="A48" s="3" t="str">
        <x:v>EXP035</x:v>
      </x:c>
      <x:c r="B48" s="3" t="str">
        <x:v>Exp. 3</x:v>
      </x:c>
      <x:c r="C48" s="3" t="str">
        <x:v>Relative cutoff 1e-5</x:v>
      </x:c>
      <x:c r="D48" s="18" t="n">
        <x:v>15</x:v>
      </x:c>
      <x:c r="E48" s="18" t="n">
        <x:v>200</x:v>
      </x:c>
      <x:c r="F48" s="21" t="n">
        <x:f>AVERAGEIFS('Runs'!$F$1022:$F$1141,'Runs'!$A$1022:$A$1141,A48,'Runs'!$D$1022:$D$1141,C48)</x:f>
        <x:v>673.8731436135041</x:v>
      </x:c>
      <x:c r="G48" s="21" t="n">
        <x:v>351.46688922825774</x:v>
      </x:c>
      <x:c r="H48" s="23" t="n">
        <x:v>22.27333333333333</x:v>
      </x:c>
      <x:c r="I48" s="21" t="n">
        <x:v>2.467554133333335</x:v>
      </x:c>
      <x:c r="J48" s="21" t="n">
        <x:v>3.01862802367347</x:v>
      </x:c>
      <x:c r="K48" s="25"/>
      <x:c r="L48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48" s="27" t="n">
        <x:f>SUMIFS('Runs'!$G$1022:$G$1141,'Runs'!$D$1022:$D$1141,"Relative cutoff 1e-5",'Runs'!$G$1022:$G$1141,"&lt;&gt;")/SUMIFS('Runs'!$F$1022:$F$1141,'Runs'!$D$1022:$D$1141,"Relative cutoff 1e-5",'Runs'!$G$1022:$G$1141,"&lt;&gt;")-1</x:f>
        <x:v>0</x:v>
      </x:c>
    </x:row>
    <x:row r="49" ht="21" customHeight="1">
      <x:c r="A49" s="3" t="str">
        <x:v>EXP035</x:v>
      </x:c>
      <x:c r="B49" s="3" t="str">
        <x:v>Exp. 3</x:v>
      </x:c>
      <x:c r="C49" s="3" t="str">
        <x:v>Fixed rank 10</x:v>
      </x:c>
      <x:c r="D49" s="18" t="n">
        <x:v>15</x:v>
      </x:c>
      <x:c r="E49" s="18" t="n">
        <x:v>200</x:v>
      </x:c>
      <x:c r="F49" s="21" t="n">
        <x:f>AVERAGEIFS('Runs'!$F$1022:$F$1141,'Runs'!$A$1022:$A$1141,A49,'Runs'!$D$1022:$D$1141,C49)</x:f>
        <x:v>677.5166628305195</x:v>
      </x:c>
      <x:c r="G49" s="21" t="n">
        <x:v>355.1104084452731</x:v>
      </x:c>
      <x:c r="H49" s="23" t="n">
        <x:v>10</x:v>
      </x:c>
      <x:c r="I49" s="21" t="n">
        <x:v>2.4525936000000046</x:v>
      </x:c>
      <x:c r="J49" s="21" t="n">
        <x:v>2.9901350955168406</x:v>
      </x:c>
      <x:c r="K49" s="25"/>
      <x:c r="L49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49" s="27" t="n">
        <x:f>SUMIFS('Runs'!$G$1022:$G$1141,'Runs'!$D$1022:$D$1141,"Fixed rank 10",'Runs'!$G$1022:$G$1141,"&lt;&gt;")/SUMIFS('Runs'!$F$1022:$F$1141,'Runs'!$D$1022:$D$1141,"Fixed rank 10",'Runs'!$G$1022:$G$1141,"&lt;&gt;")-1</x:f>
        <x:v>-0.005377755879528601</x:v>
      </x:c>
    </x:row>
    <x:row r="50" ht="21" customHeight="1">
      <x:c r="A50" s="3" t="str">
        <x:v>EXP035</x:v>
      </x:c>
      <x:c r="B50" s="3" t="str">
        <x:v>Exp. 3</x:v>
      </x:c>
      <x:c r="C50" s="3" t="str">
        <x:v>Fixed rank 25</x:v>
      </x:c>
      <x:c r="D50" s="18" t="n">
        <x:v>15</x:v>
      </x:c>
      <x:c r="E50" s="18" t="n">
        <x:v>200</x:v>
      </x:c>
      <x:c r="F50" s="21" t="n">
        <x:f>AVERAGEIFS('Runs'!$F$1022:$F$1141,'Runs'!$A$1022:$A$1141,A50,'Runs'!$D$1022:$D$1141,C50)</x:f>
        <x:v>673.8779248400913</x:v>
      </x:c>
      <x:c r="G50" s="21" t="n">
        <x:v>351.47167045484497</x:v>
      </x:c>
      <x:c r="H50" s="23" t="n">
        <x:v>25</x:v>
      </x:c>
      <x:c r="I50" s="21" t="n">
        <x:v>2.446034799999999</x:v>
      </x:c>
      <x:c r="J50" s="21" t="n">
        <x:v>2.964136680215597</x:v>
      </x:c>
      <x:c r="K50" s="25"/>
      <x:c r="L50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50" s="27" t="n">
        <x:f>SUMIFS('Runs'!$G$1022:$G$1141,'Runs'!$D$1022:$D$1141,"Fixed rank 25",'Runs'!$G$1022:$G$1141,"&lt;&gt;")/SUMIFS('Runs'!$F$1022:$F$1141,'Runs'!$D$1022:$D$1141,"Fixed rank 25",'Runs'!$G$1022:$G$1141,"&lt;&gt;")-1</x:f>
        <x:v>-0.000007095093058961943</x:v>
      </x:c>
    </x:row>
    <x:row r="51" ht="21" customHeight="1">
      <x:c r="A51" s="3" t="str">
        <x:v>EXP035</x:v>
      </x:c>
      <x:c r="B51" s="3" t="str">
        <x:v>Exp. 3</x:v>
      </x:c>
      <x:c r="C51" s="3" t="str">
        <x:v>Relative cutoff 1e-6</x:v>
      </x:c>
      <x:c r="D51" s="18" t="n">
        <x:v>15</x:v>
      </x:c>
      <x:c r="E51" s="18" t="n">
        <x:v>200</x:v>
      </x:c>
      <x:c r="F51" s="21" t="n">
        <x:f>AVERAGEIFS('Runs'!$F$1022:$F$1141,'Runs'!$A$1022:$A$1141,A51,'Runs'!$D$1022:$D$1141,C51)</x:f>
        <x:v>674.719927018935</x:v>
      </x:c>
      <x:c r="G51" s="21" t="n">
        <x:v>352.31367263368855</x:v>
      </x:c>
      <x:c r="H51" s="23" t="n">
        <x:v>38.06666666666667</x:v>
      </x:c>
      <x:c r="I51" s="21" t="n">
        <x:v>2.4549382000000035</x:v>
      </x:c>
      <x:c r="J51" s="21" t="n">
        <x:v>3.035051484204208</x:v>
      </x:c>
      <x:c r="K51" s="25"/>
      <x:c r="L51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51" s="27" t="n">
        <x:f>SUMIFS('Runs'!$G$1022:$G$1141,'Runs'!$D$1022:$D$1141,"Relative cutoff 1e-6",'Runs'!$G$1022:$G$1141,"&lt;&gt;")/SUMIFS('Runs'!$F$1022:$F$1141,'Runs'!$D$1022:$D$1141,"Relative cutoff 1e-6",'Runs'!$G$1022:$G$1141,"&lt;&gt;")-1</x:f>
        <x:v>-0.0012550146683411034</x:v>
      </x:c>
    </x:row>
    <x:row r="52" ht="21" customHeight="1">
      <x:c r="A52" s="3" t="str">
        <x:v>EXP035</x:v>
      </x:c>
      <x:c r="B52" s="3" t="str">
        <x:v>Exp. 3</x:v>
      </x:c>
      <x:c r="C52" s="3" t="str">
        <x:v>Full</x:v>
      </x:c>
      <x:c r="D52" s="18" t="n">
        <x:v>15</x:v>
      </x:c>
      <x:c r="E52" s="18" t="n">
        <x:v>200</x:v>
      </x:c>
      <x:c r="F52" s="21" t="n">
        <x:f>AVERAGEIFS('Runs'!$F$1022:$F$1141,'Runs'!$A$1022:$A$1141,A52,'Runs'!$D$1022:$D$1141,C52)</x:f>
        <x:v>674.719927018935</x:v>
      </x:c>
      <x:c r="G52" s="21" t="n">
        <x:v>352.31367263368855</x:v>
      </x:c>
      <x:c r="H52" s="23" t="n">
        <x:v>100</x:v>
      </x:c>
      <x:c r="I52" s="21" t="n">
        <x:v>2.4615253333333276</x:v>
      </x:c>
      <x:c r="J52" s="21" t="n">
        <x:v>2.988452944594125</x:v>
      </x:c>
      <x:c r="K52" s="25"/>
      <x:c r="L52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52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</x:row>
    <x:row r="53" ht="21" customHeight="1">
      <x:c r="A53" s="3" t="str">
        <x:v>EXP035</x:v>
      </x:c>
      <x:c r="B53" s="3" t="str">
        <x:v>Exp. 3</x:v>
      </x:c>
      <x:c r="C53" s="3" t="str">
        <x:v>Relative cutoff 1e-2</x:v>
      </x:c>
      <x:c r="D53" s="18" t="n">
        <x:v>15</x:v>
      </x:c>
      <x:c r="E53" s="18" t="n">
        <x:v>200</x:v>
      </x:c>
      <x:c r="F53" s="21" t="n">
        <x:f>AVERAGEIFS('Runs'!$F$1022:$F$1141,'Runs'!$A$1022:$A$1141,A53,'Runs'!$D$1022:$D$1141,C53)</x:f>
        <x:v>672.5190222497323</x:v>
      </x:c>
      <x:c r="G53" s="21" t="n">
        <x:v>350.11276786448593</x:v>
      </x:c>
      <x:c r="H53" s="23" t="n">
        <x:v>2.6799999999999997</x:v>
      </x:c>
      <x:c r="I53" s="21" t="n">
        <x:v>2.463758866666664</x:v>
      </x:c>
      <x:c r="J53" s="21" t="n">
        <x:v>3.00847528760011</x:v>
      </x:c>
      <x:c r="K53" s="25"/>
      <x:c r="L53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53" s="27" t="n">
        <x:f>SUMIFS('Runs'!$G$1022:$G$1141,'Runs'!$D$1022:$D$1141,"Relative cutoff 1e-2",'Runs'!$G$1022:$G$1141,"&lt;&gt;")/SUMIFS('Runs'!$F$1022:$F$1141,'Runs'!$D$1022:$D$1141,"Relative cutoff 1e-2",'Runs'!$G$1022:$G$1141,"&lt;&gt;")-1</x:f>
        <x:v>0.002013506412416488</x:v>
      </x:c>
    </x:row>
    <x:row r="54" ht="21" customHeight="1">
      <x:c r="A54" s="3" t="str">
        <x:v>EXP035</x:v>
      </x:c>
      <x:c r="B54" s="3" t="str">
        <x:v>Exp. 3</x:v>
      </x:c>
      <x:c r="C54" s="3" t="str">
        <x:v>Relative cutoff 1e-4</x:v>
      </x:c>
      <x:c r="D54" s="18" t="n">
        <x:v>15</x:v>
      </x:c>
      <x:c r="E54" s="18" t="n">
        <x:v>200</x:v>
      </x:c>
      <x:c r="F54" s="21" t="n">
        <x:f>AVERAGEIFS('Runs'!$F$1022:$F$1141,'Runs'!$A$1022:$A$1141,A54,'Runs'!$D$1022:$D$1141,C54)</x:f>
        <x:v>679.0070715848428</x:v>
      </x:c>
      <x:c r="G54" s="21" t="n">
        <x:v>356.60081719959646</x:v>
      </x:c>
      <x:c r="H54" s="23" t="n">
        <x:v>8.42</x:v>
      </x:c>
      <x:c r="I54" s="21" t="n">
        <x:v>2.4460525999999954</x:v>
      </x:c>
      <x:c r="J54" s="21" t="n">
        <x:v>2.9865543915269277</x:v>
      </x:c>
      <x:c r="K54" s="25"/>
      <x:c r="L54" s="27" t="n">
        <x:f>SUMIFS('Runs'!$G$1022:$G$1141,'Runs'!$D$1022:$D$1141,"Full",'Runs'!$G$1022:$G$1141,"&lt;&gt;")/SUMIFS('Runs'!$F$1022:$F$1141,'Runs'!$D$1022:$D$1141,"Full",'Runs'!$G$1022:$G$1141,"&lt;&gt;")-1</x:f>
        <x:v>-0.0012550146683411034</x:v>
      </x:c>
      <x:c r="M54" s="27" t="n">
        <x:f>SUMIFS('Runs'!$G$1022:$G$1141,'Runs'!$D$1022:$D$1141,"Relative cutoff 1e-4",'Runs'!$G$1022:$G$1141,"&lt;&gt;")/SUMIFS('Runs'!$F$1022:$F$1141,'Runs'!$D$1022:$D$1141,"Relative cutoff 1e-4",'Runs'!$G$1022:$G$1141,"&lt;&gt;")-1</x:f>
        <x:v>-0.007560934467671698</x:v>
      </x:c>
    </x:row>
    <x:row r="55" ht="21" customHeight="1">
      <x:c r="A55" s="3" t="str">
        <x:v>EXP040</x:v>
      </x:c>
      <x:c r="B55" s="3" t="str">
        <x:v>Exp. 3</x:v>
      </x:c>
      <x:c r="C55" s="3" t="str">
        <x:v>Fixed rank 10</x:v>
      </x:c>
      <x:c r="D55" s="18" t="n">
        <x:v>20</x:v>
      </x:c>
      <x:c r="E55" s="18" t="n">
        <x:v>200</x:v>
      </x:c>
      <x:c r="F55" s="21" t="n">
        <x:f>AVERAGEIFS('Runs'!$F$1142:$F$1241,'Runs'!$A$1142:$A$1241,A55,'Runs'!$D$1142:$D$1241,C55)</x:f>
        <x:v>683.8078634196013</x:v>
      </x:c>
      <x:c r="G55" s="21" t="n">
        <x:v>338.4093494470807</x:v>
      </x:c>
      <x:c r="H55" s="23" t="n">
        <x:v>10</x:v>
      </x:c>
      <x:c r="I55" s="21" t="n">
        <x:v>5.23710285</x:v>
      </x:c>
      <x:c r="J55" s="21" t="n">
        <x:v>6.0696731937350705</x:v>
      </x:c>
      <x:c r="K55" s="25"/>
      <x:c r="L55" s="27" t="str">
        <x:f>""</x:f>
      </x:c>
      <x:c r="M55" s="27" t="str">
        <x:f>""</x:f>
      </x:c>
    </x:row>
    <x:row r="56" ht="21" customHeight="1">
      <x:c r="A56" s="3" t="str">
        <x:v>EXP040</x:v>
      </x:c>
      <x:c r="B56" s="3" t="str">
        <x:v>Exp. 3</x:v>
      </x:c>
      <x:c r="C56" s="3" t="str">
        <x:v>Fixed rank 3</x:v>
      </x:c>
      <x:c r="D56" s="18" t="n">
        <x:v>20</x:v>
      </x:c>
      <x:c r="E56" s="18" t="n">
        <x:v>200</x:v>
      </x:c>
      <x:c r="F56" s="21" t="n">
        <x:f>AVERAGEIFS('Runs'!$F$1142:$F$1241,'Runs'!$A$1142:$A$1241,A56,'Runs'!$D$1142:$D$1241,C56)</x:f>
        <x:v>698.3495319159476</x:v>
      </x:c>
      <x:c r="G56" s="21" t="n">
        <x:v>352.9510179434271</x:v>
      </x:c>
      <x:c r="H56" s="23" t="n">
        <x:v>3</x:v>
      </x:c>
      <x:c r="I56" s="21" t="n">
        <x:v>5.433532450000001</x:v>
      </x:c>
      <x:c r="J56" s="21" t="n">
        <x:v>6.352206858352292</x:v>
      </x:c>
      <x:c r="K56" s="25"/>
      <x:c r="L56" s="27" t="str">
        <x:f>""</x:f>
      </x:c>
      <x:c r="M56" s="27" t="str">
        <x:f>""</x:f>
      </x:c>
    </x:row>
    <x:row r="57" ht="21" customHeight="1">
      <x:c r="A57" s="3" t="str">
        <x:v>EXP040</x:v>
      </x:c>
      <x:c r="B57" s="3" t="str">
        <x:v>Exp. 3</x:v>
      </x:c>
      <x:c r="C57" s="3" t="str">
        <x:v>Fixed rank 5</x:v>
      </x:c>
      <x:c r="D57" s="18" t="n">
        <x:v>20</x:v>
      </x:c>
      <x:c r="E57" s="18" t="n">
        <x:v>200</x:v>
      </x:c>
      <x:c r="F57" s="21" t="n">
        <x:f>AVERAGEIFS('Runs'!$F$1142:$F$1241,'Runs'!$A$1142:$A$1241,A57,'Runs'!$D$1142:$D$1241,C57)</x:f>
        <x:v>686.7458464630515</x:v>
      </x:c>
      <x:c r="G57" s="21" t="n">
        <x:v>341.3473324905309</x:v>
      </x:c>
      <x:c r="H57" s="23" t="n">
        <x:v>5</x:v>
      </x:c>
      <x:c r="I57" s="21" t="n">
        <x:v>5.38796715</x:v>
      </x:c>
      <x:c r="J57" s="21" t="n">
        <x:v>6.830521506245714</x:v>
      </x:c>
      <x:c r="K57" s="25"/>
      <x:c r="L57" s="27" t="str">
        <x:f>""</x:f>
      </x:c>
      <x:c r="M57" s="27" t="str">
        <x:f>""</x:f>
      </x:c>
    </x:row>
    <x:row r="58" ht="21" customHeight="1">
      <x:c r="A58" s="3" t="str">
        <x:v>EXP040</x:v>
      </x:c>
      <x:c r="B58" s="3" t="str">
        <x:v>Exp. 3</x:v>
      </x:c>
      <x:c r="C58" s="3" t="str">
        <x:v>Full</x:v>
      </x:c>
      <x:c r="D58" s="18" t="n">
        <x:v>20</x:v>
      </x:c>
      <x:c r="E58" s="18" t="n">
        <x:v>200</x:v>
      </x:c>
      <x:c r="F58" s="21" t="n">
        <x:f>AVERAGEIFS('Runs'!$F$1142:$F$1241,'Runs'!$A$1142:$A$1241,A58,'Runs'!$D$1142:$D$1241,C58)</x:f>
        <x:v>686.9230298343232</x:v>
      </x:c>
      <x:c r="G58" s="21" t="n">
        <x:v>341.5245158618025</x:v>
      </x:c>
      <x:c r="H58" s="23" t="n">
        <x:v>100</x:v>
      </x:c>
      <x:c r="I58" s="21" t="n">
        <x:v>1.1725573499999995</x:v>
      </x:c>
      <x:c r="J58" s="21" t="n">
        <x:v>1.1895217061450238</x:v>
      </x:c>
      <x:c r="K58" s="25"/>
      <x:c r="L58" s="27" t="str">
        <x:f>""</x:f>
      </x:c>
      <x:c r="M58" s="27" t="str">
        <x:f>""</x:f>
      </x:c>
    </x:row>
    <x:row r="59" ht="21" customHeight="1">
      <x:c r="A59" s="3" t="str">
        <x:v>EXP040</x:v>
      </x:c>
      <x:c r="B59" s="3" t="str">
        <x:v>Exp. 3</x:v>
      </x:c>
      <x:c r="C59" s="3" t="str">
        <x:v>Relative cutoff 1e-2</x:v>
      </x:c>
      <x:c r="D59" s="18" t="n">
        <x:v>20</x:v>
      </x:c>
      <x:c r="E59" s="18" t="n">
        <x:v>200</x:v>
      </x:c>
      <x:c r="F59" s="21" t="n">
        <x:f>AVERAGEIFS('Runs'!$F$1142:$F$1241,'Runs'!$A$1142:$A$1241,A59,'Runs'!$D$1142:$D$1241,C59)</x:f>
        <x:v>697.4534954597616</x:v>
      </x:c>
      <x:c r="G59" s="21" t="n">
        <x:v>352.0549814872409</x:v>
      </x:c>
      <x:c r="H59" s="23" t="n">
        <x:v>2.7649999999999997</x:v>
      </x:c>
      <x:c r="I59" s="21" t="n">
        <x:v>1.1761931000000025</x:v>
      </x:c>
      <x:c r="J59" s="21" t="n">
        <x:v>1.2011020709236617</x:v>
      </x:c>
      <x:c r="K59" s="25"/>
      <x:c r="L59" s="27" t="str">
        <x:f>""</x:f>
      </x:c>
      <x:c r="M59" s="27" t="str">
        <x:f>""</x:f>
      </x:c>
    </x:row>
    <x:row r="60" ht="21" customHeight="1">
      <x:c r="A60" s="3" t="str">
        <x:v>EXP043</x:v>
      </x:c>
      <x:c r="B60" s="3" t="str">
        <x:v>Exp. 4</x:v>
      </x:c>
      <x:c r="C60" s="3" t="str">
        <x:v>BBP</x:v>
      </x:c>
      <x:c r="D60" s="18" t="n">
        <x:v>14</x:v>
      </x:c>
      <x:c r="E60" s="18" t="n">
        <x:v>200</x:v>
      </x:c>
      <x:c r="F60" s="21" t="n">
        <x:f>AVERAGEIFS('Runs'!$F$1242:$F$1353,'Runs'!$A$1242:$A$1353,A60,'Runs'!$D$1242:$D$1353,C60)</x:f>
        <x:v>167.81187819219303</x:v>
      </x:c>
      <x:c r="G60" s="21" t="n">
        <x:v>82.43452621728218</x:v>
      </x:c>
      <x:c r="H60" s="23" t="n">
        <x:v>22.849999999999998</x:v>
      </x:c>
      <x:c r="I60" s="21" t="n">
        <x:v>2.826103071428572</x:v>
      </x:c>
      <x:c r="J60" s="21" t="n">
        <x:v>6.424854440747628</x:v>
      </x:c>
      <x:c r="K60" s="25"/>
      <x:c r="L60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0" s="27" t="n">
        <x:f>SUMIFS('Runs'!$G$1242:$G$1353,'Runs'!$D$1242:$D$1353,"BBP",'Runs'!$G$1242:$G$1353,"&lt;&gt;")/SUMIFS('Runs'!$F$1242:$F$1353,'Runs'!$D$1242:$D$1353,"BBP",'Runs'!$G$1242:$G$1353,"&lt;&gt;")-1</x:f>
        <x:v>0</x:v>
      </x:c>
    </x:row>
    <x:row r="61" ht="21" customHeight="1">
      <x:c r="A61" s="3" t="str">
        <x:v>EXP043</x:v>
      </x:c>
      <x:c r="B61" s="3" t="str">
        <x:v>Exp. 4</x:v>
      </x:c>
      <x:c r="C61" s="3" t="str">
        <x:v>Relative cutoff 1e-5</x:v>
      </x:c>
      <x:c r="D61" s="18" t="n">
        <x:v>14</x:v>
      </x:c>
      <x:c r="E61" s="18" t="n">
        <x:v>200</x:v>
      </x:c>
      <x:c r="F61" s="21" t="n">
        <x:f>AVERAGEIFS('Runs'!$F$1242:$F$1353,'Runs'!$A$1242:$A$1353,A61,'Runs'!$D$1242:$D$1353,C61)</x:f>
        <x:v>169.31417184033134</x:v>
      </x:c>
      <x:c r="G61" s="21" t="n">
        <x:v>83.93681986542049</x:v>
      </x:c>
      <x:c r="H61" s="23" t="n">
        <x:v>38.76428571428571</x:v>
      </x:c>
      <x:c r="I61" s="21" t="n">
        <x:v>2.8126765714285678</x:v>
      </x:c>
      <x:c r="J61" s="21" t="n">
        <x:v>9.446517107492712</x:v>
      </x:c>
      <x:c r="K61" s="25"/>
      <x:c r="L61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1" s="27" t="n">
        <x:f>SUMIFS('Runs'!$G$1242:$G$1353,'Runs'!$D$1242:$D$1353,"Relative cutoff 1e-5",'Runs'!$G$1242:$G$1353,"&lt;&gt;")/SUMIFS('Runs'!$F$1242:$F$1353,'Runs'!$D$1242:$D$1353,"Relative cutoff 1e-5",'Runs'!$G$1242:$G$1353,"&lt;&gt;")-1</x:f>
        <x:v>-0.008872816916678627</x:v>
      </x:c>
    </x:row>
    <x:row r="62" ht="21" customHeight="1">
      <x:c r="A62" s="3" t="str">
        <x:v>EXP043</x:v>
      </x:c>
      <x:c r="B62" s="3" t="str">
        <x:v>Exp. 4</x:v>
      </x:c>
      <x:c r="C62" s="3" t="str">
        <x:v>Fixed rank 10</x:v>
      </x:c>
      <x:c r="D62" s="18" t="n">
        <x:v>14</x:v>
      </x:c>
      <x:c r="E62" s="18" t="n">
        <x:v>200</x:v>
      </x:c>
      <x:c r="F62" s="21" t="n">
        <x:f>AVERAGEIFS('Runs'!$F$1242:$F$1353,'Runs'!$A$1242:$A$1353,A62,'Runs'!$D$1242:$D$1353,C62)</x:f>
        <x:v>167.14486669788533</x:v>
      </x:c>
      <x:c r="G62" s="21" t="n">
        <x:v>81.76751472297447</x:v>
      </x:c>
      <x:c r="H62" s="23" t="n">
        <x:v>10</x:v>
      </x:c>
      <x:c r="I62" s="21" t="n">
        <x:v>2.797973214285708</x:v>
      </x:c>
      <x:c r="J62" s="21" t="n">
        <x:v>6.582821817503178</x:v>
      </x:c>
      <x:c r="K62" s="25"/>
      <x:c r="L62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2" s="27" t="n">
        <x:f>SUMIFS('Runs'!$G$1242:$G$1353,'Runs'!$D$1242:$D$1353,"Fixed rank 10",'Runs'!$G$1242:$G$1353,"&lt;&gt;")/SUMIFS('Runs'!$F$1242:$F$1353,'Runs'!$D$1242:$D$1353,"Fixed rank 10",'Runs'!$G$1242:$G$1353,"&lt;&gt;")-1</x:f>
        <x:v>0.003990619080832092</x:v>
      </x:c>
    </x:row>
    <x:row r="63" ht="21" customHeight="1">
      <x:c r="A63" s="3" t="str">
        <x:v>EXP043</x:v>
      </x:c>
      <x:c r="B63" s="3" t="str">
        <x:v>Exp. 4</x:v>
      </x:c>
      <x:c r="C63" s="3" t="str">
        <x:v>Fixed rank 25</x:v>
      </x:c>
      <x:c r="D63" s="18" t="n">
        <x:v>14</x:v>
      </x:c>
      <x:c r="E63" s="18" t="n">
        <x:v>200</x:v>
      </x:c>
      <x:c r="F63" s="21" t="n">
        <x:f>AVERAGEIFS('Runs'!$F$1242:$F$1353,'Runs'!$A$1242:$A$1353,A63,'Runs'!$D$1242:$D$1353,C63)</x:f>
        <x:v>167.81187819219303</x:v>
      </x:c>
      <x:c r="G63" s="21" t="n">
        <x:v>82.43452621728218</x:v>
      </x:c>
      <x:c r="H63" s="23" t="n">
        <x:v>25</x:v>
      </x:c>
      <x:c r="I63" s="21" t="n">
        <x:v>2.801218642857146</x:v>
      </x:c>
      <x:c r="J63" s="21" t="n">
        <x:v>6.073916400084272</x:v>
      </x:c>
      <x:c r="K63" s="25"/>
      <x:c r="L63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3" s="27" t="n">
        <x:f>SUMIFS('Runs'!$G$1242:$G$1353,'Runs'!$D$1242:$D$1353,"Fixed rank 25",'Runs'!$G$1242:$G$1353,"&lt;&gt;")/SUMIFS('Runs'!$F$1242:$F$1353,'Runs'!$D$1242:$D$1353,"Fixed rank 25",'Runs'!$G$1242:$G$1353,"&lt;&gt;")-1</x:f>
        <x:v>0</x:v>
      </x:c>
    </x:row>
    <x:row r="64" ht="21" customHeight="1">
      <x:c r="A64" s="3" t="str">
        <x:v>EXP043</x:v>
      </x:c>
      <x:c r="B64" s="3" t="str">
        <x:v>Exp. 4</x:v>
      </x:c>
      <x:c r="C64" s="3" t="str">
        <x:v>Relative cutoff 1e-6</x:v>
      </x:c>
      <x:c r="D64" s="18" t="n">
        <x:v>14</x:v>
      </x:c>
      <x:c r="E64" s="18" t="n">
        <x:v>200</x:v>
      </x:c>
      <x:c r="F64" s="21" t="n">
        <x:f>AVERAGEIFS('Runs'!$F$1242:$F$1353,'Runs'!$A$1242:$A$1353,A64,'Runs'!$D$1242:$D$1353,C64)</x:f>
        <x:v>170.15592217116605</x:v>
      </x:c>
      <x:c r="G64" s="21" t="n">
        <x:v>84.77857019625517</x:v>
      </x:c>
      <x:c r="H64" s="23" t="n">
        <x:v>50.300000000000004</x:v>
      </x:c>
      <x:c r="I64" s="21" t="n">
        <x:v>2.792998071428575</x:v>
      </x:c>
      <x:c r="J64" s="21" t="n">
        <x:v>6.83136215623069</x:v>
      </x:c>
      <x:c r="K64" s="25"/>
      <x:c r="L64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4" s="27" t="n">
        <x:f>SUMIFS('Runs'!$G$1242:$G$1353,'Runs'!$D$1242:$D$1353,"Relative cutoff 1e-6",'Runs'!$G$1242:$G$1353,"&lt;&gt;")/SUMIFS('Runs'!$F$1242:$F$1353,'Runs'!$D$1242:$D$1353,"Relative cutoff 1e-6",'Runs'!$G$1242:$G$1353,"&lt;&gt;")-1</x:f>
        <x:v>-0.013775858924352069</x:v>
      </x:c>
    </x:row>
    <x:row r="65" ht="21" customHeight="1">
      <x:c r="A65" s="3" t="str">
        <x:v>EXP043</x:v>
      </x:c>
      <x:c r="B65" s="3" t="str">
        <x:v>Exp. 4</x:v>
      </x:c>
      <x:c r="C65" s="3" t="str">
        <x:v>Full</x:v>
      </x:c>
      <x:c r="D65" s="18" t="n">
        <x:v>14</x:v>
      </x:c>
      <x:c r="E65" s="18" t="n">
        <x:v>200</x:v>
      </x:c>
      <x:c r="F65" s="21" t="n">
        <x:f>AVERAGEIFS('Runs'!$F$1242:$F$1353,'Runs'!$A$1242:$A$1353,A65,'Runs'!$D$1242:$D$1353,C65)</x:f>
        <x:v>169.29563311713656</x:v>
      </x:c>
      <x:c r="G65" s="21" t="n">
        <x:v>83.91828114222571</x:v>
      </x:c>
      <x:c r="H65" s="23" t="n">
        <x:v>100</x:v>
      </x:c>
      <x:c r="I65" s="21" t="n">
        <x:v>2.7913258571428523</x:v>
      </x:c>
      <x:c r="J65" s="21" t="n">
        <x:v>6.804229868060377</x:v>
      </x:c>
      <x:c r="K65" s="25"/>
      <x:c r="L65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5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</x:row>
    <x:row r="66" ht="21" customHeight="1">
      <x:c r="A66" s="3" t="str">
        <x:v>EXP043</x:v>
      </x:c>
      <x:c r="B66" s="3" t="str">
        <x:v>Exp. 4</x:v>
      </x:c>
      <x:c r="C66" s="3" t="str">
        <x:v>Relative cutoff 1e-2</x:v>
      </x:c>
      <x:c r="D66" s="18" t="n">
        <x:v>14</x:v>
      </x:c>
      <x:c r="E66" s="18" t="n">
        <x:v>200</x:v>
      </x:c>
      <x:c r="F66" s="21" t="n">
        <x:f>AVERAGEIFS('Runs'!$F$1242:$F$1353,'Runs'!$A$1242:$A$1353,A66,'Runs'!$D$1242:$D$1353,C66)</x:f>
        <x:v>168.46959806673004</x:v>
      </x:c>
      <x:c r="G66" s="21" t="n">
        <x:v>83.0922460918192</x:v>
      </x:c>
      <x:c r="H66" s="23" t="n">
        <x:v>3.8</x:v>
      </x:c>
      <x:c r="I66" s="21" t="n">
        <x:v>2.805099142857141</x:v>
      </x:c>
      <x:c r="J66" s="21" t="n">
        <x:v>7.8573145741497035</x:v>
      </x:c>
      <x:c r="K66" s="25"/>
      <x:c r="L66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6" s="27" t="n">
        <x:f>SUMIFS('Runs'!$G$1242:$G$1353,'Runs'!$D$1242:$D$1353,"Relative cutoff 1e-2",'Runs'!$G$1242:$G$1353,"&lt;&gt;")/SUMIFS('Runs'!$F$1242:$F$1353,'Runs'!$D$1242:$D$1353,"Relative cutoff 1e-2",'Runs'!$G$1242:$G$1353,"&lt;&gt;")-1</x:f>
        <x:v>-0.0039040864469593872</x:v>
      </x:c>
    </x:row>
    <x:row r="67" ht="21" customHeight="1">
      <x:c r="A67" s="3" t="str">
        <x:v>EXP043</x:v>
      </x:c>
      <x:c r="B67" s="3" t="str">
        <x:v>Exp. 4</x:v>
      </x:c>
      <x:c r="C67" s="3" t="str">
        <x:v>Relative cutoff 1e-4</x:v>
      </x:c>
      <x:c r="D67" s="18" t="n">
        <x:v>14</x:v>
      </x:c>
      <x:c r="E67" s="18" t="n">
        <x:v>200</x:v>
      </x:c>
      <x:c r="F67" s="21" t="n">
        <x:f>AVERAGEIFS('Runs'!$F$1242:$F$1353,'Runs'!$A$1242:$A$1353,A67,'Runs'!$D$1242:$D$1353,C67)</x:f>
        <x:v>167.40859064094434</x:v>
      </x:c>
      <x:c r="G67" s="21" t="n">
        <x:v>82.03123866603349</x:v>
      </x:c>
      <x:c r="H67" s="23" t="n">
        <x:v>21.371428571428574</x:v>
      </x:c>
      <x:c r="I67" s="21" t="n">
        <x:v>2.810305071428569</x:v>
      </x:c>
      <x:c r="J67" s="21" t="n">
        <x:v>7.637098545890434</x:v>
      </x:c>
      <x:c r="K67" s="25"/>
      <x:c r="L67" s="27" t="n">
        <x:f>SUMIFS('Runs'!$G$1242:$G$1353,'Runs'!$D$1242:$D$1353,"Full",'Runs'!$G$1242:$G$1353,"&lt;&gt;")/SUMIFS('Runs'!$F$1242:$F$1353,'Runs'!$D$1242:$D$1353,"Full",'Runs'!$G$1242:$G$1353,"&lt;&gt;")-1</x:f>
        <x:v>-0.008764283505865222</x:v>
      </x:c>
      <x:c r="M67" s="27" t="n">
        <x:f>SUMIFS('Runs'!$G$1242:$G$1353,'Runs'!$D$1242:$D$1353,"Relative cutoff 1e-4",'Runs'!$G$1242:$G$1353,"&lt;&gt;")/SUMIFS('Runs'!$F$1242:$F$1353,'Runs'!$D$1242:$D$1353,"Relative cutoff 1e-4",'Runs'!$G$1242:$G$1353,"&lt;&gt;")-1</x:f>
        <x:v>0.0024090015315501034</x:v>
      </x:c>
    </x:row>
    <x:row r="68" ht="21" customHeight="1">
      <x:c r="A68" s="3" t="str">
        <x:v>EXP046</x:v>
      </x:c>
      <x:c r="B68" s="3" t="str">
        <x:v>Exp. 4</x:v>
      </x:c>
      <x:c r="C68" s="3" t="str">
        <x:v>Fixed rank 10</x:v>
      </x:c>
      <x:c r="D68" s="18" t="n">
        <x:v>20</x:v>
      </x:c>
      <x:c r="E68" s="18" t="n">
        <x:v>200</x:v>
      </x:c>
      <x:c r="F68" s="21" t="n">
        <x:f>AVERAGEIFS('Runs'!$F$1354:$F$1453,'Runs'!$A$1354:$A$1453,A68,'Runs'!$D$1354:$D$1453,C68)</x:f>
        <x:v>165.4776795755957</x:v>
      </x:c>
      <x:c r="G68" s="21" t="n">
        <x:v>84.55490858492799</x:v>
      </x:c>
      <x:c r="H68" s="23" t="n">
        <x:v>10</x:v>
      </x:c>
      <x:c r="I68" s="21" t="n">
        <x:v>4.907983449999998</x:v>
      </x:c>
      <x:c r="J68" s="21" t="n">
        <x:v>5.987588799931109</x:v>
      </x:c>
      <x:c r="K68" s="25"/>
      <x:c r="L68" s="27" t="str">
        <x:f>""</x:f>
      </x:c>
      <x:c r="M68" s="27" t="str">
        <x:f>""</x:f>
      </x:c>
    </x:row>
    <x:row r="69" ht="21" customHeight="1">
      <x:c r="A69" s="3" t="str">
        <x:v>EXP046</x:v>
      </x:c>
      <x:c r="B69" s="3" t="str">
        <x:v>Exp. 4</x:v>
      </x:c>
      <x:c r="C69" s="3" t="str">
        <x:v>Fixed rank 3</x:v>
      </x:c>
      <x:c r="D69" s="18" t="n">
        <x:v>20</x:v>
      </x:c>
      <x:c r="E69" s="18" t="n">
        <x:v>200</x:v>
      </x:c>
      <x:c r="F69" s="21" t="n">
        <x:f>AVERAGEIFS('Runs'!$F$1354:$F$1453,'Runs'!$A$1354:$A$1453,A69,'Runs'!$D$1354:$D$1453,C69)</x:f>
        <x:v>164.89277913508025</x:v>
      </x:c>
      <x:c r="G69" s="21" t="n">
        <x:v>83.97000814441255</x:v>
      </x:c>
      <x:c r="H69" s="23" t="n">
        <x:v>3</x:v>
      </x:c>
      <x:c r="I69" s="21" t="n">
        <x:v>5.197394499999997</x:v>
      </x:c>
      <x:c r="J69" s="21" t="n">
        <x:v>6.03241837087553</x:v>
      </x:c>
      <x:c r="K69" s="25"/>
      <x:c r="L69" s="27" t="str">
        <x:f>""</x:f>
      </x:c>
      <x:c r="M69" s="27" t="str">
        <x:f>""</x:f>
      </x:c>
    </x:row>
    <x:row r="70" ht="21" customHeight="1">
      <x:c r="A70" s="3" t="str">
        <x:v>EXP046</x:v>
      </x:c>
      <x:c r="B70" s="3" t="str">
        <x:v>Exp. 4</x:v>
      </x:c>
      <x:c r="C70" s="3" t="str">
        <x:v>Fixed rank 5</x:v>
      </x:c>
      <x:c r="D70" s="18" t="n">
        <x:v>20</x:v>
      </x:c>
      <x:c r="E70" s="18" t="n">
        <x:v>200</x:v>
      </x:c>
      <x:c r="F70" s="21" t="n">
        <x:f>AVERAGEIFS('Runs'!$F$1354:$F$1453,'Runs'!$A$1354:$A$1453,A70,'Runs'!$D$1354:$D$1453,C70)</x:f>
        <x:v>165.01204031783533</x:v>
      </x:c>
      <x:c r="G70" s="21" t="n">
        <x:v>84.08926932716763</x:v>
      </x:c>
      <x:c r="H70" s="23" t="n">
        <x:v>5</x:v>
      </x:c>
      <x:c r="I70" s="21" t="n">
        <x:v>4.53397685</x:v>
      </x:c>
      <x:c r="J70" s="21" t="n">
        <x:v>6.04032033541007</x:v>
      </x:c>
      <x:c r="K70" s="25"/>
      <x:c r="L70" s="27" t="str">
        <x:f>""</x:f>
      </x:c>
      <x:c r="M70" s="27" t="str">
        <x:f>""</x:f>
      </x:c>
    </x:row>
    <x:row r="71" ht="21" customHeight="1">
      <x:c r="A71" s="3" t="str">
        <x:v>EXP046</x:v>
      </x:c>
      <x:c r="B71" s="3" t="str">
        <x:v>Exp. 4</x:v>
      </x:c>
      <x:c r="C71" s="3" t="str">
        <x:v>Full</x:v>
      </x:c>
      <x:c r="D71" s="18" t="n">
        <x:v>20</x:v>
      </x:c>
      <x:c r="E71" s="18" t="n">
        <x:v>200</x:v>
      </x:c>
      <x:c r="F71" s="21" t="n">
        <x:f>AVERAGEIFS('Runs'!$F$1354:$F$1453,'Runs'!$A$1354:$A$1453,A71,'Runs'!$D$1354:$D$1453,C71)</x:f>
        <x:v>163.79482021590093</x:v>
      </x:c>
      <x:c r="G71" s="21" t="n">
        <x:v>82.87204922523323</x:v>
      </x:c>
      <x:c r="H71" s="23" t="n">
        <x:v>100</x:v>
      </x:c>
      <x:c r="I71" s="21" t="n">
        <x:v>1.1707985999999984</x:v>
      </x:c>
      <x:c r="J71" s="21" t="n">
        <x:v>1.1838560937030707</x:v>
      </x:c>
      <x:c r="K71" s="25"/>
      <x:c r="L71" s="27" t="str">
        <x:f>""</x:f>
      </x:c>
      <x:c r="M71" s="27" t="str">
        <x:f>""</x:f>
      </x:c>
    </x:row>
    <x:row r="72" ht="21" customHeight="1">
      <x:c r="A72" s="3" t="str">
        <x:v>EXP046</x:v>
      </x:c>
      <x:c r="B72" s="3" t="str">
        <x:v>Exp. 4</x:v>
      </x:c>
      <x:c r="C72" s="3" t="str">
        <x:v>Relative cutoff 1e-2</x:v>
      </x:c>
      <x:c r="D72" s="18" t="n">
        <x:v>20</x:v>
      </x:c>
      <x:c r="E72" s="18" t="n">
        <x:v>200</x:v>
      </x:c>
      <x:c r="F72" s="21" t="n">
        <x:f>AVERAGEIFS('Runs'!$F$1354:$F$1453,'Runs'!$A$1354:$A$1453,A72,'Runs'!$D$1354:$D$1453,C72)</x:f>
        <x:v>164.21148750895495</x:v>
      </x:c>
      <x:c r="G72" s="21" t="n">
        <x:v>83.28871651828723</x:v>
      </x:c>
      <x:c r="H72" s="23" t="n">
        <x:v>3.4150000000000005</x:v>
      </x:c>
      <x:c r="I72" s="21" t="n">
        <x:v>1.1868329000000024</x:v>
      </x:c>
      <x:c r="J72" s="21" t="n">
        <x:v>1.2025527061952743</x:v>
      </x:c>
      <x:c r="K72" s="25"/>
      <x:c r="L72" s="27" t="str">
        <x:f>""</x:f>
      </x:c>
      <x:c r="M72" s="27" t="str">
        <x:f>""</x:f>
      </x:c>
    </x:row>
    <x:row r="73" ht="21" customHeight="1">
      <x:c r="A73" s="3" t="str">
        <x:v>EXP049</x:v>
      </x:c>
      <x:c r="B73" s="3" t="str">
        <x:v>Exp. 5</x:v>
      </x:c>
      <x:c r="C73" s="3" t="str">
        <x:v>BBP</x:v>
      </x:c>
      <x:c r="D73" s="18" t="n">
        <x:v>15</x:v>
      </x:c>
      <x:c r="E73" s="18" t="n">
        <x:v>200</x:v>
      </x:c>
      <x:c r="F73" s="21" t="n">
        <x:f>AVERAGEIFS('Runs'!$F$1454:$F$1648,'Runs'!$A$1454:$A$1648,A73,'Runs'!$D$1454:$D$1648,C73)</x:f>
        <x:v>261.27529194909033</x:v>
      </x:c>
      <x:c r="G73" s="21" t="n">
        <x:v>111.368551825401</x:v>
      </x:c>
      <x:c r="H73" s="23" t="n">
        <x:v>23.2</x:v>
      </x:c>
      <x:c r="I73" s="21" t="n">
        <x:v>3.027106266666676</x:v>
      </x:c>
      <x:c r="J73" s="21" t="n">
        <x:v>7.675381114364912</x:v>
      </x:c>
      <x:c r="K73" s="25"/>
      <x:c r="L73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3" s="27" t="n">
        <x:f>SUMIFS('Runs'!$G$1454:$G$1648,'Runs'!$D$1454:$D$1648,"BBP",'Runs'!$G$1454:$G$1648,"&lt;&gt;")/SUMIFS('Runs'!$F$1454:$F$1648,'Runs'!$D$1454:$D$1648,"BBP",'Runs'!$G$1454:$G$1648,"&lt;&gt;")-1</x:f>
        <x:v>0</x:v>
      </x:c>
    </x:row>
    <x:row r="74" ht="21" customHeight="1">
      <x:c r="A74" s="3" t="str">
        <x:v>EXP049</x:v>
      </x:c>
      <x:c r="B74" s="3" t="str">
        <x:v>Exp. 5</x:v>
      </x:c>
      <x:c r="C74" s="3" t="str">
        <x:v>Relative cutoff 1e-5</x:v>
      </x:c>
      <x:c r="D74" s="18" t="n">
        <x:v>15</x:v>
      </x:c>
      <x:c r="E74" s="18" t="n">
        <x:v>200</x:v>
      </x:c>
      <x:c r="F74" s="21" t="n">
        <x:f>AVERAGEIFS('Runs'!$F$1454:$F$1648,'Runs'!$A$1454:$A$1648,A74,'Runs'!$D$1454:$D$1648,C74)</x:f>
        <x:v>261.11427052006906</x:v>
      </x:c>
      <x:c r="G74" s="21" t="n">
        <x:v>111.20753039637968</x:v>
      </x:c>
      <x:c r="H74" s="23" t="n">
        <x:v>30.886666666666667</x:v>
      </x:c>
      <x:c r="I74" s="21" t="n">
        <x:v>2.9908310666666584</x:v>
      </x:c>
      <x:c r="J74" s="21" t="n">
        <x:v>7.762533225025981</x:v>
      </x:c>
      <x:c r="K74" s="25"/>
      <x:c r="L74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4" s="27" t="n">
        <x:f>SUMIFS('Runs'!$G$1454:$G$1648,'Runs'!$D$1454:$D$1648,"Relative cutoff 1e-5",'Runs'!$G$1454:$G$1648,"&lt;&gt;")/SUMIFS('Runs'!$F$1454:$F$1648,'Runs'!$D$1454:$D$1648,"Relative cutoff 1e-5",'Runs'!$G$1454:$G$1648,"&lt;&gt;")-1</x:f>
        <x:v>0.0006166703516454763</x:v>
      </x:c>
    </x:row>
    <x:row r="75" ht="21" customHeight="1">
      <x:c r="A75" s="3" t="str">
        <x:v>EXP049</x:v>
      </x:c>
      <x:c r="B75" s="3" t="str">
        <x:v>Exp. 5</x:v>
      </x:c>
      <x:c r="C75" s="3" t="str">
        <x:v>NN-AGP (m=7)</x:v>
      </x:c>
      <x:c r="D75" s="18" t="n">
        <x:v>15</x:v>
      </x:c>
      <x:c r="E75" s="18" t="n">
        <x:v>200</x:v>
      </x:c>
      <x:c r="F75" s="21" t="n">
        <x:f>AVERAGEIFS('Runs'!$F$1454:$F$1648,'Runs'!$A$1454:$A$1648,A75,'Runs'!$D$1454:$D$1648,C75)</x:f>
        <x:v>279.7478220794643</x:v>
      </x:c>
      <x:c r="G75" s="21" t="n">
        <x:v>129.31373246662778</x:v>
      </x:c>
      <x:c r="H75" s="23" t="n">
        <x:v>7</x:v>
      </x:c>
      <x:c r="I75" s="21" t="n">
        <x:v>40.65311673333335</x:v>
      </x:c>
      <x:c r="J75" s="21" t="n">
        <x:v>89.51080963091614</x:v>
      </x:c>
      <x:c r="K75" s="25"/>
      <x:c r="L75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5" s="27" t="n">
        <x:f>SUMIFS('Runs'!$G$1454:$G$1648,'Runs'!$D$1454:$D$1648,"NN-AGP (m=7)",'Runs'!$G$1454:$G$1648,"&lt;&gt;")/SUMIFS('Runs'!$F$1454:$F$1648,'Runs'!$D$1454:$D$1648,"NN-AGP (m=7)",'Runs'!$G$1454:$G$1648,"&lt;&gt;")-1</x:f>
        <x:v>-0.06603279336747314</x:v>
      </x:c>
    </x:row>
    <x:row r="76" ht="21" customHeight="1">
      <x:c r="A76" s="3" t="str">
        <x:v>EXP049</x:v>
      </x:c>
      <x:c r="B76" s="3" t="str">
        <x:v>Exp. 5</x:v>
      </x:c>
      <x:c r="C76" s="3" t="str">
        <x:v>Fixed rank 10</x:v>
      </x:c>
      <x:c r="D76" s="18" t="n">
        <x:v>15</x:v>
      </x:c>
      <x:c r="E76" s="18" t="n">
        <x:v>200</x:v>
      </x:c>
      <x:c r="F76" s="21" t="n">
        <x:f>AVERAGEIFS('Runs'!$F$1454:$F$1648,'Runs'!$A$1454:$A$1648,A76,'Runs'!$D$1454:$D$1648,C76)</x:f>
        <x:v>258.99151780296745</x:v>
      </x:c>
      <x:c r="G76" s="21" t="n">
        <x:v>109.08477767927812</x:v>
      </x:c>
      <x:c r="H76" s="23" t="n">
        <x:v>10</x:v>
      </x:c>
      <x:c r="I76" s="21" t="n">
        <x:v>2.9872359333333383</x:v>
      </x:c>
      <x:c r="J76" s="21" t="n">
        <x:v>6.785879247806346</x:v>
      </x:c>
      <x:c r="K76" s="25"/>
      <x:c r="L76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6" s="27" t="n">
        <x:f>SUMIFS('Runs'!$G$1454:$G$1648,'Runs'!$D$1454:$D$1648,"Fixed rank 10",'Runs'!$G$1454:$G$1648,"&lt;&gt;")/SUMIFS('Runs'!$F$1454:$F$1648,'Runs'!$D$1454:$D$1648,"Fixed rank 10",'Runs'!$G$1454:$G$1648,"&lt;&gt;")-1</x:f>
        <x:v>0.008817949581886753</x:v>
      </x:c>
    </x:row>
    <x:row r="77" ht="21" customHeight="1">
      <x:c r="A77" s="3" t="str">
        <x:v>EXP049</x:v>
      </x:c>
      <x:c r="B77" s="3" t="str">
        <x:v>Exp. 5</x:v>
      </x:c>
      <x:c r="C77" s="3" t="str">
        <x:v>Fixed rank 25</x:v>
      </x:c>
      <x:c r="D77" s="18" t="n">
        <x:v>15</x:v>
      </x:c>
      <x:c r="E77" s="18" t="n">
        <x:v>200</x:v>
      </x:c>
      <x:c r="F77" s="21" t="n">
        <x:f>AVERAGEIFS('Runs'!$F$1454:$F$1648,'Runs'!$A$1454:$A$1648,A77,'Runs'!$D$1454:$D$1648,C77)</x:f>
        <x:v>260.6949145178943</x:v>
      </x:c>
      <x:c r="G77" s="21" t="n">
        <x:v>110.78817439420486</x:v>
      </x:c>
      <x:c r="H77" s="23" t="n">
        <x:v>25</x:v>
      </x:c>
      <x:c r="I77" s="21" t="n">
        <x:v>2.9866533999999927</x:v>
      </x:c>
      <x:c r="J77" s="21" t="n">
        <x:v>7.397213564766571</x:v>
      </x:c>
      <x:c r="K77" s="25"/>
      <x:c r="L77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7" s="27" t="n">
        <x:f>SUMIFS('Runs'!$G$1454:$G$1648,'Runs'!$D$1454:$D$1648,"Fixed rank 25",'Runs'!$G$1454:$G$1648,"&lt;&gt;")/SUMIFS('Runs'!$F$1454:$F$1648,'Runs'!$D$1454:$D$1648,"Fixed rank 25",'Runs'!$G$1454:$G$1648,"&lt;&gt;")-1</x:f>
        <x:v>0.0022262706285214318</x:v>
      </x:c>
    </x:row>
    <x:row r="78" ht="21" customHeight="1">
      <x:c r="A78" s="3" t="str">
        <x:v>EXP049</x:v>
      </x:c>
      <x:c r="B78" s="3" t="str">
        <x:v>Exp. 5</x:v>
      </x:c>
      <x:c r="C78" s="3" t="str">
        <x:v>Relative cutoff 1e-6</x:v>
      </x:c>
      <x:c r="D78" s="18" t="n">
        <x:v>15</x:v>
      </x:c>
      <x:c r="E78" s="18" t="n">
        <x:v>200</x:v>
      </x:c>
      <x:c r="F78" s="21" t="n">
        <x:f>AVERAGEIFS('Runs'!$F$1454:$F$1648,'Runs'!$A$1454:$A$1648,A78,'Runs'!$D$1454:$D$1648,C78)</x:f>
        <x:v>261.80547160537276</x:v>
      </x:c>
      <x:c r="G78" s="21" t="n">
        <x:v>111.89873148168338</x:v>
      </x:c>
      <x:c r="H78" s="23" t="n">
        <x:v>45.260000000000005</x:v>
      </x:c>
      <x:c r="I78" s="21" t="n">
        <x:v>2.981339733333327</x:v>
      </x:c>
      <x:c r="J78" s="21" t="n">
        <x:v>7.397387739426146</x:v>
      </x:c>
      <x:c r="K78" s="25"/>
      <x:c r="L78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8" s="27" t="n">
        <x:f>SUMIFS('Runs'!$G$1454:$G$1648,'Runs'!$D$1454:$D$1648,"Relative cutoff 1e-6",'Runs'!$G$1454:$G$1648,"&lt;&gt;")/SUMIFS('Runs'!$F$1454:$F$1648,'Runs'!$D$1454:$D$1648,"Relative cutoff 1e-6",'Runs'!$G$1454:$G$1648,"&lt;&gt;")-1</x:f>
        <x:v>-0.002025090052669265</x:v>
      </x:c>
    </x:row>
    <x:row r="79" ht="21" customHeight="1">
      <x:c r="A79" s="3" t="str">
        <x:v>EXP049</x:v>
      </x:c>
      <x:c r="B79" s="3" t="str">
        <x:v>Exp. 5</x:v>
      </x:c>
      <x:c r="C79" s="3" t="str">
        <x:v>Full</x:v>
      </x:c>
      <x:c r="D79" s="18" t="n">
        <x:v>15</x:v>
      </x:c>
      <x:c r="E79" s="18" t="n">
        <x:v>200</x:v>
      </x:c>
      <x:c r="F79" s="21" t="n">
        <x:f>AVERAGEIFS('Runs'!$F$1454:$F$1648,'Runs'!$A$1454:$A$1648,A79,'Runs'!$D$1454:$D$1648,C79)</x:f>
        <x:v>261.1950953346153</x:v>
      </x:c>
      <x:c r="G79" s="21" t="n">
        <x:v>111.28835521092589</x:v>
      </x:c>
      <x:c r="H79" s="23" t="n">
        <x:v>100</x:v>
      </x:c>
      <x:c r="I79" s="21" t="n">
        <x:v>2.993139399999999</x:v>
      </x:c>
      <x:c r="J79" s="21" t="n">
        <x:v>8.38620513495989</x:v>
      </x:c>
      <x:c r="K79" s="25"/>
      <x:c r="L79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79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</x:row>
    <x:row r="80" ht="21" customHeight="1">
      <x:c r="A80" s="3" t="str">
        <x:v>EXP049</x:v>
      </x:c>
      <x:c r="B80" s="3" t="str">
        <x:v>Exp. 5</x:v>
      </x:c>
      <x:c r="C80" s="3" t="str">
        <x:v>GP-UCB (weighted sum)</x:v>
      </x:c>
      <x:c r="D80" s="18" t="n">
        <x:v>15</x:v>
      </x:c>
      <x:c r="E80" s="18" t="n">
        <x:v>200</x:v>
      </x:c>
      <x:c r="F80" s="21" t="n">
        <x:f>AVERAGEIFS('Runs'!$F$1454:$F$1648,'Runs'!$A$1454:$A$1648,A80,'Runs'!$D$1454:$D$1648,C80)</x:f>
        <x:v>416.0406091524955</x:v>
      </x:c>
      <x:c r="G80" s="21" t="n">
        <x:v>226.9860588300833</x:v>
      </x:c>
      <x:c r="H80" s="23"/>
      <x:c r="I80" s="21" t="n">
        <x:v>0.7067169333333398</x:v>
      </x:c>
      <x:c r="J80" s="21" t="n">
        <x:v>1.509310405359914</x:v>
      </x:c>
      <x:c r="K80" s="25"/>
      <x:c r="L80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80" s="27" t="n">
        <x:f>SUMIFS('Runs'!$G$1454:$G$1648,'Runs'!$D$1454:$D$1648,"GP-UCB (weighted sum)",'Runs'!$G$1454:$G$1648,"&lt;&gt;")/SUMIFS('Runs'!$F$1454:$F$1648,'Runs'!$D$1454:$D$1648,"GP-UCB (weighted sum)",'Runs'!$G$1454:$G$1648,"&lt;&gt;")-1</x:f>
        <x:v>-0.3719956989743698</x:v>
      </x:c>
    </x:row>
    <x:row r="81" ht="21" customHeight="1">
      <x:c r="A81" s="3" t="str">
        <x:v>EXP049</x:v>
      </x:c>
      <x:c r="B81" s="3" t="str">
        <x:v>Exp. 5</x:v>
      </x:c>
      <x:c r="C81" s="3" t="str">
        <x:v>GP-UCB (product)</x:v>
      </x:c>
      <x:c r="D81" s="18" t="n">
        <x:v>15</x:v>
      </x:c>
      <x:c r="E81" s="18" t="n">
        <x:v>200</x:v>
      </x:c>
      <x:c r="F81" s="21" t="n">
        <x:f>AVERAGEIFS('Runs'!$F$1454:$F$1648,'Runs'!$A$1454:$A$1648,A81,'Runs'!$D$1454:$D$1648,C81)</x:f>
        <x:v>293.8076769202701</x:v>
      </x:c>
      <x:c r="G81" s="21" t="n">
        <x:v>137.9431975530532</x:v>
      </x:c>
      <x:c r="H81" s="23"/>
      <x:c r="I81" s="21" t="n">
        <x:v>0.7754252666666583</x:v>
      </x:c>
      <x:c r="J81" s="21" t="n">
        <x:v>1.7266269982947657</x:v>
      </x:c>
      <x:c r="K81" s="25"/>
      <x:c r="L81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81" s="27" t="n">
        <x:f>SUMIFS('Runs'!$G$1454:$G$1648,'Runs'!$D$1454:$D$1648,"GP-UCB (product)",'Runs'!$G$1454:$G$1648,"&lt;&gt;")/SUMIFS('Runs'!$F$1454:$F$1648,'Runs'!$D$1454:$D$1648,"GP-UCB (product)",'Runs'!$G$1454:$G$1648,"&lt;&gt;")-1</x:f>
        <x:v>-0.11072680371115018</x:v>
      </x:c>
    </x:row>
    <x:row r="82" ht="21" customHeight="1">
      <x:c r="A82" s="3" t="str">
        <x:v>EXP049</x:v>
      </x:c>
      <x:c r="B82" s="3" t="str">
        <x:v>Exp. 5</x:v>
      </x:c>
      <x:c r="C82" s="3" t="str">
        <x:v>NeuralUCB</x:v>
      </x:c>
      <x:c r="D82" s="18" t="n">
        <x:v>15</x:v>
      </x:c>
      <x:c r="E82" s="18" t="n">
        <x:v>200</x:v>
      </x:c>
      <x:c r="F82" s="21" t="n">
        <x:f>AVERAGEIFS('Runs'!$F$1454:$F$1648,'Runs'!$A$1454:$A$1648,A82,'Runs'!$D$1454:$D$1648,C82)</x:f>
        <x:v>482.1414539203289</x:v>
      </x:c>
      <x:c r="G82" s="21" t="n">
        <x:v>240.73010855327888</x:v>
      </x:c>
      <x:c r="H82" s="23"/>
      <x:c r="I82" s="21" t="n">
        <x:v>14.692715733333355</x:v>
      </x:c>
      <x:c r="J82" s="21" t="n">
        <x:v>32.370587741956115</x:v>
      </x:c>
      <x:c r="K82" s="25"/>
      <x:c r="L82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82" s="27" t="n">
        <x:f>SUMIFS('Runs'!$G$1454:$G$1648,'Runs'!$D$1454:$D$1648,"NeuralUCB",'Runs'!$G$1454:$G$1648,"&lt;&gt;")/SUMIFS('Runs'!$F$1454:$F$1648,'Runs'!$D$1454:$D$1648,"NeuralUCB",'Runs'!$G$1454:$G$1648,"&lt;&gt;")-1</x:f>
        <x:v>-0.4580941136161576</x:v>
      </x:c>
    </x:row>
    <x:row r="83" ht="21" customHeight="1">
      <x:c r="A83" s="3" t="str">
        <x:v>EXP049</x:v>
      </x:c>
      <x:c r="B83" s="3" t="str">
        <x:v>Exp. 5</x:v>
      </x:c>
      <x:c r="C83" s="3" t="str">
        <x:v>NN-UCB</x:v>
      </x:c>
      <x:c r="D83" s="18" t="n">
        <x:v>15</x:v>
      </x:c>
      <x:c r="E83" s="18" t="n">
        <x:v>200</x:v>
      </x:c>
      <x:c r="F83" s="21" t="n">
        <x:f>AVERAGEIFS('Runs'!$F$1454:$F$1648,'Runs'!$A$1454:$A$1648,A83,'Runs'!$D$1454:$D$1648,C83)</x:f>
        <x:v>451.6893016192215</x:v>
      </x:c>
      <x:c r="G83" s="21" t="n">
        <x:v>228.32261443558053</x:v>
      </x:c>
      <x:c r="H83" s="23"/>
      <x:c r="I83" s="21" t="n">
        <x:v>8.42624593333333</x:v>
      </x:c>
      <x:c r="J83" s="21" t="n">
        <x:v>18.90921189871927</x:v>
      </x:c>
      <x:c r="K83" s="25"/>
      <x:c r="L83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83" s="27" t="n">
        <x:f>SUMIFS('Runs'!$G$1454:$G$1648,'Runs'!$D$1454:$D$1648,"NN-UCB",'Runs'!$G$1454:$G$1648,"&lt;&gt;")/SUMIFS('Runs'!$F$1454:$F$1648,'Runs'!$D$1454:$D$1648,"NN-UCB",'Runs'!$G$1454:$G$1648,"&lt;&gt;")-1</x:f>
        <x:v>-0.4215597070542353</x:v>
      </x:c>
    </x:row>
    <x:row r="84" ht="21" customHeight="1">
      <x:c r="A84" s="3" t="str">
        <x:v>EXP049</x:v>
      </x:c>
      <x:c r="B84" s="3" t="str">
        <x:v>Exp. 5</x:v>
      </x:c>
      <x:c r="C84" s="3" t="str">
        <x:v>Relative cutoff 1e-2</x:v>
      </x:c>
      <x:c r="D84" s="18" t="n">
        <x:v>15</x:v>
      </x:c>
      <x:c r="E84" s="18" t="n">
        <x:v>200</x:v>
      </x:c>
      <x:c r="F84" s="21" t="n">
        <x:f>AVERAGEIFS('Runs'!$F$1454:$F$1648,'Runs'!$A$1454:$A$1648,A84,'Runs'!$D$1454:$D$1648,C84)</x:f>
        <x:v>261.9744398880848</x:v>
      </x:c>
      <x:c r="G84" s="21" t="n">
        <x:v>112.06769976439544</x:v>
      </x:c>
      <x:c r="H84" s="23" t="n">
        <x:v>3.2466666666666675</x:v>
      </x:c>
      <x:c r="I84" s="21" t="n">
        <x:v>2.99449553333333</x:v>
      </x:c>
      <x:c r="J84" s="21" t="n">
        <x:v>8.908394227999572</x:v>
      </x:c>
      <x:c r="K84" s="25"/>
      <x:c r="L84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84" s="27" t="n">
        <x:f>SUMIFS('Runs'!$G$1454:$G$1648,'Runs'!$D$1454:$D$1648,"Relative cutoff 1e-2",'Runs'!$G$1454:$G$1648,"&lt;&gt;")/SUMIFS('Runs'!$F$1454:$F$1648,'Runs'!$D$1454:$D$1648,"Relative cutoff 1e-2",'Runs'!$G$1454:$G$1648,"&lt;&gt;")-1</x:f>
        <x:v>-0.0026687639423644827</x:v>
      </x:c>
    </x:row>
    <x:row r="85" ht="21" customHeight="1">
      <x:c r="A85" s="3" t="str">
        <x:v>EXP049</x:v>
      </x:c>
      <x:c r="B85" s="3" t="str">
        <x:v>Exp. 5</x:v>
      </x:c>
      <x:c r="C85" s="3" t="str">
        <x:v>Relative cutoff 1e-4</x:v>
      </x:c>
      <x:c r="D85" s="18" t="n">
        <x:v>15</x:v>
      </x:c>
      <x:c r="E85" s="18" t="n">
        <x:v>200</x:v>
      </x:c>
      <x:c r="F85" s="21" t="n">
        <x:f>AVERAGEIFS('Runs'!$F$1454:$F$1648,'Runs'!$A$1454:$A$1648,A85,'Runs'!$D$1454:$D$1648,C85)</x:f>
        <x:v>259.8714717280811</x:v>
      </x:c>
      <x:c r="G85" s="21" t="n">
        <x:v>109.96473160439177</x:v>
      </x:c>
      <x:c r="H85" s="23" t="n">
        <x:v>13.52</x:v>
      </x:c>
      <x:c r="I85" s="21" t="n">
        <x:v>3.0028994666666744</x:v>
      </x:c>
      <x:c r="J85" s="21" t="n">
        <x:v>8.419249035061027</x:v>
      </x:c>
      <x:c r="K85" s="25"/>
      <x:c r="L85" s="27" t="n">
        <x:f>SUMIFS('Runs'!$G$1454:$G$1648,'Runs'!$D$1454:$D$1648,"Full",'Runs'!$G$1454:$G$1648,"&lt;&gt;")/SUMIFS('Runs'!$F$1454:$F$1648,'Runs'!$D$1454:$D$1648,"Full",'Runs'!$G$1454:$G$1648,"&lt;&gt;")-1</x:f>
        <x:v>0.0003070372143563205</x:v>
      </x:c>
      <x:c r="M85" s="27" t="n">
        <x:f>SUMIFS('Runs'!$G$1454:$G$1648,'Runs'!$D$1454:$D$1648,"Relative cutoff 1e-4",'Runs'!$G$1454:$G$1648,"&lt;&gt;")/SUMIFS('Runs'!$F$1454:$F$1648,'Runs'!$D$1454:$D$1648,"Relative cutoff 1e-4",'Runs'!$G$1454:$G$1648,"&lt;&gt;")-1</x:f>
        <x:v>0.005401978953958331</x:v>
      </x:c>
    </x:row>
    <x:row r="86" ht="21" customHeight="1">
      <x:c r="A86" s="3" t="str">
        <x:v>EXP052</x:v>
      </x:c>
      <x:c r="B86" s="3" t="str">
        <x:v>Exp. 5</x:v>
      </x:c>
      <x:c r="C86" s="3" t="str">
        <x:v>Fixed rank 10</x:v>
      </x:c>
      <x:c r="D86" s="18" t="n">
        <x:v>20</x:v>
      </x:c>
      <x:c r="E86" s="18" t="n">
        <x:v>200</x:v>
      </x:c>
      <x:c r="F86" s="21" t="n">
        <x:f>AVERAGEIFS('Runs'!$F$1649:$F$1748,'Runs'!$A$1649:$A$1748,A86,'Runs'!$D$1649:$D$1748,C86)</x:f>
        <x:v>266.7097333550974</x:v>
      </x:c>
      <x:c r="G86" s="21" t="n">
        <x:v>108.44261302184778</x:v>
      </x:c>
      <x:c r="H86" s="23" t="n">
        <x:v>10</x:v>
      </x:c>
      <x:c r="I86" s="21" t="n">
        <x:v>4.908020749999999</x:v>
      </x:c>
      <x:c r="J86" s="21" t="n">
        <x:v>5.807855739525985</x:v>
      </x:c>
      <x:c r="K86" s="25"/>
      <x:c r="L86" s="27" t="str">
        <x:f>""</x:f>
      </x:c>
      <x:c r="M86" s="27" t="str">
        <x:f>""</x:f>
      </x:c>
    </x:row>
    <x:row r="87" ht="21" customHeight="1">
      <x:c r="A87" s="3" t="str">
        <x:v>EXP052</x:v>
      </x:c>
      <x:c r="B87" s="3" t="str">
        <x:v>Exp. 5</x:v>
      </x:c>
      <x:c r="C87" s="3" t="str">
        <x:v>Fixed rank 3</x:v>
      </x:c>
      <x:c r="D87" s="18" t="n">
        <x:v>20</x:v>
      </x:c>
      <x:c r="E87" s="18" t="n">
        <x:v>200</x:v>
      </x:c>
      <x:c r="F87" s="21" t="n">
        <x:f>AVERAGEIFS('Runs'!$F$1649:$F$1748,'Runs'!$A$1649:$A$1748,A87,'Runs'!$D$1649:$D$1748,C87)</x:f>
        <x:v>271.42936915714506</x:v>
      </x:c>
      <x:c r="G87" s="21" t="n">
        <x:v>113.16224882389557</x:v>
      </x:c>
      <x:c r="H87" s="23" t="n">
        <x:v>3</x:v>
      </x:c>
      <x:c r="I87" s="21" t="n">
        <x:v>5.142600899999998</x:v>
      </x:c>
      <x:c r="J87" s="21" t="n">
        <x:v>5.939216604118701</x:v>
      </x:c>
      <x:c r="K87" s="25"/>
      <x:c r="L87" s="27" t="str">
        <x:f>""</x:f>
      </x:c>
      <x:c r="M87" s="27" t="str">
        <x:f>""</x:f>
      </x:c>
    </x:row>
    <x:row r="88" ht="21" customHeight="1">
      <x:c r="A88" s="3" t="str">
        <x:v>EXP052</x:v>
      </x:c>
      <x:c r="B88" s="3" t="str">
        <x:v>Exp. 5</x:v>
      </x:c>
      <x:c r="C88" s="3" t="str">
        <x:v>Fixed rank 5</x:v>
      </x:c>
      <x:c r="D88" s="18" t="n">
        <x:v>20</x:v>
      </x:c>
      <x:c r="E88" s="18" t="n">
        <x:v>200</x:v>
      </x:c>
      <x:c r="F88" s="21" t="n">
        <x:f>AVERAGEIFS('Runs'!$F$1649:$F$1748,'Runs'!$A$1649:$A$1748,A88,'Runs'!$D$1649:$D$1748,C88)</x:f>
        <x:v>267.2504750269972</x:v>
      </x:c>
      <x:c r="G88" s="21" t="n">
        <x:v>108.9833546937476</x:v>
      </x:c>
      <x:c r="H88" s="23" t="n">
        <x:v>5</x:v>
      </x:c>
      <x:c r="I88" s="21" t="n">
        <x:v>4.5180421</x:v>
      </x:c>
      <x:c r="J88" s="21" t="n">
        <x:v>5.7202832022216175</x:v>
      </x:c>
      <x:c r="K88" s="25"/>
      <x:c r="L88" s="27" t="str">
        <x:f>""</x:f>
      </x:c>
      <x:c r="M88" s="27" t="str">
        <x:f>""</x:f>
      </x:c>
    </x:row>
    <x:row r="89" ht="21" customHeight="1">
      <x:c r="A89" s="3" t="str">
        <x:v>EXP052</x:v>
      </x:c>
      <x:c r="B89" s="3" t="str">
        <x:v>Exp. 5</x:v>
      </x:c>
      <x:c r="C89" s="3" t="str">
        <x:v>Full</x:v>
      </x:c>
      <x:c r="D89" s="18" t="n">
        <x:v>20</x:v>
      </x:c>
      <x:c r="E89" s="18" t="n">
        <x:v>200</x:v>
      </x:c>
      <x:c r="F89" s="21" t="n">
        <x:f>AVERAGEIFS('Runs'!$F$1649:$F$1748,'Runs'!$A$1649:$A$1748,A89,'Runs'!$D$1649:$D$1748,C89)</x:f>
        <x:v>268.6351537078148</x:v>
      </x:c>
      <x:c r="G89" s="21" t="n">
        <x:v>110.36803337456536</x:v>
      </x:c>
      <x:c r="H89" s="23" t="n">
        <x:v>100</x:v>
      </x:c>
      <x:c r="I89" s="21" t="n">
        <x:v>1.315245849999998</x:v>
      </x:c>
      <x:c r="J89" s="21" t="n">
        <x:v>1.35412131450139</x:v>
      </x:c>
      <x:c r="K89" s="25"/>
      <x:c r="L89" s="27" t="str">
        <x:f>""</x:f>
      </x:c>
      <x:c r="M89" s="27" t="str">
        <x:f>""</x:f>
      </x:c>
    </x:row>
    <x:row r="90" ht="21" customHeight="1">
      <x:c r="A90" s="3" t="str">
        <x:v>EXP052</x:v>
      </x:c>
      <x:c r="B90" s="3" t="str">
        <x:v>Exp. 5</x:v>
      </x:c>
      <x:c r="C90" s="3" t="str">
        <x:v>Relative cutoff 1e-2</x:v>
      </x:c>
      <x:c r="D90" s="18" t="n">
        <x:v>20</x:v>
      </x:c>
      <x:c r="E90" s="18" t="n">
        <x:v>200</x:v>
      </x:c>
      <x:c r="F90" s="21" t="n">
        <x:f>AVERAGEIFS('Runs'!$F$1649:$F$1748,'Runs'!$A$1649:$A$1748,A90,'Runs'!$D$1649:$D$1748,C90)</x:f>
        <x:v>270.08730963522805</x:v>
      </x:c>
      <x:c r="G90" s="21" t="n">
        <x:v>111.82018930197849</x:v>
      </x:c>
      <x:c r="H90" s="23" t="n">
        <x:v>3.19</x:v>
      </x:c>
      <x:c r="I90" s="21" t="n">
        <x:v>1.3270494500000012</x:v>
      </x:c>
      <x:c r="J90" s="21" t="n">
        <x:v>1.366890825110022</x:v>
      </x:c>
      <x:c r="K90" s="25"/>
      <x:c r="L90" s="27" t="str">
        <x:f>""</x:f>
      </x:c>
      <x:c r="M90" s="27" t="str">
        <x:f>""</x:f>
      </x:c>
    </x:row>
    <x:row r="91" ht="21" customHeight="1">
      <x:c r="A91" s="3" t="str">
        <x:v>EXP055</x:v>
      </x:c>
      <x:c r="B91" s="3" t="str">
        <x:v>Exp. 6</x:v>
      </x:c>
      <x:c r="C91" s="3" t="str">
        <x:v>BBP</x:v>
      </x:c>
      <x:c r="D91" s="18" t="n">
        <x:v>15</x:v>
      </x:c>
      <x:c r="E91" s="18" t="n">
        <x:v>200</x:v>
      </x:c>
      <x:c r="F91" s="21" t="n">
        <x:f>AVERAGEIFS('Runs'!$F$1749:$F$1868,'Runs'!$A$1749:$A$1868,A91,'Runs'!$D$1749:$D$1868,C91)</x:f>
        <x:v>526.5683125737897</x:v>
      </x:c>
      <x:c r="G91" s="21" t="n">
        <x:v>280.18290433564056</x:v>
      </x:c>
      <x:c r="H91" s="23" t="n">
        <x:v>23.660000000000004</x:v>
      </x:c>
      <x:c r="I91" s="21" t="n">
        <x:v>3.0124302000000043</x:v>
      </x:c>
      <x:c r="J91" s="21" t="n">
        <x:v>7.805840794881806</x:v>
      </x:c>
      <x:c r="K91" s="25"/>
      <x:c r="L91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1" s="27" t="n">
        <x:f>SUMIFS('Runs'!$G$1749:$G$1868,'Runs'!$D$1749:$D$1868,"BBP",'Runs'!$G$1749:$G$1868,"&lt;&gt;")/SUMIFS('Runs'!$F$1749:$F$1868,'Runs'!$D$1749:$D$1868,"BBP",'Runs'!$G$1749:$G$1868,"&lt;&gt;")-1</x:f>
        <x:v>0</x:v>
      </x:c>
    </x:row>
    <x:row r="92" ht="21" customHeight="1">
      <x:c r="A92" s="3" t="str">
        <x:v>EXP055</x:v>
      </x:c>
      <x:c r="B92" s="3" t="str">
        <x:v>Exp. 6</x:v>
      </x:c>
      <x:c r="C92" s="3" t="str">
        <x:v>Relative cutoff 1e-5</x:v>
      </x:c>
      <x:c r="D92" s="18" t="n">
        <x:v>15</x:v>
      </x:c>
      <x:c r="E92" s="18" t="n">
        <x:v>200</x:v>
      </x:c>
      <x:c r="F92" s="21" t="n">
        <x:f>AVERAGEIFS('Runs'!$F$1749:$F$1868,'Runs'!$A$1749:$A$1868,A92,'Runs'!$D$1749:$D$1868,C92)</x:f>
        <x:v>525.6681096271475</x:v>
      </x:c>
      <x:c r="G92" s="21" t="n">
        <x:v>279.28270138899825</x:v>
      </x:c>
      <x:c r="H92" s="23" t="n">
        <x:v>23.526666666666664</x:v>
      </x:c>
      <x:c r="I92" s="21" t="n">
        <x:v>2.9710939999999946</x:v>
      </x:c>
      <x:c r="J92" s="21" t="n">
        <x:v>7.804923387787615</x:v>
      </x:c>
      <x:c r="K92" s="25"/>
      <x:c r="L92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2" s="27" t="n">
        <x:f>SUMIFS('Runs'!$G$1749:$G$1868,'Runs'!$D$1749:$D$1868,"Relative cutoff 1e-5",'Runs'!$G$1749:$G$1868,"&lt;&gt;")/SUMIFS('Runs'!$F$1749:$F$1868,'Runs'!$D$1749:$D$1868,"Relative cutoff 1e-5",'Runs'!$G$1749:$G$1868,"&lt;&gt;")-1</x:f>
        <x:v>0.0017124929782801335</x:v>
      </x:c>
    </x:row>
    <x:row r="93" ht="21" customHeight="1">
      <x:c r="A93" s="3" t="str">
        <x:v>EXP055</x:v>
      </x:c>
      <x:c r="B93" s="3" t="str">
        <x:v>Exp. 6</x:v>
      </x:c>
      <x:c r="C93" s="3" t="str">
        <x:v>Fixed rank 10</x:v>
      </x:c>
      <x:c r="D93" s="18" t="n">
        <x:v>15</x:v>
      </x:c>
      <x:c r="E93" s="18" t="n">
        <x:v>200</x:v>
      </x:c>
      <x:c r="F93" s="21" t="n">
        <x:f>AVERAGEIFS('Runs'!$F$1749:$F$1868,'Runs'!$A$1749:$A$1868,A93,'Runs'!$D$1749:$D$1868,C93)</x:f>
        <x:v>529.8325201226611</x:v>
      </x:c>
      <x:c r="G93" s="21" t="n">
        <x:v>283.44711188451197</x:v>
      </x:c>
      <x:c r="H93" s="23" t="n">
        <x:v>10</x:v>
      </x:c>
      <x:c r="I93" s="21" t="n">
        <x:v>2.971819133333332</x:v>
      </x:c>
      <x:c r="J93" s="21" t="n">
        <x:v>6.850574070215226</x:v>
      </x:c>
      <x:c r="K93" s="25"/>
      <x:c r="L93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3" s="27" t="n">
        <x:f>SUMIFS('Runs'!$G$1749:$G$1868,'Runs'!$D$1749:$D$1868,"Fixed rank 10",'Runs'!$G$1749:$G$1868,"&lt;&gt;")/SUMIFS('Runs'!$F$1749:$F$1868,'Runs'!$D$1749:$D$1868,"Fixed rank 10",'Runs'!$G$1749:$G$1868,"&lt;&gt;")-1</x:f>
        <x:v>-0.006160828988216238</x:v>
      </x:c>
    </x:row>
    <x:row r="94" ht="21" customHeight="1">
      <x:c r="A94" s="3" t="str">
        <x:v>EXP055</x:v>
      </x:c>
      <x:c r="B94" s="3" t="str">
        <x:v>Exp. 6</x:v>
      </x:c>
      <x:c r="C94" s="3" t="str">
        <x:v>Fixed rank 25</x:v>
      </x:c>
      <x:c r="D94" s="18" t="n">
        <x:v>15</x:v>
      </x:c>
      <x:c r="E94" s="18" t="n">
        <x:v>200</x:v>
      </x:c>
      <x:c r="F94" s="21" t="n">
        <x:f>AVERAGEIFS('Runs'!$F$1749:$F$1868,'Runs'!$A$1749:$A$1868,A94,'Runs'!$D$1749:$D$1868,C94)</x:f>
        <x:v>525.756752752477</x:v>
      </x:c>
      <x:c r="G94" s="21" t="n">
        <x:v>279.3713445143278</x:v>
      </x:c>
      <x:c r="H94" s="23" t="n">
        <x:v>25</x:v>
      </x:c>
      <x:c r="I94" s="21" t="n">
        <x:v>2.942547199999994</x:v>
      </x:c>
      <x:c r="J94" s="21" t="n">
        <x:v>7.213008277164772</x:v>
      </x:c>
      <x:c r="K94" s="25"/>
      <x:c r="L94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4" s="27" t="n">
        <x:f>SUMIFS('Runs'!$G$1749:$G$1868,'Runs'!$D$1749:$D$1868,"Fixed rank 25",'Runs'!$G$1749:$G$1868,"&lt;&gt;")/SUMIFS('Runs'!$F$1749:$F$1868,'Runs'!$D$1749:$D$1868,"Fixed rank 25",'Runs'!$G$1749:$G$1868,"&lt;&gt;")-1</x:f>
        <x:v>0.0015436032291815671</x:v>
      </x:c>
    </x:row>
    <x:row r="95" ht="21" customHeight="1">
      <x:c r="A95" s="3" t="str">
        <x:v>EXP055</x:v>
      </x:c>
      <x:c r="B95" s="3" t="str">
        <x:v>Exp. 6</x:v>
      </x:c>
      <x:c r="C95" s="3" t="str">
        <x:v>Relative cutoff 1e-6</x:v>
      </x:c>
      <x:c r="D95" s="18" t="n">
        <x:v>15</x:v>
      </x:c>
      <x:c r="E95" s="18" t="n">
        <x:v>200</x:v>
      </x:c>
      <x:c r="F95" s="21" t="n">
        <x:f>AVERAGEIFS('Runs'!$F$1749:$F$1868,'Runs'!$A$1749:$A$1868,A95,'Runs'!$D$1749:$D$1868,C95)</x:f>
        <x:v>527.294079603189</x:v>
      </x:c>
      <x:c r="G95" s="21" t="n">
        <x:v>280.90867136503977</x:v>
      </x:c>
      <x:c r="H95" s="23" t="n">
        <x:v>39.24</x:v>
      </x:c>
      <x:c r="I95" s="21" t="n">
        <x:v>2.9610942000000047</x:v>
      </x:c>
      <x:c r="J95" s="21" t="n">
        <x:v>7.6674013350624595</x:v>
      </x:c>
      <x:c r="K95" s="25"/>
      <x:c r="L95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5" s="27" t="n">
        <x:f>SUMIFS('Runs'!$G$1749:$G$1868,'Runs'!$D$1749:$D$1868,"Relative cutoff 1e-6",'Runs'!$G$1749:$G$1868,"&lt;&gt;")/SUMIFS('Runs'!$F$1749:$F$1868,'Runs'!$D$1749:$D$1868,"Relative cutoff 1e-6",'Runs'!$G$1749:$G$1868,"&lt;&gt;")-1</x:f>
        <x:v>-0.00137639897255315</x:v>
      </x:c>
    </x:row>
    <x:row r="96" ht="21" customHeight="1">
      <x:c r="A96" s="3" t="str">
        <x:v>EXP055</x:v>
      </x:c>
      <x:c r="B96" s="3" t="str">
        <x:v>Exp. 6</x:v>
      </x:c>
      <x:c r="C96" s="3" t="str">
        <x:v>Full</x:v>
      </x:c>
      <x:c r="D96" s="18" t="n">
        <x:v>15</x:v>
      </x:c>
      <x:c r="E96" s="18" t="n">
        <x:v>200</x:v>
      </x:c>
      <x:c r="F96" s="21" t="n">
        <x:f>AVERAGEIFS('Runs'!$F$1749:$F$1868,'Runs'!$A$1749:$A$1868,A96,'Runs'!$D$1749:$D$1868,C96)</x:f>
        <x:v>530.9826816085367</x:v>
      </x:c>
      <x:c r="G96" s="21" t="n">
        <x:v>284.5972733703876</x:v>
      </x:c>
      <x:c r="H96" s="23" t="n">
        <x:v>100</x:v>
      </x:c>
      <x:c r="I96" s="21" t="n">
        <x:v>2.965765733333333</x:v>
      </x:c>
      <x:c r="J96" s="21" t="n">
        <x:v>10.032363062724471</x:v>
      </x:c>
      <x:c r="K96" s="25"/>
      <x:c r="L96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6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</x:row>
    <x:row r="97" ht="21" customHeight="1">
      <x:c r="A97" s="3" t="str">
        <x:v>EXP055</x:v>
      </x:c>
      <x:c r="B97" s="3" t="str">
        <x:v>Exp. 6</x:v>
      </x:c>
      <x:c r="C97" s="3" t="str">
        <x:v>Relative cutoff 1e-2</x:v>
      </x:c>
      <x:c r="D97" s="18" t="n">
        <x:v>15</x:v>
      </x:c>
      <x:c r="E97" s="18" t="n">
        <x:v>200</x:v>
      </x:c>
      <x:c r="F97" s="21" t="n">
        <x:f>AVERAGEIFS('Runs'!$F$1749:$F$1868,'Runs'!$A$1749:$A$1868,A97,'Runs'!$D$1749:$D$1868,C97)</x:f>
        <x:v>538.1575396149065</x:v>
      </x:c>
      <x:c r="G97" s="21" t="n">
        <x:v>291.77213137675716</x:v>
      </x:c>
      <x:c r="H97" s="23" t="n">
        <x:v>2.8400000000000003</x:v>
      </x:c>
      <x:c r="I97" s="21" t="n">
        <x:v>2.972688199999999</x:v>
      </x:c>
      <x:c r="J97" s="21" t="n">
        <x:v>7.545789247813324</x:v>
      </x:c>
      <x:c r="K97" s="25"/>
      <x:c r="L97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7" s="27" t="n">
        <x:f>SUMIFS('Runs'!$G$1749:$G$1868,'Runs'!$D$1749:$D$1868,"Relative cutoff 1e-2",'Runs'!$G$1749:$G$1868,"&lt;&gt;")/SUMIFS('Runs'!$F$1749:$F$1868,'Runs'!$D$1749:$D$1868,"Relative cutoff 1e-2",'Runs'!$G$1749:$G$1868,"&lt;&gt;")-1</x:f>
        <x:v>-0.02153500822344645</x:v>
      </x:c>
    </x:row>
    <x:row r="98" ht="21" customHeight="1">
      <x:c r="A98" s="3" t="str">
        <x:v>EXP055</x:v>
      </x:c>
      <x:c r="B98" s="3" t="str">
        <x:v>Exp. 6</x:v>
      </x:c>
      <x:c r="C98" s="3" t="str">
        <x:v>Relative cutoff 1e-4</x:v>
      </x:c>
      <x:c r="D98" s="18" t="n">
        <x:v>15</x:v>
      </x:c>
      <x:c r="E98" s="18" t="n">
        <x:v>200</x:v>
      </x:c>
      <x:c r="F98" s="21" t="n">
        <x:f>AVERAGEIFS('Runs'!$F$1749:$F$1868,'Runs'!$A$1749:$A$1868,A98,'Runs'!$D$1749:$D$1868,C98)</x:f>
        <x:v>529.5315474143457</x:v>
      </x:c>
      <x:c r="G98" s="21" t="n">
        <x:v>283.1461391761966</x:v>
      </x:c>
      <x:c r="H98" s="23" t="n">
        <x:v>9.26</x:v>
      </x:c>
      <x:c r="I98" s="21" t="n">
        <x:v>2.958655933333331</x:v>
      </x:c>
      <x:c r="J98" s="21" t="n">
        <x:v>7.8915403445872165</x:v>
      </x:c>
      <x:c r="K98" s="25"/>
      <x:c r="L98" s="27" t="n">
        <x:f>SUMIFS('Runs'!$G$1749:$G$1868,'Runs'!$D$1749:$D$1868,"Full",'Runs'!$G$1749:$G$1868,"&lt;&gt;")/SUMIFS('Runs'!$F$1749:$F$1868,'Runs'!$D$1749:$D$1868,"Full",'Runs'!$G$1749:$G$1868,"&lt;&gt;")-1</x:f>
        <x:v>-0.008313583827958992</x:v>
      </x:c>
      <x:c r="M98" s="27" t="n">
        <x:f>SUMIFS('Runs'!$G$1749:$G$1868,'Runs'!$D$1749:$D$1868,"Relative cutoff 1e-4",'Runs'!$G$1749:$G$1868,"&lt;&gt;")/SUMIFS('Runs'!$F$1749:$F$1868,'Runs'!$D$1749:$D$1868,"Relative cutoff 1e-4",'Runs'!$G$1749:$G$1868,"&lt;&gt;")-1</x:f>
        <x:v>-0.0055959552457736095</x:v>
      </x:c>
    </x:row>
    <x:row r="99" ht="21" customHeight="1">
      <x:c r="A99" s="3" t="str">
        <x:v>EXP058</x:v>
      </x:c>
      <x:c r="B99" s="3" t="str">
        <x:v>Exp. 6</x:v>
      </x:c>
      <x:c r="C99" s="3" t="str">
        <x:v>Fixed rank 10</x:v>
      </x:c>
      <x:c r="D99" s="18" t="n">
        <x:v>20</x:v>
      </x:c>
      <x:c r="E99" s="18" t="n">
        <x:v>200</x:v>
      </x:c>
      <x:c r="F99" s="21" t="n">
        <x:f>AVERAGEIFS('Runs'!$F$1869:$F$1968,'Runs'!$A$1869:$A$1968,A99,'Runs'!$D$1869:$D$1968,C99)</x:f>
        <x:v>536.6068861566857</x:v>
      </x:c>
      <x:c r="G99" s="21" t="n">
        <x:v>293.497584532054</x:v>
      </x:c>
      <x:c r="H99" s="23" t="n">
        <x:v>10</x:v>
      </x:c>
      <x:c r="I99" s="21" t="n">
        <x:v>4.831339800000002</x:v>
      </x:c>
      <x:c r="J99" s="21" t="n">
        <x:v>6.179757679149043</x:v>
      </x:c>
      <x:c r="K99" s="25"/>
      <x:c r="L99" s="27" t="str">
        <x:f>""</x:f>
      </x:c>
      <x:c r="M99" s="27" t="str">
        <x:f>""</x:f>
      </x:c>
    </x:row>
    <x:row r="100" ht="21" customHeight="1">
      <x:c r="A100" s="3" t="str">
        <x:v>EXP058</x:v>
      </x:c>
      <x:c r="B100" s="3" t="str">
        <x:v>Exp. 6</x:v>
      </x:c>
      <x:c r="C100" s="3" t="str">
        <x:v>Fixed rank 3</x:v>
      </x:c>
      <x:c r="D100" s="18" t="n">
        <x:v>20</x:v>
      </x:c>
      <x:c r="E100" s="18" t="n">
        <x:v>200</x:v>
      </x:c>
      <x:c r="F100" s="21" t="n">
        <x:f>AVERAGEIFS('Runs'!$F$1869:$F$1968,'Runs'!$A$1869:$A$1968,A100,'Runs'!$D$1869:$D$1968,C100)</x:f>
        <x:v>533.0888635093512</x:v>
      </x:c>
      <x:c r="G100" s="21" t="n">
        <x:v>289.97956188471954</x:v>
      </x:c>
      <x:c r="H100" s="23" t="n">
        <x:v>3</x:v>
      </x:c>
      <x:c r="I100" s="21" t="n">
        <x:v>4.749804350000001</x:v>
      </x:c>
      <x:c r="J100" s="21" t="n">
        <x:v>5.995401639665943</x:v>
      </x:c>
      <x:c r="K100" s="25"/>
      <x:c r="L100" s="27" t="str">
        <x:f>""</x:f>
      </x:c>
      <x:c r="M100" s="27" t="str">
        <x:f>""</x:f>
      </x:c>
    </x:row>
    <x:row r="101" ht="21" customHeight="1">
      <x:c r="A101" s="3" t="str">
        <x:v>EXP058</x:v>
      </x:c>
      <x:c r="B101" s="3" t="str">
        <x:v>Exp. 6</x:v>
      </x:c>
      <x:c r="C101" s="3" t="str">
        <x:v>Fixed rank 5</x:v>
      </x:c>
      <x:c r="D101" s="18" t="n">
        <x:v>20</x:v>
      </x:c>
      <x:c r="E101" s="18" t="n">
        <x:v>200</x:v>
      </x:c>
      <x:c r="F101" s="21" t="n">
        <x:f>AVERAGEIFS('Runs'!$F$1869:$F$1968,'Runs'!$A$1869:$A$1968,A101,'Runs'!$D$1869:$D$1968,C101)</x:f>
        <x:v>535.5761937746405</x:v>
      </x:c>
      <x:c r="G101" s="21" t="n">
        <x:v>292.46689215000873</x:v>
      </x:c>
      <x:c r="H101" s="23" t="n">
        <x:v>5</x:v>
      </x:c>
      <x:c r="I101" s="21" t="n">
        <x:v>4.640670350000002</x:v>
      </x:c>
      <x:c r="J101" s="21" t="n">
        <x:v>5.790567181061488</x:v>
      </x:c>
      <x:c r="K101" s="25"/>
      <x:c r="L101" s="27" t="str">
        <x:f>""</x:f>
      </x:c>
      <x:c r="M101" s="27" t="str">
        <x:f>""</x:f>
      </x:c>
    </x:row>
    <x:row r="102" ht="21" customHeight="1">
      <x:c r="A102" s="3" t="str">
        <x:v>EXP058</x:v>
      </x:c>
      <x:c r="B102" s="3" t="str">
        <x:v>Exp. 6</x:v>
      </x:c>
      <x:c r="C102" s="3" t="str">
        <x:v>Full</x:v>
      </x:c>
      <x:c r="D102" s="18" t="n">
        <x:v>20</x:v>
      </x:c>
      <x:c r="E102" s="18" t="n">
        <x:v>200</x:v>
      </x:c>
      <x:c r="F102" s="21" t="n">
        <x:f>AVERAGEIFS('Runs'!$F$1869:$F$1968,'Runs'!$A$1869:$A$1968,A102,'Runs'!$D$1869:$D$1968,C102)</x:f>
        <x:v>543.0937390031759</x:v>
      </x:c>
      <x:c r="G102" s="21" t="n">
        <x:v>299.98443737854416</x:v>
      </x:c>
      <x:c r="H102" s="23" t="n">
        <x:v>100</x:v>
      </x:c>
      <x:c r="I102" s="21" t="n">
        <x:v>1.2006426500000003</x:v>
      </x:c>
      <x:c r="J102" s="21" t="n">
        <x:v>1.2285923062532675</x:v>
      </x:c>
      <x:c r="K102" s="25"/>
      <x:c r="L102" s="27" t="str">
        <x:f>""</x:f>
      </x:c>
      <x:c r="M102" s="27" t="str">
        <x:f>""</x:f>
      </x:c>
    </x:row>
    <x:row r="103" ht="21" customHeight="1">
      <x:c r="A103" s="3" t="str">
        <x:v>EXP058</x:v>
      </x:c>
      <x:c r="B103" s="3" t="str">
        <x:v>Exp. 6</x:v>
      </x:c>
      <x:c r="C103" s="3" t="str">
        <x:v>Relative cutoff 1e-2</x:v>
      </x:c>
      <x:c r="D103" s="18" t="n">
        <x:v>20</x:v>
      </x:c>
      <x:c r="E103" s="18" t="n">
        <x:v>200</x:v>
      </x:c>
      <x:c r="F103" s="21" t="n">
        <x:f>AVERAGEIFS('Runs'!$F$1869:$F$1968,'Runs'!$A$1869:$A$1968,A103,'Runs'!$D$1869:$D$1968,C103)</x:f>
        <x:v>535.9255303976449</x:v>
      </x:c>
      <x:c r="G103" s="21" t="n">
        <x:v>292.8162287730133</x:v>
      </x:c>
      <x:c r="H103" s="23" t="n">
        <x:v>2.79</x:v>
      </x:c>
      <x:c r="I103" s="21" t="n">
        <x:v>1.2013934000000035</x:v>
      </x:c>
      <x:c r="J103" s="21" t="n">
        <x:v>1.2207585497992113</x:v>
      </x:c>
      <x:c r="K103" s="25"/>
      <x:c r="L103" s="27" t="str">
        <x:f>""</x:f>
      </x:c>
      <x:c r="M103" s="27" t="str">
        <x:f>""</x:f>
      </x:c>
    </x:row>
    <x:row r="104" ht="21" customHeight="1">
      <x:c r="A104" s="3" t="str">
        <x:v>EXP061</x:v>
      </x:c>
      <x:c r="B104" s="3" t="str">
        <x:v>Exp. 7</x:v>
      </x:c>
      <x:c r="C104" s="3" t="str">
        <x:v>BBP</x:v>
      </x:c>
      <x:c r="D104" s="18" t="n">
        <x:v>13</x:v>
      </x:c>
      <x:c r="E104" s="18" t="n">
        <x:v>200</x:v>
      </x:c>
      <x:c r="F104" s="21" t="n">
        <x:f>AVERAGEIFS('Runs'!$F$1969:$F$2072,'Runs'!$A$1969:$A$2072,A104,'Runs'!$D$1969:$D$2072,C104)</x:f>
        <x:v>469.7604658833569</x:v>
      </x:c>
      <x:c r="G104" s="21" t="n">
        <x:v>225.5938250982632</x:v>
      </x:c>
      <x:c r="H104" s="23" t="n">
        <x:v>23.907692307692304</x:v>
      </x:c>
      <x:c r="I104" s="21" t="n">
        <x:v>3.4662236153846138</x:v>
      </x:c>
      <x:c r="J104" s="21" t="n">
        <x:v>8.13320450656689</x:v>
      </x:c>
      <x:c r="K104" s="25"/>
      <x:c r="L104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04" s="27" t="n">
        <x:f>SUMIFS('Runs'!$G$1969:$G$2072,'Runs'!$D$1969:$D$2072,"BBP",'Runs'!$G$1969:$G$2072,"&lt;&gt;")/SUMIFS('Runs'!$F$1969:$F$2072,'Runs'!$D$1969:$D$2072,"BBP",'Runs'!$G$1969:$G$2072,"&lt;&gt;")-1</x:f>
        <x:v>0</x:v>
      </x:c>
    </x:row>
    <x:row r="105" ht="21" customHeight="1">
      <x:c r="A105" s="3" t="str">
        <x:v>EXP061</x:v>
      </x:c>
      <x:c r="B105" s="3" t="str">
        <x:v>Exp. 7</x:v>
      </x:c>
      <x:c r="C105" s="3" t="str">
        <x:v>Relative cutoff 1e-5</x:v>
      </x:c>
      <x:c r="D105" s="18" t="n">
        <x:v>13</x:v>
      </x:c>
      <x:c r="E105" s="18" t="n">
        <x:v>200</x:v>
      </x:c>
      <x:c r="F105" s="21" t="n">
        <x:f>AVERAGEIFS('Runs'!$F$1969:$F$2072,'Runs'!$A$1969:$A$2072,A105,'Runs'!$D$1969:$D$2072,C105)</x:f>
        <x:v>470.44065182624695</x:v>
      </x:c>
      <x:c r="G105" s="21" t="n">
        <x:v>226.27401104115324</x:v>
      </x:c>
      <x:c r="H105" s="23" t="n">
        <x:v>24.661538461538456</x:v>
      </x:c>
      <x:c r="I105" s="21" t="n">
        <x:v>3.439497384615385</x:v>
      </x:c>
      <x:c r="J105" s="21" t="n">
        <x:v>10.94967731475257</x:v>
      </x:c>
      <x:c r="K105" s="25"/>
      <x:c r="L105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05" s="27" t="n">
        <x:f>SUMIFS('Runs'!$G$1969:$G$2072,'Runs'!$D$1969:$D$2072,"Relative cutoff 1e-5",'Runs'!$G$1969:$G$2072,"&lt;&gt;")/SUMIFS('Runs'!$F$1969:$F$2072,'Runs'!$D$1969:$D$2072,"Relative cutoff 1e-5",'Runs'!$G$1969:$G$2072,"&lt;&gt;")-1</x:f>
        <x:v>-0.0014458485682510291</x:v>
      </x:c>
    </x:row>
    <x:row r="106" ht="21" customHeight="1">
      <x:c r="A106" s="3" t="str">
        <x:v>EXP061</x:v>
      </x:c>
      <x:c r="B106" s="3" t="str">
        <x:v>Exp. 7</x:v>
      </x:c>
      <x:c r="C106" s="3" t="str">
        <x:v>Fixed rank 10</x:v>
      </x:c>
      <x:c r="D106" s="18" t="n">
        <x:v>13</x:v>
      </x:c>
      <x:c r="E106" s="18" t="n">
        <x:v>200</x:v>
      </x:c>
      <x:c r="F106" s="21" t="n">
        <x:f>AVERAGEIFS('Runs'!$F$1969:$F$2072,'Runs'!$A$1969:$A$2072,A106,'Runs'!$D$1969:$D$2072,C106)</x:f>
        <x:v>476.4019043333193</x:v>
      </x:c>
      <x:c r="G106" s="21" t="n">
        <x:v>232.2352635482256</x:v>
      </x:c>
      <x:c r="H106" s="23" t="n">
        <x:v>10</x:v>
      </x:c>
      <x:c r="I106" s="21" t="n">
        <x:v>3.4448174615384684</x:v>
      </x:c>
      <x:c r="J106" s="21" t="n">
        <x:v>8.702650163913718</x:v>
      </x:c>
      <x:c r="K106" s="25"/>
      <x:c r="L106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06" s="27" t="n">
        <x:f>SUMIFS('Runs'!$G$1969:$G$2072,'Runs'!$D$1969:$D$2072,"Fixed rank 10",'Runs'!$G$1969:$G$2072,"&lt;&gt;")/SUMIFS('Runs'!$F$1969:$F$2072,'Runs'!$D$1969:$D$2072,"Fixed rank 10",'Runs'!$G$1969:$G$2072,"&lt;&gt;")-1</x:f>
        <x:v>-0.01394083102849164</x:v>
      </x:c>
    </x:row>
    <x:row r="107" ht="21" customHeight="1">
      <x:c r="A107" s="3" t="str">
        <x:v>EXP061</x:v>
      </x:c>
      <x:c r="B107" s="3" t="str">
        <x:v>Exp. 7</x:v>
      </x:c>
      <x:c r="C107" s="3" t="str">
        <x:v>Fixed rank 25</x:v>
      </x:c>
      <x:c r="D107" s="18" t="n">
        <x:v>13</x:v>
      </x:c>
      <x:c r="E107" s="18" t="n">
        <x:v>200</x:v>
      </x:c>
      <x:c r="F107" s="21" t="n">
        <x:f>AVERAGEIFS('Runs'!$F$1969:$F$2072,'Runs'!$A$1969:$A$2072,A107,'Runs'!$D$1969:$D$2072,C107)</x:f>
        <x:v>470.44065182624695</x:v>
      </x:c>
      <x:c r="G107" s="21" t="n">
        <x:v>226.27401104115324</x:v>
      </x:c>
      <x:c r="H107" s="23" t="n">
        <x:v>25</x:v>
      </x:c>
      <x:c r="I107" s="21" t="n">
        <x:v>3.465287769230775</x:v>
      </x:c>
      <x:c r="J107" s="21" t="n">
        <x:v>9.770480658375444</x:v>
      </x:c>
      <x:c r="K107" s="25"/>
      <x:c r="L107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07" s="27" t="n">
        <x:f>SUMIFS('Runs'!$G$1969:$G$2072,'Runs'!$D$1969:$D$2072,"Fixed rank 25",'Runs'!$G$1969:$G$2072,"&lt;&gt;")/SUMIFS('Runs'!$F$1969:$F$2072,'Runs'!$D$1969:$D$2072,"Fixed rank 25",'Runs'!$G$1969:$G$2072,"&lt;&gt;")-1</x:f>
        <x:v>-0.0014458485682510291</x:v>
      </x:c>
    </x:row>
    <x:row r="108" ht="21" customHeight="1">
      <x:c r="A108" s="3" t="str">
        <x:v>EXP061</x:v>
      </x:c>
      <x:c r="B108" s="3" t="str">
        <x:v>Exp. 7</x:v>
      </x:c>
      <x:c r="C108" s="3" t="str">
        <x:v>Relative cutoff 1e-6</x:v>
      </x:c>
      <x:c r="D108" s="18" t="n">
        <x:v>13</x:v>
      </x:c>
      <x:c r="E108" s="18" t="n">
        <x:v>200</x:v>
      </x:c>
      <x:c r="F108" s="21" t="n">
        <x:f>AVERAGEIFS('Runs'!$F$1969:$F$2072,'Runs'!$A$1969:$A$2072,A108,'Runs'!$D$1969:$D$2072,C108)</x:f>
        <x:v>471.3178277196906</x:v>
      </x:c>
      <x:c r="G108" s="21" t="n">
        <x:v>227.15118693459692</x:v>
      </x:c>
      <x:c r="H108" s="23" t="n">
        <x:v>39.95384615384615</x:v>
      </x:c>
      <x:c r="I108" s="21" t="n">
        <x:v>3.4678290769230724</x:v>
      </x:c>
      <x:c r="J108" s="21" t="n">
        <x:v>10.038759609451517</x:v>
      </x:c>
      <x:c r="K108" s="25"/>
      <x:c r="L108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08" s="27" t="n">
        <x:f>SUMIFS('Runs'!$G$1969:$G$2072,'Runs'!$D$1969:$D$2072,"Relative cutoff 1e-6",'Runs'!$G$1969:$G$2072,"&lt;&gt;")/SUMIFS('Runs'!$F$1969:$F$2072,'Runs'!$D$1969:$D$2072,"Relative cutoff 1e-6",'Runs'!$G$1969:$G$2072,"&lt;&gt;")-1</x:f>
        <x:v>-0.0033042710136140796</x:v>
      </x:c>
    </x:row>
    <x:row r="109" ht="21" customHeight="1">
      <x:c r="A109" s="3" t="str">
        <x:v>EXP061</x:v>
      </x:c>
      <x:c r="B109" s="3" t="str">
        <x:v>Exp. 7</x:v>
      </x:c>
      <x:c r="C109" s="3" t="str">
        <x:v>Full</x:v>
      </x:c>
      <x:c r="D109" s="18" t="n">
        <x:v>13</x:v>
      </x:c>
      <x:c r="E109" s="18" t="n">
        <x:v>200</x:v>
      </x:c>
      <x:c r="F109" s="21" t="n">
        <x:f>AVERAGEIFS('Runs'!$F$1969:$F$2072,'Runs'!$A$1969:$A$2072,A109,'Runs'!$D$1969:$D$2072,C109)</x:f>
        <x:v>471.3178277196906</x:v>
      </x:c>
      <x:c r="G109" s="21" t="n">
        <x:v>227.15118693459692</x:v>
      </x:c>
      <x:c r="H109" s="23" t="n">
        <x:v>100</x:v>
      </x:c>
      <x:c r="I109" s="21" t="n">
        <x:v>3.447482076923088</x:v>
      </x:c>
      <x:c r="J109" s="21" t="n">
        <x:v>12.197041013546718</x:v>
      </x:c>
      <x:c r="K109" s="25"/>
      <x:c r="L109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09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</x:row>
    <x:row r="110" ht="21" customHeight="1">
      <x:c r="A110" s="3" t="str">
        <x:v>EXP061</x:v>
      </x:c>
      <x:c r="B110" s="3" t="str">
        <x:v>Exp. 7</x:v>
      </x:c>
      <x:c r="C110" s="3" t="str">
        <x:v>Relative cutoff 1e-2</x:v>
      </x:c>
      <x:c r="D110" s="18" t="n">
        <x:v>13</x:v>
      </x:c>
      <x:c r="E110" s="18" t="n">
        <x:v>200</x:v>
      </x:c>
      <x:c r="F110" s="21" t="n">
        <x:f>AVERAGEIFS('Runs'!$F$1969:$F$2072,'Runs'!$A$1969:$A$2072,A110,'Runs'!$D$1969:$D$2072,C110)</x:f>
        <x:v>476.2257933022325</x:v>
      </x:c>
      <x:c r="G110" s="21" t="n">
        <x:v>232.05915251713878</x:v>
      </x:c>
      <x:c r="H110" s="23" t="n">
        <x:v>2.761538461538462</x:v>
      </x:c>
      <x:c r="I110" s="21" t="n">
        <x:v>3.480688000000003</x:v>
      </x:c>
      <x:c r="J110" s="21" t="n">
        <x:v>9.191274521747031</x:v>
      </x:c>
      <x:c r="K110" s="25"/>
      <x:c r="L110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10" s="27" t="n">
        <x:f>SUMIFS('Runs'!$G$1969:$G$2072,'Runs'!$D$1969:$D$2072,"Relative cutoff 1e-2",'Runs'!$G$1969:$G$2072,"&lt;&gt;")/SUMIFS('Runs'!$F$1969:$F$2072,'Runs'!$D$1969:$D$2072,"Relative cutoff 1e-2",'Runs'!$G$1969:$G$2072,"&lt;&gt;")-1</x:f>
        <x:v>-0.013576180689508388</x:v>
      </x:c>
    </x:row>
    <x:row r="111" ht="21" customHeight="1">
      <x:c r="A111" s="3" t="str">
        <x:v>EXP061</x:v>
      </x:c>
      <x:c r="B111" s="3" t="str">
        <x:v>Exp. 7</x:v>
      </x:c>
      <x:c r="C111" s="3" t="str">
        <x:v>Relative cutoff 1e-4</x:v>
      </x:c>
      <x:c r="D111" s="18" t="n">
        <x:v>13</x:v>
      </x:c>
      <x:c r="E111" s="18" t="n">
        <x:v>200</x:v>
      </x:c>
      <x:c r="F111" s="21" t="n">
        <x:f>AVERAGEIFS('Runs'!$F$1969:$F$2072,'Runs'!$A$1969:$A$2072,A111,'Runs'!$D$1969:$D$2072,C111)</x:f>
        <x:v>472.9790278522245</x:v>
      </x:c>
      <x:c r="G111" s="21" t="n">
        <x:v>228.81238706713071</x:v>
      </x:c>
      <x:c r="H111" s="23" t="n">
        <x:v>9.876923076923077</x:v>
      </x:c>
      <x:c r="I111" s="21" t="n">
        <x:v>3.481888153846153</x:v>
      </x:c>
      <x:c r="J111" s="21" t="n">
        <x:v>8.925813529156866</x:v>
      </x:c>
      <x:c r="K111" s="25"/>
      <x:c r="L111" s="27" t="n">
        <x:f>SUMIFS('Runs'!$G$1969:$G$2072,'Runs'!$D$1969:$D$2072,"Full",'Runs'!$G$1969:$G$2072,"&lt;&gt;")/SUMIFS('Runs'!$F$1969:$F$2072,'Runs'!$D$1969:$D$2072,"Full",'Runs'!$G$1969:$G$2072,"&lt;&gt;")-1</x:f>
        <x:v>-0.0033042710136140796</x:v>
      </x:c>
      <x:c r="M111" s="27" t="n">
        <x:f>SUMIFS('Runs'!$G$1969:$G$2072,'Runs'!$D$1969:$D$2072,"Relative cutoff 1e-4",'Runs'!$G$1969:$G$2072,"&lt;&gt;")/SUMIFS('Runs'!$F$1969:$F$2072,'Runs'!$D$1969:$D$2072,"Relative cutoff 1e-4",'Runs'!$G$1969:$G$2072,"&lt;&gt;")-1</x:f>
        <x:v>-0.0068048724770798374</x:v>
      </x:c>
    </x:row>
    <x:row r="112" ht="21" customHeight="1">
      <x:c r="A112" s="3" t="str">
        <x:v>EXP064</x:v>
      </x:c>
      <x:c r="B112" s="3" t="str">
        <x:v>Exp. 7</x:v>
      </x:c>
      <x:c r="C112" s="3" t="str">
        <x:v>Fixed rank 10</x:v>
      </x:c>
      <x:c r="D112" s="18" t="n">
        <x:v>20</x:v>
      </x:c>
      <x:c r="E112" s="18" t="n">
        <x:v>200</x:v>
      </x:c>
      <x:c r="F112" s="21" t="n">
        <x:f>AVERAGEIFS('Runs'!$F$2073:$F$2172,'Runs'!$A$2073:$A$2172,A112,'Runs'!$D$2073:$D$2172,C112)</x:f>
        <x:v>478.9635225456121</x:v>
      </x:c>
      <x:c r="G112" s="21" t="n">
        <x:v>238.3948667854424</x:v>
      </x:c>
      <x:c r="H112" s="23" t="n">
        <x:v>10</x:v>
      </x:c>
      <x:c r="I112" s="21" t="n">
        <x:v>4.9572016</x:v>
      </x:c>
      <x:c r="J112" s="21" t="n">
        <x:v>6.0232492561684925</x:v>
      </x:c>
      <x:c r="K112" s="25"/>
      <x:c r="L112" s="27" t="str">
        <x:f>""</x:f>
      </x:c>
      <x:c r="M112" s="27" t="str">
        <x:f>""</x:f>
      </x:c>
    </x:row>
    <x:row r="113" ht="21" customHeight="1">
      <x:c r="A113" s="3" t="str">
        <x:v>EXP064</x:v>
      </x:c>
      <x:c r="B113" s="3" t="str">
        <x:v>Exp. 7</x:v>
      </x:c>
      <x:c r="C113" s="3" t="str">
        <x:v>Fixed rank 3</x:v>
      </x:c>
      <x:c r="D113" s="18" t="n">
        <x:v>20</x:v>
      </x:c>
      <x:c r="E113" s="18" t="n">
        <x:v>200</x:v>
      </x:c>
      <x:c r="F113" s="21" t="n">
        <x:f>AVERAGEIFS('Runs'!$F$2073:$F$2172,'Runs'!$A$2073:$A$2172,A113,'Runs'!$D$2073:$D$2172,C113)</x:f>
        <x:v>477.074467008614</x:v>
      </x:c>
      <x:c r="G113" s="21" t="n">
        <x:v>236.50581124844422</x:v>
      </x:c>
      <x:c r="H113" s="23" t="n">
        <x:v>3</x:v>
      </x:c>
      <x:c r="I113" s="21" t="n">
        <x:v>4.943521700000001</x:v>
      </x:c>
      <x:c r="J113" s="21" t="n">
        <x:v>5.9846041207783855</x:v>
      </x:c>
      <x:c r="K113" s="25"/>
      <x:c r="L113" s="27" t="str">
        <x:f>""</x:f>
      </x:c>
      <x:c r="M113" s="27" t="str">
        <x:f>""</x:f>
      </x:c>
    </x:row>
    <x:row r="114" ht="21" customHeight="1">
      <x:c r="A114" s="3" t="str">
        <x:v>EXP064</x:v>
      </x:c>
      <x:c r="B114" s="3" t="str">
        <x:v>Exp. 7</x:v>
      </x:c>
      <x:c r="C114" s="3" t="str">
        <x:v>Fixed rank 5</x:v>
      </x:c>
      <x:c r="D114" s="18" t="n">
        <x:v>20</x:v>
      </x:c>
      <x:c r="E114" s="18" t="n">
        <x:v>200</x:v>
      </x:c>
      <x:c r="F114" s="21" t="n">
        <x:f>AVERAGEIFS('Runs'!$F$2073:$F$2172,'Runs'!$A$2073:$A$2172,A114,'Runs'!$D$2073:$D$2172,C114)</x:f>
        <x:v>479.22566241727264</x:v>
      </x:c>
      <x:c r="G114" s="21" t="n">
        <x:v>238.65700665710284</x:v>
      </x:c>
      <x:c r="H114" s="23" t="n">
        <x:v>5</x:v>
      </x:c>
      <x:c r="I114" s="21" t="n">
        <x:v>4.839934750000002</x:v>
      </x:c>
      <x:c r="J114" s="21" t="n">
        <x:v>5.702406787616201</x:v>
      </x:c>
      <x:c r="K114" s="25"/>
      <x:c r="L114" s="27" t="str">
        <x:f>""</x:f>
      </x:c>
      <x:c r="M114" s="27" t="str">
        <x:f>""</x:f>
      </x:c>
    </x:row>
    <x:row r="115" ht="21" customHeight="1">
      <x:c r="A115" s="3" t="str">
        <x:v>EXP064</x:v>
      </x:c>
      <x:c r="B115" s="3" t="str">
        <x:v>Exp. 7</x:v>
      </x:c>
      <x:c r="C115" s="3" t="str">
        <x:v>Full</x:v>
      </x:c>
      <x:c r="D115" s="18" t="n">
        <x:v>20</x:v>
      </x:c>
      <x:c r="E115" s="18" t="n">
        <x:v>200</x:v>
      </x:c>
      <x:c r="F115" s="21" t="n">
        <x:f>AVERAGEIFS('Runs'!$F$2073:$F$2172,'Runs'!$A$2073:$A$2172,A115,'Runs'!$D$2073:$D$2172,C115)</x:f>
        <x:v>474.01195525944024</x:v>
      </x:c>
      <x:c r="G115" s="21" t="n">
        <x:v>233.44329949927047</x:v>
      </x:c>
      <x:c r="H115" s="23" t="n">
        <x:v>100</x:v>
      </x:c>
      <x:c r="I115" s="21" t="n">
        <x:v>1.2567057999999989</x:v>
      </x:c>
      <x:c r="J115" s="21" t="n">
        <x:v>1.2705800790456123</x:v>
      </x:c>
      <x:c r="K115" s="25"/>
      <x:c r="L115" s="27" t="str">
        <x:f>""</x:f>
      </x:c>
      <x:c r="M115" s="27" t="str">
        <x:f>""</x:f>
      </x:c>
    </x:row>
    <x:row r="116" ht="21" customHeight="1">
      <x:c r="A116" s="3" t="str">
        <x:v>EXP064</x:v>
      </x:c>
      <x:c r="B116" s="3" t="str">
        <x:v>Exp. 7</x:v>
      </x:c>
      <x:c r="C116" s="3" t="str">
        <x:v>Relative cutoff 1e-2</x:v>
      </x:c>
      <x:c r="D116" s="18" t="n">
        <x:v>20</x:v>
      </x:c>
      <x:c r="E116" s="18" t="n">
        <x:v>200</x:v>
      </x:c>
      <x:c r="F116" s="21" t="n">
        <x:f>AVERAGEIFS('Runs'!$F$2073:$F$2172,'Runs'!$A$2073:$A$2172,A116,'Runs'!$D$2073:$D$2172,C116)</x:f>
        <x:v>477.05120873831436</x:v>
      </x:c>
      <x:c r="G116" s="21" t="n">
        <x:v>236.4825529781448</x:v>
      </x:c>
      <x:c r="H116" s="23" t="n">
        <x:v>2.6950000000000003</x:v>
      </x:c>
      <x:c r="I116" s="21" t="n">
        <x:v>1.295675999999999</x:v>
      </x:c>
      <x:c r="J116" s="21" t="n">
        <x:v>1.318638881185325</x:v>
      </x:c>
      <x:c r="K116" s="25"/>
      <x:c r="L116" s="27" t="str">
        <x:f>""</x:f>
      </x:c>
      <x:c r="M116" s="27" t="str">
        <x:f>""</x:f>
      </x:c>
    </x:row>
    <x:row r="117" ht="21" customHeight="1">
      <x:c r="A117" s="3" t="str">
        <x:v>EXP068</x:v>
      </x:c>
      <x:c r="B117" s="3" t="str">
        <x:v>Exp. 8</x:v>
      </x:c>
      <x:c r="C117" s="3" t="str">
        <x:v>BBP</x:v>
      </x:c>
      <x:c r="D117" s="18" t="n">
        <x:v>15</x:v>
      </x:c>
      <x:c r="E117" s="18" t="n">
        <x:v>200</x:v>
      </x:c>
      <x:c r="F117" s="21" t="n">
        <x:f>AVERAGEIFS('Runs'!$F$2173:$F$2292,'Runs'!$A$2173:$A$2292,A117,'Runs'!$D$2173:$D$2292,C117)</x:f>
        <x:v>649.4534723281114</x:v>
      </x:c>
      <x:c r="G117" s="21" t="n">
        <x:v>338.0592541496529</x:v>
      </x:c>
      <x:c r="H117" s="23" t="n">
        <x:v>24.126666666666665</x:v>
      </x:c>
      <x:c r="I117" s="21" t="n">
        <x:v>2.9578932666666673</x:v>
      </x:c>
      <x:c r="J117" s="21" t="n">
        <x:v>7.542284431743125</x:v>
      </x:c>
      <x:c r="K117" s="25"/>
      <x:c r="L117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17" s="27" t="n">
        <x:f>SUMIFS('Runs'!$G$2173:$G$2292,'Runs'!$D$2173:$D$2292,"BBP",'Runs'!$G$2173:$G$2292,"&lt;&gt;")/SUMIFS('Runs'!$F$2173:$F$2292,'Runs'!$D$2173:$D$2292,"BBP",'Runs'!$G$2173:$G$2292,"&lt;&gt;")-1</x:f>
        <x:v>0</x:v>
      </x:c>
    </x:row>
    <x:row r="118" ht="21" customHeight="1">
      <x:c r="A118" s="3" t="str">
        <x:v>EXP068</x:v>
      </x:c>
      <x:c r="B118" s="3" t="str">
        <x:v>Exp. 8</x:v>
      </x:c>
      <x:c r="C118" s="3" t="str">
        <x:v>Relative cutoff 1e-5</x:v>
      </x:c>
      <x:c r="D118" s="18" t="n">
        <x:v>15</x:v>
      </x:c>
      <x:c r="E118" s="18" t="n">
        <x:v>200</x:v>
      </x:c>
      <x:c r="F118" s="21" t="n">
        <x:f>AVERAGEIFS('Runs'!$F$2173:$F$2292,'Runs'!$A$2173:$A$2292,A118,'Runs'!$D$2173:$D$2292,C118)</x:f>
        <x:v>650.1947840510787</x:v>
      </x:c>
      <x:c r="G118" s="21" t="n">
        <x:v>338.8005658726203</x:v>
      </x:c>
      <x:c r="H118" s="23" t="n">
        <x:v>21.78666666666667</x:v>
      </x:c>
      <x:c r="I118" s="21" t="n">
        <x:v>2.940313866666668</x:v>
      </x:c>
      <x:c r="J118" s="21" t="n">
        <x:v>6.727648757925878</x:v>
      </x:c>
      <x:c r="K118" s="25"/>
      <x:c r="L118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18" s="27" t="n">
        <x:f>SUMIFS('Runs'!$G$2173:$G$2292,'Runs'!$D$2173:$D$2292,"Relative cutoff 1e-5",'Runs'!$G$2173:$G$2292,"&lt;&gt;")/SUMIFS('Runs'!$F$2173:$F$2292,'Runs'!$D$2173:$D$2292,"Relative cutoff 1e-5",'Runs'!$G$2173:$G$2292,"&lt;&gt;")-1</x:f>
        <x:v>-0.0011401379112097043</x:v>
      </x:c>
    </x:row>
    <x:row r="119" ht="21" customHeight="1">
      <x:c r="A119" s="3" t="str">
        <x:v>EXP068</x:v>
      </x:c>
      <x:c r="B119" s="3" t="str">
        <x:v>Exp. 8</x:v>
      </x:c>
      <x:c r="C119" s="3" t="str">
        <x:v>Fixed rank 10</x:v>
      </x:c>
      <x:c r="D119" s="18" t="n">
        <x:v>15</x:v>
      </x:c>
      <x:c r="E119" s="18" t="n">
        <x:v>200</x:v>
      </x:c>
      <x:c r="F119" s="21" t="n">
        <x:f>AVERAGEIFS('Runs'!$F$2173:$F$2292,'Runs'!$A$2173:$A$2292,A119,'Runs'!$D$2173:$D$2292,C119)</x:f>
        <x:v>648.5970551137026</x:v>
      </x:c>
      <x:c r="G119" s="21" t="n">
        <x:v>337.20283693524414</x:v>
      </x:c>
      <x:c r="H119" s="23" t="n">
        <x:v>10</x:v>
      </x:c>
      <x:c r="I119" s="21" t="n">
        <x:v>2.9494758000000023</x:v>
      </x:c>
      <x:c r="J119" s="21" t="n">
        <x:v>6.634195692185313</x:v>
      </x:c>
      <x:c r="K119" s="25"/>
      <x:c r="L119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19" s="27" t="n">
        <x:f>SUMIFS('Runs'!$G$2173:$G$2292,'Runs'!$D$2173:$D$2292,"Fixed rank 10",'Runs'!$G$2173:$G$2292,"&lt;&gt;")/SUMIFS('Runs'!$F$2173:$F$2292,'Runs'!$D$2173:$D$2292,"Fixed rank 10",'Runs'!$G$2173:$G$2292,"&lt;&gt;")-1</x:f>
        <x:v>0.0013204148980581198</x:v>
      </x:c>
    </x:row>
    <x:row r="120" ht="21" customHeight="1">
      <x:c r="A120" s="3" t="str">
        <x:v>EXP068</x:v>
      </x:c>
      <x:c r="B120" s="3" t="str">
        <x:v>Exp. 8</x:v>
      </x:c>
      <x:c r="C120" s="3" t="str">
        <x:v>Fixed rank 25</x:v>
      </x:c>
      <x:c r="D120" s="18" t="n">
        <x:v>15</x:v>
      </x:c>
      <x:c r="E120" s="18" t="n">
        <x:v>200</x:v>
      </x:c>
      <x:c r="F120" s="21" t="n">
        <x:f>AVERAGEIFS('Runs'!$F$2173:$F$2292,'Runs'!$A$2173:$A$2292,A120,'Runs'!$D$2173:$D$2292,C120)</x:f>
        <x:v>648.9629900652396</x:v>
      </x:c>
      <x:c r="G120" s="21" t="n">
        <x:v>337.5687718867811</x:v>
      </x:c>
      <x:c r="H120" s="23" t="n">
        <x:v>25</x:v>
      </x:c>
      <x:c r="I120" s="21" t="n">
        <x:v>2.9440700000000075</x:v>
      </x:c>
      <x:c r="J120" s="21" t="n">
        <x:v>6.736022565513849</x:v>
      </x:c>
      <x:c r="K120" s="25"/>
      <x:c r="L120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20" s="27" t="n">
        <x:f>SUMIFS('Runs'!$G$2173:$G$2292,'Runs'!$D$2173:$D$2292,"Fixed rank 25",'Runs'!$G$2173:$G$2292,"&lt;&gt;")/SUMIFS('Runs'!$F$2173:$F$2292,'Runs'!$D$2173:$D$2292,"Fixed rank 25",'Runs'!$G$2173:$G$2292,"&lt;&gt;")-1</x:f>
        <x:v>0.0007557938902222894</x:v>
      </x:c>
    </x:row>
    <x:row r="121" ht="21" customHeight="1">
      <x:c r="A121" s="3" t="str">
        <x:v>EXP068</x:v>
      </x:c>
      <x:c r="B121" s="3" t="str">
        <x:v>Exp. 8</x:v>
      </x:c>
      <x:c r="C121" s="3" t="str">
        <x:v>Relative cutoff 1e-6</x:v>
      </x:c>
      <x:c r="D121" s="18" t="n">
        <x:v>15</x:v>
      </x:c>
      <x:c r="E121" s="18" t="n">
        <x:v>200</x:v>
      </x:c>
      <x:c r="F121" s="21" t="n">
        <x:f>AVERAGEIFS('Runs'!$F$2173:$F$2292,'Runs'!$A$2173:$A$2292,A121,'Runs'!$D$2173:$D$2292,C121)</x:f>
        <x:v>652.3141624144697</x:v>
      </x:c>
      <x:c r="G121" s="21" t="n">
        <x:v>340.91994423601125</x:v>
      </x:c>
      <x:c r="H121" s="23" t="n">
        <x:v>37.4</x:v>
      </x:c>
      <x:c r="I121" s="21" t="n">
        <x:v>2.9607256666666677</x:v>
      </x:c>
      <x:c r="J121" s="21" t="n">
        <x:v>9.821704518174132</x:v>
      </x:c>
      <x:c r="K121" s="25"/>
      <x:c r="L121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21" s="27" t="n">
        <x:f>SUMIFS('Runs'!$G$2173:$G$2292,'Runs'!$D$2173:$D$2292,"Relative cutoff 1e-6",'Runs'!$G$2173:$G$2292,"&lt;&gt;")/SUMIFS('Runs'!$F$2173:$F$2292,'Runs'!$D$2173:$D$2292,"Relative cutoff 1e-6",'Runs'!$G$2173:$G$2292,"&lt;&gt;")-1</x:f>
        <x:v>-0.004385448379305212</x:v>
      </x:c>
    </x:row>
    <x:row r="122" ht="21" customHeight="1">
      <x:c r="A122" s="3" t="str">
        <x:v>EXP068</x:v>
      </x:c>
      <x:c r="B122" s="3" t="str">
        <x:v>Exp. 8</x:v>
      </x:c>
      <x:c r="C122" s="3" t="str">
        <x:v>Full</x:v>
      </x:c>
      <x:c r="D122" s="18" t="n">
        <x:v>15</x:v>
      </x:c>
      <x:c r="E122" s="18" t="n">
        <x:v>200</x:v>
      </x:c>
      <x:c r="F122" s="21" t="n">
        <x:f>AVERAGEIFS('Runs'!$F$2173:$F$2292,'Runs'!$A$2173:$A$2292,A122,'Runs'!$D$2173:$D$2292,C122)</x:f>
        <x:v>658.1186144930107</x:v>
      </x:c>
      <x:c r="G122" s="21" t="n">
        <x:v>346.7243963145522</x:v>
      </x:c>
      <x:c r="H122" s="23" t="n">
        <x:v>100</x:v>
      </x:c>
      <x:c r="I122" s="21" t="n">
        <x:v>2.922837999999997</x:v>
      </x:c>
      <x:c r="J122" s="21" t="n">
        <x:v>8.294856838400786</x:v>
      </x:c>
      <x:c r="K122" s="25"/>
      <x:c r="L122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22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</x:row>
    <x:row r="123" ht="21" customHeight="1">
      <x:c r="A123" s="3" t="str">
        <x:v>EXP068</x:v>
      </x:c>
      <x:c r="B123" s="3" t="str">
        <x:v>Exp. 8</x:v>
      </x:c>
      <x:c r="C123" s="3" t="str">
        <x:v>Relative cutoff 1e-2</x:v>
      </x:c>
      <x:c r="D123" s="18" t="n">
        <x:v>15</x:v>
      </x:c>
      <x:c r="E123" s="18" t="n">
        <x:v>200</x:v>
      </x:c>
      <x:c r="F123" s="21" t="n">
        <x:f>AVERAGEIFS('Runs'!$F$2173:$F$2292,'Runs'!$A$2173:$A$2292,A123,'Runs'!$D$2173:$D$2292,C123)</x:f>
        <x:v>646.0878854865009</x:v>
      </x:c>
      <x:c r="G123" s="21" t="n">
        <x:v>334.69366730804245</x:v>
      </x:c>
      <x:c r="H123" s="23" t="n">
        <x:v>2.5200000000000005</x:v>
      </x:c>
      <x:c r="I123" s="21" t="n">
        <x:v>2.945929866666666</x:v>
      </x:c>
      <x:c r="J123" s="21" t="n">
        <x:v>8.881214796037723</x:v>
      </x:c>
      <x:c r="K123" s="25"/>
      <x:c r="L123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23" s="27" t="n">
        <x:f>SUMIFS('Runs'!$G$2173:$G$2292,'Runs'!$D$2173:$D$2292,"Relative cutoff 1e-2",'Runs'!$G$2173:$G$2292,"&lt;&gt;")/SUMIFS('Runs'!$F$2173:$F$2292,'Runs'!$D$2173:$D$2292,"Relative cutoff 1e-2",'Runs'!$G$2173:$G$2292,"&lt;&gt;")-1</x:f>
        <x:v>0.005209178065730402</x:v>
      </x:c>
    </x:row>
    <x:row r="124" ht="21" customHeight="1">
      <x:c r="A124" s="3" t="str">
        <x:v>EXP068</x:v>
      </x:c>
      <x:c r="B124" s="3" t="str">
        <x:v>Exp. 8</x:v>
      </x:c>
      <x:c r="C124" s="3" t="str">
        <x:v>Relative cutoff 1e-4</x:v>
      </x:c>
      <x:c r="D124" s="18" t="n">
        <x:v>15</x:v>
      </x:c>
      <x:c r="E124" s="18" t="n">
        <x:v>200</x:v>
      </x:c>
      <x:c r="F124" s="21" t="n">
        <x:f>AVERAGEIFS('Runs'!$F$2173:$F$2292,'Runs'!$A$2173:$A$2292,A124,'Runs'!$D$2173:$D$2292,C124)</x:f>
        <x:v>645.3781504281311</x:v>
      </x:c>
      <x:c r="G124" s="21" t="n">
        <x:v>333.9839322496727</x:v>
      </x:c>
      <x:c r="H124" s="23" t="n">
        <x:v>8.373333333333331</x:v>
      </x:c>
      <x:c r="I124" s="21" t="n">
        <x:v>2.946001933333338</x:v>
      </x:c>
      <x:c r="J124" s="21" t="n">
        <x:v>7.104191017849371</x:v>
      </x:c>
      <x:c r="K124" s="25"/>
      <x:c r="L124" s="27" t="n">
        <x:f>SUMIFS('Runs'!$G$2173:$G$2292,'Runs'!$D$2173:$D$2292,"Full",'Runs'!$G$2173:$G$2292,"&lt;&gt;")/SUMIFS('Runs'!$F$2173:$F$2292,'Runs'!$D$2173:$D$2292,"Full",'Runs'!$G$2173:$G$2292,"&lt;&gt;")-1</x:f>
        <x:v>-0.013166535597195717</x:v>
      </x:c>
      <x:c r="M124" s="27" t="n">
        <x:f>SUMIFS('Runs'!$G$2173:$G$2292,'Runs'!$D$2173:$D$2292,"Relative cutoff 1e-4",'Runs'!$G$2173:$G$2292,"&lt;&gt;")/SUMIFS('Runs'!$F$2173:$F$2292,'Runs'!$D$2173:$D$2292,"Relative cutoff 1e-4",'Runs'!$G$2173:$G$2292,"&lt;&gt;")-1</x:f>
        <x:v>0.0063146263896238786</x:v>
      </x:c>
    </x:row>
    <x:row r="125" ht="21" customHeight="1">
      <x:c r="A125" s="3" t="str">
        <x:v>EXP071</x:v>
      </x:c>
      <x:c r="B125" s="3" t="str">
        <x:v>Exp. 8</x:v>
      </x:c>
      <x:c r="C125" s="3" t="str">
        <x:v>Fixed rank 10</x:v>
      </x:c>
      <x:c r="D125" s="18" t="n">
        <x:v>20</x:v>
      </x:c>
      <x:c r="E125" s="18" t="n">
        <x:v>200</x:v>
      </x:c>
      <x:c r="F125" s="21" t="n">
        <x:f>AVERAGEIFS('Runs'!$F$2293:$F$2392,'Runs'!$A$2293:$A$2392,A125,'Runs'!$D$2293:$D$2392,C125)</x:f>
        <x:v>650.8186113235513</x:v>
      </x:c>
      <x:c r="G125" s="21" t="n">
        <x:v>343.2041588180878</x:v>
      </x:c>
      <x:c r="H125" s="23" t="n">
        <x:v>10</x:v>
      </x:c>
      <x:c r="I125" s="21" t="n">
        <x:v>5.106901350000004</x:v>
      </x:c>
      <x:c r="J125" s="21" t="n">
        <x:v>6.0056286250939594</x:v>
      </x:c>
      <x:c r="K125" s="25"/>
      <x:c r="L125" s="27" t="str">
        <x:f>""</x:f>
      </x:c>
      <x:c r="M125" s="27" t="str">
        <x:f>""</x:f>
      </x:c>
    </x:row>
    <x:row r="126" ht="21" customHeight="1">
      <x:c r="A126" s="3" t="str">
        <x:v>EXP071</x:v>
      </x:c>
      <x:c r="B126" s="3" t="str">
        <x:v>Exp. 8</x:v>
      </x:c>
      <x:c r="C126" s="3" t="str">
        <x:v>Fixed rank 3</x:v>
      </x:c>
      <x:c r="D126" s="18" t="n">
        <x:v>20</x:v>
      </x:c>
      <x:c r="E126" s="18" t="n">
        <x:v>200</x:v>
      </x:c>
      <x:c r="F126" s="21" t="n">
        <x:f>AVERAGEIFS('Runs'!$F$2293:$F$2392,'Runs'!$A$2293:$A$2392,A126,'Runs'!$D$2293:$D$2392,C126)</x:f>
        <x:v>659.5261225188926</x:v>
      </x:c>
      <x:c r="G126" s="21" t="n">
        <x:v>351.9116700134292</x:v>
      </x:c>
      <x:c r="H126" s="23" t="n">
        <x:v>3</x:v>
      </x:c>
      <x:c r="I126" s="21" t="n">
        <x:v>5.176526399999998</x:v>
      </x:c>
      <x:c r="J126" s="21" t="n">
        <x:v>6.165396008419338</x:v>
      </x:c>
      <x:c r="K126" s="25"/>
      <x:c r="L126" s="27" t="str">
        <x:f>""</x:f>
      </x:c>
      <x:c r="M126" s="27" t="str">
        <x:f>""</x:f>
      </x:c>
    </x:row>
    <x:row r="127" ht="21" customHeight="1">
      <x:c r="A127" s="3" t="str">
        <x:v>EXP071</x:v>
      </x:c>
      <x:c r="B127" s="3" t="str">
        <x:v>Exp. 8</x:v>
      </x:c>
      <x:c r="C127" s="3" t="str">
        <x:v>Fixed rank 5</x:v>
      </x:c>
      <x:c r="D127" s="18" t="n">
        <x:v>20</x:v>
      </x:c>
      <x:c r="E127" s="18" t="n">
        <x:v>200</x:v>
      </x:c>
      <x:c r="F127" s="21" t="n">
        <x:f>AVERAGEIFS('Runs'!$F$2293:$F$2392,'Runs'!$A$2293:$A$2392,A127,'Runs'!$D$2293:$D$2392,C127)</x:f>
        <x:v>655.363394307257</x:v>
      </x:c>
      <x:c r="G127" s="21" t="n">
        <x:v>347.74894180179336</x:v>
      </x:c>
      <x:c r="H127" s="23" t="n">
        <x:v>5</x:v>
      </x:c>
      <x:c r="I127" s="21" t="n">
        <x:v>4.776443999999993</x:v>
      </x:c>
      <x:c r="J127" s="21" t="n">
        <x:v>6.065300554153509</x:v>
      </x:c>
      <x:c r="K127" s="25"/>
      <x:c r="L127" s="27" t="str">
        <x:f>""</x:f>
      </x:c>
      <x:c r="M127" s="27" t="str">
        <x:f>""</x:f>
      </x:c>
    </x:row>
    <x:row r="128" ht="21" customHeight="1">
      <x:c r="A128" s="3" t="str">
        <x:v>EXP071</x:v>
      </x:c>
      <x:c r="B128" s="3" t="str">
        <x:v>Exp. 8</x:v>
      </x:c>
      <x:c r="C128" s="3" t="str">
        <x:v>Full</x:v>
      </x:c>
      <x:c r="D128" s="18" t="n">
        <x:v>20</x:v>
      </x:c>
      <x:c r="E128" s="18" t="n">
        <x:v>200</x:v>
      </x:c>
      <x:c r="F128" s="21" t="n">
        <x:f>AVERAGEIFS('Runs'!$F$2293:$F$2392,'Runs'!$A$2293:$A$2392,A128,'Runs'!$D$2293:$D$2392,C128)</x:f>
        <x:v>656.7555986906725</x:v>
      </x:c>
      <x:c r="G128" s="21" t="n">
        <x:v>349.14114618520915</x:v>
      </x:c>
      <x:c r="H128" s="23" t="n">
        <x:v>100</x:v>
      </x:c>
      <x:c r="I128" s="21" t="n">
        <x:v>1.7087469999999911</x:v>
      </x:c>
      <x:c r="J128" s="21" t="n">
        <x:v>1.7306292582885363</x:v>
      </x:c>
      <x:c r="K128" s="25"/>
      <x:c r="L128" s="27" t="str">
        <x:f>""</x:f>
      </x:c>
      <x:c r="M128" s="27" t="str">
        <x:f>""</x:f>
      </x:c>
    </x:row>
    <x:row r="129" ht="21" customHeight="1">
      <x:c r="A129" s="3" t="str">
        <x:v>EXP071</x:v>
      </x:c>
      <x:c r="B129" s="3" t="str">
        <x:v>Exp. 8</x:v>
      </x:c>
      <x:c r="C129" s="3" t="str">
        <x:v>Relative cutoff 1e-2</x:v>
      </x:c>
      <x:c r="D129" s="18" t="n">
        <x:v>20</x:v>
      </x:c>
      <x:c r="E129" s="18" t="n">
        <x:v>200</x:v>
      </x:c>
      <x:c r="F129" s="21" t="n">
        <x:f>AVERAGEIFS('Runs'!$F$2293:$F$2392,'Runs'!$A$2293:$A$2392,A129,'Runs'!$D$2293:$D$2392,C129)</x:f>
        <x:v>658.2323692386763</x:v>
      </x:c>
      <x:c r="G129" s="21" t="n">
        <x:v>350.61791673321284</x:v>
      </x:c>
      <x:c r="H129" s="23" t="n">
        <x:v>2.665</x:v>
      </x:c>
      <x:c r="I129" s="21" t="n">
        <x:v>1.678479649999994</x:v>
      </x:c>
      <x:c r="J129" s="21" t="n">
        <x:v>1.6879715206567198</x:v>
      </x:c>
      <x:c r="K129" s="25"/>
      <x:c r="L129" s="27" t="str">
        <x:f>""</x:f>
      </x:c>
      <x:c r="M129" s="27" t="str">
        <x:f>""</x:f>
      </x:c>
    </x:row>
    <x:row r="130" ht="21" customHeight="1">
      <x:c r="A130" s="3" t="str">
        <x:v>EXP075</x:v>
      </x:c>
      <x:c r="B130" s="3" t="str">
        <x:v>Exp. 9</x:v>
      </x:c>
      <x:c r="C130" s="3" t="str">
        <x:v>BBP</x:v>
      </x:c>
      <x:c r="D130" s="18" t="n">
        <x:v>14</x:v>
      </x:c>
      <x:c r="E130" s="18" t="n">
        <x:v>200</x:v>
      </x:c>
      <x:c r="F130" s="21" t="n">
        <x:f>AVERAGEIFS('Runs'!$F$2393:$F$2504,'Runs'!$A$2393:$A$2504,A130,'Runs'!$D$2393:$D$2504,C130)</x:f>
        <x:v>446.36957873416117</x:v>
      </x:c>
      <x:c r="G130" s="21" t="n">
        <x:v>237.27688083820516</x:v>
      </x:c>
      <x:c r="H130" s="23" t="n">
        <x:v>23.664285714285715</x:v>
      </x:c>
      <x:c r="I130" s="21" t="n">
        <x:v>2.938776642857146</x:v>
      </x:c>
      <x:c r="J130" s="21" t="n">
        <x:v>5.666680741173748</x:v>
      </x:c>
      <x:c r="K130" s="25"/>
      <x:c r="L130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0" s="27" t="n">
        <x:f>SUMIFS('Runs'!$G$2393:$G$2504,'Runs'!$D$2393:$D$2504,"BBP",'Runs'!$G$2393:$G$2504,"&lt;&gt;")/SUMIFS('Runs'!$F$2393:$F$2504,'Runs'!$D$2393:$D$2504,"BBP",'Runs'!$G$2393:$G$2504,"&lt;&gt;")-1</x:f>
        <x:v>0</x:v>
      </x:c>
    </x:row>
    <x:row r="131" ht="21" customHeight="1">
      <x:c r="A131" s="3" t="str">
        <x:v>EXP075</x:v>
      </x:c>
      <x:c r="B131" s="3" t="str">
        <x:v>Exp. 9</x:v>
      </x:c>
      <x:c r="C131" s="3" t="str">
        <x:v>Relative cutoff 1e-5</x:v>
      </x:c>
      <x:c r="D131" s="18" t="n">
        <x:v>14</x:v>
      </x:c>
      <x:c r="E131" s="18" t="n">
        <x:v>200</x:v>
      </x:c>
      <x:c r="F131" s="21" t="n">
        <x:f>AVERAGEIFS('Runs'!$F$2393:$F$2504,'Runs'!$A$2393:$A$2504,A131,'Runs'!$D$2393:$D$2504,C131)</x:f>
        <x:v>446.5079648862362</x:v>
      </x:c>
      <x:c r="G131" s="21" t="n">
        <x:v>237.41526699028023</x:v>
      </x:c>
      <x:c r="H131" s="23" t="n">
        <x:v>26.278571428571432</x:v>
      </x:c>
      <x:c r="I131" s="21" t="n">
        <x:v>2.9119100714285664</x:v>
      </x:c>
      <x:c r="J131" s="21" t="n">
        <x:v>8.247618674550072</x:v>
      </x:c>
      <x:c r="K131" s="25"/>
      <x:c r="L131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1" s="27" t="n">
        <x:f>SUMIFS('Runs'!$G$2393:$G$2504,'Runs'!$D$2393:$D$2504,"Relative cutoff 1e-5",'Runs'!$G$2393:$G$2504,"&lt;&gt;")/SUMIFS('Runs'!$F$2393:$F$2504,'Runs'!$D$2393:$D$2504,"Relative cutoff 1e-5",'Runs'!$G$2393:$G$2504,"&lt;&gt;")-1</x:f>
        <x:v>-0.00030992986230449215</x:v>
      </x:c>
    </x:row>
    <x:row r="132" ht="21" customHeight="1">
      <x:c r="A132" s="3" t="str">
        <x:v>EXP075</x:v>
      </x:c>
      <x:c r="B132" s="3" t="str">
        <x:v>Exp. 9</x:v>
      </x:c>
      <x:c r="C132" s="3" t="str">
        <x:v>Fixed rank 10</x:v>
      </x:c>
      <x:c r="D132" s="18" t="n">
        <x:v>14</x:v>
      </x:c>
      <x:c r="E132" s="18" t="n">
        <x:v>200</x:v>
      </x:c>
      <x:c r="F132" s="21" t="n">
        <x:f>AVERAGEIFS('Runs'!$F$2393:$F$2504,'Runs'!$A$2393:$A$2504,A132,'Runs'!$D$2393:$D$2504,C132)</x:f>
        <x:v>446.3067023109685</x:v>
      </x:c>
      <x:c r="G132" s="21" t="n">
        <x:v>237.21400441501265</x:v>
      </x:c>
      <x:c r="H132" s="23" t="n">
        <x:v>10</x:v>
      </x:c>
      <x:c r="I132" s="21" t="n">
        <x:v>2.9318952857142913</x:v>
      </x:c>
      <x:c r="J132" s="21" t="n">
        <x:v>8.692328108474612</x:v>
      </x:c>
      <x:c r="K132" s="25"/>
      <x:c r="L132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2" s="27" t="n">
        <x:f>SUMIFS('Runs'!$G$2393:$G$2504,'Runs'!$D$2393:$D$2504,"Fixed rank 10",'Runs'!$G$2393:$G$2504,"&lt;&gt;")/SUMIFS('Runs'!$F$2393:$F$2504,'Runs'!$D$2393:$D$2504,"Fixed rank 10",'Runs'!$G$2393:$G$2504,"&lt;&gt;")-1</x:f>
        <x:v>0.00014088164678471848</x:v>
      </x:c>
    </x:row>
    <x:row r="133" ht="21" customHeight="1">
      <x:c r="A133" s="3" t="str">
        <x:v>EXP075</x:v>
      </x:c>
      <x:c r="B133" s="3" t="str">
        <x:v>Exp. 9</x:v>
      </x:c>
      <x:c r="C133" s="3" t="str">
        <x:v>Fixed rank 25</x:v>
      </x:c>
      <x:c r="D133" s="18" t="n">
        <x:v>14</x:v>
      </x:c>
      <x:c r="E133" s="18" t="n">
        <x:v>200</x:v>
      </x:c>
      <x:c r="F133" s="21" t="n">
        <x:f>AVERAGEIFS('Runs'!$F$2393:$F$2504,'Runs'!$A$2393:$A$2504,A133,'Runs'!$D$2393:$D$2504,C133)</x:f>
        <x:v>446.36957873416117</x:v>
      </x:c>
      <x:c r="G133" s="21" t="n">
        <x:v>237.27688083820516</x:v>
      </x:c>
      <x:c r="H133" s="23" t="n">
        <x:v>25</x:v>
      </x:c>
      <x:c r="I133" s="21" t="n">
        <x:v>2.9289207857142823</x:v>
      </x:c>
      <x:c r="J133" s="21" t="n">
        <x:v>8.9451177366344</x:v>
      </x:c>
      <x:c r="K133" s="25"/>
      <x:c r="L133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3" s="27" t="n">
        <x:f>SUMIFS('Runs'!$G$2393:$G$2504,'Runs'!$D$2393:$D$2504,"Fixed rank 25",'Runs'!$G$2393:$G$2504,"&lt;&gt;")/SUMIFS('Runs'!$F$2393:$F$2504,'Runs'!$D$2393:$D$2504,"Fixed rank 25",'Runs'!$G$2393:$G$2504,"&lt;&gt;")-1</x:f>
        <x:v>0</x:v>
      </x:c>
    </x:row>
    <x:row r="134" ht="21" customHeight="1">
      <x:c r="A134" s="3" t="str">
        <x:v>EXP075</x:v>
      </x:c>
      <x:c r="B134" s="3" t="str">
        <x:v>Exp. 9</x:v>
      </x:c>
      <x:c r="C134" s="3" t="str">
        <x:v>Relative cutoff 1e-6</x:v>
      </x:c>
      <x:c r="D134" s="18" t="n">
        <x:v>14</x:v>
      </x:c>
      <x:c r="E134" s="18" t="n">
        <x:v>200</x:v>
      </x:c>
      <x:c r="F134" s="21" t="n">
        <x:f>AVERAGEIFS('Runs'!$F$2393:$F$2504,'Runs'!$A$2393:$A$2504,A134,'Runs'!$D$2393:$D$2504,C134)</x:f>
        <x:v>446.72443134946224</x:v>
      </x:c>
      <x:c r="G134" s="21" t="n">
        <x:v>237.63173345350626</x:v>
      </x:c>
      <x:c r="H134" s="23" t="n">
        <x:v>41.464285714285715</x:v>
      </x:c>
      <x:c r="I134" s="21" t="n">
        <x:v>2.9133364999999984</x:v>
      </x:c>
      <x:c r="J134" s="21" t="n">
        <x:v>7.133388282731175</x:v>
      </x:c>
      <x:c r="K134" s="25"/>
      <x:c r="L134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4" s="27" t="n">
        <x:f>SUMIFS('Runs'!$G$2393:$G$2504,'Runs'!$D$2393:$D$2504,"Relative cutoff 1e-6",'Runs'!$G$2393:$G$2504,"&lt;&gt;")/SUMIFS('Runs'!$F$2393:$F$2504,'Runs'!$D$2393:$D$2504,"Relative cutoff 1e-6",'Runs'!$G$2393:$G$2504,"&lt;&gt;")-1</x:f>
        <x:v>-0.00079434342605611</x:v>
      </x:c>
    </x:row>
    <x:row r="135" ht="21" customHeight="1">
      <x:c r="A135" s="3" t="str">
        <x:v>EXP075</x:v>
      </x:c>
      <x:c r="B135" s="3" t="str">
        <x:v>Exp. 9</x:v>
      </x:c>
      <x:c r="C135" s="3" t="str">
        <x:v>Full</x:v>
      </x:c>
      <x:c r="D135" s="18" t="n">
        <x:v>14</x:v>
      </x:c>
      <x:c r="E135" s="18" t="n">
        <x:v>200</x:v>
      </x:c>
      <x:c r="F135" s="21" t="n">
        <x:f>AVERAGEIFS('Runs'!$F$2393:$F$2504,'Runs'!$A$2393:$A$2504,A135,'Runs'!$D$2393:$D$2504,C135)</x:f>
        <x:v>448.1450304322072</x:v>
      </x:c>
      <x:c r="G135" s="21" t="n">
        <x:v>239.05233253625127</x:v>
      </x:c>
      <x:c r="H135" s="23" t="n">
        <x:v>100</x:v>
      </x:c>
      <x:c r="I135" s="21" t="n">
        <x:v>2.899345142857141</x:v>
      </x:c>
      <x:c r="J135" s="21" t="n">
        <x:v>7.453151340114085</x:v>
      </x:c>
      <x:c r="K135" s="25"/>
      <x:c r="L135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5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</x:row>
    <x:row r="136" ht="21" customHeight="1">
      <x:c r="A136" s="3" t="str">
        <x:v>EXP075</x:v>
      </x:c>
      <x:c r="B136" s="3" t="str">
        <x:v>Exp. 9</x:v>
      </x:c>
      <x:c r="C136" s="3" t="str">
        <x:v>Relative cutoff 1e-2</x:v>
      </x:c>
      <x:c r="D136" s="18" t="n">
        <x:v>14</x:v>
      </x:c>
      <x:c r="E136" s="18" t="n">
        <x:v>200</x:v>
      </x:c>
      <x:c r="F136" s="21" t="n">
        <x:f>AVERAGEIFS('Runs'!$F$2393:$F$2504,'Runs'!$A$2393:$A$2504,A136,'Runs'!$D$2393:$D$2504,C136)</x:f>
        <x:v>448.5177922595167</x:v>
      </x:c>
      <x:c r="G136" s="21" t="n">
        <x:v>239.42509436356085</x:v>
      </x:c>
      <x:c r="H136" s="23" t="n">
        <x:v>2.900000000000001</x:v>
      </x:c>
      <x:c r="I136" s="21" t="n">
        <x:v>2.9037620714285763</x:v>
      </x:c>
      <x:c r="J136" s="21" t="n">
        <x:v>8.230227712292358</x:v>
      </x:c>
      <x:c r="K136" s="25"/>
      <x:c r="L136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6" s="27" t="n">
        <x:f>SUMIFS('Runs'!$G$2393:$G$2504,'Runs'!$D$2393:$D$2504,"Relative cutoff 1e-2",'Runs'!$G$2393:$G$2504,"&lt;&gt;")/SUMIFS('Runs'!$F$2393:$F$2504,'Runs'!$D$2393:$D$2504,"Relative cutoff 1e-2",'Runs'!$G$2393:$G$2504,"&lt;&gt;")-1</x:f>
        <x:v>-0.004789583741000247</x:v>
      </x:c>
    </x:row>
    <x:row r="137" ht="21" customHeight="1">
      <x:c r="A137" s="3" t="str">
        <x:v>EXP075</x:v>
      </x:c>
      <x:c r="B137" s="3" t="str">
        <x:v>Exp. 9</x:v>
      </x:c>
      <x:c r="C137" s="3" t="str">
        <x:v>Relative cutoff 1e-4</x:v>
      </x:c>
      <x:c r="D137" s="18" t="n">
        <x:v>14</x:v>
      </x:c>
      <x:c r="E137" s="18" t="n">
        <x:v>200</x:v>
      </x:c>
      <x:c r="F137" s="21" t="n">
        <x:f>AVERAGEIFS('Runs'!$F$2393:$F$2504,'Runs'!$A$2393:$A$2504,A137,'Runs'!$D$2393:$D$2504,C137)</x:f>
        <x:v>446.77844119338835</x:v>
      </x:c>
      <x:c r="G137" s="21" t="n">
        <x:v>237.6857432974325</x:v>
      </x:c>
      <x:c r="H137" s="23" t="n">
        <x:v>10.72857142857143</x:v>
      </x:c>
      <x:c r="I137" s="21" t="n">
        <x:v>2.9230983571428513</x:v>
      </x:c>
      <x:c r="J137" s="21" t="n">
        <x:v>5.948111013925102</x:v>
      </x:c>
      <x:c r="K137" s="25"/>
      <x:c r="L137" s="27" t="n">
        <x:f>SUMIFS('Runs'!$G$2393:$G$2504,'Runs'!$D$2393:$D$2504,"Full",'Runs'!$G$2393:$G$2504,"&lt;&gt;")/SUMIFS('Runs'!$F$2393:$F$2504,'Runs'!$D$2393:$D$2504,"Full",'Runs'!$G$2393:$G$2504,"&lt;&gt;")-1</x:f>
        <x:v>-0.003961779284562761</x:v>
      </x:c>
      <x:c r="M137" s="27" t="n">
        <x:f>SUMIFS('Runs'!$G$2393:$G$2504,'Runs'!$D$2393:$D$2504,"Relative cutoff 1e-4",'Runs'!$G$2393:$G$2504,"&lt;&gt;")/SUMIFS('Runs'!$F$2393:$F$2504,'Runs'!$D$2393:$D$2504,"Relative cutoff 1e-4",'Runs'!$G$2393:$G$2504,"&lt;&gt;")-1</x:f>
        <x:v>-0.000915134710025467</x:v>
      </x:c>
    </x:row>
    <x:row r="138" ht="21" customHeight="1">
      <x:c r="A138" s="3" t="str">
        <x:v>EXP079</x:v>
      </x:c>
      <x:c r="B138" s="3" t="str">
        <x:v>Exp. 9</x:v>
      </x:c>
      <x:c r="C138" s="3" t="str">
        <x:v>Fixed rank 10</x:v>
      </x:c>
      <x:c r="D138" s="18" t="n">
        <x:v>20</x:v>
      </x:c>
      <x:c r="E138" s="18" t="n">
        <x:v>200</x:v>
      </x:c>
      <x:c r="F138" s="21" t="n">
        <x:f>AVERAGEIFS('Runs'!$F$2505:$F$2604,'Runs'!$A$2505:$A$2604,A138,'Runs'!$D$2505:$D$2604,C138)</x:f>
        <x:v>463.92620061538526</x:v>
      </x:c>
      <x:c r="G138" s="21" t="n">
        <x:v>252.4608184571254</x:v>
      </x:c>
      <x:c r="H138" s="23" t="n">
        <x:v>10</x:v>
      </x:c>
      <x:c r="I138" s="21" t="n">
        <x:v>5.234191150000004</x:v>
      </x:c>
      <x:c r="J138" s="21" t="n">
        <x:v>6.10738528749207</x:v>
      </x:c>
      <x:c r="K138" s="25"/>
      <x:c r="L138" s="27" t="str">
        <x:f>""</x:f>
      </x:c>
      <x:c r="M138" s="27" t="str">
        <x:f>""</x:f>
      </x:c>
    </x:row>
    <x:row r="139" ht="21" customHeight="1">
      <x:c r="A139" s="3" t="str">
        <x:v>EXP079</x:v>
      </x:c>
      <x:c r="B139" s="3" t="str">
        <x:v>Exp. 9</x:v>
      </x:c>
      <x:c r="C139" s="3" t="str">
        <x:v>Fixed rank 3</x:v>
      </x:c>
      <x:c r="D139" s="18" t="n">
        <x:v>20</x:v>
      </x:c>
      <x:c r="E139" s="18" t="n">
        <x:v>200</x:v>
      </x:c>
      <x:c r="F139" s="21" t="n">
        <x:f>AVERAGEIFS('Runs'!$F$2505:$F$2604,'Runs'!$A$2505:$A$2604,A139,'Runs'!$D$2505:$D$2604,C139)</x:f>
        <x:v>463.8247535521502</x:v>
      </x:c>
      <x:c r="G139" s="21" t="n">
        <x:v>252.35937139389026</x:v>
      </x:c>
      <x:c r="H139" s="23" t="n">
        <x:v>3</x:v>
      </x:c>
      <x:c r="I139" s="21" t="n">
        <x:v>4.9764768</x:v>
      </x:c>
      <x:c r="J139" s="21" t="n">
        <x:v>5.952459841722157</x:v>
      </x:c>
      <x:c r="K139" s="25"/>
      <x:c r="L139" s="27" t="str">
        <x:f>""</x:f>
      </x:c>
      <x:c r="M139" s="27" t="str">
        <x:f>""</x:f>
      </x:c>
    </x:row>
    <x:row r="140" ht="21" customHeight="1">
      <x:c r="A140" s="3" t="str">
        <x:v>EXP079</x:v>
      </x:c>
      <x:c r="B140" s="3" t="str">
        <x:v>Exp. 9</x:v>
      </x:c>
      <x:c r="C140" s="3" t="str">
        <x:v>Fixed rank 5</x:v>
      </x:c>
      <x:c r="D140" s="18" t="n">
        <x:v>20</x:v>
      </x:c>
      <x:c r="E140" s="18" t="n">
        <x:v>200</x:v>
      </x:c>
      <x:c r="F140" s="21" t="n">
        <x:f>AVERAGEIFS('Runs'!$F$2505:$F$2604,'Runs'!$A$2505:$A$2604,A140,'Runs'!$D$2505:$D$2604,C140)</x:f>
        <x:v>459.70813180363785</x:v>
      </x:c>
      <x:c r="G140" s="21" t="n">
        <x:v>248.24274964537798</x:v>
      </x:c>
      <x:c r="H140" s="23" t="n">
        <x:v>5</x:v>
      </x:c>
      <x:c r="I140" s="21" t="n">
        <x:v>4.556763049999995</x:v>
      </x:c>
      <x:c r="J140" s="21" t="n">
        <x:v>6.557013314659708</x:v>
      </x:c>
      <x:c r="K140" s="25"/>
      <x:c r="L140" s="27" t="str">
        <x:f>""</x:f>
      </x:c>
      <x:c r="M140" s="27" t="str">
        <x:f>""</x:f>
      </x:c>
    </x:row>
    <x:row r="141" ht="21" customHeight="1">
      <x:c r="A141" s="3" t="str">
        <x:v>EXP079</x:v>
      </x:c>
      <x:c r="B141" s="3" t="str">
        <x:v>Exp. 9</x:v>
      </x:c>
      <x:c r="C141" s="3" t="str">
        <x:v>Full</x:v>
      </x:c>
      <x:c r="D141" s="18" t="n">
        <x:v>20</x:v>
      </x:c>
      <x:c r="E141" s="18" t="n">
        <x:v>200</x:v>
      </x:c>
      <x:c r="F141" s="21" t="n">
        <x:f>AVERAGEIFS('Runs'!$F$2505:$F$2604,'Runs'!$A$2505:$A$2604,A141,'Runs'!$D$2505:$D$2604,C141)</x:f>
        <x:v>458.774603341158</x:v>
      </x:c>
      <x:c r="G141" s="21" t="n">
        <x:v>247.30922118289814</x:v>
      </x:c>
      <x:c r="H141" s="23" t="n">
        <x:v>100</x:v>
      </x:c>
      <x:c r="I141" s="21" t="n">
        <x:v>1.6613233000000007</x:v>
      </x:c>
      <x:c r="J141" s="21" t="n">
        <x:v>1.6805551875499076</x:v>
      </x:c>
      <x:c r="K141" s="25"/>
      <x:c r="L141" s="27" t="str">
        <x:f>""</x:f>
      </x:c>
      <x:c r="M141" s="27" t="str">
        <x:f>""</x:f>
      </x:c>
    </x:row>
    <x:row r="142" ht="21" customHeight="1">
      <x:c r="A142" s="3" t="str">
        <x:v>EXP079</x:v>
      </x:c>
      <x:c r="B142" s="3" t="str">
        <x:v>Exp. 9</x:v>
      </x:c>
      <x:c r="C142" s="3" t="str">
        <x:v>Relative cutoff 1e-2</x:v>
      </x:c>
      <x:c r="D142" s="18" t="n">
        <x:v>20</x:v>
      </x:c>
      <x:c r="E142" s="18" t="n">
        <x:v>200</x:v>
      </x:c>
      <x:c r="F142" s="21" t="n">
        <x:f>AVERAGEIFS('Runs'!$F$2505:$F$2604,'Runs'!$A$2505:$A$2604,A142,'Runs'!$D$2505:$D$2604,C142)</x:f>
        <x:v>461.58472789114603</x:v>
      </x:c>
      <x:c r="G142" s="21" t="n">
        <x:v>250.11934573288613</x:v>
      </x:c>
      <x:c r="H142" s="23" t="n">
        <x:v>3.0100000000000007</x:v>
      </x:c>
      <x:c r="I142" s="21" t="n">
        <x:v>1.640420900000001</x:v>
      </x:c>
      <x:c r="J142" s="21" t="n">
        <x:v>1.6434271667152642</x:v>
      </x:c>
      <x:c r="K142" s="25"/>
      <x:c r="L142" s="27" t="str">
        <x:f>""</x:f>
      </x:c>
      <x:c r="M142" s="27" t="str">
        <x:f>""</x:f>
      </x:c>
    </x:row>
    <x:row r="143" ht="21" customHeight="1">
      <x:c r="A143" s="3" t="str">
        <x:v>EXP083</x:v>
      </x:c>
      <x:c r="B143" s="3" t="str">
        <x:v>Exp. 10</x:v>
      </x:c>
      <x:c r="C143" s="3" t="str">
        <x:v>BBP</x:v>
      </x:c>
      <x:c r="D143" s="18" t="n">
        <x:v>15</x:v>
      </x:c>
      <x:c r="E143" s="18" t="n">
        <x:v>200</x:v>
      </x:c>
      <x:c r="F143" s="21" t="n">
        <x:f>AVERAGEIFS('Runs'!$F$2605:$F$2724,'Runs'!$A$2605:$A$2724,A143,'Runs'!$D$2605:$D$2724,C143)</x:f>
        <x:v>383.8377847453774</x:v>
      </x:c>
      <x:c r="G143" s="21" t="n">
        <x:v>201.33034641785994</x:v>
      </x:c>
      <x:c r="H143" s="23" t="n">
        <x:v>23.526666666666664</x:v>
      </x:c>
      <x:c r="I143" s="21" t="n">
        <x:v>3.049970266666663</x:v>
      </x:c>
      <x:c r="J143" s="21" t="n">
        <x:v>10.416600929014384</x:v>
      </x:c>
      <x:c r="K143" s="25"/>
      <x:c r="L143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3" s="27" t="n">
        <x:f>SUMIFS('Runs'!$G$2605:$G$2724,'Runs'!$D$2605:$D$2724,"BBP",'Runs'!$G$2605:$G$2724,"&lt;&gt;")/SUMIFS('Runs'!$F$2605:$F$2724,'Runs'!$D$2605:$D$2724,"BBP",'Runs'!$G$2605:$G$2724,"&lt;&gt;")-1</x:f>
        <x:v>0</x:v>
      </x:c>
    </x:row>
    <x:row r="144" ht="21" customHeight="1">
      <x:c r="A144" s="3" t="str">
        <x:v>EXP083</x:v>
      </x:c>
      <x:c r="B144" s="3" t="str">
        <x:v>Exp. 10</x:v>
      </x:c>
      <x:c r="C144" s="3" t="str">
        <x:v>Relative cutoff 1e-5</x:v>
      </x:c>
      <x:c r="D144" s="18" t="n">
        <x:v>15</x:v>
      </x:c>
      <x:c r="E144" s="18" t="n">
        <x:v>200</x:v>
      </x:c>
      <x:c r="F144" s="21" t="n">
        <x:f>AVERAGEIFS('Runs'!$F$2605:$F$2724,'Runs'!$A$2605:$A$2724,A144,'Runs'!$D$2605:$D$2724,C144)</x:f>
        <x:v>384.3933781741056</x:v>
      </x:c>
      <x:c r="G144" s="21" t="n">
        <x:v>201.88593984658817</x:v>
      </x:c>
      <x:c r="H144" s="23" t="n">
        <x:v>27.740000000000002</x:v>
      </x:c>
      <x:c r="I144" s="21" t="n">
        <x:v>3.0164602000000045</x:v>
      </x:c>
      <x:c r="J144" s="21" t="n">
        <x:v>5.858850858546793</x:v>
      </x:c>
      <x:c r="K144" s="25"/>
      <x:c r="L144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4" s="27" t="n">
        <x:f>SUMIFS('Runs'!$G$2605:$G$2724,'Runs'!$D$2605:$D$2724,"Relative cutoff 1e-5",'Runs'!$G$2605:$G$2724,"&lt;&gt;")/SUMIFS('Runs'!$F$2605:$F$2724,'Runs'!$D$2605:$D$2724,"Relative cutoff 1e-5",'Runs'!$G$2605:$G$2724,"&lt;&gt;")-1</x:f>
        <x:v>-0.0014453772106255425</x:v>
      </x:c>
    </x:row>
    <x:row r="145" ht="21" customHeight="1">
      <x:c r="A145" s="3" t="str">
        <x:v>EXP083</x:v>
      </x:c>
      <x:c r="B145" s="3" t="str">
        <x:v>Exp. 10</x:v>
      </x:c>
      <x:c r="C145" s="3" t="str">
        <x:v>Fixed rank 10</x:v>
      </x:c>
      <x:c r="D145" s="18" t="n">
        <x:v>15</x:v>
      </x:c>
      <x:c r="E145" s="18" t="n">
        <x:v>200</x:v>
      </x:c>
      <x:c r="F145" s="21" t="n">
        <x:f>AVERAGEIFS('Runs'!$F$2605:$F$2724,'Runs'!$A$2605:$A$2724,A145,'Runs'!$D$2605:$D$2724,C145)</x:f>
        <x:v>375.95927177034406</x:v>
      </x:c>
      <x:c r="G145" s="21" t="n">
        <x:v>193.45183344282668</x:v>
      </x:c>
      <x:c r="H145" s="23" t="n">
        <x:v>10</x:v>
      </x:c>
      <x:c r="I145" s="21" t="n">
        <x:v>3.0458802666666736</x:v>
      </x:c>
      <x:c r="J145" s="21" t="n">
        <x:v>7.862812432212134</x:v>
      </x:c>
      <x:c r="K145" s="25"/>
      <x:c r="L145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5" s="27" t="n">
        <x:f>SUMIFS('Runs'!$G$2605:$G$2724,'Runs'!$D$2605:$D$2724,"Fixed rank 10",'Runs'!$G$2605:$G$2724,"&lt;&gt;")/SUMIFS('Runs'!$F$2605:$F$2724,'Runs'!$D$2605:$D$2724,"Fixed rank 10",'Runs'!$G$2605:$G$2724,"&lt;&gt;")-1</x:f>
        <x:v>0.020955761877967438</x:v>
      </x:c>
    </x:row>
    <x:row r="146" ht="21" customHeight="1">
      <x:c r="A146" s="3" t="str">
        <x:v>EXP083</x:v>
      </x:c>
      <x:c r="B146" s="3" t="str">
        <x:v>Exp. 10</x:v>
      </x:c>
      <x:c r="C146" s="3" t="str">
        <x:v>Fixed rank 25</x:v>
      </x:c>
      <x:c r="D146" s="18" t="n">
        <x:v>15</x:v>
      </x:c>
      <x:c r="E146" s="18" t="n">
        <x:v>200</x:v>
      </x:c>
      <x:c r="F146" s="21" t="n">
        <x:f>AVERAGEIFS('Runs'!$F$2605:$F$2724,'Runs'!$A$2605:$A$2724,A146,'Runs'!$D$2605:$D$2724,C146)</x:f>
        <x:v>383.9822930537283</x:v>
      </x:c>
      <x:c r="G146" s="21" t="n">
        <x:v>201.4748547262109</x:v>
      </x:c>
      <x:c r="H146" s="23" t="n">
        <x:v>25</x:v>
      </x:c>
      <x:c r="I146" s="21" t="n">
        <x:v>3.0310942666666665</x:v>
      </x:c>
      <x:c r="J146" s="21" t="n">
        <x:v>8.12630136826386</x:v>
      </x:c>
      <x:c r="K146" s="25"/>
      <x:c r="L146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6" s="27" t="n">
        <x:f>SUMIFS('Runs'!$G$2605:$G$2724,'Runs'!$D$2605:$D$2724,"Fixed rank 25",'Runs'!$G$2605:$G$2724,"&lt;&gt;")/SUMIFS('Runs'!$F$2605:$F$2724,'Runs'!$D$2605:$D$2724,"Fixed rank 25",'Runs'!$G$2605:$G$2724,"&lt;&gt;")-1</x:f>
        <x:v>-0.00037634107344286516</x:v>
      </x:c>
    </x:row>
    <x:row r="147" ht="21" customHeight="1">
      <x:c r="A147" s="3" t="str">
        <x:v>EXP083</x:v>
      </x:c>
      <x:c r="B147" s="3" t="str">
        <x:v>Exp. 10</x:v>
      </x:c>
      <x:c r="C147" s="3" t="str">
        <x:v>Relative cutoff 1e-6</x:v>
      </x:c>
      <x:c r="D147" s="18" t="n">
        <x:v>15</x:v>
      </x:c>
      <x:c r="E147" s="18" t="n">
        <x:v>200</x:v>
      </x:c>
      <x:c r="F147" s="21" t="n">
        <x:f>AVERAGEIFS('Runs'!$F$2605:$F$2724,'Runs'!$A$2605:$A$2724,A147,'Runs'!$D$2605:$D$2724,C147)</x:f>
        <x:v>383.9526238112481</x:v>
      </x:c>
      <x:c r="G147" s="21" t="n">
        <x:v>201.44518548373065</x:v>
      </x:c>
      <x:c r="H147" s="23" t="n">
        <x:v>42.75333333333334</x:v>
      </x:c>
      <x:c r="I147" s="21" t="n">
        <x:v>3.0540927333333374</x:v>
      </x:c>
      <x:c r="J147" s="21" t="n">
        <x:v>7.862565848479668</x:v>
      </x:c>
      <x:c r="K147" s="25"/>
      <x:c r="L147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7" s="27" t="n">
        <x:f>SUMIFS('Runs'!$G$2605:$G$2724,'Runs'!$D$2605:$D$2724,"Relative cutoff 1e-6",'Runs'!$G$2605:$G$2724,"&lt;&gt;")/SUMIFS('Runs'!$F$2605:$F$2724,'Runs'!$D$2605:$D$2724,"Relative cutoff 1e-6",'Runs'!$G$2605:$G$2724,"&lt;&gt;")-1</x:f>
        <x:v>-0.0002990969686070821</x:v>
      </x:c>
    </x:row>
    <x:row r="148" ht="21" customHeight="1">
      <x:c r="A148" s="3" t="str">
        <x:v>EXP083</x:v>
      </x:c>
      <x:c r="B148" s="3" t="str">
        <x:v>Exp. 10</x:v>
      </x:c>
      <x:c r="C148" s="3" t="str">
        <x:v>Full</x:v>
      </x:c>
      <x:c r="D148" s="18" t="n">
        <x:v>15</x:v>
      </x:c>
      <x:c r="E148" s="18" t="n">
        <x:v>200</x:v>
      </x:c>
      <x:c r="F148" s="21" t="n">
        <x:f>AVERAGEIFS('Runs'!$F$2605:$F$2724,'Runs'!$A$2605:$A$2724,A148,'Runs'!$D$2605:$D$2724,C148)</x:f>
        <x:v>382.445448754429</x:v>
      </x:c>
      <x:c r="G148" s="21" t="n">
        <x:v>199.93801042691155</x:v>
      </x:c>
      <x:c r="H148" s="23" t="n">
        <x:v>100</x:v>
      </x:c>
      <x:c r="I148" s="21" t="n">
        <x:v>3.019084800000002</x:v>
      </x:c>
      <x:c r="J148" s="21" t="n">
        <x:v>6.109305046591908</x:v>
      </x:c>
      <x:c r="K148" s="25"/>
      <x:c r="L148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8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</x:row>
    <x:row r="149" ht="21" customHeight="1">
      <x:c r="A149" s="3" t="str">
        <x:v>EXP083</x:v>
      </x:c>
      <x:c r="B149" s="3" t="str">
        <x:v>Exp. 10</x:v>
      </x:c>
      <x:c r="C149" s="3" t="str">
        <x:v>Relative cutoff 1e-2</x:v>
      </x:c>
      <x:c r="D149" s="18" t="n">
        <x:v>15</x:v>
      </x:c>
      <x:c r="E149" s="18" t="n">
        <x:v>200</x:v>
      </x:c>
      <x:c r="F149" s="21" t="n">
        <x:f>AVERAGEIFS('Runs'!$F$2605:$F$2724,'Runs'!$A$2605:$A$2724,A149,'Runs'!$D$2605:$D$2724,C149)</x:f>
        <x:v>381.58940811919854</x:v>
      </x:c>
      <x:c r="G149" s="21" t="n">
        <x:v>199.0819697916812</x:v>
      </x:c>
      <x:c r="H149" s="23" t="n">
        <x:v>3.1933333333333334</x:v>
      </x:c>
      <x:c r="I149" s="21" t="n">
        <x:v>3.0133103333333184</x:v>
      </x:c>
      <x:c r="J149" s="21" t="n">
        <x:v>8.149847583193331</x:v>
      </x:c>
      <x:c r="K149" s="25"/>
      <x:c r="L149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49" s="27" t="n">
        <x:f>SUMIFS('Runs'!$G$2605:$G$2724,'Runs'!$D$2605:$D$2724,"Relative cutoff 1e-2",'Runs'!$G$2605:$G$2724,"&lt;&gt;")/SUMIFS('Runs'!$F$2605:$F$2724,'Runs'!$D$2605:$D$2724,"Relative cutoff 1e-2",'Runs'!$G$2605:$G$2724,"&lt;&gt;")-1</x:f>
        <x:v>0.005892135835899648</x:v>
      </x:c>
    </x:row>
    <x:row r="150" ht="21" customHeight="1">
      <x:c r="A150" s="3" t="str">
        <x:v>EXP083</x:v>
      </x:c>
      <x:c r="B150" s="3" t="str">
        <x:v>Exp. 10</x:v>
      </x:c>
      <x:c r="C150" s="3" t="str">
        <x:v>Relative cutoff 1e-4</x:v>
      </x:c>
      <x:c r="D150" s="18" t="n">
        <x:v>15</x:v>
      </x:c>
      <x:c r="E150" s="18" t="n">
        <x:v>200</x:v>
      </x:c>
      <x:c r="F150" s="21" t="n">
        <x:f>AVERAGEIFS('Runs'!$F$2605:$F$2724,'Runs'!$A$2605:$A$2724,A150,'Runs'!$D$2605:$D$2724,C150)</x:f>
        <x:v>377.14176224788366</x:v>
      </x:c>
      <x:c r="G150" s="21" t="n">
        <x:v>194.63432392036623</x:v>
      </x:c>
      <x:c r="H150" s="23" t="n">
        <x:v>11.78</x:v>
      </x:c>
      <x:c r="I150" s="21" t="n">
        <x:v>3.046720466666667</x:v>
      </x:c>
      <x:c r="J150" s="21" t="n">
        <x:v>8.837726752615223</x:v>
      </x:c>
      <x:c r="K150" s="25"/>
      <x:c r="L150" s="27" t="n">
        <x:f>SUMIFS('Runs'!$G$2605:$G$2724,'Runs'!$D$2605:$D$2724,"Full",'Runs'!$G$2605:$G$2724,"&lt;&gt;")/SUMIFS('Runs'!$F$2605:$F$2724,'Runs'!$D$2605:$D$2724,"Full",'Runs'!$G$2605:$G$2724,"&lt;&gt;")-1</x:f>
        <x:v>0.0036406133096447135</x:v>
      </x:c>
      <x:c r="M150" s="27" t="n">
        <x:f>SUMIFS('Runs'!$G$2605:$G$2724,'Runs'!$D$2605:$D$2724,"Relative cutoff 1e-4",'Runs'!$G$2605:$G$2724,"&lt;&gt;")/SUMIFS('Runs'!$F$2605:$F$2724,'Runs'!$D$2605:$D$2724,"Relative cutoff 1e-4",'Runs'!$G$2605:$G$2724,"&lt;&gt;")-1</x:f>
        <x:v>0.017754656651078227</x:v>
      </x:c>
    </x:row>
    <x:row r="151" ht="21" customHeight="1">
      <x:c r="A151" s="3" t="str">
        <x:v>EXP086</x:v>
      </x:c>
      <x:c r="B151" s="3" t="str">
        <x:v>Exp. 10</x:v>
      </x:c>
      <x:c r="C151" s="3" t="str">
        <x:v>Fixed rank 10</x:v>
      </x:c>
      <x:c r="D151" s="18" t="n">
        <x:v>20</x:v>
      </x:c>
      <x:c r="E151" s="18" t="n">
        <x:v>200</x:v>
      </x:c>
      <x:c r="F151" s="21" t="n">
        <x:f>AVERAGEIFS('Runs'!$F$2725:$F$2824,'Runs'!$A$2725:$A$2824,A151,'Runs'!$D$2725:$D$2824,C151)</x:f>
        <x:v>391.054773630621</x:v>
      </x:c>
      <x:c r="G151" s="21" t="n">
        <x:v>207.60722206342498</x:v>
      </x:c>
      <x:c r="H151" s="23" t="n">
        <x:v>10</x:v>
      </x:c>
      <x:c r="I151" s="21" t="n">
        <x:v>4.970723599999988</x:v>
      </x:c>
      <x:c r="J151" s="21" t="n">
        <x:v>6.061661489540711</x:v>
      </x:c>
      <x:c r="K151" s="25"/>
      <x:c r="L151" s="27" t="str">
        <x:f>""</x:f>
      </x:c>
      <x:c r="M151" s="27" t="str">
        <x:f>""</x:f>
      </x:c>
    </x:row>
    <x:row r="152" ht="21" customHeight="1">
      <x:c r="A152" s="3" t="str">
        <x:v>EXP086</x:v>
      </x:c>
      <x:c r="B152" s="3" t="str">
        <x:v>Exp. 10</x:v>
      </x:c>
      <x:c r="C152" s="3" t="str">
        <x:v>Fixed rank 3</x:v>
      </x:c>
      <x:c r="D152" s="18" t="n">
        <x:v>20</x:v>
      </x:c>
      <x:c r="E152" s="18" t="n">
        <x:v>200</x:v>
      </x:c>
      <x:c r="F152" s="21" t="n">
        <x:f>AVERAGEIFS('Runs'!$F$2725:$F$2824,'Runs'!$A$2725:$A$2824,A152,'Runs'!$D$2725:$D$2824,C152)</x:f>
        <x:v>391.97765420219355</x:v>
      </x:c>
      <x:c r="G152" s="21" t="n">
        <x:v>208.5301026349975</x:v>
      </x:c>
      <x:c r="H152" s="23" t="n">
        <x:v>3</x:v>
      </x:c>
      <x:c r="I152" s="21" t="n">
        <x:v>5.2188378</x:v>
      </x:c>
      <x:c r="J152" s="21" t="n">
        <x:v>6.213521943730302</x:v>
      </x:c>
      <x:c r="K152" s="25"/>
      <x:c r="L152" s="27" t="str">
        <x:f>""</x:f>
      </x:c>
      <x:c r="M152" s="27" t="str">
        <x:f>""</x:f>
      </x:c>
    </x:row>
    <x:row r="153" ht="21" customHeight="1">
      <x:c r="A153" s="3" t="str">
        <x:v>EXP086</x:v>
      </x:c>
      <x:c r="B153" s="3" t="str">
        <x:v>Exp. 10</x:v>
      </x:c>
      <x:c r="C153" s="3" t="str">
        <x:v>Fixed rank 5</x:v>
      </x:c>
      <x:c r="D153" s="18" t="n">
        <x:v>20</x:v>
      </x:c>
      <x:c r="E153" s="18" t="n">
        <x:v>200</x:v>
      </x:c>
      <x:c r="F153" s="21" t="n">
        <x:f>AVERAGEIFS('Runs'!$F$2725:$F$2824,'Runs'!$A$2725:$A$2824,A153,'Runs'!$D$2725:$D$2824,C153)</x:f>
        <x:v>391.7408814384456</x:v>
      </x:c>
      <x:c r="G153" s="21" t="n">
        <x:v>208.29332987124957</x:v>
      </x:c>
      <x:c r="H153" s="23" t="n">
        <x:v>5</x:v>
      </x:c>
      <x:c r="I153" s="21" t="n">
        <x:v>4.566162449999996</x:v>
      </x:c>
      <x:c r="J153" s="21" t="n">
        <x:v>6.16274949182989</x:v>
      </x:c>
      <x:c r="K153" s="25"/>
      <x:c r="L153" s="27" t="str">
        <x:f>""</x:f>
      </x:c>
      <x:c r="M153" s="27" t="str">
        <x:f>""</x:f>
      </x:c>
    </x:row>
    <x:row r="154" ht="21" customHeight="1">
      <x:c r="A154" s="3" t="str">
        <x:v>EXP086</x:v>
      </x:c>
      <x:c r="B154" s="3" t="str">
        <x:v>Exp. 10</x:v>
      </x:c>
      <x:c r="C154" s="3" t="str">
        <x:v>Full</x:v>
      </x:c>
      <x:c r="D154" s="18" t="n">
        <x:v>20</x:v>
      </x:c>
      <x:c r="E154" s="18" t="n">
        <x:v>200</x:v>
      </x:c>
      <x:c r="F154" s="21" t="n">
        <x:f>AVERAGEIFS('Runs'!$F$2725:$F$2824,'Runs'!$A$2725:$A$2824,A154,'Runs'!$D$2725:$D$2824,C154)</x:f>
        <x:v>390.6425977794006</x:v>
      </x:c>
      <x:c r="G154" s="21" t="n">
        <x:v>207.19504621220463</x:v>
      </x:c>
      <x:c r="H154" s="23" t="n">
        <x:v>100</x:v>
      </x:c>
      <x:c r="I154" s="21" t="n">
        <x:v>1.7121500499999969</x:v>
      </x:c>
      <x:c r="J154" s="21" t="n">
        <x:v>1.7329605583450758</x:v>
      </x:c>
      <x:c r="K154" s="25"/>
      <x:c r="L154" s="27" t="str">
        <x:f>""</x:f>
      </x:c>
      <x:c r="M154" s="27" t="str">
        <x:f>""</x:f>
      </x:c>
    </x:row>
    <x:row r="155" ht="21" customHeight="1">
      <x:c r="A155" s="3" t="str">
        <x:v>EXP086</x:v>
      </x:c>
      <x:c r="B155" s="3" t="str">
        <x:v>Exp. 10</x:v>
      </x:c>
      <x:c r="C155" s="3" t="str">
        <x:v>Relative cutoff 1e-2</x:v>
      </x:c>
      <x:c r="D155" s="18" t="n">
        <x:v>20</x:v>
      </x:c>
      <x:c r="E155" s="18" t="n">
        <x:v>200</x:v>
      </x:c>
      <x:c r="F155" s="21" t="n">
        <x:f>AVERAGEIFS('Runs'!$F$2725:$F$2824,'Runs'!$A$2725:$A$2824,A155,'Runs'!$D$2725:$D$2824,C155)</x:f>
        <x:v>393.7033027846092</x:v>
      </x:c>
      <x:c r="G155" s="21" t="n">
        <x:v>210.25575121741318</x:v>
      </x:c>
      <x:c r="H155" s="23" t="n">
        <x:v>3.3050000000000006</x:v>
      </x:c>
      <x:c r="I155" s="21" t="n">
        <x:v>1.7743769999999983</x:v>
      </x:c>
      <x:c r="J155" s="21" t="n">
        <x:v>1.8043592686997727</x:v>
      </x:c>
      <x:c r="K155" s="25"/>
      <x:c r="L155" s="27" t="str">
        <x:f>""</x:f>
      </x:c>
      <x:c r="M155" s="27" t="str">
        <x:f>""</x:f>
      </x:c>
    </x:row>
    <x:row r="156" ht="21" customHeight="1">
      <x:c r="A156" s="3" t="str">
        <x:v>EXP095</x:v>
      </x:c>
      <x:c r="B156" s="3" t="str">
        <x:v>KuaiRec</x:v>
      </x:c>
      <x:c r="C156" s="3" t="str">
        <x:v>BBP</x:v>
      </x:c>
      <x:c r="D156" s="18" t="n">
        <x:v>73</x:v>
      </x:c>
      <x:c r="E156" s="18" t="n">
        <x:v>600</x:v>
      </x:c>
      <x:c r="F156" s="21" t="n">
        <x:f>AVERAGEIFS('Runs'!$F$2825:$F$3408,'Runs'!$A$2825:$A$3408,A156,'Runs'!$D$2825:$D$3408,C156)</x:f>
        <x:v>1369.923600017903</x:v>
      </x:c>
      <x:c r="G156" s="21" t="n">
        <x:v>1125.2354057385787</x:v>
      </x:c>
      <x:c r="H156" s="23" t="n">
        <x:v>26.442739726027387</x:v>
      </x:c>
      <x:c r="I156" s="21" t="n">
        <x:v>35.1450374794522</x:v>
      </x:c>
      <x:c r="J156" s="21" t="n">
        <x:v>85.13489201206599</x:v>
      </x:c>
      <x:c r="K156" s="25"/>
      <x:c r="L156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56" s="27" t="n">
        <x:f>SUMIFS('Runs'!$G$2825:$G$3408,'Runs'!$D$2825:$D$3408,"BBP",'Runs'!$G$2825:$G$3408,"&lt;&gt;")/SUMIFS('Runs'!$F$2825:$F$3408,'Runs'!$D$2825:$D$3408,"BBP",'Runs'!$G$2825:$G$3408,"&lt;&gt;")-1</x:f>
        <x:v>0</x:v>
      </x:c>
    </x:row>
    <x:row r="157" ht="21" customHeight="1">
      <x:c r="A157" s="3" t="str">
        <x:v>EXP095</x:v>
      </x:c>
      <x:c r="B157" s="3" t="str">
        <x:v>KuaiRec</x:v>
      </x:c>
      <x:c r="C157" s="3" t="str">
        <x:v>Relative cutoff 1e-5</x:v>
      </x:c>
      <x:c r="D157" s="18" t="n">
        <x:v>73</x:v>
      </x:c>
      <x:c r="E157" s="18" t="n">
        <x:v>600</x:v>
      </x:c>
      <x:c r="F157" s="21" t="n">
        <x:f>AVERAGEIFS('Runs'!$F$2825:$F$3408,'Runs'!$A$2825:$A$3408,A157,'Runs'!$D$2825:$D$3408,C157)</x:f>
        <x:v>1369.2451878152826</x:v>
      </x:c>
      <x:c r="G157" s="21" t="n">
        <x:v>1124.5569935359579</x:v>
      </x:c>
      <x:c r="H157" s="23" t="n">
        <x:v>15.153150684931507</x:v>
      </x:c>
      <x:c r="I157" s="21" t="n">
        <x:v>12.21301047945205</x:v>
      </x:c>
      <x:c r="J157" s="21" t="n">
        <x:v>12.304068546260194</x:v>
      </x:c>
      <x:c r="K157" s="25" t="n">
        <x:v>534.1316352739726</x:v>
      </x:c>
      <x:c r="L157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57" s="27" t="n">
        <x:f>SUMIFS('Runs'!$G$2825:$G$3408,'Runs'!$D$2825:$D$3408,"Relative cutoff 1e-5",'Runs'!$G$2825:$G$3408,"&lt;&gt;")/SUMIFS('Runs'!$F$2825:$F$3408,'Runs'!$D$2825:$D$3408,"Relative cutoff 1e-5",'Runs'!$G$2825:$G$3408,"&lt;&gt;")-1</x:f>
        <x:v>0.000495464368732268</x:v>
      </x:c>
    </x:row>
    <x:row r="158" ht="21" customHeight="1">
      <x:c r="A158" s="3" t="str">
        <x:v>EXP095</x:v>
      </x:c>
      <x:c r="B158" s="3" t="str">
        <x:v>KuaiRec</x:v>
      </x:c>
      <x:c r="C158" s="3" t="str">
        <x:v>Fixed rank 10</x:v>
      </x:c>
      <x:c r="D158" s="18" t="n">
        <x:v>73</x:v>
      </x:c>
      <x:c r="E158" s="18" t="n">
        <x:v>600</x:v>
      </x:c>
      <x:c r="F158" s="21" t="n">
        <x:f>AVERAGEIFS('Runs'!$F$2825:$F$3408,'Runs'!$A$2825:$A$3408,A158,'Runs'!$D$2825:$D$3408,C158)</x:f>
        <x:v>1368.298436910492</x:v>
      </x:c>
      <x:c r="G158" s="21" t="n">
        <x:v>1123.6102426311675</x:v>
      </x:c>
      <x:c r="H158" s="23" t="n">
        <x:v>10</x:v>
      </x:c>
      <x:c r="I158" s="21" t="n">
        <x:v>35.015995452054554</x:v>
      </x:c>
      <x:c r="J158" s="21" t="n">
        <x:v>83.80683001827079</x:v>
      </x:c>
      <x:c r="K158" s="25"/>
      <x:c r="L158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58" s="27" t="n">
        <x:f>SUMIFS('Runs'!$G$2825:$G$3408,'Runs'!$D$2825:$D$3408,"Fixed rank 10",'Runs'!$G$2825:$G$3408,"&lt;&gt;")/SUMIFS('Runs'!$F$2825:$F$3408,'Runs'!$D$2825:$D$3408,"Fixed rank 10",'Runs'!$G$2825:$G$3408,"&lt;&gt;")-1</x:f>
        <x:v>0.0011877256186016982</x:v>
      </x:c>
    </x:row>
    <x:row r="159" ht="21" customHeight="1">
      <x:c r="A159" s="3" t="str">
        <x:v>EXP095</x:v>
      </x:c>
      <x:c r="B159" s="3" t="str">
        <x:v>KuaiRec</x:v>
      </x:c>
      <x:c r="C159" s="3" t="str">
        <x:v>Fixed rank 25</x:v>
      </x:c>
      <x:c r="D159" s="18" t="n">
        <x:v>73</x:v>
      </x:c>
      <x:c r="E159" s="18" t="n">
        <x:v>600</x:v>
      </x:c>
      <x:c r="F159" s="21" t="n">
        <x:f>AVERAGEIFS('Runs'!$F$2825:$F$3408,'Runs'!$A$2825:$A$3408,A159,'Runs'!$D$2825:$D$3408,C159)</x:f>
        <x:v>1369.5806425495057</x:v>
      </x:c>
      <x:c r="G159" s="21" t="n">
        <x:v>1124.8924482701811</x:v>
      </x:c>
      <x:c r="H159" s="23" t="n">
        <x:v>25</x:v>
      </x:c>
      <x:c r="I159" s="21" t="n">
        <x:v>35.075718191780624</x:v>
      </x:c>
      <x:c r="J159" s="21" t="n">
        <x:v>83.95891584719736</x:v>
      </x:c>
      <x:c r="K159" s="25"/>
      <x:c r="L159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59" s="27" t="n">
        <x:f>SUMIFS('Runs'!$G$2825:$G$3408,'Runs'!$D$2825:$D$3408,"Fixed rank 25",'Runs'!$G$2825:$G$3408,"&lt;&gt;")/SUMIFS('Runs'!$F$2825:$F$3408,'Runs'!$D$2825:$D$3408,"Fixed rank 25",'Runs'!$G$2825:$G$3408,"&lt;&gt;")-1</x:f>
        <x:v>0.0002504105692957559</x:v>
      </x:c>
    </x:row>
    <x:row r="160" ht="21" customHeight="1">
      <x:c r="A160" s="3" t="str">
        <x:v>EXP095</x:v>
      </x:c>
      <x:c r="B160" s="3" t="str">
        <x:v>KuaiRec</x:v>
      </x:c>
      <x:c r="C160" s="3" t="str">
        <x:v>Relative cutoff 1e-6</x:v>
      </x:c>
      <x:c r="D160" s="18" t="n">
        <x:v>73</x:v>
      </x:c>
      <x:c r="E160" s="18" t="n">
        <x:v>600</x:v>
      </x:c>
      <x:c r="F160" s="21" t="n">
        <x:f>AVERAGEIFS('Runs'!$F$2825:$F$3408,'Runs'!$A$2825:$A$3408,A160,'Runs'!$D$2825:$D$3408,C160)</x:f>
        <x:v>1373.149022991009</x:v>
      </x:c>
      <x:c r="G160" s="21" t="n">
        <x:v>1128.4608287116846</x:v>
      </x:c>
      <x:c r="H160" s="23" t="n">
        <x:v>30.67315068493151</x:v>
      </x:c>
      <x:c r="I160" s="21" t="n">
        <x:v>34.75375284931527</x:v>
      </x:c>
      <x:c r="J160" s="21" t="n">
        <x:v>83.98540828333951</x:v>
      </x:c>
      <x:c r="K160" s="25"/>
      <x:c r="L160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60" s="27" t="n">
        <x:f>SUMIFS('Runs'!$G$2825:$G$3408,'Runs'!$D$2825:$D$3408,"Relative cutoff 1e-6",'Runs'!$G$2825:$G$3408,"&lt;&gt;")/SUMIFS('Runs'!$F$2825:$F$3408,'Runs'!$D$2825:$D$3408,"Relative cutoff 1e-6",'Runs'!$G$2825:$G$3408,"&lt;&gt;")-1</x:f>
        <x:v>-0.00234892420203614</x:v>
      </x:c>
    </x:row>
    <x:row r="161" ht="21" customHeight="1">
      <x:c r="A161" s="3" t="str">
        <x:v>EXP095</x:v>
      </x:c>
      <x:c r="B161" s="3" t="str">
        <x:v>KuaiRec</x:v>
      </x:c>
      <x:c r="C161" s="3" t="str">
        <x:v>Full</x:v>
      </x:c>
      <x:c r="D161" s="18" t="n">
        <x:v>73</x:v>
      </x:c>
      <x:c r="E161" s="18" t="n">
        <x:v>600</x:v>
      </x:c>
      <x:c r="F161" s="21" t="n">
        <x:f>AVERAGEIFS('Runs'!$F$2825:$F$3408,'Runs'!$A$2825:$A$3408,A161,'Runs'!$D$2825:$D$3408,C161)</x:f>
        <x:v>1374.4150567023069</x:v>
      </x:c>
      <x:c r="G161" s="21" t="n">
        <x:v>1129.7268624229823</x:v>
      </x:c>
      <x:c r="H161" s="23" t="n">
        <x:v>100</x:v>
      </x:c>
      <x:c r="I161" s="21" t="n">
        <x:v>35.043123164383644</x:v>
      </x:c>
      <x:c r="J161" s="21" t="n">
        <x:v>85.09495753311705</x:v>
      </x:c>
      <x:c r="K161" s="25"/>
      <x:c r="L161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61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</x:row>
    <x:row r="162" ht="21" customHeight="1">
      <x:c r="A162" s="3" t="str">
        <x:v>EXP095</x:v>
      </x:c>
      <x:c r="B162" s="3" t="str">
        <x:v>KuaiRec</x:v>
      </x:c>
      <x:c r="C162" s="3" t="str">
        <x:v>Relative cutoff 1e-2</x:v>
      </x:c>
      <x:c r="D162" s="18" t="n">
        <x:v>73</x:v>
      </x:c>
      <x:c r="E162" s="18" t="n">
        <x:v>600</x:v>
      </x:c>
      <x:c r="F162" s="21" t="n">
        <x:f>AVERAGEIFS('Runs'!$F$2825:$F$3408,'Runs'!$A$2825:$A$3408,A162,'Runs'!$D$2825:$D$3408,C162)</x:f>
        <x:v>1386.6479656967451</x:v>
      </x:c>
      <x:c r="G162" s="21" t="n">
        <x:v>1141.9597714174206</x:v>
      </x:c>
      <x:c r="H162" s="23" t="n">
        <x:v>4.4052054794520545</x:v>
      </x:c>
      <x:c r="I162" s="21" t="n">
        <x:v>35.0360480410959</x:v>
      </x:c>
      <x:c r="J162" s="21" t="n">
        <x:v>84.32537873488953</x:v>
      </x:c>
      <x:c r="K162" s="25"/>
      <x:c r="L162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62" s="27" t="n">
        <x:f>SUMIFS('Runs'!$G$2825:$G$3408,'Runs'!$D$2825:$D$3408,"Relative cutoff 1e-2",'Runs'!$G$2825:$G$3408,"&lt;&gt;")/SUMIFS('Runs'!$F$2825:$F$3408,'Runs'!$D$2825:$D$3408,"Relative cutoff 1e-2",'Runs'!$G$2825:$G$3408,"&lt;&gt;")-1</x:f>
        <x:v>-0.012061003291804262</x:v>
      </x:c>
    </x:row>
    <x:row r="163" ht="21" customHeight="1">
      <x:c r="A163" s="3" t="str">
        <x:v>EXP095</x:v>
      </x:c>
      <x:c r="B163" s="3" t="str">
        <x:v>KuaiRec</x:v>
      </x:c>
      <x:c r="C163" s="3" t="str">
        <x:v>Relative cutoff 1e-4</x:v>
      </x:c>
      <x:c r="D163" s="18" t="n">
        <x:v>73</x:v>
      </x:c>
      <x:c r="E163" s="18" t="n">
        <x:v>600</x:v>
      </x:c>
      <x:c r="F163" s="21" t="n">
        <x:f>AVERAGEIFS('Runs'!$F$2825:$F$3408,'Runs'!$A$2825:$A$3408,A163,'Runs'!$D$2825:$D$3408,C163)</x:f>
        <x:v>1369.4951392776754</x:v>
      </x:c>
      <x:c r="G163" s="21" t="n">
        <x:v>1124.806944998351</x:v>
      </x:c>
      <x:c r="H163" s="23" t="n">
        <x:v>7.2082191780821905</x:v>
      </x:c>
      <x:c r="I163" s="21" t="n">
        <x:v>35.07492386301384</x:v>
      </x:c>
      <x:c r="J163" s="21" t="n">
        <x:v>85.79233567596553</x:v>
      </x:c>
      <x:c r="K163" s="25"/>
      <x:c r="L163" s="27" t="n">
        <x:f>SUMIFS('Runs'!$G$2825:$G$3408,'Runs'!$D$2825:$D$3408,"Full",'Runs'!$G$2825:$G$3408,"&lt;&gt;")/SUMIFS('Runs'!$F$2825:$F$3408,'Runs'!$D$2825:$D$3408,"Full",'Runs'!$G$2825:$G$3408,"&lt;&gt;")-1</x:f>
        <x:v>-0.0032679041622116767</x:v>
      </x:c>
      <x:c r="M163" s="27" t="n">
        <x:f>SUMIFS('Runs'!$G$2825:$G$3408,'Runs'!$D$2825:$D$3408,"Relative cutoff 1e-4",'Runs'!$G$2825:$G$3408,"&lt;&gt;")/SUMIFS('Runs'!$F$2825:$F$3408,'Runs'!$D$2825:$D$3408,"Relative cutoff 1e-4",'Runs'!$G$2825:$G$3408,"&lt;&gt;")-1</x:f>
        <x:v>0.00031286035849209526</x:v>
      </x:c>
    </x:row>
    <x:row r="164" ht="21" customHeight="1">
      <x:c r="A164" s="3" t="str">
        <x:v>EXP104</x:v>
      </x:c>
      <x:c r="B164" s="3" t="str">
        <x:v>KuaiRec</x:v>
      </x:c>
      <x:c r="C164" s="3" t="str">
        <x:v>BBP</x:v>
      </x:c>
      <x:c r="D164" s="18" t="n">
        <x:v>5</x:v>
      </x:c>
      <x:c r="E164" s="18" t="n">
        <x:v>600</x:v>
      </x:c>
      <x:c r="F164" s="21" t="n">
        <x:f>AVERAGEIFS('Runs'!$F$3409:$F$3418,'Runs'!$A$3409:$A$3418,A164,'Runs'!$D$3409:$D$3418,C164)</x:f>
        <x:v>1314.0297705350886</x:v>
      </x:c>
      <x:c r="G164" s="21" t="n">
        <x:v>1062.1295095388693</x:v>
      </x:c>
      <x:c r="H164" s="23" t="n">
        <x:v>26.732</x:v>
      </x:c>
      <x:c r="I164" s="21" t="n">
        <x:v>8.9008544</x:v>
      </x:c>
      <x:c r="J164" s="21" t="n">
        <x:v>8.980041208397598</x:v>
      </x:c>
      <x:c r="K164" s="25" t="n">
        <x:v>482.4</x:v>
      </x:c>
      <x:c r="L164" s="27" t="str">
        <x:f>""</x:f>
      </x:c>
      <x:c r="M164" s="27" t="n">
        <x:f>SUMIFS('Runs'!$G$3409:$G$3418,'Runs'!$D$3409:$D$3418,"BBP",'Runs'!$G$3409:$G$3418,"&lt;&gt;")/SUMIFS('Runs'!$F$3409:$F$3418,'Runs'!$D$3409:$D$3418,"BBP",'Runs'!$G$3409:$G$3418,"&lt;&gt;")-1</x:f>
        <x:v>0</x:v>
      </x:c>
    </x:row>
    <x:row r="165" ht="21" customHeight="1">
      <x:c r="A165" s="3" t="str">
        <x:v>EXP104</x:v>
      </x:c>
      <x:c r="B165" s="3" t="str">
        <x:v>KuaiRec</x:v>
      </x:c>
      <x:c r="C165" s="3" t="str">
        <x:v>BBP + physical compression</x:v>
      </x:c>
      <x:c r="D165" s="18" t="n">
        <x:v>5</x:v>
      </x:c>
      <x:c r="E165" s="18" t="n">
        <x:v>600</x:v>
      </x:c>
      <x:c r="F165" s="21" t="n">
        <x:f>AVERAGEIFS('Runs'!$F$3409:$F$3418,'Runs'!$A$3409:$A$3418,A165,'Runs'!$D$3409:$D$3418,C165)</x:f>
        <x:v>1338.4307098750037</x:v>
      </x:c>
      <x:c r="G165" s="21" t="n">
        <x:v>1086.5304488787851</x:v>
      </x:c>
      <x:c r="H165" s="23" t="n">
        <x:v>25.74</x:v>
      </x:c>
      <x:c r="I165" s="21" t="n">
        <x:v>8.6860938</x:v>
      </x:c>
      <x:c r="J165" s="21" t="n">
        <x:v>8.954245458357036</x:v>
      </x:c>
      <x:c r="K165" s="25" t="n">
        <x:v>442.2</x:v>
      </x:c>
      <x:c r="L165" s="27" t="str">
        <x:f>""</x:f>
      </x:c>
      <x:c r="M165" s="27" t="n">
        <x:f>SUMIFS('Runs'!$G$3409:$G$3418,'Runs'!$D$3409:$D$3418,"BBP + physical compression",'Runs'!$G$3409:$G$3418,"&lt;&gt;")/SUMIFS('Runs'!$F$3409:$F$3418,'Runs'!$D$3409:$D$3418,"BBP + physical compression",'Runs'!$G$3409:$G$3418,"&lt;&gt;")-1</x:f>
        <x:v>-0.018231006775235925</x:v>
      </x:c>
    </x:row>
    <x:row r="166" ht="21" customHeight="1">
      <x:c r="A166" s="3" t="str">
        <x:v>EXP121</x:v>
      </x:c>
      <x:c r="B166" s="3" t="str">
        <x:v>Smooth 12</x:v>
      </x:c>
      <x:c r="C166" s="3" t="str">
        <x:v>BBP</x:v>
      </x:c>
      <x:c r="D166" s="18" t="n">
        <x:v>14</x:v>
      </x:c>
      <x:c r="E166" s="18" t="n">
        <x:v>400</x:v>
      </x:c>
      <x:c r="F166" s="21" t="n">
        <x:f>AVERAGEIFS('Runs'!$F$3419:$F$3530,'Runs'!$A$3419:$A$3530,A166,'Runs'!$D$3419:$D$3530,C166)</x:f>
        <x:v>641.1441409083711</x:v>
      </x:c>
      <x:c r="G166" s="21" t="n">
        <x:v>453.0697464577741</x:v>
      </x:c>
      <x:c r="H166" s="23" t="n">
        <x:v>23.87142857142857</x:v>
      </x:c>
      <x:c r="I166" s="21" t="n">
        <x:v>12.026206285714252</x:v>
      </x:c>
      <x:c r="J166" s="21" t="n">
        <x:v>35.209683343252564</x:v>
      </x:c>
      <x:c r="K166" s="25"/>
      <x:c r="L166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66" s="27" t="n">
        <x:f>SUMIFS('Runs'!$G$3419:$G$3530,'Runs'!$D$3419:$D$3530,"BBP",'Runs'!$G$3419:$G$3530,"&lt;&gt;")/SUMIFS('Runs'!$F$3419:$F$3530,'Runs'!$D$3419:$D$3530,"BBP",'Runs'!$G$3419:$G$3530,"&lt;&gt;")-1</x:f>
        <x:v>0</x:v>
      </x:c>
    </x:row>
    <x:row r="167" ht="21" customHeight="1">
      <x:c r="A167" s="3" t="str">
        <x:v>EXP121</x:v>
      </x:c>
      <x:c r="B167" s="3" t="str">
        <x:v>Smooth 12</x:v>
      </x:c>
      <x:c r="C167" s="3" t="str">
        <x:v>Relative cutoff 1e-5</x:v>
      </x:c>
      <x:c r="D167" s="18" t="n">
        <x:v>14</x:v>
      </x:c>
      <x:c r="E167" s="18" t="n">
        <x:v>400</x:v>
      </x:c>
      <x:c r="F167" s="21" t="n">
        <x:f>AVERAGEIFS('Runs'!$F$3419:$F$3530,'Runs'!$A$3419:$A$3530,A167,'Runs'!$D$3419:$D$3530,C167)</x:f>
        <x:v>640.8148539405354</x:v>
      </x:c>
      <x:c r="G167" s="21" t="n">
        <x:v>452.7404594899386</x:v>
      </x:c>
      <x:c r="H167" s="23" t="n">
        <x:v>31.742857142857144</x:v>
      </x:c>
      <x:c r="I167" s="21" t="n">
        <x:v>11.94135121428568</x:v>
      </x:c>
      <x:c r="J167" s="21" t="n">
        <x:v>34.18162589302353</x:v>
      </x:c>
      <x:c r="K167" s="25"/>
      <x:c r="L167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67" s="27" t="n">
        <x:f>SUMIFS('Runs'!$G$3419:$G$3530,'Runs'!$D$3419:$D$3530,"Relative cutoff 1e-5",'Runs'!$G$3419:$G$3530,"&lt;&gt;")/SUMIFS('Runs'!$F$3419:$F$3530,'Runs'!$D$3419:$D$3530,"Relative cutoff 1e-5",'Runs'!$G$3419:$G$3530,"&lt;&gt;")-1</x:f>
        <x:v>0.0005138566401994282</x:v>
      </x:c>
    </x:row>
    <x:row r="168" ht="21" customHeight="1">
      <x:c r="A168" s="3" t="str">
        <x:v>EXP121</x:v>
      </x:c>
      <x:c r="B168" s="3" t="str">
        <x:v>Smooth 12</x:v>
      </x:c>
      <x:c r="C168" s="3" t="str">
        <x:v>Fixed rank 10</x:v>
      </x:c>
      <x:c r="D168" s="18" t="n">
        <x:v>14</x:v>
      </x:c>
      <x:c r="E168" s="18" t="n">
        <x:v>400</x:v>
      </x:c>
      <x:c r="F168" s="21" t="n">
        <x:f>AVERAGEIFS('Runs'!$F$3419:$F$3530,'Runs'!$A$3419:$A$3530,A168,'Runs'!$D$3419:$D$3530,C168)</x:f>
        <x:v>642.968913654892</x:v>
      </x:c>
      <x:c r="G168" s="21" t="n">
        <x:v>454.8945192042947</x:v>
      </x:c>
      <x:c r="H168" s="23" t="n">
        <x:v>10</x:v>
      </x:c>
      <x:c r="I168" s="21" t="n">
        <x:v>11.92703935714284</x:v>
      </x:c>
      <x:c r="J168" s="21" t="n">
        <x:v>33.359458940852036</x:v>
      </x:c>
      <x:c r="K168" s="25"/>
      <x:c r="L168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68" s="27" t="n">
        <x:f>SUMIFS('Runs'!$G$3419:$G$3530,'Runs'!$D$3419:$D$3530,"Fixed rank 10",'Runs'!$G$3419:$G$3530,"&lt;&gt;")/SUMIFS('Runs'!$F$3419:$F$3530,'Runs'!$D$3419:$D$3530,"Fixed rank 10",'Runs'!$G$3419:$G$3530,"&lt;&gt;")-1</x:f>
        <x:v>-0.002838041945368852</x:v>
      </x:c>
    </x:row>
    <x:row r="169" ht="21" customHeight="1">
      <x:c r="A169" s="3" t="str">
        <x:v>EXP121</x:v>
      </x:c>
      <x:c r="B169" s="3" t="str">
        <x:v>Smooth 12</x:v>
      </x:c>
      <x:c r="C169" s="3" t="str">
        <x:v>Fixed rank 25</x:v>
      </x:c>
      <x:c r="D169" s="18" t="n">
        <x:v>14</x:v>
      </x:c>
      <x:c r="E169" s="18" t="n">
        <x:v>400</x:v>
      </x:c>
      <x:c r="F169" s="21" t="n">
        <x:f>AVERAGEIFS('Runs'!$F$3419:$F$3530,'Runs'!$A$3419:$A$3530,A169,'Runs'!$D$3419:$D$3530,C169)</x:f>
        <x:v>646.3811340007989</x:v>
      </x:c>
      <x:c r="G169" s="21" t="n">
        <x:v>458.30673955020177</x:v>
      </x:c>
      <x:c r="H169" s="23" t="n">
        <x:v>25</x:v>
      </x:c>
      <x:c r="I169" s="21" t="n">
        <x:v>11.97670121428574</x:v>
      </x:c>
      <x:c r="J169" s="21" t="n">
        <x:v>34.363281984331216</x:v>
      </x:c>
      <x:c r="K169" s="25"/>
      <x:c r="L169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69" s="27" t="n">
        <x:f>SUMIFS('Runs'!$G$3419:$G$3530,'Runs'!$D$3419:$D$3530,"Fixed rank 25",'Runs'!$G$3419:$G$3530,"&lt;&gt;")/SUMIFS('Runs'!$F$3419:$F$3530,'Runs'!$D$3419:$D$3530,"Fixed rank 25",'Runs'!$G$3419:$G$3530,"&lt;&gt;")-1</x:f>
        <x:v>-0.008102020335917226</x:v>
      </x:c>
    </x:row>
    <x:row r="170" ht="21" customHeight="1">
      <x:c r="A170" s="3" t="str">
        <x:v>EXP121</x:v>
      </x:c>
      <x:c r="B170" s="3" t="str">
        <x:v>Smooth 12</x:v>
      </x:c>
      <x:c r="C170" s="3" t="str">
        <x:v>Relative cutoff 1e-6</x:v>
      </x:c>
      <x:c r="D170" s="18" t="n">
        <x:v>14</x:v>
      </x:c>
      <x:c r="E170" s="18" t="n">
        <x:v>400</x:v>
      </x:c>
      <x:c r="F170" s="21" t="n">
        <x:f>AVERAGEIFS('Runs'!$F$3419:$F$3530,'Runs'!$A$3419:$A$3530,A170,'Runs'!$D$3419:$D$3530,C170)</x:f>
        <x:v>638.0608225493406</x:v>
      </x:c>
      <x:c r="G170" s="21" t="n">
        <x:v>449.9864280987437</x:v>
      </x:c>
      <x:c r="H170" s="23" t="n">
        <x:v>48.06666666666666</x:v>
      </x:c>
      <x:c r="I170" s="21" t="n">
        <x:v>11.920710285714284</x:v>
      </x:c>
      <x:c r="J170" s="21" t="n">
        <x:v>32.82556056553897</x:v>
      </x:c>
      <x:c r="K170" s="25"/>
      <x:c r="L170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70" s="27" t="n">
        <x:f>SUMIFS('Runs'!$G$3419:$G$3530,'Runs'!$D$3419:$D$3530,"Relative cutoff 1e-6",'Runs'!$G$3419:$G$3530,"&lt;&gt;")/SUMIFS('Runs'!$F$3419:$F$3530,'Runs'!$D$3419:$D$3530,"Relative cutoff 1e-6",'Runs'!$G$3419:$G$3530,"&lt;&gt;")-1</x:f>
        <x:v>0.004832326715674684</x:v>
      </x:c>
    </x:row>
    <x:row r="171" ht="21" customHeight="1">
      <x:c r="A171" s="3" t="str">
        <x:v>EXP121</x:v>
      </x:c>
      <x:c r="B171" s="3" t="str">
        <x:v>Smooth 12</x:v>
      </x:c>
      <x:c r="C171" s="3" t="str">
        <x:v>Full</x:v>
      </x:c>
      <x:c r="D171" s="18" t="n">
        <x:v>14</x:v>
      </x:c>
      <x:c r="E171" s="18" t="n">
        <x:v>400</x:v>
      </x:c>
      <x:c r="F171" s="21" t="n">
        <x:f>AVERAGEIFS('Runs'!$F$3419:$F$3530,'Runs'!$A$3419:$A$3530,A171,'Runs'!$D$3419:$D$3530,C171)</x:f>
        <x:v>644.1834749892976</x:v>
      </x:c>
      <x:c r="G171" s="21" t="n">
        <x:v>456.1090805387006</x:v>
      </x:c>
      <x:c r="H171" s="23" t="n">
        <x:v>100</x:v>
      </x:c>
      <x:c r="I171" s="21" t="n">
        <x:v>11.866575642857145</x:v>
      </x:c>
      <x:c r="J171" s="21" t="n">
        <x:v>37.56995695438569</x:v>
      </x:c>
      <x:c r="K171" s="25"/>
      <x:c r="L171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71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</x:row>
    <x:row r="172" ht="21" customHeight="1">
      <x:c r="A172" s="3" t="str">
        <x:v>EXP121</x:v>
      </x:c>
      <x:c r="B172" s="3" t="str">
        <x:v>Smooth 12</x:v>
      </x:c>
      <x:c r="C172" s="3" t="str">
        <x:v>Relative cutoff 1e-2</x:v>
      </x:c>
      <x:c r="D172" s="18" t="n">
        <x:v>14</x:v>
      </x:c>
      <x:c r="E172" s="18" t="n">
        <x:v>400</x:v>
      </x:c>
      <x:c r="F172" s="21" t="n">
        <x:f>AVERAGEIFS('Runs'!$F$3419:$F$3530,'Runs'!$A$3419:$A$3530,A172,'Runs'!$D$3419:$D$3530,C172)</x:f>
        <x:v>642.9595731628694</x:v>
      </x:c>
      <x:c r="G172" s="21" t="n">
        <x:v>454.8851787122722</x:v>
      </x:c>
      <x:c r="H172" s="23" t="n">
        <x:v>4.497619047619048</x:v>
      </x:c>
      <x:c r="I172" s="21" t="n">
        <x:v>11.889315357142868</x:v>
      </x:c>
      <x:c r="J172" s="21" t="n">
        <x:v>35.578467652301434</x:v>
      </x:c>
      <x:c r="K172" s="25"/>
      <x:c r="L172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72" s="27" t="n">
        <x:f>SUMIFS('Runs'!$G$3419:$G$3530,'Runs'!$D$3419:$D$3530,"Relative cutoff 1e-2",'Runs'!$G$3419:$G$3530,"&lt;&gt;")/SUMIFS('Runs'!$F$3419:$F$3530,'Runs'!$D$3419:$D$3530,"Relative cutoff 1e-2",'Runs'!$G$3419:$G$3530,"&lt;&gt;")-1</x:f>
        <x:v>-0.0028235558350391265</x:v>
      </x:c>
    </x:row>
    <x:row r="173" ht="21" customHeight="1">
      <x:c r="A173" s="3" t="str">
        <x:v>EXP121</x:v>
      </x:c>
      <x:c r="B173" s="3" t="str">
        <x:v>Smooth 12</x:v>
      </x:c>
      <x:c r="C173" s="3" t="str">
        <x:v>Relative cutoff 1e-4</x:v>
      </x:c>
      <x:c r="D173" s="18" t="n">
        <x:v>14</x:v>
      </x:c>
      <x:c r="E173" s="18" t="n">
        <x:v>400</x:v>
      </x:c>
      <x:c r="F173" s="21" t="n">
        <x:f>AVERAGEIFS('Runs'!$F$3419:$F$3530,'Runs'!$A$3419:$A$3530,A173,'Runs'!$D$3419:$D$3530,C173)</x:f>
        <x:v>641.0703598114326</x:v>
      </x:c>
      <x:c r="G173" s="21" t="n">
        <x:v>452.99596536083556</x:v>
      </x:c>
      <x:c r="H173" s="23" t="n">
        <x:v>13.904761904761903</x:v>
      </x:c>
      <x:c r="I173" s="21" t="n">
        <x:v>11.8818517857143</x:v>
      </x:c>
      <x:c r="J173" s="21" t="n">
        <x:v>28.785131462134554</x:v>
      </x:c>
      <x:c r="K173" s="25"/>
      <x:c r="L173" s="27" t="n">
        <x:f>SUMIFS('Runs'!$G$3419:$G$3530,'Runs'!$D$3419:$D$3530,"Full",'Runs'!$G$3419:$G$3530,"&lt;&gt;")/SUMIFS('Runs'!$F$3419:$F$3530,'Runs'!$D$3419:$D$3530,"Full",'Runs'!$G$3419:$G$3530,"&lt;&gt;")-1</x:f>
        <x:v>-0.004718118671046101</x:v>
      </x:c>
      <x:c r="M173" s="27" t="n">
        <x:f>SUMIFS('Runs'!$G$3419:$G$3530,'Runs'!$D$3419:$D$3530,"Relative cutoff 1e-4",'Runs'!$G$3419:$G$3530,"&lt;&gt;")/SUMIFS('Runs'!$F$3419:$F$3530,'Runs'!$D$3419:$D$3530,"Relative cutoff 1e-4",'Runs'!$G$3419:$G$3530,"&lt;&gt;")-1</x:f>
        <x:v>0.0001150904823616905</x:v>
      </x:c>
    </x:row>
    <x:row r="174" ht="21" customHeight="1">
      <x:c r="A174" s="3" t="str">
        <x:v>EXP131</x:v>
      </x:c>
      <x:c r="B174" s="3" t="str">
        <x:v>Smooth 3</x:v>
      </x:c>
      <x:c r="C174" s="3" t="str">
        <x:v>BBP</x:v>
      </x:c>
      <x:c r="D174" s="18" t="n">
        <x:v>16</x:v>
      </x:c>
      <x:c r="E174" s="18" t="n">
        <x:v>400</x:v>
      </x:c>
      <x:c r="F174" s="21" t="n">
        <x:f>AVERAGEIFS('Runs'!$F$3531:$F$3658,'Runs'!$A$3531:$A$3658,A174,'Runs'!$D$3531:$D$3658,C174)</x:f>
        <x:v>427.93997526724877</x:v>
      </x:c>
      <x:c r="G174" s="21" t="n">
        <x:v>273.047765300472</x:v>
      </x:c>
      <x:c r="H174" s="23" t="n">
        <x:v>24.03958333333333</x:v>
      </x:c>
      <x:c r="I174" s="21" t="n">
        <x:v>9.702921312499978</x:v>
      </x:c>
      <x:c r="J174" s="21" t="n">
        <x:v>24.346290513320128</x:v>
      </x:c>
      <x:c r="K174" s="25"/>
      <x:c r="L174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74" s="27" t="n">
        <x:f>SUMIFS('Runs'!$G$3531:$G$3658,'Runs'!$D$3531:$D$3658,"BBP",'Runs'!$G$3531:$G$3658,"&lt;&gt;")/SUMIFS('Runs'!$F$3531:$F$3658,'Runs'!$D$3531:$D$3658,"BBP",'Runs'!$G$3531:$G$3658,"&lt;&gt;")-1</x:f>
        <x:v>0</x:v>
      </x:c>
    </x:row>
    <x:row r="175" ht="21" customHeight="1">
      <x:c r="A175" s="3" t="str">
        <x:v>EXP131</x:v>
      </x:c>
      <x:c r="B175" s="3" t="str">
        <x:v>Smooth 3</x:v>
      </x:c>
      <x:c r="C175" s="3" t="str">
        <x:v>Relative cutoff 1e-5</x:v>
      </x:c>
      <x:c r="D175" s="18" t="n">
        <x:v>16</x:v>
      </x:c>
      <x:c r="E175" s="18" t="n">
        <x:v>400</x:v>
      </x:c>
      <x:c r="F175" s="21" t="n">
        <x:f>AVERAGEIFS('Runs'!$F$3531:$F$3658,'Runs'!$A$3531:$A$3658,A175,'Runs'!$D$3531:$D$3658,C175)</x:f>
        <x:v>429.88660825369084</x:v>
      </x:c>
      <x:c r="G175" s="21" t="n">
        <x:v>274.99439828691396</x:v>
      </x:c>
      <x:c r="H175" s="23" t="n">
        <x:v>25.972916666666663</x:v>
      </x:c>
      <x:c r="I175" s="21" t="n">
        <x:v>9.657740999999998</x:v>
      </x:c>
      <x:c r="J175" s="21" t="n">
        <x:v>27.0333087934996</x:v>
      </x:c>
      <x:c r="K175" s="25"/>
      <x:c r="L175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75" s="27" t="n">
        <x:f>SUMIFS('Runs'!$G$3531:$G$3658,'Runs'!$D$3531:$D$3658,"Relative cutoff 1e-5",'Runs'!$G$3531:$G$3658,"&lt;&gt;")/SUMIFS('Runs'!$F$3531:$F$3658,'Runs'!$D$3531:$D$3658,"Relative cutoff 1e-5",'Runs'!$G$3531:$G$3658,"&lt;&gt;")-1</x:f>
        <x:v>-0.0045282475635837205</x:v>
      </x:c>
    </x:row>
    <x:row r="176" ht="21" customHeight="1">
      <x:c r="A176" s="3" t="str">
        <x:v>EXP131</x:v>
      </x:c>
      <x:c r="B176" s="3" t="str">
        <x:v>Smooth 3</x:v>
      </x:c>
      <x:c r="C176" s="3" t="str">
        <x:v>Fixed rank 10</x:v>
      </x:c>
      <x:c r="D176" s="18" t="n">
        <x:v>16</x:v>
      </x:c>
      <x:c r="E176" s="18" t="n">
        <x:v>400</x:v>
      </x:c>
      <x:c r="F176" s="21" t="n">
        <x:f>AVERAGEIFS('Runs'!$F$3531:$F$3658,'Runs'!$A$3531:$A$3658,A176,'Runs'!$D$3531:$D$3658,C176)</x:f>
        <x:v>431.5730563157827</x:v>
      </x:c>
      <x:c r="G176" s="21" t="n">
        <x:v>276.68084634900583</x:v>
      </x:c>
      <x:c r="H176" s="23" t="n">
        <x:v>10</x:v>
      </x:c>
      <x:c r="I176" s="21" t="n">
        <x:v>9.647201625000031</x:v>
      </x:c>
      <x:c r="J176" s="21" t="n">
        <x:v>24.374717044949648</x:v>
      </x:c>
      <x:c r="K176" s="25"/>
      <x:c r="L176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76" s="27" t="n">
        <x:f>SUMIFS('Runs'!$G$3531:$G$3658,'Runs'!$D$3531:$D$3658,"Fixed rank 10",'Runs'!$G$3531:$G$3658,"&lt;&gt;")/SUMIFS('Runs'!$F$3531:$F$3658,'Runs'!$D$3531:$D$3658,"Fixed rank 10",'Runs'!$G$3531:$G$3658,"&lt;&gt;")-1</x:f>
        <x:v>-0.008418229533485033</x:v>
      </x:c>
    </x:row>
    <x:row r="177" ht="21" customHeight="1">
      <x:c r="A177" s="3" t="str">
        <x:v>EXP131</x:v>
      </x:c>
      <x:c r="B177" s="3" t="str">
        <x:v>Smooth 3</x:v>
      </x:c>
      <x:c r="C177" s="3" t="str">
        <x:v>Fixed rank 25</x:v>
      </x:c>
      <x:c r="D177" s="18" t="n">
        <x:v>16</x:v>
      </x:c>
      <x:c r="E177" s="18" t="n">
        <x:v>400</x:v>
      </x:c>
      <x:c r="F177" s="21" t="n">
        <x:f>AVERAGEIFS('Runs'!$F$3531:$F$3658,'Runs'!$A$3531:$A$3658,A177,'Runs'!$D$3531:$D$3658,C177)</x:f>
        <x:v>424.90073525623694</x:v>
      </x:c>
      <x:c r="G177" s="21" t="n">
        <x:v>270.00852528946007</x:v>
      </x:c>
      <x:c r="H177" s="23" t="n">
        <x:v>25</x:v>
      </x:c>
      <x:c r="I177" s="21" t="n">
        <x:v>9.654454874999981</x:v>
      </x:c>
      <x:c r="J177" s="21" t="n">
        <x:v>27.485573894547997</x:v>
      </x:c>
      <x:c r="K177" s="25"/>
      <x:c r="L177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77" s="27" t="n">
        <x:f>SUMIFS('Runs'!$G$3531:$G$3658,'Runs'!$D$3531:$D$3658,"Fixed rank 25",'Runs'!$G$3531:$G$3658,"&lt;&gt;")/SUMIFS('Runs'!$F$3531:$F$3658,'Runs'!$D$3531:$D$3658,"Fixed rank 25",'Runs'!$G$3531:$G$3658,"&lt;&gt;")-1</x:f>
        <x:v>0.007152823609916759</x:v>
      </x:c>
    </x:row>
    <x:row r="178" ht="21" customHeight="1">
      <x:c r="A178" s="3" t="str">
        <x:v>EXP131</x:v>
      </x:c>
      <x:c r="B178" s="3" t="str">
        <x:v>Smooth 3</x:v>
      </x:c>
      <x:c r="C178" s="3" t="str">
        <x:v>Relative cutoff 1e-6</x:v>
      </x:c>
      <x:c r="D178" s="18" t="n">
        <x:v>16</x:v>
      </x:c>
      <x:c r="E178" s="18" t="n">
        <x:v>400</x:v>
      </x:c>
      <x:c r="F178" s="21" t="n">
        <x:f>AVERAGEIFS('Runs'!$F$3531:$F$3658,'Runs'!$A$3531:$A$3658,A178,'Runs'!$D$3531:$D$3658,C178)</x:f>
        <x:v>429.02564892226263</x:v>
      </x:c>
      <x:c r="G178" s="21" t="n">
        <x:v>274.1334389554859</x:v>
      </x:c>
      <x:c r="H178" s="23" t="n">
        <x:v>42.947916666666664</x:v>
      </x:c>
      <x:c r="I178" s="21" t="n">
        <x:v>9.630130624999982</x:v>
      </x:c>
      <x:c r="J178" s="21" t="n">
        <x:v>25.42689970927313</x:v>
      </x:c>
      <x:c r="K178" s="25"/>
      <x:c r="L178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78" s="27" t="n">
        <x:f>SUMIFS('Runs'!$G$3531:$G$3658,'Runs'!$D$3531:$D$3658,"Relative cutoff 1e-6",'Runs'!$G$3531:$G$3658,"&lt;&gt;")/SUMIFS('Runs'!$F$3531:$F$3658,'Runs'!$D$3531:$D$3658,"Relative cutoff 1e-6",'Runs'!$G$3531:$G$3658,"&lt;&gt;")-1</x:f>
        <x:v>-0.002530556524396932</x:v>
      </x:c>
    </x:row>
    <x:row r="179" ht="21" customHeight="1">
      <x:c r="A179" s="3" t="str">
        <x:v>EXP131</x:v>
      </x:c>
      <x:c r="B179" s="3" t="str">
        <x:v>Smooth 3</x:v>
      </x:c>
      <x:c r="C179" s="3" t="str">
        <x:v>Full</x:v>
      </x:c>
      <x:c r="D179" s="18" t="n">
        <x:v>16</x:v>
      </x:c>
      <x:c r="E179" s="18" t="n">
        <x:v>400</x:v>
      </x:c>
      <x:c r="F179" s="21" t="n">
        <x:f>AVERAGEIFS('Runs'!$F$3531:$F$3658,'Runs'!$A$3531:$A$3658,A179,'Runs'!$D$3531:$D$3658,C179)</x:f>
        <x:v>429.1614347643053</x:v>
      </x:c>
      <x:c r="G179" s="21" t="n">
        <x:v>274.2692247975284</x:v>
      </x:c>
      <x:c r="H179" s="23" t="n">
        <x:v>100</x:v>
      </x:c>
      <x:c r="I179" s="21" t="n">
        <x:v>9.61994812499997</x:v>
      </x:c>
      <x:c r="J179" s="21" t="n">
        <x:v>21.601593339670217</x:v>
      </x:c>
      <x:c r="K179" s="25"/>
      <x:c r="L179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79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</x:row>
    <x:row r="180" ht="21" customHeight="1">
      <x:c r="A180" s="3" t="str">
        <x:v>EXP131</x:v>
      </x:c>
      <x:c r="B180" s="3" t="str">
        <x:v>Smooth 3</x:v>
      </x:c>
      <x:c r="C180" s="3" t="str">
        <x:v>Relative cutoff 1e-2</x:v>
      </x:c>
      <x:c r="D180" s="18" t="n">
        <x:v>16</x:v>
      </x:c>
      <x:c r="E180" s="18" t="n">
        <x:v>400</x:v>
      </x:c>
      <x:c r="F180" s="21" t="n">
        <x:f>AVERAGEIFS('Runs'!$F$3531:$F$3658,'Runs'!$A$3531:$A$3658,A180,'Runs'!$D$3531:$D$3658,C180)</x:f>
        <x:v>436.1805485433955</x:v>
      </x:c>
      <x:c r="G180" s="21" t="n">
        <x:v>281.2883385766188</x:v>
      </x:c>
      <x:c r="H180" s="23" t="n">
        <x:v>3.5229166666666667</x:v>
      </x:c>
      <x:c r="I180" s="21" t="n">
        <x:v>9.664999937500028</x:v>
      </x:c>
      <x:c r="J180" s="21" t="n">
        <x:v>28.350975288427435</x:v>
      </x:c>
      <x:c r="K180" s="25"/>
      <x:c r="L180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80" s="27" t="n">
        <x:f>SUMIFS('Runs'!$G$3531:$G$3658,'Runs'!$D$3531:$D$3658,"Relative cutoff 1e-2",'Runs'!$G$3531:$G$3658,"&lt;&gt;")/SUMIFS('Runs'!$F$3531:$F$3658,'Runs'!$D$3531:$D$3658,"Relative cutoff 1e-2",'Runs'!$G$3531:$G$3658,"&lt;&gt;")-1</x:f>
        <x:v>-0.018892573966596493</x:v>
      </x:c>
    </x:row>
    <x:row r="181" ht="21" customHeight="1">
      <x:c r="A181" s="3" t="str">
        <x:v>EXP131</x:v>
      </x:c>
      <x:c r="B181" s="3" t="str">
        <x:v>Smooth 3</x:v>
      </x:c>
      <x:c r="C181" s="3" t="str">
        <x:v>Relative cutoff 1e-4</x:v>
      </x:c>
      <x:c r="D181" s="18" t="n">
        <x:v>16</x:v>
      </x:c>
      <x:c r="E181" s="18" t="n">
        <x:v>400</x:v>
      </x:c>
      <x:c r="F181" s="21" t="n">
        <x:f>AVERAGEIFS('Runs'!$F$3531:$F$3658,'Runs'!$A$3531:$A$3658,A181,'Runs'!$D$3531:$D$3658,C181)</x:f>
        <x:v>434.5734560701638</x:v>
      </x:c>
      <x:c r="G181" s="21" t="n">
        <x:v>279.68124610338697</x:v>
      </x:c>
      <x:c r="H181" s="23" t="n">
        <x:v>10.445833333333333</x:v>
      </x:c>
      <x:c r="I181" s="21" t="n">
        <x:v>9.648734124999985</x:v>
      </x:c>
      <x:c r="J181" s="21" t="n">
        <x:v>25.493007231110823</x:v>
      </x:c>
      <x:c r="K181" s="25"/>
      <x:c r="L181" s="27" t="n">
        <x:f>SUMIFS('Runs'!$G$3531:$G$3658,'Runs'!$D$3531:$D$3658,"Full",'Runs'!$G$3531:$G$3658,"&lt;&gt;")/SUMIFS('Runs'!$F$3531:$F$3658,'Runs'!$D$3531:$D$3658,"Full",'Runs'!$G$3531:$G$3658,"&lt;&gt;")-1</x:f>
        <x:v>-0.0028461539134506664</x:v>
      </x:c>
      <x:c r="M181" s="27" t="n">
        <x:f>SUMIFS('Runs'!$G$3531:$G$3658,'Runs'!$D$3531:$D$3658,"Relative cutoff 1e-4",'Runs'!$G$3531:$G$3658,"&lt;&gt;")/SUMIFS('Runs'!$F$3531:$F$3658,'Runs'!$D$3531:$D$3658,"Relative cutoff 1e-4",'Runs'!$G$3531:$G$3658,"&lt;&gt;")-1</x:f>
        <x:v>-0.015264348777537906</x:v>
      </x:c>
    </x:row>
    <x:row r="182" ht="21" customHeight="1">
      <x:c r="A182" s="3" t="str">
        <x:v>EXP133</x:v>
      </x:c>
      <x:c r="B182" s="3" t="str">
        <x:v>Smooth 3 (128 inputs)</x:v>
      </x:c>
      <x:c r="C182" s="3" t="str">
        <x:v>BBP</x:v>
      </x:c>
      <x:c r="D182" s="18" t="n">
        <x:v>18</x:v>
      </x:c>
      <x:c r="E182" s="18" t="n">
        <x:v>400</x:v>
      </x:c>
      <x:c r="F182" s="21" t="n">
        <x:f>AVERAGEIFS('Runs'!$F$3659:$F$3802,'Runs'!$A$3659:$A$3802,A182,'Runs'!$D$3659:$D$3802,C182)</x:f>
        <x:v>670.0644279925118</x:v>
      </x:c>
      <x:c r="G182" s="21" t="n">
        <x:v>501.9712680415648</x:v>
      </x:c>
      <x:c r="H182" s="23" t="n">
        <x:v>24.25555555555556</x:v>
      </x:c>
      <x:c r="I182" s="21" t="n">
        <x:v>8.586158222222206</x:v>
      </x:c>
      <x:c r="J182" s="21" t="n">
        <x:v>9.459336952901342</x:v>
      </x:c>
      <x:c r="K182" s="25"/>
      <x:c r="L182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2" s="27" t="n">
        <x:f>SUMIFS('Runs'!$G$3659:$G$3802,'Runs'!$D$3659:$D$3802,"BBP",'Runs'!$G$3659:$G$3802,"&lt;&gt;")/SUMIFS('Runs'!$F$3659:$F$3802,'Runs'!$D$3659:$D$3802,"BBP",'Runs'!$G$3659:$G$3802,"&lt;&gt;")-1</x:f>
        <x:v>0</x:v>
      </x:c>
    </x:row>
    <x:row r="183" ht="21" customHeight="1">
      <x:c r="A183" s="3" t="str">
        <x:v>EXP133</x:v>
      </x:c>
      <x:c r="B183" s="3" t="str">
        <x:v>Smooth 3 (128 inputs)</x:v>
      </x:c>
      <x:c r="C183" s="3" t="str">
        <x:v>Relative cutoff 1e-5</x:v>
      </x:c>
      <x:c r="D183" s="18" t="n">
        <x:v>18</x:v>
      </x:c>
      <x:c r="E183" s="18" t="n">
        <x:v>400</x:v>
      </x:c>
      <x:c r="F183" s="21" t="n">
        <x:f>AVERAGEIFS('Runs'!$F$3659:$F$3802,'Runs'!$A$3659:$A$3802,A183,'Runs'!$D$3659:$D$3802,C183)</x:f>
        <x:v>669.7713857379924</x:v>
      </x:c>
      <x:c r="G183" s="21" t="n">
        <x:v>501.67822578704533</x:v>
      </x:c>
      <x:c r="H183" s="23" t="n">
        <x:v>13.325925925925926</x:v>
      </x:c>
      <x:c r="I183" s="21" t="n">
        <x:v>8.546422111111115</x:v>
      </x:c>
      <x:c r="J183" s="21" t="n">
        <x:v>9.368437586209943</x:v>
      </x:c>
      <x:c r="K183" s="25"/>
      <x:c r="L183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3" s="27" t="n">
        <x:f>SUMIFS('Runs'!$G$3659:$G$3802,'Runs'!$D$3659:$D$3802,"Relative cutoff 1e-5",'Runs'!$G$3659:$G$3802,"&lt;&gt;")/SUMIFS('Runs'!$F$3659:$F$3802,'Runs'!$D$3659:$D$3802,"Relative cutoff 1e-5",'Runs'!$G$3659:$G$3802,"&lt;&gt;")-1</x:f>
        <x:v>0.00043752578978351053</x:v>
      </x:c>
    </x:row>
    <x:row r="184" ht="21" customHeight="1">
      <x:c r="A184" s="3" t="str">
        <x:v>EXP133</x:v>
      </x:c>
      <x:c r="B184" s="3" t="str">
        <x:v>Smooth 3 (128 inputs)</x:v>
      </x:c>
      <x:c r="C184" s="3" t="str">
        <x:v>Fixed rank 10</x:v>
      </x:c>
      <x:c r="D184" s="18" t="n">
        <x:v>18</x:v>
      </x:c>
      <x:c r="E184" s="18" t="n">
        <x:v>400</x:v>
      </x:c>
      <x:c r="F184" s="21" t="n">
        <x:f>AVERAGEIFS('Runs'!$F$3659:$F$3802,'Runs'!$A$3659:$A$3802,A184,'Runs'!$D$3659:$D$3802,C184)</x:f>
        <x:v>669.6433815053838</x:v>
      </x:c>
      <x:c r="G184" s="21" t="n">
        <x:v>501.550221554437</x:v>
      </x:c>
      <x:c r="H184" s="23" t="n">
        <x:v>10</x:v>
      </x:c>
      <x:c r="I184" s="21" t="n">
        <x:v>8.569347555555558</x:v>
      </x:c>
      <x:c r="J184" s="21" t="n">
        <x:v>9.436363146174699</x:v>
      </x:c>
      <x:c r="K184" s="25"/>
      <x:c r="L184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4" s="27" t="n">
        <x:f>SUMIFS('Runs'!$G$3659:$G$3802,'Runs'!$D$3659:$D$3802,"Fixed rank 10",'Runs'!$G$3659:$G$3802,"&lt;&gt;")/SUMIFS('Runs'!$F$3659:$F$3802,'Runs'!$D$3659:$D$3802,"Fixed rank 10",'Runs'!$G$3659:$G$3802,"&lt;&gt;")-1</x:f>
        <x:v>0.0006287622617602295</x:v>
      </x:c>
    </x:row>
    <x:row r="185" ht="21" customHeight="1">
      <x:c r="A185" s="3" t="str">
        <x:v>EXP133</x:v>
      </x:c>
      <x:c r="B185" s="3" t="str">
        <x:v>Smooth 3 (128 inputs)</x:v>
      </x:c>
      <x:c r="C185" s="3" t="str">
        <x:v>Fixed rank 25</x:v>
      </x:c>
      <x:c r="D185" s="18" t="n">
        <x:v>18</x:v>
      </x:c>
      <x:c r="E185" s="18" t="n">
        <x:v>400</x:v>
      </x:c>
      <x:c r="F185" s="21" t="n">
        <x:f>AVERAGEIFS('Runs'!$F$3659:$F$3802,'Runs'!$A$3659:$A$3802,A185,'Runs'!$D$3659:$D$3802,C185)</x:f>
        <x:v>671.5838748817412</x:v>
      </x:c>
      <x:c r="G185" s="21" t="n">
        <x:v>503.49071493079424</x:v>
      </x:c>
      <x:c r="H185" s="23" t="n">
        <x:v>25</x:v>
      </x:c>
      <x:c r="I185" s="21" t="n">
        <x:v>8.602392722222216</x:v>
      </x:c>
      <x:c r="J185" s="21" t="n">
        <x:v>9.48774627095554</x:v>
      </x:c>
      <x:c r="K185" s="25"/>
      <x:c r="L185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5" s="27" t="n">
        <x:f>SUMIFS('Runs'!$G$3659:$G$3802,'Runs'!$D$3659:$D$3802,"Fixed rank 25",'Runs'!$G$3659:$G$3802,"&lt;&gt;")/SUMIFS('Runs'!$F$3659:$F$3802,'Runs'!$D$3659:$D$3802,"Fixed rank 25",'Runs'!$G$3659:$G$3802,"&lt;&gt;")-1</x:f>
        <x:v>-0.0022624826861676883</x:v>
      </x:c>
    </x:row>
    <x:row r="186" ht="21" customHeight="1">
      <x:c r="A186" s="3" t="str">
        <x:v>EXP133</x:v>
      </x:c>
      <x:c r="B186" s="3" t="str">
        <x:v>Smooth 3 (128 inputs)</x:v>
      </x:c>
      <x:c r="C186" s="3" t="str">
        <x:v>Relative cutoff 1e-6</x:v>
      </x:c>
      <x:c r="D186" s="18" t="n">
        <x:v>18</x:v>
      </x:c>
      <x:c r="E186" s="18" t="n">
        <x:v>400</x:v>
      </x:c>
      <x:c r="F186" s="21" t="n">
        <x:f>AVERAGEIFS('Runs'!$F$3659:$F$3802,'Runs'!$A$3659:$A$3802,A186,'Runs'!$D$3659:$D$3802,C186)</x:f>
        <x:v>674.5179012488754</x:v>
      </x:c>
      <x:c r="G186" s="21" t="n">
        <x:v>506.42474129792845</x:v>
      </x:c>
      <x:c r="H186" s="23" t="n">
        <x:v>28.727777777777778</x:v>
      </x:c>
      <x:c r="I186" s="21" t="n">
        <x:v>8.567502222222217</x:v>
      </x:c>
      <x:c r="J186" s="21" t="n">
        <x:v>9.4340485906513</x:v>
      </x:c>
      <x:c r="K186" s="25"/>
      <x:c r="L186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6" s="27" t="n">
        <x:f>SUMIFS('Runs'!$G$3659:$G$3802,'Runs'!$D$3659:$D$3802,"Relative cutoff 1e-6",'Runs'!$G$3659:$G$3802,"&lt;&gt;")/SUMIFS('Runs'!$F$3659:$F$3802,'Runs'!$D$3659:$D$3802,"Relative cutoff 1e-6",'Runs'!$G$3659:$G$3802,"&lt;&gt;")-1</x:f>
        <x:v>-0.0066024537645598125</x:v>
      </x:c>
    </x:row>
    <x:row r="187" ht="21" customHeight="1">
      <x:c r="A187" s="3" t="str">
        <x:v>EXP133</x:v>
      </x:c>
      <x:c r="B187" s="3" t="str">
        <x:v>Smooth 3 (128 inputs)</x:v>
      </x:c>
      <x:c r="C187" s="3" t="str">
        <x:v>Full</x:v>
      </x:c>
      <x:c r="D187" s="18" t="n">
        <x:v>18</x:v>
      </x:c>
      <x:c r="E187" s="18" t="n">
        <x:v>400</x:v>
      </x:c>
      <x:c r="F187" s="21" t="n">
        <x:f>AVERAGEIFS('Runs'!$F$3659:$F$3802,'Runs'!$A$3659:$A$3802,A187,'Runs'!$D$3659:$D$3802,C187)</x:f>
        <x:v>679.6936909567263</x:v>
      </x:c>
      <x:c r="G187" s="21" t="n">
        <x:v>511.6005310057795</x:v>
      </x:c>
      <x:c r="H187" s="23" t="n">
        <x:v>100</x:v>
      </x:c>
      <x:c r="I187" s="21" t="n">
        <x:v>8.5431643888889</x:v>
      </x:c>
      <x:c r="J187" s="21" t="n">
        <x:v>9.387905166975948</x:v>
      </x:c>
      <x:c r="K187" s="25"/>
      <x:c r="L187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7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</x:row>
    <x:row r="188" ht="21" customHeight="1">
      <x:c r="A188" s="3" t="str">
        <x:v>EXP133</x:v>
      </x:c>
      <x:c r="B188" s="3" t="str">
        <x:v>Smooth 3 (128 inputs)</x:v>
      </x:c>
      <x:c r="C188" s="3" t="str">
        <x:v>Relative cutoff 1e-2</x:v>
      </x:c>
      <x:c r="D188" s="18" t="n">
        <x:v>18</x:v>
      </x:c>
      <x:c r="E188" s="18" t="n">
        <x:v>400</x:v>
      </x:c>
      <x:c r="F188" s="21" t="n">
        <x:f>AVERAGEIFS('Runs'!$F$3659:$F$3802,'Runs'!$A$3659:$A$3802,A188,'Runs'!$D$3659:$D$3802,C188)</x:f>
        <x:v>680.2013398626387</x:v>
      </x:c>
      <x:c r="G188" s="21" t="n">
        <x:v>512.1081799116916</x:v>
      </x:c>
      <x:c r="H188" s="23" t="n">
        <x:v>1.848148148148148</x:v>
      </x:c>
      <x:c r="I188" s="21" t="n">
        <x:v>8.56485155555555</x:v>
      </x:c>
      <x:c r="J188" s="21" t="n">
        <x:v>9.366911809322321</x:v>
      </x:c>
      <x:c r="K188" s="25"/>
      <x:c r="L188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8" s="27" t="n">
        <x:f>SUMIFS('Runs'!$G$3659:$G$3802,'Runs'!$D$3659:$D$3802,"Relative cutoff 1e-2",'Runs'!$G$3659:$G$3802,"&lt;&gt;")/SUMIFS('Runs'!$F$3659:$F$3802,'Runs'!$D$3659:$D$3802,"Relative cutoff 1e-2",'Runs'!$G$3659:$G$3802,"&lt;&gt;")-1</x:f>
        <x:v>-0.014902810794483301</x:v>
      </x:c>
    </x:row>
    <x:row r="189" ht="21" customHeight="1">
      <x:c r="A189" s="3" t="str">
        <x:v>EXP133</x:v>
      </x:c>
      <x:c r="B189" s="3" t="str">
        <x:v>Smooth 3 (128 inputs)</x:v>
      </x:c>
      <x:c r="C189" s="3" t="str">
        <x:v>Relative cutoff 1e-4</x:v>
      </x:c>
      <x:c r="D189" s="18" t="n">
        <x:v>18</x:v>
      </x:c>
      <x:c r="E189" s="18" t="n">
        <x:v>400</x:v>
      </x:c>
      <x:c r="F189" s="21" t="n">
        <x:f>AVERAGEIFS('Runs'!$F$3659:$F$3802,'Runs'!$A$3659:$A$3802,A189,'Runs'!$D$3659:$D$3802,C189)</x:f>
        <x:v>676.3308515020993</x:v>
      </x:c>
      <x:c r="G189" s="21" t="n">
        <x:v>508.23769155115235</x:v>
      </x:c>
      <x:c r="H189" s="23" t="n">
        <x:v>5.098148148148148</x:v>
      </x:c>
      <x:c r="I189" s="21" t="n">
        <x:v>8.56661388888891</x:v>
      </x:c>
      <x:c r="J189" s="21" t="n">
        <x:v>9.460481923733218</x:v>
      </x:c>
      <x:c r="K189" s="25"/>
      <x:c r="L189" s="27" t="n">
        <x:f>SUMIFS('Runs'!$G$3659:$G$3802,'Runs'!$D$3659:$D$3802,"Full",'Runs'!$G$3659:$G$3802,"&lt;&gt;")/SUMIFS('Runs'!$F$3659:$F$3802,'Runs'!$D$3659:$D$3802,"Full",'Runs'!$G$3659:$G$3802,"&lt;&gt;")-1</x:f>
        <x:v>-0.014167062446409528</x:v>
      </x:c>
      <x:c r="M189" s="27" t="n">
        <x:f>SUMIFS('Runs'!$G$3659:$G$3802,'Runs'!$D$3659:$D$3802,"Relative cutoff 1e-4",'Runs'!$G$3659:$G$3802,"&lt;&gt;")/SUMIFS('Runs'!$F$3659:$F$3802,'Runs'!$D$3659:$D$3802,"Relative cutoff 1e-4",'Runs'!$G$3659:$G$3802,"&lt;&gt;")-1</x:f>
        <x:v>-0.009265322579429913</x:v>
      </x:c>
    </x:row>
    <x:row r="190" ht="21" customHeight="1">
      <x:c r="A190" s="3" t="str">
        <x:v>EXP248</x:v>
      </x:c>
      <x:c r="B190" s="3" t="str">
        <x:v>Weak</x:v>
      </x:c>
      <x:c r="C190" s="3" t="str">
        <x:v>BBP</x:v>
      </x:c>
      <x:c r="D190" s="18" t="n">
        <x:v>64</x:v>
      </x:c>
      <x:c r="E190" s="18" t="n">
        <x:v>800</x:v>
      </x:c>
      <x:c r="F190" s="21" t="n">
        <x:f>AVERAGEIFS('Runs'!$F$3803:$F$4314,'Runs'!$A$3803:$A$4314,A190,'Runs'!$D$3803:$D$4314,C190)</x:f>
        <x:v>396.51306500909055</x:v>
      </x:c>
      <x:c r="G190" s="21" t="n">
        <x:v>270.27181196162655</x:v>
      </x:c>
      <x:c r="H190" s="23" t="n">
        <x:v>28.695535714285704</x:v>
      </x:c>
      <x:c r="I190" s="21" t="n">
        <x:v>49.612878437499745</x:v>
      </x:c>
      <x:c r="J190" s="21" t="n">
        <x:v>134.74346899949524</x:v>
      </x:c>
      <x:c r="K190" s="25"/>
      <x:c r="L190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0" s="27" t="n">
        <x:f>SUMIFS('Runs'!$G$3803:$G$4314,'Runs'!$D$3803:$D$4314,"BBP",'Runs'!$G$3803:$G$4314,"&lt;&gt;")/SUMIFS('Runs'!$F$3803:$F$4314,'Runs'!$D$3803:$D$4314,"BBP",'Runs'!$G$3803:$G$4314,"&lt;&gt;")-1</x:f>
        <x:v>0</x:v>
      </x:c>
    </x:row>
    <x:row r="191" ht="21" customHeight="1">
      <x:c r="A191" s="3" t="str">
        <x:v>EXP248</x:v>
      </x:c>
      <x:c r="B191" s="3" t="str">
        <x:v>Weak</x:v>
      </x:c>
      <x:c r="C191" s="3" t="str">
        <x:v>Relative cutoff 1e-5</x:v>
      </x:c>
      <x:c r="D191" s="18" t="n">
        <x:v>64</x:v>
      </x:c>
      <x:c r="E191" s="18" t="n">
        <x:v>800</x:v>
      </x:c>
      <x:c r="F191" s="21" t="n">
        <x:f>AVERAGEIFS('Runs'!$F$3803:$F$4314,'Runs'!$A$3803:$A$4314,A191,'Runs'!$D$3803:$D$4314,C191)</x:f>
        <x:v>401.4381940255868</x:v>
      </x:c>
      <x:c r="G191" s="21" t="n">
        <x:v>275.19694097812305</x:v>
      </x:c>
      <x:c r="H191" s="23" t="n">
        <x:v>10.399330357142857</x:v>
      </x:c>
      <x:c r="I191" s="21" t="n">
        <x:v>18.346674687500006</x:v>
      </x:c>
      <x:c r="J191" s="21" t="n">
        <x:v>18.458197463577903</x:v>
      </x:c>
      <x:c r="K191" s="25" t="n">
        <x:v>609.18310546875</x:v>
      </x:c>
      <x:c r="L191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1" s="27" t="n">
        <x:f>SUMIFS('Runs'!$G$3803:$G$4314,'Runs'!$D$3803:$D$4314,"Relative cutoff 1e-5",'Runs'!$G$3803:$G$4314,"&lt;&gt;")/SUMIFS('Runs'!$F$3803:$F$4314,'Runs'!$D$3803:$D$4314,"Relative cutoff 1e-5",'Runs'!$G$3803:$G$4314,"&lt;&gt;")-1</x:f>
        <x:v>-0.012268710575611963</x:v>
      </x:c>
    </x:row>
    <x:row r="192" ht="21" customHeight="1">
      <x:c r="A192" s="3" t="str">
        <x:v>EXP248</x:v>
      </x:c>
      <x:c r="B192" s="3" t="str">
        <x:v>Weak</x:v>
      </x:c>
      <x:c r="C192" s="3" t="str">
        <x:v>Fixed rank 10</x:v>
      </x:c>
      <x:c r="D192" s="18" t="n">
        <x:v>64</x:v>
      </x:c>
      <x:c r="E192" s="18" t="n">
        <x:v>800</x:v>
      </x:c>
      <x:c r="F192" s="21" t="n">
        <x:f>AVERAGEIFS('Runs'!$F$3803:$F$4314,'Runs'!$A$3803:$A$4314,A192,'Runs'!$D$3803:$D$4314,C192)</x:f>
        <x:v>409.8760437708359</x:v>
      </x:c>
      <x:c r="G192" s="21" t="n">
        <x:v>283.63479072337196</x:v>
      </x:c>
      <x:c r="H192" s="23" t="n">
        <x:v>10</x:v>
      </x:c>
      <x:c r="I192" s="21" t="n">
        <x:v>18.348945062499997</x:v>
      </x:c>
      <x:c r="J192" s="21" t="n">
        <x:v>18.460506057296527</x:v>
      </x:c>
      <x:c r="K192" s="25" t="n">
        <x:v>609.539794921875</x:v>
      </x:c>
      <x:c r="L192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2" s="27" t="n">
        <x:f>SUMIFS('Runs'!$G$3803:$G$4314,'Runs'!$D$3803:$D$4314,"Fixed rank 10",'Runs'!$G$3803:$G$4314,"&lt;&gt;")/SUMIFS('Runs'!$F$3803:$F$4314,'Runs'!$D$3803:$D$4314,"Fixed rank 10",'Runs'!$G$3803:$G$4314,"&lt;&gt;")-1</x:f>
        <x:v>-0.032602487910263656</x:v>
      </x:c>
    </x:row>
    <x:row r="193" ht="21" customHeight="1">
      <x:c r="A193" s="3" t="str">
        <x:v>EXP248</x:v>
      </x:c>
      <x:c r="B193" s="3" t="str">
        <x:v>Weak</x:v>
      </x:c>
      <x:c r="C193" s="3" t="str">
        <x:v>Fixed rank 25</x:v>
      </x:c>
      <x:c r="D193" s="18" t="n">
        <x:v>64</x:v>
      </x:c>
      <x:c r="E193" s="18" t="n">
        <x:v>800</x:v>
      </x:c>
      <x:c r="F193" s="21" t="n">
        <x:f>AVERAGEIFS('Runs'!$F$3803:$F$4314,'Runs'!$A$3803:$A$4314,A193,'Runs'!$D$3803:$D$4314,C193)</x:f>
        <x:v>401.33382998711386</x:v>
      </x:c>
      <x:c r="G193" s="21" t="n">
        <x:v>275.0925769396499</x:v>
      </x:c>
      <x:c r="H193" s="23" t="n">
        <x:v>25</x:v>
      </x:c>
      <x:c r="I193" s="21" t="n">
        <x:v>52.02441995312481</x:v>
      </x:c>
      <x:c r="J193" s="21" t="n">
        <x:v>135.21590364420626</x:v>
      </x:c>
      <x:c r="K193" s="25"/>
      <x:c r="L193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3" s="27" t="n">
        <x:f>SUMIFS('Runs'!$G$3803:$G$4314,'Runs'!$D$3803:$D$4314,"Fixed rank 25",'Runs'!$G$3803:$G$4314,"&lt;&gt;")/SUMIFS('Runs'!$F$3803:$F$4314,'Runs'!$D$3803:$D$4314,"Fixed rank 25",'Runs'!$G$3803:$G$4314,"&lt;&gt;")-1</x:f>
        <x:v>-0.012011858004041365</x:v>
      </x:c>
    </x:row>
    <x:row r="194" ht="21" customHeight="1">
      <x:c r="A194" s="3" t="str">
        <x:v>EXP248</x:v>
      </x:c>
      <x:c r="B194" s="3" t="str">
        <x:v>Weak</x:v>
      </x:c>
      <x:c r="C194" s="3" t="str">
        <x:v>Relative cutoff 1e-6</x:v>
      </x:c>
      <x:c r="D194" s="18" t="n">
        <x:v>64</x:v>
      </x:c>
      <x:c r="E194" s="18" t="n">
        <x:v>800</x:v>
      </x:c>
      <x:c r="F194" s="21" t="n">
        <x:f>AVERAGEIFS('Runs'!$F$3803:$F$4314,'Runs'!$A$3803:$A$4314,A194,'Runs'!$D$3803:$D$4314,C194)</x:f>
        <x:v>404.9631141740274</x:v>
      </x:c>
      <x:c r="G194" s="21" t="n">
        <x:v>278.72186112656357</x:v>
      </x:c>
      <x:c r="H194" s="23" t="n">
        <x:v>20.086830357142855</x:v>
      </x:c>
      <x:c r="I194" s="21" t="n">
        <x:v>52.26085082812479</x:v>
      </x:c>
      <x:c r="J194" s="21" t="n">
        <x:v>135.57551767729456</x:v>
      </x:c>
      <x:c r="K194" s="25"/>
      <x:c r="L194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4" s="27" t="n">
        <x:f>SUMIFS('Runs'!$G$3803:$G$4314,'Runs'!$D$3803:$D$4314,"Relative cutoff 1e-6",'Runs'!$G$3803:$G$4314,"&lt;&gt;")/SUMIFS('Runs'!$F$3803:$F$4314,'Runs'!$D$3803:$D$4314,"Relative cutoff 1e-6",'Runs'!$G$3803:$G$4314,"&lt;&gt;")-1</x:f>
        <x:v>-0.020866219339931158</x:v>
      </x:c>
    </x:row>
    <x:row r="195" ht="21" customHeight="1">
      <x:c r="A195" s="3" t="str">
        <x:v>EXP248</x:v>
      </x:c>
      <x:c r="B195" s="3" t="str">
        <x:v>Weak</x:v>
      </x:c>
      <x:c r="C195" s="3" t="str">
        <x:v>Full</x:v>
      </x:c>
      <x:c r="D195" s="18" t="n">
        <x:v>64</x:v>
      </x:c>
      <x:c r="E195" s="18" t="n">
        <x:v>800</x:v>
      </x:c>
      <x:c r="F195" s="21" t="n">
        <x:f>AVERAGEIFS('Runs'!$F$3803:$F$4314,'Runs'!$A$3803:$A$4314,A195,'Runs'!$D$3803:$D$4314,C195)</x:f>
        <x:v>413.914895181165</x:v>
      </x:c>
      <x:c r="G195" s="21" t="n">
        <x:v>287.6736421337011</x:v>
      </x:c>
      <x:c r="H195" s="23" t="n">
        <x:v>100</x:v>
      </x:c>
      <x:c r="I195" s="21" t="n">
        <x:v>49.51591270312442</x:v>
      </x:c>
      <x:c r="J195" s="21" t="n">
        <x:v>131.3235648187292</x:v>
      </x:c>
      <x:c r="K195" s="25"/>
      <x:c r="L195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5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</x:row>
    <x:row r="196" ht="21" customHeight="1">
      <x:c r="A196" s="3" t="str">
        <x:v>EXP248</x:v>
      </x:c>
      <x:c r="B196" s="3" t="str">
        <x:v>Weak</x:v>
      </x:c>
      <x:c r="C196" s="3" t="str">
        <x:v>Relative cutoff 1e-2</x:v>
      </x:c>
      <x:c r="D196" s="18" t="n">
        <x:v>64</x:v>
      </x:c>
      <x:c r="E196" s="18" t="n">
        <x:v>800</x:v>
      </x:c>
      <x:c r="F196" s="21" t="n">
        <x:f>AVERAGEIFS('Runs'!$F$3803:$F$4314,'Runs'!$A$3803:$A$4314,A196,'Runs'!$D$3803:$D$4314,C196)</x:f>
        <x:v>508.0836883248668</x:v>
      </x:c>
      <x:c r="G196" s="21" t="n">
        <x:v>381.8424352774029</x:v>
      </x:c>
      <x:c r="H196" s="23" t="n">
        <x:v>1.7482142857142855</x:v>
      </x:c>
      <x:c r="I196" s="21" t="n">
        <x:v>49.603022609374996</x:v>
      </x:c>
      <x:c r="J196" s="21" t="n">
        <x:v>133.00185289325236</x:v>
      </x:c>
      <x:c r="K196" s="25"/>
      <x:c r="L196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6" s="27" t="n">
        <x:f>SUMIFS('Runs'!$G$3803:$G$4314,'Runs'!$D$3803:$D$4314,"Relative cutoff 1e-2",'Runs'!$G$3803:$G$4314,"&lt;&gt;")/SUMIFS('Runs'!$F$3803:$F$4314,'Runs'!$D$3803:$D$4314,"Relative cutoff 1e-2",'Runs'!$G$3803:$G$4314,"&lt;&gt;")-1</x:f>
        <x:v>-0.21959103564930504</x:v>
      </x:c>
    </x:row>
    <x:row r="197" ht="21" customHeight="1">
      <x:c r="A197" s="3" t="str">
        <x:v>EXP248</x:v>
      </x:c>
      <x:c r="B197" s="3" t="str">
        <x:v>Weak</x:v>
      </x:c>
      <x:c r="C197" s="3" t="str">
        <x:v>Relative cutoff 1e-4</x:v>
      </x:c>
      <x:c r="D197" s="18" t="n">
        <x:v>64</x:v>
      </x:c>
      <x:c r="E197" s="18" t="n">
        <x:v>800</x:v>
      </x:c>
      <x:c r="F197" s="21" t="n">
        <x:f>AVERAGEIFS('Runs'!$F$3803:$F$4314,'Runs'!$A$3803:$A$4314,A197,'Runs'!$D$3803:$D$4314,C197)</x:f>
        <x:v>413.63055635798037</x:v>
      </x:c>
      <x:c r="G197" s="21" t="n">
        <x:v>287.38930331051654</x:v>
      </x:c>
      <x:c r="H197" s="23" t="n">
        <x:v>3.914285714285714</x:v>
      </x:c>
      <x:c r="I197" s="21" t="n">
        <x:v>51.84073264062503</x:v>
      </x:c>
      <x:c r="J197" s="21" t="n">
        <x:v>135.15317951350153</x:v>
      </x:c>
      <x:c r="K197" s="25"/>
      <x:c r="L197" s="27" t="n">
        <x:f>SUMIFS('Runs'!$G$3803:$G$4314,'Runs'!$D$3803:$D$4314,"Full",'Runs'!$G$3803:$G$4314,"&lt;&gt;")/SUMIFS('Runs'!$F$3803:$F$4314,'Runs'!$D$3803:$D$4314,"Full",'Runs'!$G$3803:$G$4314,"&lt;&gt;")-1</x:f>
        <x:v>-0.04204204867876982</x:v>
      </x:c>
      <x:c r="M197" s="27" t="n">
        <x:f>SUMIFS('Runs'!$G$3803:$G$4314,'Runs'!$D$3803:$D$4314,"Relative cutoff 1e-4",'Runs'!$G$3803:$G$4314,"&lt;&gt;")/SUMIFS('Runs'!$F$3803:$F$4314,'Runs'!$D$3803:$D$4314,"Relative cutoff 1e-4",'Runs'!$G$3803:$G$4314,"&lt;&gt;")-1</x:f>
        <x:v>-0.04138352712529125</x:v>
      </x:c>
    </x:row>
    <x:row r="198" ht="21" customHeight="1">
      <x:c r="A198" s="3" t="str">
        <x:v>EXP268</x:v>
      </x:c>
      <x:c r="B198" s="3" t="str">
        <x:v>Weak</x:v>
      </x:c>
      <x:c r="C198" s="3" t="str">
        <x:v>BBP</x:v>
      </x:c>
      <x:c r="D198" s="18" t="n">
        <x:v>5</x:v>
      </x:c>
      <x:c r="E198" s="18" t="n">
        <x:v>800</x:v>
      </x:c>
      <x:c r="F198" s="21" t="n">
        <x:f>AVERAGEIFS('Runs'!$F$4315:$F$4324,'Runs'!$A$4315:$A$4324,A198,'Runs'!$D$4315:$D$4324,C198)</x:f>
        <x:v>362.8311151556948</x:v>
      </x:c>
      <x:c r="G198" s="21" t="n">
        <x:v>242.49916692396783</x:v>
      </x:c>
      <x:c r="H198" s="23" t="n">
        <x:v>28.67714285714286</x:v>
      </x:c>
      <x:c r="I198" s="21" t="n">
        <x:v>12.958007</x:v>
      </x:c>
      <x:c r="J198" s="21" t="n">
        <x:v>13.17475190013647</x:v>
      </x:c>
      <x:c r="K198" s="25" t="n">
        <x:v>533.275</x:v>
      </x:c>
      <x:c r="L198" s="27" t="str">
        <x:f>""</x:f>
      </x:c>
      <x:c r="M198" s="27" t="n">
        <x:f>SUMIFS('Runs'!$G$4315:$G$4324,'Runs'!$D$4315:$D$4324,"BBP",'Runs'!$G$4315:$G$4324,"&lt;&gt;")/SUMIFS('Runs'!$F$4315:$F$4324,'Runs'!$D$4315:$D$4324,"BBP",'Runs'!$G$4315:$G$4324,"&lt;&gt;")-1</x:f>
        <x:v>0</x:v>
      </x:c>
    </x:row>
    <x:row r="199" ht="21" customHeight="1">
      <x:c r="A199" s="3" t="str">
        <x:v>EXP268</x:v>
      </x:c>
      <x:c r="B199" s="3" t="str">
        <x:v>Weak</x:v>
      </x:c>
      <x:c r="C199" s="3" t="str">
        <x:v>BBP + physical compression</x:v>
      </x:c>
      <x:c r="D199" s="18" t="n">
        <x:v>5</x:v>
      </x:c>
      <x:c r="E199" s="18" t="n">
        <x:v>800</x:v>
      </x:c>
      <x:c r="F199" s="21" t="n">
        <x:f>AVERAGEIFS('Runs'!$F$4315:$F$4324,'Runs'!$A$4315:$A$4324,A199,'Runs'!$D$4315:$D$4324,C199)</x:f>
        <x:v>361.30171947483245</x:v>
      </x:c>
      <x:c r="G199" s="21" t="n">
        <x:v>240.96977124310555</x:v>
      </x:c>
      <x:c r="H199" s="23" t="n">
        <x:v>26.885714285714283</x:v>
      </x:c>
      <x:c r="I199" s="21" t="n">
        <x:v>12.1440068</x:v>
      </x:c>
      <x:c r="J199" s="21" t="n">
        <x:v>12.288507650000975</x:v>
      </x:c>
      <x:c r="K199" s="25" t="n">
        <x:v>530.565625</x:v>
      </x:c>
      <x:c r="L199" s="27" t="str">
        <x:f>""</x:f>
      </x:c>
      <x:c r="M199" s="27" t="n">
        <x:f>SUMIFS('Runs'!$G$4315:$G$4324,'Runs'!$D$4315:$D$4324,"BBP + physical compression",'Runs'!$G$4315:$G$4324,"&lt;&gt;")/SUMIFS('Runs'!$F$4315:$F$4324,'Runs'!$D$4315:$D$4324,"BBP + physical compression",'Runs'!$G$4315:$G$4324,"&lt;&gt;")-1</x:f>
        <x:v>0.0042330152291703005</x:v>
      </x:c>
    </x:row>
    <x:row r="200" ht="21" customHeight="1">
      <x:c r="A200" s="3" t="str">
        <x:v>EXP283</x:v>
      </x:c>
      <x:c r="B200" s="3" t="str">
        <x:v>KuaiRec (10 users)</x:v>
      </x:c>
      <x:c r="C200" s="3" t="str">
        <x:v>Full</x:v>
      </x:c>
      <x:c r="D200" s="18" t="n">
        <x:v>20</x:v>
      </x:c>
      <x:c r="E200" s="18" t="n">
        <x:v>2000</x:v>
      </x:c>
      <x:c r="F200" s="21" t="n">
        <x:f>AVERAGEIFS('Runs'!$F$4325:$F$4364,'Runs'!$A$4325:$A$4364,A200,'Runs'!$D$4325:$D$4364,C200)</x:f>
        <x:v>3616.16890046126</x:v>
      </x:c>
      <x:c r="G200" s="21" t="n">
        <x:v>3375.22037458373</x:v>
      </x:c>
      <x:c r="H200" s="23" t="n">
        <x:v>100</x:v>
      </x:c>
      <x:c r="I200" s="21" t="n">
        <x:v>70.39689845</x:v>
      </x:c>
      <x:c r="J200" s="21" t="n">
        <x:v>71.1378595811373</x:v>
      </x:c>
      <x:c r="K200" s="25"/>
      <x:c r="L200" s="27" t="str">
        <x:f>""</x:f>
      </x:c>
      <x:c r="M200" s="27" t="str">
        <x:f>""</x:f>
      </x:c>
    </x:row>
    <x:row r="201" ht="21" customHeight="1">
      <x:c r="A201" s="3" t="str">
        <x:v>EXP283</x:v>
      </x:c>
      <x:c r="B201" s="3" t="str">
        <x:v>KuaiRec (10 users)</x:v>
      </x:c>
      <x:c r="C201" s="3" t="str">
        <x:v>Relative cutoff 1e-2</x:v>
      </x:c>
      <x:c r="D201" s="18" t="n">
        <x:v>20</x:v>
      </x:c>
      <x:c r="E201" s="18" t="n">
        <x:v>2000</x:v>
      </x:c>
      <x:c r="F201" s="21" t="n">
        <x:f>AVERAGEIFS('Runs'!$F$4325:$F$4364,'Runs'!$A$4325:$A$4364,A201,'Runs'!$D$4325:$D$4364,C201)</x:f>
        <x:v>3504.2265003343587</x:v>
      </x:c>
      <x:c r="G201" s="21" t="n">
        <x:v>3263.277974456828</x:v>
      </x:c>
      <x:c r="H201" s="23" t="n">
        <x:v>5.520789473684212</x:v>
      </x:c>
      <x:c r="I201" s="21" t="n">
        <x:v>77.56897925000001</x:v>
      </x:c>
      <x:c r="J201" s="21" t="n">
        <x:v>78.49062478750129</x:v>
      </x:c>
      <x:c r="K201" s="25"/>
      <x:c r="L201" s="27" t="str">
        <x:f>""</x:f>
      </x:c>
      <x:c r="M201" s="27" t="str">
        <x:f>""</x:f>
      </x:c>
    </x:row>
    <x:row r="202" ht="21" customHeight="1">
      <x:c r="A202" s="3" t="str">
        <x:v>EXP284</x:v>
      </x:c>
      <x:c r="B202" s="3" t="str">
        <x:v>KuaiRec</x:v>
      </x:c>
      <x:c r="C202" s="3" t="str">
        <x:v>Full</x:v>
      </x:c>
      <x:c r="D202" s="18" t="n">
        <x:v>10</x:v>
      </x:c>
      <x:c r="E202" s="18" t="n">
        <x:v>2000</x:v>
      </x:c>
      <x:c r="F202" s="21" t="n">
        <x:f>AVERAGEIFS('Runs'!$F$4365:$F$4384,'Runs'!$A$4365:$A$4384,A202,'Runs'!$D$4365:$D$4384,C202)</x:f>
        <x:v>4123.028524712675</x:v>
      </x:c>
      <x:c r="G202" s="21" t="n">
        <x:v>3869.947641458083</x:v>
      </x:c>
      <x:c r="H202" s="23" t="n">
        <x:v>100</x:v>
      </x:c>
      <x:c r="I202" s="21" t="n">
        <x:v>133.93370289999996</x:v>
      </x:c>
      <x:c r="J202" s="21" t="n">
        <x:v>208.61586514583323</x:v>
      </x:c>
      <x:c r="K202" s="25"/>
      <x:c r="L202" s="27" t="str">
        <x:f>""</x:f>
      </x:c>
      <x:c r="M202" s="27" t="str">
        <x:f>""</x:f>
      </x:c>
    </x:row>
    <x:row r="203" ht="21" customHeight="1">
      <x:c r="A203" s="3" t="str">
        <x:v>EXP284</x:v>
      </x:c>
      <x:c r="B203" s="3" t="str">
        <x:v>KuaiRec</x:v>
      </x:c>
      <x:c r="C203" s="3" t="str">
        <x:v>Relative cutoff 1e-2</x:v>
      </x:c>
      <x:c r="D203" s="18" t="n">
        <x:v>10</x:v>
      </x:c>
      <x:c r="E203" s="18" t="n">
        <x:v>2000</x:v>
      </x:c>
      <x:c r="F203" s="21" t="n">
        <x:f>AVERAGEIFS('Runs'!$F$4365:$F$4384,'Runs'!$A$4365:$A$4384,A203,'Runs'!$D$4365:$D$4384,C203)</x:f>
        <x:v>4115.7025570403275</x:v>
      </x:c>
      <x:c r="G203" s="21" t="n">
        <x:v>3862.6216737857358</x:v>
      </x:c>
      <x:c r="H203" s="23" t="n">
        <x:v>6.68157894736842</x:v>
      </x:c>
      <x:c r="I203" s="21" t="n">
        <x:v>73.52720380000001</x:v>
      </x:c>
      <x:c r="J203" s="21" t="n">
        <x:v>75.08795843329281</x:v>
      </x:c>
      <x:c r="K203" s="25" t="n">
        <x:v>1977.5640625</x:v>
      </x:c>
      <x:c r="L203" s="27" t="str">
        <x:f>""</x:f>
      </x:c>
      <x:c r="M203" s="27" t="str">
        <x:f>""</x:f>
      </x:c>
    </x:row>
  </x:sheetData>
  <x:pageMargins left="0.7" right="0.7" top="0.75" bottom="0.75" header="0.3" footer="0.3"/>
  <x:tableParts count="1">
    <x:tablePart xmlns:r="http://schemas.openxmlformats.org/officeDocument/2006/relationships" r:id="Rd5353870b23c49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4" hidden="0" customWidth="1"/>
    <x:col min="4" max="4" width="23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26" hidden="0" customWidth="1"/>
    <x:col min="11" max="11" width="70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1" customHeight="1">
      <x:c r="A2" s="4" t="str">
        <x:v>Runs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1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8" customHeight="1">
      <x:c r="A5" s="77" t="str">
        <x:v>ID</x:v>
      </x:c>
      <x:c r="B5" s="78" t="str">
        <x:v>Environment</x:v>
      </x:c>
      <x:c r="C5" s="78" t="str">
        <x:v>Seed</x:v>
      </x:c>
      <x:c r="D5" s="78" t="str">
        <x:v>Method</x:v>
      </x:c>
      <x:c r="E5" s="78" t="str">
        <x:v>Rounds</x:v>
      </x:c>
      <x:c r="F5" s="78" t="str">
        <x:v>Regret</x:v>
      </x:c>
      <x:c r="G5" s="78" t="str">
        <x:v>BBP regret</x:v>
      </x:c>
      <x:c r="H5" s="78" t="str">
        <x:v>Full regret</x:v>
      </x:c>
      <x:c r="I5" s="78" t="str">
        <x:v>R_BBP/R_full-1</x:v>
      </x:c>
      <x:c r="J5" s="78" t="str">
        <x:v>R_BBP/R_baseline-1</x:v>
      </x:c>
      <x:c r="K5" s="79" t="str">
        <x:v>File</x:v>
      </x:c>
    </x:row>
    <x:row r="6" ht="15" hidden="0" customHeight="1">
      <x:c r="A6" s="3" t="str">
        <x:v>EXP001</x:v>
      </x:c>
      <x:c r="B6" s="3" t="str">
        <x:v>Balanced</x:v>
      </x:c>
      <x:c r="C6" s="18" t="n">
        <x:v>6100</x:v>
      </x:c>
      <x:c r="D6" s="3" t="str">
        <x:v>BBP</x:v>
      </x:c>
      <x:c r="E6" s="18" t="n">
        <x:v>800</x:v>
      </x:c>
      <x:c r="F6" s="21" t="n">
        <x:v>486.3184018609573</x:v>
      </x:c>
      <x:c r="G6" s="21" t="n">
        <x:f>F6</x:f>
        <x:v>486.3184018609573</x:v>
      </x:c>
      <x:c r="H6" s="21" t="n">
        <x:f>F11</x:f>
        <x:v>501.3748530854608</x:v>
      </x:c>
      <x:c r="I6" s="27" t="n">
        <x:f>IF(AND(ISNUMBER(G6),ISNUMBER(H6),H6&gt;0),G6/H6-1,"")</x:f>
        <x:v>-0.030030327871144902</x:v>
      </x:c>
      <x:c r="J6" s="27" t="n">
        <x:f>IF(AND(ISNUMBER(G6),F6&gt;0),G6/F6-1,"")</x:f>
        <x:v>0</x:v>
      </x:c>
      <x:c r="K6" s="19" t="str">
        <x:v>Balanced/EXP001/results/seed6100_BBP.json</x:v>
      </x:c>
    </x:row>
    <x:row r="7" ht="15" hidden="0" customHeight="1">
      <x:c r="A7" s="3" t="str">
        <x:v>EXP001</x:v>
      </x:c>
      <x:c r="B7" s="3" t="str">
        <x:v>Balanced</x:v>
      </x:c>
      <x:c r="C7" s="18" t="n">
        <x:v>6100</x:v>
      </x:c>
      <x:c r="D7" s="3" t="str">
        <x:v>Relative cutoff 1e-5</x:v>
      </x:c>
      <x:c r="E7" s="18" t="n">
        <x:v>800</x:v>
      </x:c>
      <x:c r="F7" s="21" t="n">
        <x:v>485.33072875720444</x:v>
      </x:c>
      <x:c r="G7" s="21" t="n">
        <x:f>F6</x:f>
        <x:v>486.3184018609573</x:v>
      </x:c>
      <x:c r="H7" s="21" t="n">
        <x:f>F11</x:f>
        <x:v>501.3748530854608</x:v>
      </x:c>
      <x:c r="I7" s="27" t="n">
        <x:f>IF(AND(ISNUMBER(G7),ISNUMBER(H7),H7&gt;0),G7/H7-1,"")</x:f>
        <x:v>-0.030030327871144902</x:v>
      </x:c>
      <x:c r="J7" s="27" t="n">
        <x:f>IF(AND(ISNUMBER(G7),F7&gt;0),G7/F7-1,"")</x:f>
        <x:v>0.002035051657005127</x:v>
      </x:c>
      <x:c r="K7" s="19" t="str">
        <x:v>Balanced/EXP001/results/seed6100_Relative_cutoff_1e-5.json</x:v>
      </x:c>
    </x:row>
    <x:row r="8" ht="15" hidden="0" customHeight="1">
      <x:c r="A8" s="3" t="str">
        <x:v>EXP001</x:v>
      </x:c>
      <x:c r="B8" s="3" t="str">
        <x:v>Balanced</x:v>
      </x:c>
      <x:c r="C8" s="18" t="n">
        <x:v>6100</x:v>
      </x:c>
      <x:c r="D8" s="3" t="str">
        <x:v>Fixed rank 10</x:v>
      </x:c>
      <x:c r="E8" s="18" t="n">
        <x:v>800</x:v>
      </x:c>
      <x:c r="F8" s="21" t="n">
        <x:v>436.81917822421275</x:v>
      </x:c>
      <x:c r="G8" s="21" t="n">
        <x:f>F6</x:f>
        <x:v>486.3184018609573</x:v>
      </x:c>
      <x:c r="H8" s="21" t="n">
        <x:f>F11</x:f>
        <x:v>501.3748530854608</x:v>
      </x:c>
      <x:c r="I8" s="27" t="n">
        <x:f>IF(AND(ISNUMBER(G8),ISNUMBER(H8),H8&gt;0),G8/H8-1,"")</x:f>
        <x:v>-0.030030327871144902</x:v>
      </x:c>
      <x:c r="J8" s="27" t="n">
        <x:f>IF(AND(ISNUMBER(G8),F8&gt;0),G8/F8-1,"")</x:f>
        <x:v>0.11331742309935233</x:v>
      </x:c>
      <x:c r="K8" s="19" t="str">
        <x:v>Balanced/EXP001/results/seed6100_Fixed_rank_10.json</x:v>
      </x:c>
    </x:row>
    <x:row r="9" ht="15" hidden="0" customHeight="1">
      <x:c r="A9" s="3" t="str">
        <x:v>EXP001</x:v>
      </x:c>
      <x:c r="B9" s="3" t="str">
        <x:v>Balanced</x:v>
      </x:c>
      <x:c r="C9" s="18" t="n">
        <x:v>6100</x:v>
      </x:c>
      <x:c r="D9" s="3" t="str">
        <x:v>Fixed rank 25</x:v>
      </x:c>
      <x:c r="E9" s="18" t="n">
        <x:v>800</x:v>
      </x:c>
      <x:c r="F9" s="21" t="n">
        <x:v>476.60157280932754</x:v>
      </x:c>
      <x:c r="G9" s="21" t="n">
        <x:f>F6</x:f>
        <x:v>486.3184018609573</x:v>
      </x:c>
      <x:c r="H9" s="21" t="n">
        <x:f>F11</x:f>
        <x:v>501.3748530854608</x:v>
      </x:c>
      <x:c r="I9" s="27" t="n">
        <x:f>IF(AND(ISNUMBER(G9),ISNUMBER(H9),H9&gt;0),G9/H9-1,"")</x:f>
        <x:v>-0.030030327871144902</x:v>
      </x:c>
      <x:c r="J9" s="27" t="n">
        <x:f>IF(AND(ISNUMBER(G9),F9&gt;0),G9/F9-1,"")</x:f>
        <x:v>0.02038774021318046</x:v>
      </x:c>
      <x:c r="K9" s="19" t="str">
        <x:v>Balanced/EXP001/results/seed6100_Fixed_rank_25.json</x:v>
      </x:c>
    </x:row>
    <x:row r="10" ht="15" hidden="0" customHeight="1">
      <x:c r="A10" s="3" t="str">
        <x:v>EXP001</x:v>
      </x:c>
      <x:c r="B10" s="3" t="str">
        <x:v>Balanced</x:v>
      </x:c>
      <x:c r="C10" s="18" t="n">
        <x:v>6100</x:v>
      </x:c>
      <x:c r="D10" s="3" t="str">
        <x:v>Relative cutoff 1e-6</x:v>
      </x:c>
      <x:c r="E10" s="18" t="n">
        <x:v>800</x:v>
      </x:c>
      <x:c r="F10" s="21" t="n">
        <x:v>500.0398284902863</x:v>
      </x:c>
      <x:c r="G10" s="21" t="n">
        <x:f>F6</x:f>
        <x:v>486.3184018609573</x:v>
      </x:c>
      <x:c r="H10" s="21" t="n">
        <x:f>F11</x:f>
        <x:v>501.3748530854608</x:v>
      </x:c>
      <x:c r="I10" s="27" t="n">
        <x:f>IF(AND(ISNUMBER(G10),ISNUMBER(H10),H10&gt;0),G10/H10-1,"")</x:f>
        <x:v>-0.030030327871144902</x:v>
      </x:c>
      <x:c r="J10" s="27" t="n">
        <x:f>IF(AND(ISNUMBER(G10),F10&gt;0),G10/F10-1,"")</x:f>
        <x:v>-0.027440667417946596</x:v>
      </x:c>
      <x:c r="K10" s="19" t="str">
        <x:v>Balanced/EXP001/results/seed6100_Relative_cutoff_1e-6.json</x:v>
      </x:c>
    </x:row>
    <x:row r="11" ht="15" hidden="0" customHeight="1">
      <x:c r="A11" s="3" t="str">
        <x:v>EXP001</x:v>
      </x:c>
      <x:c r="B11" s="3" t="str">
        <x:v>Balanced</x:v>
      </x:c>
      <x:c r="C11" s="18" t="n">
        <x:v>6100</x:v>
      </x:c>
      <x:c r="D11" s="3" t="str">
        <x:v>Full</x:v>
      </x:c>
      <x:c r="E11" s="18" t="n">
        <x:v>800</x:v>
      </x:c>
      <x:c r="F11" s="21" t="n">
        <x:v>501.3748530854608</x:v>
      </x:c>
      <x:c r="G11" s="21" t="n">
        <x:f>F6</x:f>
        <x:v>486.3184018609573</x:v>
      </x:c>
      <x:c r="H11" s="21" t="n">
        <x:f>F11</x:f>
        <x:v>501.3748530854608</x:v>
      </x:c>
      <x:c r="I11" s="27" t="n">
        <x:f>IF(AND(ISNUMBER(G11),ISNUMBER(H11),H11&gt;0),G11/H11-1,"")</x:f>
        <x:v>-0.030030327871144902</x:v>
      </x:c>
      <x:c r="J11" s="27" t="n">
        <x:f>IF(AND(ISNUMBER(G11),F11&gt;0),G11/F11-1,"")</x:f>
        <x:v>-0.030030327871144902</x:v>
      </x:c>
      <x:c r="K11" s="19" t="str">
        <x:v>Balanced/EXP001/results/seed6100_Full.json</x:v>
      </x:c>
    </x:row>
    <x:row r="12" ht="15" hidden="0" customHeight="1">
      <x:c r="A12" s="3" t="str">
        <x:v>EXP001</x:v>
      </x:c>
      <x:c r="B12" s="3" t="str">
        <x:v>Balanced</x:v>
      </x:c>
      <x:c r="C12" s="18" t="n">
        <x:v>6100</x:v>
      </x:c>
      <x:c r="D12" s="3" t="str">
        <x:v>Relative cutoff 1e-2</x:v>
      </x:c>
      <x:c r="E12" s="18" t="n">
        <x:v>800</x:v>
      </x:c>
      <x:c r="F12" s="21" t="n">
        <x:v>651.5171281207204</x:v>
      </x:c>
      <x:c r="G12" s="21" t="n">
        <x:f>F6</x:f>
        <x:v>486.3184018609573</x:v>
      </x:c>
      <x:c r="H12" s="21" t="n">
        <x:f>F11</x:f>
        <x:v>501.3748530854608</x:v>
      </x:c>
      <x:c r="I12" s="27" t="n">
        <x:f>IF(AND(ISNUMBER(G12),ISNUMBER(H12),H12&gt;0),G12/H12-1,"")</x:f>
        <x:v>-0.030030327871144902</x:v>
      </x:c>
      <x:c r="J12" s="27" t="n">
        <x:f>IF(AND(ISNUMBER(G12),F12&gt;0),G12/F12-1,"")</x:f>
        <x:v>-0.25356006638885054</x:v>
      </x:c>
      <x:c r="K12" s="19" t="str">
        <x:v>Balanced/EXP001/results/seed6100_Relative_cutoff_1e-2.json</x:v>
      </x:c>
    </x:row>
    <x:row r="13" ht="15" hidden="0" customHeight="1">
      <x:c r="A13" s="3" t="str">
        <x:v>EXP001</x:v>
      </x:c>
      <x:c r="B13" s="3" t="str">
        <x:v>Balanced</x:v>
      </x:c>
      <x:c r="C13" s="18" t="n">
        <x:v>6100</x:v>
      </x:c>
      <x:c r="D13" s="3" t="str">
        <x:v>Relative cutoff 1e-4</x:v>
      </x:c>
      <x:c r="E13" s="18" t="n">
        <x:v>800</x:v>
      </x:c>
      <x:c r="F13" s="21" t="n">
        <x:v>495.66659023215044</x:v>
      </x:c>
      <x:c r="G13" s="21" t="n">
        <x:f>F6</x:f>
        <x:v>486.3184018609573</x:v>
      </x:c>
      <x:c r="H13" s="21" t="n">
        <x:f>F11</x:f>
        <x:v>501.3748530854608</x:v>
      </x:c>
      <x:c r="I13" s="27" t="n">
        <x:f>IF(AND(ISNUMBER(G13),ISNUMBER(H13),H13&gt;0),G13/H13-1,"")</x:f>
        <x:v>-0.030030327871144902</x:v>
      </x:c>
      <x:c r="J13" s="27" t="n">
        <x:f>IF(AND(ISNUMBER(G13),F13&gt;0),G13/F13-1,"")</x:f>
        <x:v>-0.018859831498457158</x:v>
      </x:c>
      <x:c r="K13" s="19" t="str">
        <x:v>Balanced/EXP001/results/seed6100_Relative_cutoff_1e-4.json</x:v>
      </x:c>
    </x:row>
    <x:row r="14" ht="15" hidden="0" customHeight="1">
      <x:c r="A14" s="3" t="str">
        <x:v>EXP001</x:v>
      </x:c>
      <x:c r="B14" s="3" t="str">
        <x:v>Balanced</x:v>
      </x:c>
      <x:c r="C14" s="18" t="n">
        <x:v>6101</x:v>
      </x:c>
      <x:c r="D14" s="3" t="str">
        <x:v>BBP</x:v>
      </x:c>
      <x:c r="E14" s="18" t="n">
        <x:v>800</x:v>
      </x:c>
      <x:c r="F14" s="21" t="n">
        <x:v>714.8221127717832</x:v>
      </x:c>
      <x:c r="G14" s="21" t="n">
        <x:f>F14</x:f>
        <x:v>714.8221127717832</x:v>
      </x:c>
      <x:c r="H14" s="21" t="n">
        <x:f>F19</x:f>
        <x:v>732.1179968710469</x:v>
      </x:c>
      <x:c r="I14" s="27" t="n">
        <x:f>IF(AND(ISNUMBER(G14),ISNUMBER(H14),H14&gt;0),G14/H14-1,"")</x:f>
        <x:v>-0.023624448754413274</x:v>
      </x:c>
      <x:c r="J14" s="27" t="n">
        <x:f>IF(AND(ISNUMBER(G14),F14&gt;0),G14/F14-1,"")</x:f>
        <x:v>0</x:v>
      </x:c>
      <x:c r="K14" s="19" t="str">
        <x:v>Balanced/EXP001/results/seed6101_BBP.json</x:v>
      </x:c>
    </x:row>
    <x:row r="15" ht="15" hidden="0" customHeight="1">
      <x:c r="A15" s="3" t="str">
        <x:v>EXP001</x:v>
      </x:c>
      <x:c r="B15" s="3" t="str">
        <x:v>Balanced</x:v>
      </x:c>
      <x:c r="C15" s="18" t="n">
        <x:v>6101</x:v>
      </x:c>
      <x:c r="D15" s="3" t="str">
        <x:v>Relative cutoff 1e-5</x:v>
      </x:c>
      <x:c r="E15" s="18" t="n">
        <x:v>800</x:v>
      </x:c>
      <x:c r="F15" s="21" t="n">
        <x:v>740.5640052909847</x:v>
      </x:c>
      <x:c r="G15" s="21" t="n">
        <x:f>F14</x:f>
        <x:v>714.8221127717832</x:v>
      </x:c>
      <x:c r="H15" s="21" t="n">
        <x:f>F19</x:f>
        <x:v>732.1179968710469</x:v>
      </x:c>
      <x:c r="I15" s="27" t="n">
        <x:f>IF(AND(ISNUMBER(G15),ISNUMBER(H15),H15&gt;0),G15/H15-1,"")</x:f>
        <x:v>-0.023624448754413274</x:v>
      </x:c>
      <x:c r="J15" s="27" t="n">
        <x:f>IF(AND(ISNUMBER(G15),F15&gt;0),G15/F15-1,"")</x:f>
        <x:v>-0.03475984835245527</x:v>
      </x:c>
      <x:c r="K15" s="19" t="str">
        <x:v>Balanced/EXP001/results/seed6101_Relative_cutoff_1e-5.json</x:v>
      </x:c>
    </x:row>
    <x:row r="16" ht="15" hidden="0" customHeight="1">
      <x:c r="A16" s="3" t="str">
        <x:v>EXP001</x:v>
      </x:c>
      <x:c r="B16" s="3" t="str">
        <x:v>Balanced</x:v>
      </x:c>
      <x:c r="C16" s="18" t="n">
        <x:v>6101</x:v>
      </x:c>
      <x:c r="D16" s="3" t="str">
        <x:v>Fixed rank 10</x:v>
      </x:c>
      <x:c r="E16" s="18" t="n">
        <x:v>800</x:v>
      </x:c>
      <x:c r="F16" s="21" t="n">
        <x:v>666.4361318212342</x:v>
      </x:c>
      <x:c r="G16" s="21" t="n">
        <x:f>F14</x:f>
        <x:v>714.8221127717832</x:v>
      </x:c>
      <x:c r="H16" s="21" t="n">
        <x:f>F19</x:f>
        <x:v>732.1179968710469</x:v>
      </x:c>
      <x:c r="I16" s="27" t="n">
        <x:f>IF(AND(ISNUMBER(G16),ISNUMBER(H16),H16&gt;0),G16/H16-1,"")</x:f>
        <x:v>-0.023624448754413274</x:v>
      </x:c>
      <x:c r="J16" s="27" t="n">
        <x:f>IF(AND(ISNUMBER(G16),F16&gt;0),G16/F16-1,"")</x:f>
        <x:v>0.07260407808070068</x:v>
      </x:c>
      <x:c r="K16" s="19" t="str">
        <x:v>Balanced/EXP001/results/seed6101_Fixed_rank_10.json</x:v>
      </x:c>
    </x:row>
    <x:row r="17" ht="15" hidden="0" customHeight="1">
      <x:c r="A17" s="3" t="str">
        <x:v>EXP001</x:v>
      </x:c>
      <x:c r="B17" s="3" t="str">
        <x:v>Balanced</x:v>
      </x:c>
      <x:c r="C17" s="18" t="n">
        <x:v>6101</x:v>
      </x:c>
      <x:c r="D17" s="3" t="str">
        <x:v>Fixed rank 25</x:v>
      </x:c>
      <x:c r="E17" s="18" t="n">
        <x:v>800</x:v>
      </x:c>
      <x:c r="F17" s="21" t="n">
        <x:v>719.9711952169331</x:v>
      </x:c>
      <x:c r="G17" s="21" t="n">
        <x:f>F14</x:f>
        <x:v>714.8221127717832</x:v>
      </x:c>
      <x:c r="H17" s="21" t="n">
        <x:f>F19</x:f>
        <x:v>732.1179968710469</x:v>
      </x:c>
      <x:c r="I17" s="27" t="n">
        <x:f>IF(AND(ISNUMBER(G17),ISNUMBER(H17),H17&gt;0),G17/H17-1,"")</x:f>
        <x:v>-0.023624448754413274</x:v>
      </x:c>
      <x:c r="J17" s="27" t="n">
        <x:f>IF(AND(ISNUMBER(G17),F17&gt;0),G17/F17-1,"")</x:f>
        <x:v>-0.007151789515132623</x:v>
      </x:c>
      <x:c r="K17" s="19" t="str">
        <x:v>Balanced/EXP001/results/seed6101_Fixed_rank_25.json</x:v>
      </x:c>
    </x:row>
    <x:row r="18" ht="15" hidden="0" customHeight="1">
      <x:c r="A18" s="3" t="str">
        <x:v>EXP001</x:v>
      </x:c>
      <x:c r="B18" s="3" t="str">
        <x:v>Balanced</x:v>
      </x:c>
      <x:c r="C18" s="18" t="n">
        <x:v>6101</x:v>
      </x:c>
      <x:c r="D18" s="3" t="str">
        <x:v>Relative cutoff 1e-6</x:v>
      </x:c>
      <x:c r="E18" s="18" t="n">
        <x:v>800</x:v>
      </x:c>
      <x:c r="F18" s="21" t="n">
        <x:v>598.4468863754582</x:v>
      </x:c>
      <x:c r="G18" s="21" t="n">
        <x:f>F14</x:f>
        <x:v>714.8221127717832</x:v>
      </x:c>
      <x:c r="H18" s="21" t="n">
        <x:f>F19</x:f>
        <x:v>732.1179968710469</x:v>
      </x:c>
      <x:c r="I18" s="27" t="n">
        <x:f>IF(AND(ISNUMBER(G18),ISNUMBER(H18),H18&gt;0),G18/H18-1,"")</x:f>
        <x:v>-0.023624448754413274</x:v>
      </x:c>
      <x:c r="J18" s="27" t="n">
        <x:f>IF(AND(ISNUMBER(G18),F18&gt;0),G18/F18-1,"")</x:f>
        <x:v>0.194462080170825</x:v>
      </x:c>
      <x:c r="K18" s="19" t="str">
        <x:v>Balanced/EXP001/results/seed6101_Relative_cutoff_1e-6.json</x:v>
      </x:c>
    </x:row>
    <x:row r="19" ht="15" hidden="0" customHeight="1">
      <x:c r="A19" s="3" t="str">
        <x:v>EXP001</x:v>
      </x:c>
      <x:c r="B19" s="3" t="str">
        <x:v>Balanced</x:v>
      </x:c>
      <x:c r="C19" s="18" t="n">
        <x:v>6101</x:v>
      </x:c>
      <x:c r="D19" s="3" t="str">
        <x:v>Full</x:v>
      </x:c>
      <x:c r="E19" s="18" t="n">
        <x:v>800</x:v>
      </x:c>
      <x:c r="F19" s="21" t="n">
        <x:v>732.1179968710469</x:v>
      </x:c>
      <x:c r="G19" s="21" t="n">
        <x:f>F14</x:f>
        <x:v>714.8221127717832</x:v>
      </x:c>
      <x:c r="H19" s="21" t="n">
        <x:f>F19</x:f>
        <x:v>732.1179968710469</x:v>
      </x:c>
      <x:c r="I19" s="27" t="n">
        <x:f>IF(AND(ISNUMBER(G19),ISNUMBER(H19),H19&gt;0),G19/H19-1,"")</x:f>
        <x:v>-0.023624448754413274</x:v>
      </x:c>
      <x:c r="J19" s="27" t="n">
        <x:f>IF(AND(ISNUMBER(G19),F19&gt;0),G19/F19-1,"")</x:f>
        <x:v>-0.023624448754413274</x:v>
      </x:c>
      <x:c r="K19" s="19" t="str">
        <x:v>Balanced/EXP001/results/seed6101_Full.json</x:v>
      </x:c>
    </x:row>
    <x:row r="20" ht="15" hidden="0" customHeight="1">
      <x:c r="A20" s="3" t="str">
        <x:v>EXP001</x:v>
      </x:c>
      <x:c r="B20" s="3" t="str">
        <x:v>Balanced</x:v>
      </x:c>
      <x:c r="C20" s="18" t="n">
        <x:v>6101</x:v>
      </x:c>
      <x:c r="D20" s="3" t="str">
        <x:v>Relative cutoff 1e-2</x:v>
      </x:c>
      <x:c r="E20" s="18" t="n">
        <x:v>800</x:v>
      </x:c>
      <x:c r="F20" s="21" t="n">
        <x:v>787.9927620590646</x:v>
      </x:c>
      <x:c r="G20" s="21" t="n">
        <x:f>F14</x:f>
        <x:v>714.8221127717832</x:v>
      </x:c>
      <x:c r="H20" s="21" t="n">
        <x:f>F19</x:f>
        <x:v>732.1179968710469</x:v>
      </x:c>
      <x:c r="I20" s="27" t="n">
        <x:f>IF(AND(ISNUMBER(G20),ISNUMBER(H20),H20&gt;0),G20/H20-1,"")</x:f>
        <x:v>-0.023624448754413274</x:v>
      </x:c>
      <x:c r="J20" s="27" t="n">
        <x:f>IF(AND(ISNUMBER(G20),F20&gt;0),G20/F20-1,"")</x:f>
        <x:v>-0.092857006828442</x:v>
      </x:c>
      <x:c r="K20" s="19" t="str">
        <x:v>Balanced/EXP001/results/seed6101_Relative_cutoff_1e-2.json</x:v>
      </x:c>
    </x:row>
    <x:row r="21" ht="15" hidden="0" customHeight="1">
      <x:c r="A21" s="3" t="str">
        <x:v>EXP001</x:v>
      </x:c>
      <x:c r="B21" s="3" t="str">
        <x:v>Balanced</x:v>
      </x:c>
      <x:c r="C21" s="18" t="n">
        <x:v>6101</x:v>
      </x:c>
      <x:c r="D21" s="3" t="str">
        <x:v>Relative cutoff 1e-4</x:v>
      </x:c>
      <x:c r="E21" s="18" t="n">
        <x:v>800</x:v>
      </x:c>
      <x:c r="F21" s="21" t="n">
        <x:v>651.6480732888656</x:v>
      </x:c>
      <x:c r="G21" s="21" t="n">
        <x:f>F14</x:f>
        <x:v>714.8221127717832</x:v>
      </x:c>
      <x:c r="H21" s="21" t="n">
        <x:f>F19</x:f>
        <x:v>732.1179968710469</x:v>
      </x:c>
      <x:c r="I21" s="27" t="n">
        <x:f>IF(AND(ISNUMBER(G21),ISNUMBER(H21),H21&gt;0),G21/H21-1,"")</x:f>
        <x:v>-0.023624448754413274</x:v>
      </x:c>
      <x:c r="J21" s="27" t="n">
        <x:f>IF(AND(ISNUMBER(G21),F21&gt;0),G21/F21-1,"")</x:f>
        <x:v>0.09694502611521338</x:v>
      </x:c>
      <x:c r="K21" s="19" t="str">
        <x:v>Balanced/EXP001/results/seed6101_Relative_cutoff_1e-4.json</x:v>
      </x:c>
    </x:row>
    <x:row r="22" ht="15" hidden="0" customHeight="1">
      <x:c r="A22" s="3" t="str">
        <x:v>EXP001</x:v>
      </x:c>
      <x:c r="B22" s="3" t="str">
        <x:v>Balanced</x:v>
      </x:c>
      <x:c r="C22" s="18" t="n">
        <x:v>6102</x:v>
      </x:c>
      <x:c r="D22" s="3" t="str">
        <x:v>BBP</x:v>
      </x:c>
      <x:c r="E22" s="18" t="n">
        <x:v>800</x:v>
      </x:c>
      <x:c r="F22" s="21" t="n">
        <x:v>366.9224972136565</x:v>
      </x:c>
      <x:c r="G22" s="21" t="n">
        <x:f>F22</x:f>
        <x:v>366.9224972136565</x:v>
      </x:c>
      <x:c r="H22" s="21" t="n">
        <x:f>F27</x:f>
        <x:v>381.32115125347576</x:v>
      </x:c>
      <x:c r="I22" s="27" t="n">
        <x:f>IF(AND(ISNUMBER(G22),ISNUMBER(H22),H22&gt;0),G22/H22-1,"")</x:f>
        <x:v>-0.03775991442511939</x:v>
      </x:c>
      <x:c r="J22" s="27" t="n">
        <x:f>IF(AND(ISNUMBER(G22),F22&gt;0),G22/F22-1,"")</x:f>
        <x:v>0</x:v>
      </x:c>
      <x:c r="K22" s="19" t="str">
        <x:v>Balanced/EXP001/results/seed6102_BBP.json</x:v>
      </x:c>
    </x:row>
    <x:row r="23" ht="15" hidden="0" customHeight="1">
      <x:c r="A23" s="3" t="str">
        <x:v>EXP001</x:v>
      </x:c>
      <x:c r="B23" s="3" t="str">
        <x:v>Balanced</x:v>
      </x:c>
      <x:c r="C23" s="18" t="n">
        <x:v>6102</x:v>
      </x:c>
      <x:c r="D23" s="3" t="str">
        <x:v>Relative cutoff 1e-5</x:v>
      </x:c>
      <x:c r="E23" s="18" t="n">
        <x:v>800</x:v>
      </x:c>
      <x:c r="F23" s="21" t="n">
        <x:v>512.7407610817711</x:v>
      </x:c>
      <x:c r="G23" s="21" t="n">
        <x:f>F22</x:f>
        <x:v>366.9224972136565</x:v>
      </x:c>
      <x:c r="H23" s="21" t="n">
        <x:f>F27</x:f>
        <x:v>381.32115125347576</x:v>
      </x:c>
      <x:c r="I23" s="27" t="n">
        <x:f>IF(AND(ISNUMBER(G23),ISNUMBER(H23),H23&gt;0),G23/H23-1,"")</x:f>
        <x:v>-0.03775991442511939</x:v>
      </x:c>
      <x:c r="J23" s="27" t="n">
        <x:f>IF(AND(ISNUMBER(G23),F23&gt;0),G23/F23-1,"")</x:f>
        <x:v>-0.28438984168231496</x:v>
      </x:c>
      <x:c r="K23" s="19" t="str">
        <x:v>Balanced/EXP001/results/seed6102_Relative_cutoff_1e-5.json</x:v>
      </x:c>
    </x:row>
    <x:row r="24" ht="15" hidden="0" customHeight="1">
      <x:c r="A24" s="3" t="str">
        <x:v>EXP001</x:v>
      </x:c>
      <x:c r="B24" s="3" t="str">
        <x:v>Balanced</x:v>
      </x:c>
      <x:c r="C24" s="18" t="n">
        <x:v>6102</x:v>
      </x:c>
      <x:c r="D24" s="3" t="str">
        <x:v>Fixed rank 10</x:v>
      </x:c>
      <x:c r="E24" s="18" t="n">
        <x:v>800</x:v>
      </x:c>
      <x:c r="F24" s="21" t="n">
        <x:v>463.20740755270833</x:v>
      </x:c>
      <x:c r="G24" s="21" t="n">
        <x:f>F22</x:f>
        <x:v>366.9224972136565</x:v>
      </x:c>
      <x:c r="H24" s="21" t="n">
        <x:f>F27</x:f>
        <x:v>381.32115125347576</x:v>
      </x:c>
      <x:c r="I24" s="27" t="n">
        <x:f>IF(AND(ISNUMBER(G24),ISNUMBER(H24),H24&gt;0),G24/H24-1,"")</x:f>
        <x:v>-0.03775991442511939</x:v>
      </x:c>
      <x:c r="J24" s="27" t="n">
        <x:f>IF(AND(ISNUMBER(G24),F24&gt;0),G24/F24-1,"")</x:f>
        <x:v>-0.2078656532022225</x:v>
      </x:c>
      <x:c r="K24" s="19" t="str">
        <x:v>Balanced/EXP001/results/seed6102_Fixed_rank_10.json</x:v>
      </x:c>
    </x:row>
    <x:row r="25" ht="15" hidden="0" customHeight="1">
      <x:c r="A25" s="3" t="str">
        <x:v>EXP001</x:v>
      </x:c>
      <x:c r="B25" s="3" t="str">
        <x:v>Balanced</x:v>
      </x:c>
      <x:c r="C25" s="18" t="n">
        <x:v>6102</x:v>
      </x:c>
      <x:c r="D25" s="3" t="str">
        <x:v>Fixed rank 25</x:v>
      </x:c>
      <x:c r="E25" s="18" t="n">
        <x:v>800</x:v>
      </x:c>
      <x:c r="F25" s="21" t="n">
        <x:v>444.17134732726913</x:v>
      </x:c>
      <x:c r="G25" s="21" t="n">
        <x:f>F22</x:f>
        <x:v>366.9224972136565</x:v>
      </x:c>
      <x:c r="H25" s="21" t="n">
        <x:f>F27</x:f>
        <x:v>381.32115125347576</x:v>
      </x:c>
      <x:c r="I25" s="27" t="n">
        <x:f>IF(AND(ISNUMBER(G25),ISNUMBER(H25),H25&gt;0),G25/H25-1,"")</x:f>
        <x:v>-0.03775991442511939</x:v>
      </x:c>
      <x:c r="J25" s="27" t="n">
        <x:f>IF(AND(ISNUMBER(G25),F25&gt;0),G25/F25-1,"")</x:f>
        <x:v>-0.1739167791404046</x:v>
      </x:c>
      <x:c r="K25" s="19" t="str">
        <x:v>Balanced/EXP001/results/seed6102_Fixed_rank_25.json</x:v>
      </x:c>
    </x:row>
    <x:row r="26" ht="15" hidden="0" customHeight="1">
      <x:c r="A26" s="3" t="str">
        <x:v>EXP001</x:v>
      </x:c>
      <x:c r="B26" s="3" t="str">
        <x:v>Balanced</x:v>
      </x:c>
      <x:c r="C26" s="18" t="n">
        <x:v>6102</x:v>
      </x:c>
      <x:c r="D26" s="3" t="str">
        <x:v>Relative cutoff 1e-6</x:v>
      </x:c>
      <x:c r="E26" s="18" t="n">
        <x:v>800</x:v>
      </x:c>
      <x:c r="F26" s="21" t="n">
        <x:v>436.8675638592868</x:v>
      </x:c>
      <x:c r="G26" s="21" t="n">
        <x:f>F22</x:f>
        <x:v>366.9224972136565</x:v>
      </x:c>
      <x:c r="H26" s="21" t="n">
        <x:f>F27</x:f>
        <x:v>381.32115125347576</x:v>
      </x:c>
      <x:c r="I26" s="27" t="n">
        <x:f>IF(AND(ISNUMBER(G26),ISNUMBER(H26),H26&gt;0),G26/H26-1,"")</x:f>
        <x:v>-0.03775991442511939</x:v>
      </x:c>
      <x:c r="J26" s="27" t="n">
        <x:f>IF(AND(ISNUMBER(G26),F26&gt;0),G26/F26-1,"")</x:f>
        <x:v>-0.1601058820383362</x:v>
      </x:c>
      <x:c r="K26" s="19" t="str">
        <x:v>Balanced/EXP001/results/seed6102_Relative_cutoff_1e-6.json</x:v>
      </x:c>
    </x:row>
    <x:row r="27" ht="15" hidden="0" customHeight="1">
      <x:c r="A27" s="3" t="str">
        <x:v>EXP001</x:v>
      </x:c>
      <x:c r="B27" s="3" t="str">
        <x:v>Balanced</x:v>
      </x:c>
      <x:c r="C27" s="18" t="n">
        <x:v>6102</x:v>
      </x:c>
      <x:c r="D27" s="3" t="str">
        <x:v>Full</x:v>
      </x:c>
      <x:c r="E27" s="18" t="n">
        <x:v>800</x:v>
      </x:c>
      <x:c r="F27" s="21" t="n">
        <x:v>381.32115125347576</x:v>
      </x:c>
      <x:c r="G27" s="21" t="n">
        <x:f>F22</x:f>
        <x:v>366.9224972136565</x:v>
      </x:c>
      <x:c r="H27" s="21" t="n">
        <x:f>F27</x:f>
        <x:v>381.32115125347576</x:v>
      </x:c>
      <x:c r="I27" s="27" t="n">
        <x:f>IF(AND(ISNUMBER(G27),ISNUMBER(H27),H27&gt;0),G27/H27-1,"")</x:f>
        <x:v>-0.03775991442511939</x:v>
      </x:c>
      <x:c r="J27" s="27" t="n">
        <x:f>IF(AND(ISNUMBER(G27),F27&gt;0),G27/F27-1,"")</x:f>
        <x:v>-0.03775991442511939</x:v>
      </x:c>
      <x:c r="K27" s="19" t="str">
        <x:v>Balanced/EXP001/results/seed6102_Full.json</x:v>
      </x:c>
    </x:row>
    <x:row r="28" ht="15" hidden="0" customHeight="1">
      <x:c r="A28" s="3" t="str">
        <x:v>EXP001</x:v>
      </x:c>
      <x:c r="B28" s="3" t="str">
        <x:v>Balanced</x:v>
      </x:c>
      <x:c r="C28" s="18" t="n">
        <x:v>6102</x:v>
      </x:c>
      <x:c r="D28" s="3" t="str">
        <x:v>Relative cutoff 1e-2</x:v>
      </x:c>
      <x:c r="E28" s="18" t="n">
        <x:v>800</x:v>
      </x:c>
      <x:c r="F28" s="21" t="n">
        <x:v>442.5816444019493</x:v>
      </x:c>
      <x:c r="G28" s="21" t="n">
        <x:f>F22</x:f>
        <x:v>366.9224972136565</x:v>
      </x:c>
      <x:c r="H28" s="21" t="n">
        <x:f>F27</x:f>
        <x:v>381.32115125347576</x:v>
      </x:c>
      <x:c r="I28" s="27" t="n">
        <x:f>IF(AND(ISNUMBER(G28),ISNUMBER(H28),H28&gt;0),G28/H28-1,"")</x:f>
        <x:v>-0.03775991442511939</x:v>
      </x:c>
      <x:c r="J28" s="27" t="n">
        <x:f>IF(AND(ISNUMBER(G28),F28&gt;0),G28/F28-1,"")</x:f>
        <x:v>-0.17094958217376888</x:v>
      </x:c>
      <x:c r="K28" s="19" t="str">
        <x:v>Balanced/EXP001/results/seed6102_Relative_cutoff_1e-2.json</x:v>
      </x:c>
    </x:row>
    <x:row r="29" ht="15" hidden="0" customHeight="1">
      <x:c r="A29" s="3" t="str">
        <x:v>EXP001</x:v>
      </x:c>
      <x:c r="B29" s="3" t="str">
        <x:v>Balanced</x:v>
      </x:c>
      <x:c r="C29" s="18" t="n">
        <x:v>6102</x:v>
      </x:c>
      <x:c r="D29" s="3" t="str">
        <x:v>Relative cutoff 1e-4</x:v>
      </x:c>
      <x:c r="E29" s="18" t="n">
        <x:v>800</x:v>
      </x:c>
      <x:c r="F29" s="21" t="n">
        <x:v>452.26910110257586</x:v>
      </x:c>
      <x:c r="G29" s="21" t="n">
        <x:f>F22</x:f>
        <x:v>366.9224972136565</x:v>
      </x:c>
      <x:c r="H29" s="21" t="n">
        <x:f>F27</x:f>
        <x:v>381.32115125347576</x:v>
      </x:c>
      <x:c r="I29" s="27" t="n">
        <x:f>IF(AND(ISNUMBER(G29),ISNUMBER(H29),H29&gt;0),G29/H29-1,"")</x:f>
        <x:v>-0.03775991442511939</x:v>
      </x:c>
      <x:c r="J29" s="27" t="n">
        <x:f>IF(AND(ISNUMBER(G29),F29&gt;0),G29/F29-1,"")</x:f>
        <x:v>-0.18870757184352172</x:v>
      </x:c>
      <x:c r="K29" s="19" t="str">
        <x:v>Balanced/EXP001/results/seed6102_Relative_cutoff_1e-4.json</x:v>
      </x:c>
    </x:row>
    <x:row r="30" ht="15" hidden="0" customHeight="1">
      <x:c r="A30" s="3" t="str">
        <x:v>EXP001</x:v>
      </x:c>
      <x:c r="B30" s="3" t="str">
        <x:v>Balanced</x:v>
      </x:c>
      <x:c r="C30" s="18" t="n">
        <x:v>6103</x:v>
      </x:c>
      <x:c r="D30" s="3" t="str">
        <x:v>BBP</x:v>
      </x:c>
      <x:c r="E30" s="18" t="n">
        <x:v>800</x:v>
      </x:c>
      <x:c r="F30" s="21" t="n">
        <x:v>677.5640822527363</x:v>
      </x:c>
      <x:c r="G30" s="21" t="n">
        <x:f>F30</x:f>
        <x:v>677.5640822527363</x:v>
      </x:c>
      <x:c r="H30" s="21" t="n">
        <x:f>F35</x:f>
        <x:v>622.3737748013701</x:v>
      </x:c>
      <x:c r="I30" s="27" t="n">
        <x:f>IF(AND(ISNUMBER(G30),ISNUMBER(H30),H30&gt;0),G30/H30-1,"")</x:f>
        <x:v>0.08867710961789821</x:v>
      </x:c>
      <x:c r="J30" s="27" t="n">
        <x:f>IF(AND(ISNUMBER(G30),F30&gt;0),G30/F30-1,"")</x:f>
        <x:v>0</x:v>
      </x:c>
      <x:c r="K30" s="19" t="str">
        <x:v>Balanced/EXP001/results/seed6103_BBP.json</x:v>
      </x:c>
    </x:row>
    <x:row r="31" ht="15" hidden="0" customHeight="1">
      <x:c r="A31" s="3" t="str">
        <x:v>EXP001</x:v>
      </x:c>
      <x:c r="B31" s="3" t="str">
        <x:v>Balanced</x:v>
      </x:c>
      <x:c r="C31" s="18" t="n">
        <x:v>6103</x:v>
      </x:c>
      <x:c r="D31" s="3" t="str">
        <x:v>Relative cutoff 1e-5</x:v>
      </x:c>
      <x:c r="E31" s="18" t="n">
        <x:v>800</x:v>
      </x:c>
      <x:c r="F31" s="21" t="n">
        <x:v>663.3815274628543</x:v>
      </x:c>
      <x:c r="G31" s="21" t="n">
        <x:f>F30</x:f>
        <x:v>677.5640822527363</x:v>
      </x:c>
      <x:c r="H31" s="21" t="n">
        <x:f>F35</x:f>
        <x:v>622.3737748013701</x:v>
      </x:c>
      <x:c r="I31" s="27" t="n">
        <x:f>IF(AND(ISNUMBER(G31),ISNUMBER(H31),H31&gt;0),G31/H31-1,"")</x:f>
        <x:v>0.08867710961789821</x:v>
      </x:c>
      <x:c r="J31" s="27" t="n">
        <x:f>IF(AND(ISNUMBER(G31),F31&gt;0),G31/F31-1,"")</x:f>
        <x:v>0.021379182571037436</x:v>
      </x:c>
      <x:c r="K31" s="19" t="str">
        <x:v>Balanced/EXP001/results/seed6103_Relative_cutoff_1e-5.json</x:v>
      </x:c>
    </x:row>
    <x:row r="32" ht="15" hidden="0" customHeight="1">
      <x:c r="A32" s="3" t="str">
        <x:v>EXP001</x:v>
      </x:c>
      <x:c r="B32" s="3" t="str">
        <x:v>Balanced</x:v>
      </x:c>
      <x:c r="C32" s="18" t="n">
        <x:v>6103</x:v>
      </x:c>
      <x:c r="D32" s="3" t="str">
        <x:v>Fixed rank 10</x:v>
      </x:c>
      <x:c r="E32" s="18" t="n">
        <x:v>800</x:v>
      </x:c>
      <x:c r="F32" s="21" t="n">
        <x:v>683.9031662797645</x:v>
      </x:c>
      <x:c r="G32" s="21" t="n">
        <x:f>F30</x:f>
        <x:v>677.5640822527363</x:v>
      </x:c>
      <x:c r="H32" s="21" t="n">
        <x:f>F35</x:f>
        <x:v>622.3737748013701</x:v>
      </x:c>
      <x:c r="I32" s="27" t="n">
        <x:f>IF(AND(ISNUMBER(G32),ISNUMBER(H32),H32&gt;0),G32/H32-1,"")</x:f>
        <x:v>0.08867710961789821</x:v>
      </x:c>
      <x:c r="J32" s="27" t="n">
        <x:f>IF(AND(ISNUMBER(G32),F32&gt;0),G32/F32-1,"")</x:f>
        <x:v>-0.009268978913361314</x:v>
      </x:c>
      <x:c r="K32" s="19" t="str">
        <x:v>Balanced/EXP001/results/seed6103_Fixed_rank_10.json</x:v>
      </x:c>
    </x:row>
    <x:row r="33" ht="15" hidden="0" customHeight="1">
      <x:c r="A33" s="3" t="str">
        <x:v>EXP001</x:v>
      </x:c>
      <x:c r="B33" s="3" t="str">
        <x:v>Balanced</x:v>
      </x:c>
      <x:c r="C33" s="18" t="n">
        <x:v>6103</x:v>
      </x:c>
      <x:c r="D33" s="3" t="str">
        <x:v>Fixed rank 25</x:v>
      </x:c>
      <x:c r="E33" s="18" t="n">
        <x:v>800</x:v>
      </x:c>
      <x:c r="F33" s="21" t="n">
        <x:v>704.8219640627572</x:v>
      </x:c>
      <x:c r="G33" s="21" t="n">
        <x:f>F30</x:f>
        <x:v>677.5640822527363</x:v>
      </x:c>
      <x:c r="H33" s="21" t="n">
        <x:f>F35</x:f>
        <x:v>622.3737748013701</x:v>
      </x:c>
      <x:c r="I33" s="27" t="n">
        <x:f>IF(AND(ISNUMBER(G33),ISNUMBER(H33),H33&gt;0),G33/H33-1,"")</x:f>
        <x:v>0.08867710961789821</x:v>
      </x:c>
      <x:c r="J33" s="27" t="n">
        <x:f>IF(AND(ISNUMBER(G33),F33&gt;0),G33/F33-1,"")</x:f>
        <x:v>-0.03867342846823352</x:v>
      </x:c>
      <x:c r="K33" s="19" t="str">
        <x:v>Balanced/EXP001/results/seed6103_Fixed_rank_25.json</x:v>
      </x:c>
    </x:row>
    <x:row r="34" ht="15" hidden="0" customHeight="1">
      <x:c r="A34" s="3" t="str">
        <x:v>EXP001</x:v>
      </x:c>
      <x:c r="B34" s="3" t="str">
        <x:v>Balanced</x:v>
      </x:c>
      <x:c r="C34" s="18" t="n">
        <x:v>6103</x:v>
      </x:c>
      <x:c r="D34" s="3" t="str">
        <x:v>Relative cutoff 1e-6</x:v>
      </x:c>
      <x:c r="E34" s="18" t="n">
        <x:v>800</x:v>
      </x:c>
      <x:c r="F34" s="21" t="n">
        <x:v>714.1722715277654</x:v>
      </x:c>
      <x:c r="G34" s="21" t="n">
        <x:f>F30</x:f>
        <x:v>677.5640822527363</x:v>
      </x:c>
      <x:c r="H34" s="21" t="n">
        <x:f>F35</x:f>
        <x:v>622.3737748013701</x:v>
      </x:c>
      <x:c r="I34" s="27" t="n">
        <x:f>IF(AND(ISNUMBER(G34),ISNUMBER(H34),H34&gt;0),G34/H34-1,"")</x:f>
        <x:v>0.08867710961789821</x:v>
      </x:c>
      <x:c r="J34" s="27" t="n">
        <x:f>IF(AND(ISNUMBER(G34),F34&gt;0),G34/F34-1,"")</x:f>
        <x:v>-0.05125960602855162</x:v>
      </x:c>
      <x:c r="K34" s="19" t="str">
        <x:v>Balanced/EXP001/results/seed6103_Relative_cutoff_1e-6.json</x:v>
      </x:c>
    </x:row>
    <x:row r="35" ht="15" hidden="0" customHeight="1">
      <x:c r="A35" s="3" t="str">
        <x:v>EXP001</x:v>
      </x:c>
      <x:c r="B35" s="3" t="str">
        <x:v>Balanced</x:v>
      </x:c>
      <x:c r="C35" s="18" t="n">
        <x:v>6103</x:v>
      </x:c>
      <x:c r="D35" s="3" t="str">
        <x:v>Full</x:v>
      </x:c>
      <x:c r="E35" s="18" t="n">
        <x:v>800</x:v>
      </x:c>
      <x:c r="F35" s="21" t="n">
        <x:v>622.3737748013701</x:v>
      </x:c>
      <x:c r="G35" s="21" t="n">
        <x:f>F30</x:f>
        <x:v>677.5640822527363</x:v>
      </x:c>
      <x:c r="H35" s="21" t="n">
        <x:f>F35</x:f>
        <x:v>622.3737748013701</x:v>
      </x:c>
      <x:c r="I35" s="27" t="n">
        <x:f>IF(AND(ISNUMBER(G35),ISNUMBER(H35),H35&gt;0),G35/H35-1,"")</x:f>
        <x:v>0.08867710961789821</x:v>
      </x:c>
      <x:c r="J35" s="27" t="n">
        <x:f>IF(AND(ISNUMBER(G35),F35&gt;0),G35/F35-1,"")</x:f>
        <x:v>0.08867710961789821</x:v>
      </x:c>
      <x:c r="K35" s="19" t="str">
        <x:v>Balanced/EXP001/results/seed6103_Full.json</x:v>
      </x:c>
    </x:row>
    <x:row r="36" ht="15" hidden="0" customHeight="1">
      <x:c r="A36" s="3" t="str">
        <x:v>EXP001</x:v>
      </x:c>
      <x:c r="B36" s="3" t="str">
        <x:v>Balanced</x:v>
      </x:c>
      <x:c r="C36" s="18" t="n">
        <x:v>6103</x:v>
      </x:c>
      <x:c r="D36" s="3" t="str">
        <x:v>Relative cutoff 1e-2</x:v>
      </x:c>
      <x:c r="E36" s="18" t="n">
        <x:v>800</x:v>
      </x:c>
      <x:c r="F36" s="21" t="n">
        <x:v>747.906826789075</x:v>
      </x:c>
      <x:c r="G36" s="21" t="n">
        <x:f>F30</x:f>
        <x:v>677.5640822527363</x:v>
      </x:c>
      <x:c r="H36" s="21" t="n">
        <x:f>F35</x:f>
        <x:v>622.3737748013701</x:v>
      </x:c>
      <x:c r="I36" s="27" t="n">
        <x:f>IF(AND(ISNUMBER(G36),ISNUMBER(H36),H36&gt;0),G36/H36-1,"")</x:f>
        <x:v>0.08867710961789821</x:v>
      </x:c>
      <x:c r="J36" s="27" t="n">
        <x:f>IF(AND(ISNUMBER(G36),F36&gt;0),G36/F36-1,"")</x:f>
        <x:v>-0.09405281783338615</x:v>
      </x:c>
      <x:c r="K36" s="19" t="str">
        <x:v>Balanced/EXP001/results/seed6103_Relative_cutoff_1e-2.json</x:v>
      </x:c>
    </x:row>
    <x:row r="37" ht="15" hidden="0" customHeight="1">
      <x:c r="A37" s="3" t="str">
        <x:v>EXP001</x:v>
      </x:c>
      <x:c r="B37" s="3" t="str">
        <x:v>Balanced</x:v>
      </x:c>
      <x:c r="C37" s="18" t="n">
        <x:v>6103</x:v>
      </x:c>
      <x:c r="D37" s="3" t="str">
        <x:v>Relative cutoff 1e-4</x:v>
      </x:c>
      <x:c r="E37" s="18" t="n">
        <x:v>800</x:v>
      </x:c>
      <x:c r="F37" s="21" t="n">
        <x:v>704.7921027516855</x:v>
      </x:c>
      <x:c r="G37" s="21" t="n">
        <x:f>F30</x:f>
        <x:v>677.5640822527363</x:v>
      </x:c>
      <x:c r="H37" s="21" t="n">
        <x:f>F35</x:f>
        <x:v>622.3737748013701</x:v>
      </x:c>
      <x:c r="I37" s="27" t="n">
        <x:f>IF(AND(ISNUMBER(G37),ISNUMBER(H37),H37&gt;0),G37/H37-1,"")</x:f>
        <x:v>0.08867710961789821</x:v>
      </x:c>
      <x:c r="J37" s="27" t="n">
        <x:f>IF(AND(ISNUMBER(G37),F37&gt;0),G37/F37-1,"")</x:f>
        <x:v>-0.038632698057546655</x:v>
      </x:c>
      <x:c r="K37" s="19" t="str">
        <x:v>Balanced/EXP001/results/seed6103_Relative_cutoff_1e-4.json</x:v>
      </x:c>
    </x:row>
    <x:row r="38" ht="15" hidden="0" customHeight="1">
      <x:c r="A38" s="3" t="str">
        <x:v>EXP001</x:v>
      </x:c>
      <x:c r="B38" s="3" t="str">
        <x:v>Balanced</x:v>
      </x:c>
      <x:c r="C38" s="18" t="n">
        <x:v>6104</x:v>
      </x:c>
      <x:c r="D38" s="3" t="str">
        <x:v>BBP</x:v>
      </x:c>
      <x:c r="E38" s="18" t="n">
        <x:v>800</x:v>
      </x:c>
      <x:c r="F38" s="21" t="n">
        <x:v>421.80945256838316</x:v>
      </x:c>
      <x:c r="G38" s="21" t="n">
        <x:f>F38</x:f>
        <x:v>421.80945256838316</x:v>
      </x:c>
      <x:c r="H38" s="21" t="n">
        <x:f>F43</x:f>
        <x:v>405.95265987390803</x:v>
      </x:c>
      <x:c r="I38" s="27" t="n">
        <x:f>IF(AND(ISNUMBER(G38),ISNUMBER(H38),H38&gt;0),G38/H38-1,"")</x:f>
        <x:v>0.03906069416911895</x:v>
      </x:c>
      <x:c r="J38" s="27" t="n">
        <x:f>IF(AND(ISNUMBER(G38),F38&gt;0),G38/F38-1,"")</x:f>
        <x:v>0</x:v>
      </x:c>
      <x:c r="K38" s="19" t="str">
        <x:v>Balanced/EXP001/results/seed6104_BBP.json</x:v>
      </x:c>
    </x:row>
    <x:row r="39" ht="15" hidden="0" customHeight="1">
      <x:c r="A39" s="3" t="str">
        <x:v>EXP001</x:v>
      </x:c>
      <x:c r="B39" s="3" t="str">
        <x:v>Balanced</x:v>
      </x:c>
      <x:c r="C39" s="18" t="n">
        <x:v>6104</x:v>
      </x:c>
      <x:c r="D39" s="3" t="str">
        <x:v>Relative cutoff 1e-5</x:v>
      </x:c>
      <x:c r="E39" s="18" t="n">
        <x:v>800</x:v>
      </x:c>
      <x:c r="F39" s="21" t="n">
        <x:v>427.03433097093307</x:v>
      </x:c>
      <x:c r="G39" s="21" t="n">
        <x:f>F38</x:f>
        <x:v>421.80945256838316</x:v>
      </x:c>
      <x:c r="H39" s="21" t="n">
        <x:f>F43</x:f>
        <x:v>405.95265987390803</x:v>
      </x:c>
      <x:c r="I39" s="27" t="n">
        <x:f>IF(AND(ISNUMBER(G39),ISNUMBER(H39),H39&gt;0),G39/H39-1,"")</x:f>
        <x:v>0.03906069416911895</x:v>
      </x:c>
      <x:c r="J39" s="27" t="n">
        <x:f>IF(AND(ISNUMBER(G39),F39&gt;0),G39/F39-1,"")</x:f>
        <x:v>-0.012235265466058132</x:v>
      </x:c>
      <x:c r="K39" s="19" t="str">
        <x:v>Balanced/EXP001/results/seed6104_Relative_cutoff_1e-5.json</x:v>
      </x:c>
    </x:row>
    <x:row r="40" ht="15" hidden="0" customHeight="1">
      <x:c r="A40" s="3" t="str">
        <x:v>EXP001</x:v>
      </x:c>
      <x:c r="B40" s="3" t="str">
        <x:v>Balanced</x:v>
      </x:c>
      <x:c r="C40" s="18" t="n">
        <x:v>6104</x:v>
      </x:c>
      <x:c r="D40" s="3" t="str">
        <x:v>Fixed rank 10</x:v>
      </x:c>
      <x:c r="E40" s="18" t="n">
        <x:v>800</x:v>
      </x:c>
      <x:c r="F40" s="21" t="n">
        <x:v>411.5922384014727</x:v>
      </x:c>
      <x:c r="G40" s="21" t="n">
        <x:f>F38</x:f>
        <x:v>421.80945256838316</x:v>
      </x:c>
      <x:c r="H40" s="21" t="n">
        <x:f>F43</x:f>
        <x:v>405.95265987390803</x:v>
      </x:c>
      <x:c r="I40" s="27" t="n">
        <x:f>IF(AND(ISNUMBER(G40),ISNUMBER(H40),H40&gt;0),G40/H40-1,"")</x:f>
        <x:v>0.03906069416911895</x:v>
      </x:c>
      <x:c r="J40" s="27" t="n">
        <x:f>IF(AND(ISNUMBER(G40),F40&gt;0),G40/F40-1,"")</x:f>
        <x:v>0.024823631773504218</x:v>
      </x:c>
      <x:c r="K40" s="19" t="str">
        <x:v>Balanced/EXP001/results/seed6104_Fixed_rank_10.json</x:v>
      </x:c>
    </x:row>
    <x:row r="41" ht="15" hidden="0" customHeight="1">
      <x:c r="A41" s="3" t="str">
        <x:v>EXP001</x:v>
      </x:c>
      <x:c r="B41" s="3" t="str">
        <x:v>Balanced</x:v>
      </x:c>
      <x:c r="C41" s="18" t="n">
        <x:v>6104</x:v>
      </x:c>
      <x:c r="D41" s="3" t="str">
        <x:v>Fixed rank 25</x:v>
      </x:c>
      <x:c r="E41" s="18" t="n">
        <x:v>800</x:v>
      </x:c>
      <x:c r="F41" s="21" t="n">
        <x:v>413.3174946097554</x:v>
      </x:c>
      <x:c r="G41" s="21" t="n">
        <x:f>F38</x:f>
        <x:v>421.80945256838316</x:v>
      </x:c>
      <x:c r="H41" s="21" t="n">
        <x:f>F43</x:f>
        <x:v>405.95265987390803</x:v>
      </x:c>
      <x:c r="I41" s="27" t="n">
        <x:f>IF(AND(ISNUMBER(G41),ISNUMBER(H41),H41&gt;0),G41/H41-1,"")</x:f>
        <x:v>0.03906069416911895</x:v>
      </x:c>
      <x:c r="J41" s="27" t="n">
        <x:f>IF(AND(ISNUMBER(G41),F41&gt;0),G41/F41-1,"")</x:f>
        <x:v>0.020545846883751384</x:v>
      </x:c>
      <x:c r="K41" s="19" t="str">
        <x:v>Balanced/EXP001/results/seed6104_Fixed_rank_25.json</x:v>
      </x:c>
    </x:row>
    <x:row r="42" ht="15" hidden="0" customHeight="1">
      <x:c r="A42" s="3" t="str">
        <x:v>EXP001</x:v>
      </x:c>
      <x:c r="B42" s="3" t="str">
        <x:v>Balanced</x:v>
      </x:c>
      <x:c r="C42" s="18" t="n">
        <x:v>6104</x:v>
      </x:c>
      <x:c r="D42" s="3" t="str">
        <x:v>Relative cutoff 1e-6</x:v>
      </x:c>
      <x:c r="E42" s="18" t="n">
        <x:v>800</x:v>
      </x:c>
      <x:c r="F42" s="21" t="n">
        <x:v>415.1122519637112</x:v>
      </x:c>
      <x:c r="G42" s="21" t="n">
        <x:f>F38</x:f>
        <x:v>421.80945256838316</x:v>
      </x:c>
      <x:c r="H42" s="21" t="n">
        <x:f>F43</x:f>
        <x:v>405.95265987390803</x:v>
      </x:c>
      <x:c r="I42" s="27" t="n">
        <x:f>IF(AND(ISNUMBER(G42),ISNUMBER(H42),H42&gt;0),G42/H42-1,"")</x:f>
        <x:v>0.03906069416911895</x:v>
      </x:c>
      <x:c r="J42" s="27" t="n">
        <x:f>IF(AND(ISNUMBER(G42),F42&gt;0),G42/F42-1,"")</x:f>
        <x:v>0.01613346889423406</x:v>
      </x:c>
      <x:c r="K42" s="19" t="str">
        <x:v>Balanced/EXP001/results/seed6104_Relative_cutoff_1e-6.json</x:v>
      </x:c>
    </x:row>
    <x:row r="43" ht="15" hidden="0" customHeight="1">
      <x:c r="A43" s="3" t="str">
        <x:v>EXP001</x:v>
      </x:c>
      <x:c r="B43" s="3" t="str">
        <x:v>Balanced</x:v>
      </x:c>
      <x:c r="C43" s="18" t="n">
        <x:v>6104</x:v>
      </x:c>
      <x:c r="D43" s="3" t="str">
        <x:v>Full</x:v>
      </x:c>
      <x:c r="E43" s="18" t="n">
        <x:v>800</x:v>
      </x:c>
      <x:c r="F43" s="21" t="n">
        <x:v>405.95265987390803</x:v>
      </x:c>
      <x:c r="G43" s="21" t="n">
        <x:f>F38</x:f>
        <x:v>421.80945256838316</x:v>
      </x:c>
      <x:c r="H43" s="21" t="n">
        <x:f>F43</x:f>
        <x:v>405.95265987390803</x:v>
      </x:c>
      <x:c r="I43" s="27" t="n">
        <x:f>IF(AND(ISNUMBER(G43),ISNUMBER(H43),H43&gt;0),G43/H43-1,"")</x:f>
        <x:v>0.03906069416911895</x:v>
      </x:c>
      <x:c r="J43" s="27" t="n">
        <x:f>IF(AND(ISNUMBER(G43),F43&gt;0),G43/F43-1,"")</x:f>
        <x:v>0.03906069416911895</x:v>
      </x:c>
      <x:c r="K43" s="19" t="str">
        <x:v>Balanced/EXP001/results/seed6104_Full.json</x:v>
      </x:c>
    </x:row>
    <x:row r="44" ht="15" hidden="0" customHeight="1">
      <x:c r="A44" s="3" t="str">
        <x:v>EXP001</x:v>
      </x:c>
      <x:c r="B44" s="3" t="str">
        <x:v>Balanced</x:v>
      </x:c>
      <x:c r="C44" s="18" t="n">
        <x:v>6104</x:v>
      </x:c>
      <x:c r="D44" s="3" t="str">
        <x:v>Relative cutoff 1e-2</x:v>
      </x:c>
      <x:c r="E44" s="18" t="n">
        <x:v>800</x:v>
      </x:c>
      <x:c r="F44" s="21" t="n">
        <x:v>750.5805690021573</x:v>
      </x:c>
      <x:c r="G44" s="21" t="n">
        <x:f>F38</x:f>
        <x:v>421.80945256838316</x:v>
      </x:c>
      <x:c r="H44" s="21" t="n">
        <x:f>F43</x:f>
        <x:v>405.95265987390803</x:v>
      </x:c>
      <x:c r="I44" s="27" t="n">
        <x:f>IF(AND(ISNUMBER(G44),ISNUMBER(H44),H44&gt;0),G44/H44-1,"")</x:f>
        <x:v>0.03906069416911895</x:v>
      </x:c>
      <x:c r="J44" s="27" t="n">
        <x:f>IF(AND(ISNUMBER(G44),F44&gt;0),G44/F44-1,"")</x:f>
        <x:v>-0.4380224189267937</x:v>
      </x:c>
      <x:c r="K44" s="19" t="str">
        <x:v>Balanced/EXP001/results/seed6104_Relative_cutoff_1e-2.json</x:v>
      </x:c>
    </x:row>
    <x:row r="45" ht="15" hidden="0" customHeight="1">
      <x:c r="A45" s="3" t="str">
        <x:v>EXP001</x:v>
      </x:c>
      <x:c r="B45" s="3" t="str">
        <x:v>Balanced</x:v>
      </x:c>
      <x:c r="C45" s="18" t="n">
        <x:v>6104</x:v>
      </x:c>
      <x:c r="D45" s="3" t="str">
        <x:v>Relative cutoff 1e-4</x:v>
      </x:c>
      <x:c r="E45" s="18" t="n">
        <x:v>800</x:v>
      </x:c>
      <x:c r="F45" s="21" t="n">
        <x:v>443.26267058678815</x:v>
      </x:c>
      <x:c r="G45" s="21" t="n">
        <x:f>F38</x:f>
        <x:v>421.80945256838316</x:v>
      </x:c>
      <x:c r="H45" s="21" t="n">
        <x:f>F43</x:f>
        <x:v>405.95265987390803</x:v>
      </x:c>
      <x:c r="I45" s="27" t="n">
        <x:f>IF(AND(ISNUMBER(G45),ISNUMBER(H45),H45&gt;0),G45/H45-1,"")</x:f>
        <x:v>0.03906069416911895</x:v>
      </x:c>
      <x:c r="J45" s="27" t="n">
        <x:f>IF(AND(ISNUMBER(G45),F45&gt;0),G45/F45-1,"")</x:f>
        <x:v>-0.048398431543999254</x:v>
      </x:c>
      <x:c r="K45" s="19" t="str">
        <x:v>Balanced/EXP001/results/seed6104_Relative_cutoff_1e-4.json</x:v>
      </x:c>
    </x:row>
    <x:row r="46" ht="15" hidden="0" customHeight="1">
      <x:c r="A46" s="3" t="str">
        <x:v>EXP001</x:v>
      </x:c>
      <x:c r="B46" s="3" t="str">
        <x:v>Balanced</x:v>
      </x:c>
      <x:c r="C46" s="18" t="n">
        <x:v>6105</x:v>
      </x:c>
      <x:c r="D46" s="3" t="str">
        <x:v>BBP</x:v>
      </x:c>
      <x:c r="E46" s="18" t="n">
        <x:v>800</x:v>
      </x:c>
      <x:c r="F46" s="21" t="n">
        <x:v>528.5216238517296</x:v>
      </x:c>
      <x:c r="G46" s="21" t="n">
        <x:f>F46</x:f>
        <x:v>528.5216238517296</x:v>
      </x:c>
      <x:c r="H46" s="21" t="n">
        <x:f>F51</x:f>
        <x:v>549.359663588621</x:v>
      </x:c>
      <x:c r="I46" s="27" t="n">
        <x:f>IF(AND(ISNUMBER(G46),ISNUMBER(H46),H46&gt;0),G46/H46-1,"")</x:f>
        <x:v>-0.037931506657714054</x:v>
      </x:c>
      <x:c r="J46" s="27" t="n">
        <x:f>IF(AND(ISNUMBER(G46),F46&gt;0),G46/F46-1,"")</x:f>
        <x:v>0</x:v>
      </x:c>
      <x:c r="K46" s="19" t="str">
        <x:v>Balanced/EXP001/results/seed6105_BBP.json</x:v>
      </x:c>
    </x:row>
    <x:row r="47" ht="15" hidden="0" customHeight="1">
      <x:c r="A47" s="3" t="str">
        <x:v>EXP001</x:v>
      </x:c>
      <x:c r="B47" s="3" t="str">
        <x:v>Balanced</x:v>
      </x:c>
      <x:c r="C47" s="18" t="n">
        <x:v>6105</x:v>
      </x:c>
      <x:c r="D47" s="3" t="str">
        <x:v>Relative cutoff 1e-5</x:v>
      </x:c>
      <x:c r="E47" s="18" t="n">
        <x:v>800</x:v>
      </x:c>
      <x:c r="F47" s="21" t="n">
        <x:v>558.8109487974154</x:v>
      </x:c>
      <x:c r="G47" s="21" t="n">
        <x:f>F46</x:f>
        <x:v>528.5216238517296</x:v>
      </x:c>
      <x:c r="H47" s="21" t="n">
        <x:f>F51</x:f>
        <x:v>549.359663588621</x:v>
      </x:c>
      <x:c r="I47" s="27" t="n">
        <x:f>IF(AND(ISNUMBER(G47),ISNUMBER(H47),H47&gt;0),G47/H47-1,"")</x:f>
        <x:v>-0.037931506657714054</x:v>
      </x:c>
      <x:c r="J47" s="27" t="n">
        <x:f>IF(AND(ISNUMBER(G47),F47&gt;0),G47/F47-1,"")</x:f>
        <x:v>-0.054203170161339465</x:v>
      </x:c>
      <x:c r="K47" s="19" t="str">
        <x:v>Balanced/EXP001/results/seed6105_Relative_cutoff_1e-5.json</x:v>
      </x:c>
    </x:row>
    <x:row r="48" ht="15" hidden="0" customHeight="1">
      <x:c r="A48" s="3" t="str">
        <x:v>EXP001</x:v>
      </x:c>
      <x:c r="B48" s="3" t="str">
        <x:v>Balanced</x:v>
      </x:c>
      <x:c r="C48" s="18" t="n">
        <x:v>6105</x:v>
      </x:c>
      <x:c r="D48" s="3" t="str">
        <x:v>Fixed rank 10</x:v>
      </x:c>
      <x:c r="E48" s="18" t="n">
        <x:v>800</x:v>
      </x:c>
      <x:c r="F48" s="21" t="n">
        <x:v>595.6293695936121</x:v>
      </x:c>
      <x:c r="G48" s="21" t="n">
        <x:f>F46</x:f>
        <x:v>528.5216238517296</x:v>
      </x:c>
      <x:c r="H48" s="21" t="n">
        <x:f>F51</x:f>
        <x:v>549.359663588621</x:v>
      </x:c>
      <x:c r="I48" s="27" t="n">
        <x:f>IF(AND(ISNUMBER(G48),ISNUMBER(H48),H48&gt;0),G48/H48-1,"")</x:f>
        <x:v>-0.037931506657714054</x:v>
      </x:c>
      <x:c r="J48" s="27" t="n">
        <x:f>IF(AND(ISNUMBER(G48),F48&gt;0),G48/F48-1,"")</x:f>
        <x:v>-0.11266695224862566</x:v>
      </x:c>
      <x:c r="K48" s="19" t="str">
        <x:v>Balanced/EXP001/results/seed6105_Fixed_rank_10.json</x:v>
      </x:c>
    </x:row>
    <x:row r="49" ht="15" hidden="0" customHeight="1">
      <x:c r="A49" s="3" t="str">
        <x:v>EXP001</x:v>
      </x:c>
      <x:c r="B49" s="3" t="str">
        <x:v>Balanced</x:v>
      </x:c>
      <x:c r="C49" s="18" t="n">
        <x:v>6105</x:v>
      </x:c>
      <x:c r="D49" s="3" t="str">
        <x:v>Fixed rank 25</x:v>
      </x:c>
      <x:c r="E49" s="18" t="n">
        <x:v>800</x:v>
      </x:c>
      <x:c r="F49" s="21" t="n">
        <x:v>528.5216238517296</x:v>
      </x:c>
      <x:c r="G49" s="21" t="n">
        <x:f>F46</x:f>
        <x:v>528.5216238517296</x:v>
      </x:c>
      <x:c r="H49" s="21" t="n">
        <x:f>F51</x:f>
        <x:v>549.359663588621</x:v>
      </x:c>
      <x:c r="I49" s="27" t="n">
        <x:f>IF(AND(ISNUMBER(G49),ISNUMBER(H49),H49&gt;0),G49/H49-1,"")</x:f>
        <x:v>-0.037931506657714054</x:v>
      </x:c>
      <x:c r="J49" s="27" t="n">
        <x:f>IF(AND(ISNUMBER(G49),F49&gt;0),G49/F49-1,"")</x:f>
        <x:v>0</x:v>
      </x:c>
      <x:c r="K49" s="19" t="str">
        <x:v>Balanced/EXP001/results/seed6105_Fixed_rank_25.json</x:v>
      </x:c>
    </x:row>
    <x:row r="50" ht="15" hidden="0" customHeight="1">
      <x:c r="A50" s="3" t="str">
        <x:v>EXP001</x:v>
      </x:c>
      <x:c r="B50" s="3" t="str">
        <x:v>Balanced</x:v>
      </x:c>
      <x:c r="C50" s="18" t="n">
        <x:v>6105</x:v>
      </x:c>
      <x:c r="D50" s="3" t="str">
        <x:v>Relative cutoff 1e-6</x:v>
      </x:c>
      <x:c r="E50" s="18" t="n">
        <x:v>800</x:v>
      </x:c>
      <x:c r="F50" s="21" t="n">
        <x:v>524.1458770627138</x:v>
      </x:c>
      <x:c r="G50" s="21" t="n">
        <x:f>F46</x:f>
        <x:v>528.5216238517296</x:v>
      </x:c>
      <x:c r="H50" s="21" t="n">
        <x:f>F51</x:f>
        <x:v>549.359663588621</x:v>
      </x:c>
      <x:c r="I50" s="27" t="n">
        <x:f>IF(AND(ISNUMBER(G50),ISNUMBER(H50),H50&gt;0),G50/H50-1,"")</x:f>
        <x:v>-0.037931506657714054</x:v>
      </x:c>
      <x:c r="J50" s="27" t="n">
        <x:f>IF(AND(ISNUMBER(G50),F50&gt;0),G50/F50-1,"")</x:f>
        <x:v>0.008348337706169273</x:v>
      </x:c>
      <x:c r="K50" s="19" t="str">
        <x:v>Balanced/EXP001/results/seed6105_Relative_cutoff_1e-6.json</x:v>
      </x:c>
    </x:row>
    <x:row r="51" ht="15" hidden="0" customHeight="1">
      <x:c r="A51" s="3" t="str">
        <x:v>EXP001</x:v>
      </x:c>
      <x:c r="B51" s="3" t="str">
        <x:v>Balanced</x:v>
      </x:c>
      <x:c r="C51" s="18" t="n">
        <x:v>6105</x:v>
      </x:c>
      <x:c r="D51" s="3" t="str">
        <x:v>Full</x:v>
      </x:c>
      <x:c r="E51" s="18" t="n">
        <x:v>800</x:v>
      </x:c>
      <x:c r="F51" s="21" t="n">
        <x:v>549.359663588621</x:v>
      </x:c>
      <x:c r="G51" s="21" t="n">
        <x:f>F46</x:f>
        <x:v>528.5216238517296</x:v>
      </x:c>
      <x:c r="H51" s="21" t="n">
        <x:f>F51</x:f>
        <x:v>549.359663588621</x:v>
      </x:c>
      <x:c r="I51" s="27" t="n">
        <x:f>IF(AND(ISNUMBER(G51),ISNUMBER(H51),H51&gt;0),G51/H51-1,"")</x:f>
        <x:v>-0.037931506657714054</x:v>
      </x:c>
      <x:c r="J51" s="27" t="n">
        <x:f>IF(AND(ISNUMBER(G51),F51&gt;0),G51/F51-1,"")</x:f>
        <x:v>-0.037931506657714054</x:v>
      </x:c>
      <x:c r="K51" s="19" t="str">
        <x:v>Balanced/EXP001/results/seed6105_Full.json</x:v>
      </x:c>
    </x:row>
    <x:row r="52" ht="15" hidden="0" customHeight="1">
      <x:c r="A52" s="3" t="str">
        <x:v>EXP001</x:v>
      </x:c>
      <x:c r="B52" s="3" t="str">
        <x:v>Balanced</x:v>
      </x:c>
      <x:c r="C52" s="18" t="n">
        <x:v>6105</x:v>
      </x:c>
      <x:c r="D52" s="3" t="str">
        <x:v>Relative cutoff 1e-2</x:v>
      </x:c>
      <x:c r="E52" s="18" t="n">
        <x:v>800</x:v>
      </x:c>
      <x:c r="F52" s="21" t="n">
        <x:v>610.5529511122523</x:v>
      </x:c>
      <x:c r="G52" s="21" t="n">
        <x:f>F46</x:f>
        <x:v>528.5216238517296</x:v>
      </x:c>
      <x:c r="H52" s="21" t="n">
        <x:f>F51</x:f>
        <x:v>549.359663588621</x:v>
      </x:c>
      <x:c r="I52" s="27" t="n">
        <x:f>IF(AND(ISNUMBER(G52),ISNUMBER(H52),H52&gt;0),G52/H52-1,"")</x:f>
        <x:v>-0.037931506657714054</x:v>
      </x:c>
      <x:c r="J52" s="27" t="n">
        <x:f>IF(AND(ISNUMBER(G52),F52&gt;0),G52/F52-1,"")</x:f>
        <x:v>-0.13435579520348762</x:v>
      </x:c>
      <x:c r="K52" s="19" t="str">
        <x:v>Balanced/EXP001/results/seed6105_Relative_cutoff_1e-2.json</x:v>
      </x:c>
    </x:row>
    <x:row r="53" ht="15" hidden="0" customHeight="1">
      <x:c r="A53" s="3" t="str">
        <x:v>EXP001</x:v>
      </x:c>
      <x:c r="B53" s="3" t="str">
        <x:v>Balanced</x:v>
      </x:c>
      <x:c r="C53" s="18" t="n">
        <x:v>6105</x:v>
      </x:c>
      <x:c r="D53" s="3" t="str">
        <x:v>Relative cutoff 1e-4</x:v>
      </x:c>
      <x:c r="E53" s="18" t="n">
        <x:v>800</x:v>
      </x:c>
      <x:c r="F53" s="21" t="n">
        <x:v>571.253684669531</x:v>
      </x:c>
      <x:c r="G53" s="21" t="n">
        <x:f>F46</x:f>
        <x:v>528.5216238517296</x:v>
      </x:c>
      <x:c r="H53" s="21" t="n">
        <x:f>F51</x:f>
        <x:v>549.359663588621</x:v>
      </x:c>
      <x:c r="I53" s="27" t="n">
        <x:f>IF(AND(ISNUMBER(G53),ISNUMBER(H53),H53&gt;0),G53/H53-1,"")</x:f>
        <x:v>-0.037931506657714054</x:v>
      </x:c>
      <x:c r="J53" s="27" t="n">
        <x:f>IF(AND(ISNUMBER(G53),F53&gt;0),G53/F53-1,"")</x:f>
        <x:v>-0.0748040003322199</x:v>
      </x:c>
      <x:c r="K53" s="19" t="str">
        <x:v>Balanced/EXP001/results/seed6105_Relative_cutoff_1e-4.json</x:v>
      </x:c>
    </x:row>
    <x:row r="54" ht="15" hidden="0" customHeight="1">
      <x:c r="A54" s="3" t="str">
        <x:v>EXP001</x:v>
      </x:c>
      <x:c r="B54" s="3" t="str">
        <x:v>Balanced</x:v>
      </x:c>
      <x:c r="C54" s="18" t="n">
        <x:v>6106</x:v>
      </x:c>
      <x:c r="D54" s="3" t="str">
        <x:v>BBP</x:v>
      </x:c>
      <x:c r="E54" s="18" t="n">
        <x:v>800</x:v>
      </x:c>
      <x:c r="F54" s="21" t="n">
        <x:v>475.79725991930763</x:v>
      </x:c>
      <x:c r="G54" s="21" t="n">
        <x:f>F54</x:f>
        <x:v>475.79725991930763</x:v>
      </x:c>
      <x:c r="H54" s="21" t="n">
        <x:f>F59</x:f>
        <x:v>469.21262677852894</x:v>
      </x:c>
      <x:c r="I54" s="27" t="n">
        <x:f>IF(AND(ISNUMBER(G54),ISNUMBER(H54),H54&gt;0),G54/H54-1,"")</x:f>
        <x:v>0.014033367315766432</x:v>
      </x:c>
      <x:c r="J54" s="27" t="n">
        <x:f>IF(AND(ISNUMBER(G54),F54&gt;0),G54/F54-1,"")</x:f>
        <x:v>0</x:v>
      </x:c>
      <x:c r="K54" s="19" t="str">
        <x:v>Balanced/EXP001/results/seed6106_BBP.json</x:v>
      </x:c>
    </x:row>
    <x:row r="55" ht="15" hidden="0" customHeight="1">
      <x:c r="A55" s="3" t="str">
        <x:v>EXP001</x:v>
      </x:c>
      <x:c r="B55" s="3" t="str">
        <x:v>Balanced</x:v>
      </x:c>
      <x:c r="C55" s="18" t="n">
        <x:v>6106</x:v>
      </x:c>
      <x:c r="D55" s="3" t="str">
        <x:v>Relative cutoff 1e-5</x:v>
      </x:c>
      <x:c r="E55" s="18" t="n">
        <x:v>800</x:v>
      </x:c>
      <x:c r="F55" s="21" t="n">
        <x:v>479.56679538525174</x:v>
      </x:c>
      <x:c r="G55" s="21" t="n">
        <x:f>F54</x:f>
        <x:v>475.79725991930763</x:v>
      </x:c>
      <x:c r="H55" s="21" t="n">
        <x:f>F59</x:f>
        <x:v>469.21262677852894</x:v>
      </x:c>
      <x:c r="I55" s="27" t="n">
        <x:f>IF(AND(ISNUMBER(G55),ISNUMBER(H55),H55&gt;0),G55/H55-1,"")</x:f>
        <x:v>0.014033367315766432</x:v>
      </x:c>
      <x:c r="J55" s="27" t="n">
        <x:f>IF(AND(ISNUMBER(G55),F55&gt;0),G55/F55-1,"")</x:f>
        <x:v>-0.007860292877274633</x:v>
      </x:c>
      <x:c r="K55" s="19" t="str">
        <x:v>Balanced/EXP001/results/seed6106_Relative_cutoff_1e-5.json</x:v>
      </x:c>
    </x:row>
    <x:row r="56" ht="15" hidden="0" customHeight="1">
      <x:c r="A56" s="3" t="str">
        <x:v>EXP001</x:v>
      </x:c>
      <x:c r="B56" s="3" t="str">
        <x:v>Balanced</x:v>
      </x:c>
      <x:c r="C56" s="18" t="n">
        <x:v>6106</x:v>
      </x:c>
      <x:c r="D56" s="3" t="str">
        <x:v>Fixed rank 10</x:v>
      </x:c>
      <x:c r="E56" s="18" t="n">
        <x:v>800</x:v>
      </x:c>
      <x:c r="F56" s="21" t="n">
        <x:v>511.75019383882835</x:v>
      </x:c>
      <x:c r="G56" s="21" t="n">
        <x:f>F54</x:f>
        <x:v>475.79725991930763</x:v>
      </x:c>
      <x:c r="H56" s="21" t="n">
        <x:f>F59</x:f>
        <x:v>469.21262677852894</x:v>
      </x:c>
      <x:c r="I56" s="27" t="n">
        <x:f>IF(AND(ISNUMBER(G56),ISNUMBER(H56),H56&gt;0),G56/H56-1,"")</x:f>
        <x:v>0.014033367315766432</x:v>
      </x:c>
      <x:c r="J56" s="27" t="n">
        <x:f>IF(AND(ISNUMBER(G56),F56&gt;0),G56/F56-1,"")</x:f>
        <x:v>-0.0702548515904301</x:v>
      </x:c>
      <x:c r="K56" s="19" t="str">
        <x:v>Balanced/EXP001/results/seed6106_Fixed_rank_10.json</x:v>
      </x:c>
    </x:row>
    <x:row r="57" ht="15" hidden="0" customHeight="1">
      <x:c r="A57" s="3" t="str">
        <x:v>EXP001</x:v>
      </x:c>
      <x:c r="B57" s="3" t="str">
        <x:v>Balanced</x:v>
      </x:c>
      <x:c r="C57" s="18" t="n">
        <x:v>6106</x:v>
      </x:c>
      <x:c r="D57" s="3" t="str">
        <x:v>Fixed rank 25</x:v>
      </x:c>
      <x:c r="E57" s="18" t="n">
        <x:v>800</x:v>
      </x:c>
      <x:c r="F57" s="21" t="n">
        <x:v>464.2159977466082</x:v>
      </x:c>
      <x:c r="G57" s="21" t="n">
        <x:f>F54</x:f>
        <x:v>475.79725991930763</x:v>
      </x:c>
      <x:c r="H57" s="21" t="n">
        <x:f>F59</x:f>
        <x:v>469.21262677852894</x:v>
      </x:c>
      <x:c r="I57" s="27" t="n">
        <x:f>IF(AND(ISNUMBER(G57),ISNUMBER(H57),H57&gt;0),G57/H57-1,"")</x:f>
        <x:v>0.014033367315766432</x:v>
      </x:c>
      <x:c r="J57" s="27" t="n">
        <x:f>IF(AND(ISNUMBER(G57),F57&gt;0),G57/F57-1,"")</x:f>
        <x:v>0.024948003147063247</x:v>
      </x:c>
      <x:c r="K57" s="19" t="str">
        <x:v>Balanced/EXP001/results/seed6106_Fixed_rank_25.json</x:v>
      </x:c>
    </x:row>
    <x:row r="58" ht="15" hidden="0" customHeight="1">
      <x:c r="A58" s="3" t="str">
        <x:v>EXP001</x:v>
      </x:c>
      <x:c r="B58" s="3" t="str">
        <x:v>Balanced</x:v>
      </x:c>
      <x:c r="C58" s="18" t="n">
        <x:v>6106</x:v>
      </x:c>
      <x:c r="D58" s="3" t="str">
        <x:v>Relative cutoff 1e-6</x:v>
      </x:c>
      <x:c r="E58" s="18" t="n">
        <x:v>800</x:v>
      </x:c>
      <x:c r="F58" s="21" t="n">
        <x:v>447.20336166197217</x:v>
      </x:c>
      <x:c r="G58" s="21" t="n">
        <x:f>F54</x:f>
        <x:v>475.79725991930763</x:v>
      </x:c>
      <x:c r="H58" s="21" t="n">
        <x:f>F59</x:f>
        <x:v>469.21262677852894</x:v>
      </x:c>
      <x:c r="I58" s="27" t="n">
        <x:f>IF(AND(ISNUMBER(G58),ISNUMBER(H58),H58&gt;0),G58/H58-1,"")</x:f>
        <x:v>0.014033367315766432</x:v>
      </x:c>
      <x:c r="J58" s="27" t="n">
        <x:f>IF(AND(ISNUMBER(G58),F58&gt;0),G58/F58-1,"")</x:f>
        <x:v>0.0639393634052079</x:v>
      </x:c>
      <x:c r="K58" s="19" t="str">
        <x:v>Balanced/EXP001/results/seed6106_Relative_cutoff_1e-6.json</x:v>
      </x:c>
    </x:row>
    <x:row r="59" ht="15" hidden="0" customHeight="1">
      <x:c r="A59" s="3" t="str">
        <x:v>EXP001</x:v>
      </x:c>
      <x:c r="B59" s="3" t="str">
        <x:v>Balanced</x:v>
      </x:c>
      <x:c r="C59" s="18" t="n">
        <x:v>6106</x:v>
      </x:c>
      <x:c r="D59" s="3" t="str">
        <x:v>Full</x:v>
      </x:c>
      <x:c r="E59" s="18" t="n">
        <x:v>800</x:v>
      </x:c>
      <x:c r="F59" s="21" t="n">
        <x:v>469.21262677852894</x:v>
      </x:c>
      <x:c r="G59" s="21" t="n">
        <x:f>F54</x:f>
        <x:v>475.79725991930763</x:v>
      </x:c>
      <x:c r="H59" s="21" t="n">
        <x:f>F59</x:f>
        <x:v>469.21262677852894</x:v>
      </x:c>
      <x:c r="I59" s="27" t="n">
        <x:f>IF(AND(ISNUMBER(G59),ISNUMBER(H59),H59&gt;0),G59/H59-1,"")</x:f>
        <x:v>0.014033367315766432</x:v>
      </x:c>
      <x:c r="J59" s="27" t="n">
        <x:f>IF(AND(ISNUMBER(G59),F59&gt;0),G59/F59-1,"")</x:f>
        <x:v>0.014033367315766432</x:v>
      </x:c>
      <x:c r="K59" s="19" t="str">
        <x:v>Balanced/EXP001/results/seed6106_Full.json</x:v>
      </x:c>
    </x:row>
    <x:row r="60" ht="15" hidden="0" customHeight="1">
      <x:c r="A60" s="3" t="str">
        <x:v>EXP001</x:v>
      </x:c>
      <x:c r="B60" s="3" t="str">
        <x:v>Balanced</x:v>
      </x:c>
      <x:c r="C60" s="18" t="n">
        <x:v>6106</x:v>
      </x:c>
      <x:c r="D60" s="3" t="str">
        <x:v>Relative cutoff 1e-2</x:v>
      </x:c>
      <x:c r="E60" s="18" t="n">
        <x:v>800</x:v>
      </x:c>
      <x:c r="F60" s="21" t="n">
        <x:v>661.0688973692414</x:v>
      </x:c>
      <x:c r="G60" s="21" t="n">
        <x:f>F54</x:f>
        <x:v>475.79725991930763</x:v>
      </x:c>
      <x:c r="H60" s="21" t="n">
        <x:f>F59</x:f>
        <x:v>469.21262677852894</x:v>
      </x:c>
      <x:c r="I60" s="27" t="n">
        <x:f>IF(AND(ISNUMBER(G60),ISNUMBER(H60),H60&gt;0),G60/H60-1,"")</x:f>
        <x:v>0.014033367315766432</x:v>
      </x:c>
      <x:c r="J60" s="27" t="n">
        <x:f>IF(AND(ISNUMBER(G60),F60&gt;0),G60/F60-1,"")</x:f>
        <x:v>-0.2802607083576796</x:v>
      </x:c>
      <x:c r="K60" s="19" t="str">
        <x:v>Balanced/EXP001/results/seed6106_Relative_cutoff_1e-2.json</x:v>
      </x:c>
    </x:row>
    <x:row r="61" ht="15" hidden="0" customHeight="1">
      <x:c r="A61" s="3" t="str">
        <x:v>EXP001</x:v>
      </x:c>
      <x:c r="B61" s="3" t="str">
        <x:v>Balanced</x:v>
      </x:c>
      <x:c r="C61" s="18" t="n">
        <x:v>6106</x:v>
      </x:c>
      <x:c r="D61" s="3" t="str">
        <x:v>Relative cutoff 1e-4</x:v>
      </x:c>
      <x:c r="E61" s="18" t="n">
        <x:v>800</x:v>
      </x:c>
      <x:c r="F61" s="21" t="n">
        <x:v>495.435401611629</x:v>
      </x:c>
      <x:c r="G61" s="21" t="n">
        <x:f>F54</x:f>
        <x:v>475.79725991930763</x:v>
      </x:c>
      <x:c r="H61" s="21" t="n">
        <x:f>F59</x:f>
        <x:v>469.21262677852894</x:v>
      </x:c>
      <x:c r="I61" s="27" t="n">
        <x:f>IF(AND(ISNUMBER(G61),ISNUMBER(H61),H61&gt;0),G61/H61-1,"")</x:f>
        <x:v>0.014033367315766432</x:v>
      </x:c>
      <x:c r="J61" s="27" t="n">
        <x:f>IF(AND(ISNUMBER(G61),F61&gt;0),G61/F61-1,"")</x:f>
        <x:v>-0.03963814783610409</x:v>
      </x:c>
      <x:c r="K61" s="19" t="str">
        <x:v>Balanced/EXP001/results/seed6106_Relative_cutoff_1e-4.json</x:v>
      </x:c>
    </x:row>
    <x:row r="62" ht="15" hidden="0" customHeight="1">
      <x:c r="A62" s="3" t="str">
        <x:v>EXP001</x:v>
      </x:c>
      <x:c r="B62" s="3" t="str">
        <x:v>Balanced</x:v>
      </x:c>
      <x:c r="C62" s="18" t="n">
        <x:v>6107</x:v>
      </x:c>
      <x:c r="D62" s="3" t="str">
        <x:v>BBP</x:v>
      </x:c>
      <x:c r="E62" s="18" t="n">
        <x:v>800</x:v>
      </x:c>
      <x:c r="F62" s="21" t="n">
        <x:v>498.7763936145985</x:v>
      </x:c>
      <x:c r="G62" s="21" t="n">
        <x:f>F62</x:f>
        <x:v>498.7763936145985</x:v>
      </x:c>
      <x:c r="H62" s="21" t="n">
        <x:f>F67</x:f>
        <x:v>507.63617815651645</x:v>
      </x:c>
      <x:c r="I62" s="27" t="n">
        <x:f>IF(AND(ISNUMBER(G62),ISNUMBER(H62),H62&gt;0),G62/H62-1,"")</x:f>
        <x:v>-0.017453020338487946</x:v>
      </x:c>
      <x:c r="J62" s="27" t="n">
        <x:f>IF(AND(ISNUMBER(G62),F62&gt;0),G62/F62-1,"")</x:f>
        <x:v>0</x:v>
      </x:c>
      <x:c r="K62" s="19" t="str">
        <x:v>Balanced/EXP001/results/seed6107_BBP.json</x:v>
      </x:c>
    </x:row>
    <x:row r="63" ht="15" hidden="0" customHeight="1">
      <x:c r="A63" s="3" t="str">
        <x:v>EXP001</x:v>
      </x:c>
      <x:c r="B63" s="3" t="str">
        <x:v>Balanced</x:v>
      </x:c>
      <x:c r="C63" s="18" t="n">
        <x:v>6107</x:v>
      </x:c>
      <x:c r="D63" s="3" t="str">
        <x:v>Relative cutoff 1e-5</x:v>
      </x:c>
      <x:c r="E63" s="18" t="n">
        <x:v>800</x:v>
      </x:c>
      <x:c r="F63" s="21" t="n">
        <x:v>520.9905014559282</x:v>
      </x:c>
      <x:c r="G63" s="21" t="n">
        <x:f>F62</x:f>
        <x:v>498.7763936145985</x:v>
      </x:c>
      <x:c r="H63" s="21" t="n">
        <x:f>F67</x:f>
        <x:v>507.63617815651645</x:v>
      </x:c>
      <x:c r="I63" s="27" t="n">
        <x:f>IF(AND(ISNUMBER(G63),ISNUMBER(H63),H63&gt;0),G63/H63-1,"")</x:f>
        <x:v>-0.017453020338487946</x:v>
      </x:c>
      <x:c r="J63" s="27" t="n">
        <x:f>IF(AND(ISNUMBER(G63),F63&gt;0),G63/F63-1,"")</x:f>
        <x:v>-0.042638220426767015</x:v>
      </x:c>
      <x:c r="K63" s="19" t="str">
        <x:v>Balanced/EXP001/results/seed6107_Relative_cutoff_1e-5.json</x:v>
      </x:c>
    </x:row>
    <x:row r="64" ht="15" hidden="0" customHeight="1">
      <x:c r="A64" s="3" t="str">
        <x:v>EXP001</x:v>
      </x:c>
      <x:c r="B64" s="3" t="str">
        <x:v>Balanced</x:v>
      </x:c>
      <x:c r="C64" s="18" t="n">
        <x:v>6107</x:v>
      </x:c>
      <x:c r="D64" s="3" t="str">
        <x:v>Fixed rank 10</x:v>
      </x:c>
      <x:c r="E64" s="18" t="n">
        <x:v>800</x:v>
      </x:c>
      <x:c r="F64" s="21" t="n">
        <x:v>544.0947000634724</x:v>
      </x:c>
      <x:c r="G64" s="21" t="n">
        <x:f>F62</x:f>
        <x:v>498.7763936145985</x:v>
      </x:c>
      <x:c r="H64" s="21" t="n">
        <x:f>F67</x:f>
        <x:v>507.63617815651645</x:v>
      </x:c>
      <x:c r="I64" s="27" t="n">
        <x:f>IF(AND(ISNUMBER(G64),ISNUMBER(H64),H64&gt;0),G64/H64-1,"")</x:f>
        <x:v>-0.017453020338487946</x:v>
      </x:c>
      <x:c r="J64" s="27" t="n">
        <x:f>IF(AND(ISNUMBER(G64),F64&gt;0),G64/F64-1,"")</x:f>
        <x:v>-0.08329121096674386</x:v>
      </x:c>
      <x:c r="K64" s="19" t="str">
        <x:v>Balanced/EXP001/results/seed6107_Fixed_rank_10.json</x:v>
      </x:c>
    </x:row>
    <x:row r="65" ht="15" hidden="0" customHeight="1">
      <x:c r="A65" s="3" t="str">
        <x:v>EXP001</x:v>
      </x:c>
      <x:c r="B65" s="3" t="str">
        <x:v>Balanced</x:v>
      </x:c>
      <x:c r="C65" s="18" t="n">
        <x:v>6107</x:v>
      </x:c>
      <x:c r="D65" s="3" t="str">
        <x:v>Fixed rank 25</x:v>
      </x:c>
      <x:c r="E65" s="18" t="n">
        <x:v>800</x:v>
      </x:c>
      <x:c r="F65" s="21" t="n">
        <x:v>501.89817607499003</x:v>
      </x:c>
      <x:c r="G65" s="21" t="n">
        <x:f>F62</x:f>
        <x:v>498.7763936145985</x:v>
      </x:c>
      <x:c r="H65" s="21" t="n">
        <x:f>F67</x:f>
        <x:v>507.63617815651645</x:v>
      </x:c>
      <x:c r="I65" s="27" t="n">
        <x:f>IF(AND(ISNUMBER(G65),ISNUMBER(H65),H65&gt;0),G65/H65-1,"")</x:f>
        <x:v>-0.017453020338487946</x:v>
      </x:c>
      <x:c r="J65" s="27" t="n">
        <x:f>IF(AND(ISNUMBER(G65),F65&gt;0),G65/F65-1,"")</x:f>
        <x:v>-0.006219951793419387</x:v>
      </x:c>
      <x:c r="K65" s="19" t="str">
        <x:v>Balanced/EXP001/results/seed6107_Fixed_rank_25.json</x:v>
      </x:c>
    </x:row>
    <x:row r="66" ht="15" hidden="0" customHeight="1">
      <x:c r="A66" s="3" t="str">
        <x:v>EXP001</x:v>
      </x:c>
      <x:c r="B66" s="3" t="str">
        <x:v>Balanced</x:v>
      </x:c>
      <x:c r="C66" s="18" t="n">
        <x:v>6107</x:v>
      </x:c>
      <x:c r="D66" s="3" t="str">
        <x:v>Relative cutoff 1e-6</x:v>
      </x:c>
      <x:c r="E66" s="18" t="n">
        <x:v>800</x:v>
      </x:c>
      <x:c r="F66" s="21" t="n">
        <x:v>508.9947741592231</x:v>
      </x:c>
      <x:c r="G66" s="21" t="n">
        <x:f>F62</x:f>
        <x:v>498.7763936145985</x:v>
      </x:c>
      <x:c r="H66" s="21" t="n">
        <x:f>F67</x:f>
        <x:v>507.63617815651645</x:v>
      </x:c>
      <x:c r="I66" s="27" t="n">
        <x:f>IF(AND(ISNUMBER(G66),ISNUMBER(H66),H66&gt;0),G66/H66-1,"")</x:f>
        <x:v>-0.017453020338487946</x:v>
      </x:c>
      <x:c r="J66" s="27" t="n">
        <x:f>IF(AND(ISNUMBER(G66),F66&gt;0),G66/F66-1,"")</x:f>
        <x:v>-0.020075609934313565</x:v>
      </x:c>
      <x:c r="K66" s="19" t="str">
        <x:v>Balanced/EXP001/results/seed6107_Relative_cutoff_1e-6.json</x:v>
      </x:c>
    </x:row>
    <x:row r="67" ht="15" hidden="0" customHeight="1">
      <x:c r="A67" s="3" t="str">
        <x:v>EXP001</x:v>
      </x:c>
      <x:c r="B67" s="3" t="str">
        <x:v>Balanced</x:v>
      </x:c>
      <x:c r="C67" s="18" t="n">
        <x:v>6107</x:v>
      </x:c>
      <x:c r="D67" s="3" t="str">
        <x:v>Full</x:v>
      </x:c>
      <x:c r="E67" s="18" t="n">
        <x:v>800</x:v>
      </x:c>
      <x:c r="F67" s="21" t="n">
        <x:v>507.63617815651645</x:v>
      </x:c>
      <x:c r="G67" s="21" t="n">
        <x:f>F62</x:f>
        <x:v>498.7763936145985</x:v>
      </x:c>
      <x:c r="H67" s="21" t="n">
        <x:f>F67</x:f>
        <x:v>507.63617815651645</x:v>
      </x:c>
      <x:c r="I67" s="27" t="n">
        <x:f>IF(AND(ISNUMBER(G67),ISNUMBER(H67),H67&gt;0),G67/H67-1,"")</x:f>
        <x:v>-0.017453020338487946</x:v>
      </x:c>
      <x:c r="J67" s="27" t="n">
        <x:f>IF(AND(ISNUMBER(G67),F67&gt;0),G67/F67-1,"")</x:f>
        <x:v>-0.017453020338487946</x:v>
      </x:c>
      <x:c r="K67" s="19" t="str">
        <x:v>Balanced/EXP001/results/seed6107_Full.json</x:v>
      </x:c>
    </x:row>
    <x:row r="68" ht="15" hidden="0" customHeight="1">
      <x:c r="A68" s="3" t="str">
        <x:v>EXP001</x:v>
      </x:c>
      <x:c r="B68" s="3" t="str">
        <x:v>Balanced</x:v>
      </x:c>
      <x:c r="C68" s="18" t="n">
        <x:v>6107</x:v>
      </x:c>
      <x:c r="D68" s="3" t="str">
        <x:v>Relative cutoff 1e-2</x:v>
      </x:c>
      <x:c r="E68" s="18" t="n">
        <x:v>800</x:v>
      </x:c>
      <x:c r="F68" s="21" t="n">
        <x:v>595.2346154382312</x:v>
      </x:c>
      <x:c r="G68" s="21" t="n">
        <x:f>F62</x:f>
        <x:v>498.7763936145985</x:v>
      </x:c>
      <x:c r="H68" s="21" t="n">
        <x:f>F67</x:f>
        <x:v>507.63617815651645</x:v>
      </x:c>
      <x:c r="I68" s="27" t="n">
        <x:f>IF(AND(ISNUMBER(G68),ISNUMBER(H68),H68&gt;0),G68/H68-1,"")</x:f>
        <x:v>-0.017453020338487946</x:v>
      </x:c>
      <x:c r="J68" s="27" t="n">
        <x:f>IF(AND(ISNUMBER(G68),F68&gt;0),G68/F68-1,"")</x:f>
        <x:v>-0.1620507600227803</x:v>
      </x:c>
      <x:c r="K68" s="19" t="str">
        <x:v>Balanced/EXP001/results/seed6107_Relative_cutoff_1e-2.json</x:v>
      </x:c>
    </x:row>
    <x:row r="69" ht="15" hidden="0" customHeight="1">
      <x:c r="A69" s="3" t="str">
        <x:v>EXP001</x:v>
      </x:c>
      <x:c r="B69" s="3" t="str">
        <x:v>Balanced</x:v>
      </x:c>
      <x:c r="C69" s="18" t="n">
        <x:v>6107</x:v>
      </x:c>
      <x:c r="D69" s="3" t="str">
        <x:v>Relative cutoff 1e-4</x:v>
      </x:c>
      <x:c r="E69" s="18" t="n">
        <x:v>800</x:v>
      </x:c>
      <x:c r="F69" s="21" t="n">
        <x:v>529.0835322455184</x:v>
      </x:c>
      <x:c r="G69" s="21" t="n">
        <x:f>F62</x:f>
        <x:v>498.7763936145985</x:v>
      </x:c>
      <x:c r="H69" s="21" t="n">
        <x:f>F67</x:f>
        <x:v>507.63617815651645</x:v>
      </x:c>
      <x:c r="I69" s="27" t="n">
        <x:f>IF(AND(ISNUMBER(G69),ISNUMBER(H69),H69&gt;0),G69/H69-1,"")</x:f>
        <x:v>-0.017453020338487946</x:v>
      </x:c>
      <x:c r="J69" s="27" t="n">
        <x:f>IF(AND(ISNUMBER(G69),F69&gt;0),G69/F69-1,"")</x:f>
        <x:v>-0.05728233215328293</x:v>
      </x:c>
      <x:c r="K69" s="19" t="str">
        <x:v>Balanced/EXP001/results/seed6107_Relative_cutoff_1e-4.json</x:v>
      </x:c>
    </x:row>
    <x:row r="70" ht="15" hidden="0" customHeight="1">
      <x:c r="A70" s="3" t="str">
        <x:v>EXP001</x:v>
      </x:c>
      <x:c r="B70" s="3" t="str">
        <x:v>Balanced</x:v>
      </x:c>
      <x:c r="C70" s="18" t="n">
        <x:v>6108</x:v>
      </x:c>
      <x:c r="D70" s="3" t="str">
        <x:v>BBP</x:v>
      </x:c>
      <x:c r="E70" s="18" t="n">
        <x:v>800</x:v>
      </x:c>
      <x:c r="F70" s="21" t="n">
        <x:v>588.8587514554654</x:v>
      </x:c>
      <x:c r="G70" s="21" t="n">
        <x:f>F70</x:f>
        <x:v>588.8587514554654</x:v>
      </x:c>
      <x:c r="H70" s="21" t="n">
        <x:f>F75</x:f>
        <x:v>598.9596618653411</x:v>
      </x:c>
      <x:c r="I70" s="27" t="n">
        <x:f>IF(AND(ISNUMBER(G70),ISNUMBER(H70),H70&gt;0),G70/H70-1,"")</x:f>
        <x:v>-0.016864091278565252</x:v>
      </x:c>
      <x:c r="J70" s="27" t="n">
        <x:f>IF(AND(ISNUMBER(G70),F70&gt;0),G70/F70-1,"")</x:f>
        <x:v>0</x:v>
      </x:c>
      <x:c r="K70" s="19" t="str">
        <x:v>Balanced/EXP001/results/seed6108_BBP.json</x:v>
      </x:c>
    </x:row>
    <x:row r="71" ht="15" hidden="0" customHeight="1">
      <x:c r="A71" s="3" t="str">
        <x:v>EXP001</x:v>
      </x:c>
      <x:c r="B71" s="3" t="str">
        <x:v>Balanced</x:v>
      </x:c>
      <x:c r="C71" s="18" t="n">
        <x:v>6108</x:v>
      </x:c>
      <x:c r="D71" s="3" t="str">
        <x:v>Relative cutoff 1e-5</x:v>
      </x:c>
      <x:c r="E71" s="18" t="n">
        <x:v>800</x:v>
      </x:c>
      <x:c r="F71" s="21" t="n">
        <x:v>617.3426797870317</x:v>
      </x:c>
      <x:c r="G71" s="21" t="n">
        <x:f>F70</x:f>
        <x:v>588.8587514554654</x:v>
      </x:c>
      <x:c r="H71" s="21" t="n">
        <x:f>F75</x:f>
        <x:v>598.9596618653411</x:v>
      </x:c>
      <x:c r="I71" s="27" t="n">
        <x:f>IF(AND(ISNUMBER(G71),ISNUMBER(H71),H71&gt;0),G71/H71-1,"")</x:f>
        <x:v>-0.016864091278565252</x:v>
      </x:c>
      <x:c r="J71" s="27" t="n">
        <x:f>IF(AND(ISNUMBER(G71),F71&gt;0),G71/F71-1,"")</x:f>
        <x:v>-0.046139574120150795</x:v>
      </x:c>
      <x:c r="K71" s="19" t="str">
        <x:v>Balanced/EXP001/results/seed6108_Relative_cutoff_1e-5.json</x:v>
      </x:c>
    </x:row>
    <x:row r="72" ht="15" hidden="0" customHeight="1">
      <x:c r="A72" s="3" t="str">
        <x:v>EXP001</x:v>
      </x:c>
      <x:c r="B72" s="3" t="str">
        <x:v>Balanced</x:v>
      </x:c>
      <x:c r="C72" s="18" t="n">
        <x:v>6108</x:v>
      </x:c>
      <x:c r="D72" s="3" t="str">
        <x:v>Fixed rank 10</x:v>
      </x:c>
      <x:c r="E72" s="18" t="n">
        <x:v>800</x:v>
      </x:c>
      <x:c r="F72" s="21" t="n">
        <x:v>629.5579587160255</x:v>
      </x:c>
      <x:c r="G72" s="21" t="n">
        <x:f>F70</x:f>
        <x:v>588.8587514554654</x:v>
      </x:c>
      <x:c r="H72" s="21" t="n">
        <x:f>F75</x:f>
        <x:v>598.9596618653411</x:v>
      </x:c>
      <x:c r="I72" s="27" t="n">
        <x:f>IF(AND(ISNUMBER(G72),ISNUMBER(H72),H72&gt;0),G72/H72-1,"")</x:f>
        <x:v>-0.016864091278565252</x:v>
      </x:c>
      <x:c r="J72" s="27" t="n">
        <x:f>IF(AND(ISNUMBER(G72),F72&gt;0),G72/F72-1,"")</x:f>
        <x:v>-0.06464727623103295</x:v>
      </x:c>
      <x:c r="K72" s="19" t="str">
        <x:v>Balanced/EXP001/results/seed6108_Fixed_rank_10.json</x:v>
      </x:c>
    </x:row>
    <x:row r="73" ht="15" hidden="0" customHeight="1">
      <x:c r="A73" s="3" t="str">
        <x:v>EXP001</x:v>
      </x:c>
      <x:c r="B73" s="3" t="str">
        <x:v>Balanced</x:v>
      </x:c>
      <x:c r="C73" s="18" t="n">
        <x:v>6108</x:v>
      </x:c>
      <x:c r="D73" s="3" t="str">
        <x:v>Fixed rank 25</x:v>
      </x:c>
      <x:c r="E73" s="18" t="n">
        <x:v>800</x:v>
      </x:c>
      <x:c r="F73" s="21" t="n">
        <x:v>589.8693114397975</x:v>
      </x:c>
      <x:c r="G73" s="21" t="n">
        <x:f>F70</x:f>
        <x:v>588.8587514554654</x:v>
      </x:c>
      <x:c r="H73" s="21" t="n">
        <x:f>F75</x:f>
        <x:v>598.9596618653411</x:v>
      </x:c>
      <x:c r="I73" s="27" t="n">
        <x:f>IF(AND(ISNUMBER(G73),ISNUMBER(H73),H73&gt;0),G73/H73-1,"")</x:f>
        <x:v>-0.016864091278565252</x:v>
      </x:c>
      <x:c r="J73" s="27" t="n">
        <x:f>IF(AND(ISNUMBER(G73),F73&gt;0),G73/F73-1,"")</x:f>
        <x:v>-0.0017131930153569952</x:v>
      </x:c>
      <x:c r="K73" s="19" t="str">
        <x:v>Balanced/EXP001/results/seed6108_Fixed_rank_25.json</x:v>
      </x:c>
    </x:row>
    <x:row r="74" ht="15" hidden="0" customHeight="1">
      <x:c r="A74" s="3" t="str">
        <x:v>EXP001</x:v>
      </x:c>
      <x:c r="B74" s="3" t="str">
        <x:v>Balanced</x:v>
      </x:c>
      <x:c r="C74" s="18" t="n">
        <x:v>6108</x:v>
      </x:c>
      <x:c r="D74" s="3" t="str">
        <x:v>Relative cutoff 1e-6</x:v>
      </x:c>
      <x:c r="E74" s="18" t="n">
        <x:v>800</x:v>
      </x:c>
      <x:c r="F74" s="21" t="n">
        <x:v>585.319005828956</x:v>
      </x:c>
      <x:c r="G74" s="21" t="n">
        <x:f>F70</x:f>
        <x:v>588.8587514554654</x:v>
      </x:c>
      <x:c r="H74" s="21" t="n">
        <x:f>F75</x:f>
        <x:v>598.9596618653411</x:v>
      </x:c>
      <x:c r="I74" s="27" t="n">
        <x:f>IF(AND(ISNUMBER(G74),ISNUMBER(H74),H74&gt;0),G74/H74-1,"")</x:f>
        <x:v>-0.016864091278565252</x:v>
      </x:c>
      <x:c r="J74" s="27" t="n">
        <x:f>IF(AND(ISNUMBER(G74),F74&gt;0),G74/F74-1,"")</x:f>
        <x:v>0.006047549441003053</x:v>
      </x:c>
      <x:c r="K74" s="19" t="str">
        <x:v>Balanced/EXP001/results/seed6108_Relative_cutoff_1e-6.json</x:v>
      </x:c>
    </x:row>
    <x:row r="75" ht="15" hidden="0" customHeight="1">
      <x:c r="A75" s="3" t="str">
        <x:v>EXP001</x:v>
      </x:c>
      <x:c r="B75" s="3" t="str">
        <x:v>Balanced</x:v>
      </x:c>
      <x:c r="C75" s="18" t="n">
        <x:v>6108</x:v>
      </x:c>
      <x:c r="D75" s="3" t="str">
        <x:v>Full</x:v>
      </x:c>
      <x:c r="E75" s="18" t="n">
        <x:v>800</x:v>
      </x:c>
      <x:c r="F75" s="21" t="n">
        <x:v>598.9596618653411</x:v>
      </x:c>
      <x:c r="G75" s="21" t="n">
        <x:f>F70</x:f>
        <x:v>588.8587514554654</x:v>
      </x:c>
      <x:c r="H75" s="21" t="n">
        <x:f>F75</x:f>
        <x:v>598.9596618653411</x:v>
      </x:c>
      <x:c r="I75" s="27" t="n">
        <x:f>IF(AND(ISNUMBER(G75),ISNUMBER(H75),H75&gt;0),G75/H75-1,"")</x:f>
        <x:v>-0.016864091278565252</x:v>
      </x:c>
      <x:c r="J75" s="27" t="n">
        <x:f>IF(AND(ISNUMBER(G75),F75&gt;0),G75/F75-1,"")</x:f>
        <x:v>-0.016864091278565252</x:v>
      </x:c>
      <x:c r="K75" s="19" t="str">
        <x:v>Balanced/EXP001/results/seed6108_Full.json</x:v>
      </x:c>
    </x:row>
    <x:row r="76" ht="15" hidden="0" customHeight="1">
      <x:c r="A76" s="3" t="str">
        <x:v>EXP001</x:v>
      </x:c>
      <x:c r="B76" s="3" t="str">
        <x:v>Balanced</x:v>
      </x:c>
      <x:c r="C76" s="18" t="n">
        <x:v>6108</x:v>
      </x:c>
      <x:c r="D76" s="3" t="str">
        <x:v>Relative cutoff 1e-2</x:v>
      </x:c>
      <x:c r="E76" s="18" t="n">
        <x:v>800</x:v>
      </x:c>
      <x:c r="F76" s="21" t="n">
        <x:v>708.0386049347804</x:v>
      </x:c>
      <x:c r="G76" s="21" t="n">
        <x:f>F70</x:f>
        <x:v>588.8587514554654</x:v>
      </x:c>
      <x:c r="H76" s="21" t="n">
        <x:f>F75</x:f>
        <x:v>598.9596618653411</x:v>
      </x:c>
      <x:c r="I76" s="27" t="n">
        <x:f>IF(AND(ISNUMBER(G76),ISNUMBER(H76),H76&gt;0),G76/H76-1,"")</x:f>
        <x:v>-0.016864091278565252</x:v>
      </x:c>
      <x:c r="J76" s="27" t="n">
        <x:f>IF(AND(ISNUMBER(G76),F76&gt;0),G76/F76-1,"")</x:f>
        <x:v>-0.16832394822637253</x:v>
      </x:c>
      <x:c r="K76" s="19" t="str">
        <x:v>Balanced/EXP001/results/seed6108_Relative_cutoff_1e-2.json</x:v>
      </x:c>
    </x:row>
    <x:row r="77" ht="15" hidden="0" customHeight="1">
      <x:c r="A77" s="3" t="str">
        <x:v>EXP001</x:v>
      </x:c>
      <x:c r="B77" s="3" t="str">
        <x:v>Balanced</x:v>
      </x:c>
      <x:c r="C77" s="18" t="n">
        <x:v>6108</x:v>
      </x:c>
      <x:c r="D77" s="3" t="str">
        <x:v>Relative cutoff 1e-4</x:v>
      </x:c>
      <x:c r="E77" s="18" t="n">
        <x:v>800</x:v>
      </x:c>
      <x:c r="F77" s="21" t="n">
        <x:v>658.7996597530057</x:v>
      </x:c>
      <x:c r="G77" s="21" t="n">
        <x:f>F70</x:f>
        <x:v>588.8587514554654</x:v>
      </x:c>
      <x:c r="H77" s="21" t="n">
        <x:f>F75</x:f>
        <x:v>598.9596618653411</x:v>
      </x:c>
      <x:c r="I77" s="27" t="n">
        <x:f>IF(AND(ISNUMBER(G77),ISNUMBER(H77),H77&gt;0),G77/H77-1,"")</x:f>
        <x:v>-0.016864091278565252</x:v>
      </x:c>
      <x:c r="J77" s="27" t="n">
        <x:f>IF(AND(ISNUMBER(G77),F77&gt;0),G77/F77-1,"")</x:f>
        <x:v>-0.10616415364234133</x:v>
      </x:c>
      <x:c r="K77" s="19" t="str">
        <x:v>Balanced/EXP001/results/seed6108_Relative_cutoff_1e-4.json</x:v>
      </x:c>
    </x:row>
    <x:row r="78" ht="15" hidden="0" customHeight="1">
      <x:c r="A78" s="3" t="str">
        <x:v>EXP001</x:v>
      </x:c>
      <x:c r="B78" s="3" t="str">
        <x:v>Balanced</x:v>
      </x:c>
      <x:c r="C78" s="18" t="n">
        <x:v>6109</x:v>
      </x:c>
      <x:c r="D78" s="3" t="str">
        <x:v>BBP</x:v>
      </x:c>
      <x:c r="E78" s="18" t="n">
        <x:v>800</x:v>
      </x:c>
      <x:c r="F78" s="21" t="n">
        <x:v>644.4184508470881</x:v>
      </x:c>
      <x:c r="G78" s="21" t="n">
        <x:f>F78</x:f>
        <x:v>644.4184508470881</x:v>
      </x:c>
      <x:c r="H78" s="21" t="n">
        <x:f>F83</x:f>
        <x:v>651.0008641308964</x:v>
      </x:c>
      <x:c r="I78" s="27" t="n">
        <x:f>IF(AND(ISNUMBER(G78),ISNUMBER(H78),H78&gt;0),G78/H78-1,"")</x:f>
        <x:v>-0.01011122050136748</x:v>
      </x:c>
      <x:c r="J78" s="27" t="n">
        <x:f>IF(AND(ISNUMBER(G78),F78&gt;0),G78/F78-1,"")</x:f>
        <x:v>0</x:v>
      </x:c>
      <x:c r="K78" s="19" t="str">
        <x:v>Balanced/EXP001/results/seed6109_BBP.json</x:v>
      </x:c>
    </x:row>
    <x:row r="79" ht="15" hidden="0" customHeight="1">
      <x:c r="A79" s="3" t="str">
        <x:v>EXP001</x:v>
      </x:c>
      <x:c r="B79" s="3" t="str">
        <x:v>Balanced</x:v>
      </x:c>
      <x:c r="C79" s="18" t="n">
        <x:v>6109</x:v>
      </x:c>
      <x:c r="D79" s="3" t="str">
        <x:v>Relative cutoff 1e-5</x:v>
      </x:c>
      <x:c r="E79" s="18" t="n">
        <x:v>800</x:v>
      </x:c>
      <x:c r="F79" s="21" t="n">
        <x:v>605.0403375695811</x:v>
      </x:c>
      <x:c r="G79" s="21" t="n">
        <x:f>F78</x:f>
        <x:v>644.4184508470881</x:v>
      </x:c>
      <x:c r="H79" s="21" t="n">
        <x:f>F83</x:f>
        <x:v>651.0008641308964</x:v>
      </x:c>
      <x:c r="I79" s="27" t="n">
        <x:f>IF(AND(ISNUMBER(G79),ISNUMBER(H79),H79&gt;0),G79/H79-1,"")</x:f>
        <x:v>-0.01011122050136748</x:v>
      </x:c>
      <x:c r="J79" s="27" t="n">
        <x:f>IF(AND(ISNUMBER(G79),F79&gt;0),G79/F79-1,"")</x:f>
        <x:v>0.0650834511888696</x:v>
      </x:c>
      <x:c r="K79" s="19" t="str">
        <x:v>Balanced/EXP001/results/seed6109_Relative_cutoff_1e-5.json</x:v>
      </x:c>
    </x:row>
    <x:row r="80" ht="15" hidden="0" customHeight="1">
      <x:c r="A80" s="3" t="str">
        <x:v>EXP001</x:v>
      </x:c>
      <x:c r="B80" s="3" t="str">
        <x:v>Balanced</x:v>
      </x:c>
      <x:c r="C80" s="18" t="n">
        <x:v>6109</x:v>
      </x:c>
      <x:c r="D80" s="3" t="str">
        <x:v>Fixed rank 10</x:v>
      </x:c>
      <x:c r="E80" s="18" t="n">
        <x:v>800</x:v>
      </x:c>
      <x:c r="F80" s="21" t="n">
        <x:v>616.7953993341924</x:v>
      </x:c>
      <x:c r="G80" s="21" t="n">
        <x:f>F78</x:f>
        <x:v>644.4184508470881</x:v>
      </x:c>
      <x:c r="H80" s="21" t="n">
        <x:f>F83</x:f>
        <x:v>651.0008641308964</x:v>
      </x:c>
      <x:c r="I80" s="27" t="n">
        <x:f>IF(AND(ISNUMBER(G80),ISNUMBER(H80),H80&gt;0),G80/H80-1,"")</x:f>
        <x:v>-0.01011122050136748</x:v>
      </x:c>
      <x:c r="J80" s="27" t="n">
        <x:f>IF(AND(ISNUMBER(G80),F80&gt;0),G80/F80-1,"")</x:f>
        <x:v>0.044784788509631746</x:v>
      </x:c>
      <x:c r="K80" s="19" t="str">
        <x:v>Balanced/EXP001/results/seed6109_Fixed_rank_10.json</x:v>
      </x:c>
    </x:row>
    <x:row r="81" ht="15" hidden="0" customHeight="1">
      <x:c r="A81" s="3" t="str">
        <x:v>EXP001</x:v>
      </x:c>
      <x:c r="B81" s="3" t="str">
        <x:v>Balanced</x:v>
      </x:c>
      <x:c r="C81" s="18" t="n">
        <x:v>6109</x:v>
      </x:c>
      <x:c r="D81" s="3" t="str">
        <x:v>Fixed rank 25</x:v>
      </x:c>
      <x:c r="E81" s="18" t="n">
        <x:v>800</x:v>
      </x:c>
      <x:c r="F81" s="21" t="n">
        <x:v>660.2579099636325</x:v>
      </x:c>
      <x:c r="G81" s="21" t="n">
        <x:f>F78</x:f>
        <x:v>644.4184508470881</x:v>
      </x:c>
      <x:c r="H81" s="21" t="n">
        <x:f>F83</x:f>
        <x:v>651.0008641308964</x:v>
      </x:c>
      <x:c r="I81" s="27" t="n">
        <x:f>IF(AND(ISNUMBER(G81),ISNUMBER(H81),H81&gt;0),G81/H81-1,"")</x:f>
        <x:v>-0.01011122050136748</x:v>
      </x:c>
      <x:c r="J81" s="27" t="n">
        <x:f>IF(AND(ISNUMBER(G81),F81&gt;0),G81/F81-1,"")</x:f>
        <x:v>-0.023989805919048868</x:v>
      </x:c>
      <x:c r="K81" s="19" t="str">
        <x:v>Balanced/EXP001/results/seed6109_Fixed_rank_25.json</x:v>
      </x:c>
    </x:row>
    <x:row r="82" ht="15" hidden="0" customHeight="1">
      <x:c r="A82" s="3" t="str">
        <x:v>EXP001</x:v>
      </x:c>
      <x:c r="B82" s="3" t="str">
        <x:v>Balanced</x:v>
      </x:c>
      <x:c r="C82" s="18" t="n">
        <x:v>6109</x:v>
      </x:c>
      <x:c r="D82" s="3" t="str">
        <x:v>Relative cutoff 1e-6</x:v>
      </x:c>
      <x:c r="E82" s="18" t="n">
        <x:v>800</x:v>
      </x:c>
      <x:c r="F82" s="21" t="n">
        <x:v>578.231664950423</x:v>
      </x:c>
      <x:c r="G82" s="21" t="n">
        <x:f>F78</x:f>
        <x:v>644.4184508470881</x:v>
      </x:c>
      <x:c r="H82" s="21" t="n">
        <x:f>F83</x:f>
        <x:v>651.0008641308964</x:v>
      </x:c>
      <x:c r="I82" s="27" t="n">
        <x:f>IF(AND(ISNUMBER(G82),ISNUMBER(H82),H82&gt;0),G82/H82-1,"")</x:f>
        <x:v>-0.01011122050136748</x:v>
      </x:c>
      <x:c r="J82" s="27" t="n">
        <x:f>IF(AND(ISNUMBER(G82),F82&gt;0),G82/F82-1,"")</x:f>
        <x:v>0.11446413247247533</x:v>
      </x:c>
      <x:c r="K82" s="19" t="str">
        <x:v>Balanced/EXP001/results/seed6109_Relative_cutoff_1e-6.json</x:v>
      </x:c>
    </x:row>
    <x:row r="83" ht="15" hidden="0" customHeight="1">
      <x:c r="A83" s="3" t="str">
        <x:v>EXP001</x:v>
      </x:c>
      <x:c r="B83" s="3" t="str">
        <x:v>Balanced</x:v>
      </x:c>
      <x:c r="C83" s="18" t="n">
        <x:v>6109</x:v>
      </x:c>
      <x:c r="D83" s="3" t="str">
        <x:v>Full</x:v>
      </x:c>
      <x:c r="E83" s="18" t="n">
        <x:v>800</x:v>
      </x:c>
      <x:c r="F83" s="21" t="n">
        <x:v>651.0008641308964</x:v>
      </x:c>
      <x:c r="G83" s="21" t="n">
        <x:f>F78</x:f>
        <x:v>644.4184508470881</x:v>
      </x:c>
      <x:c r="H83" s="21" t="n">
        <x:f>F83</x:f>
        <x:v>651.0008641308964</x:v>
      </x:c>
      <x:c r="I83" s="27" t="n">
        <x:f>IF(AND(ISNUMBER(G83),ISNUMBER(H83),H83&gt;0),G83/H83-1,"")</x:f>
        <x:v>-0.01011122050136748</x:v>
      </x:c>
      <x:c r="J83" s="27" t="n">
        <x:f>IF(AND(ISNUMBER(G83),F83&gt;0),G83/F83-1,"")</x:f>
        <x:v>-0.01011122050136748</x:v>
      </x:c>
      <x:c r="K83" s="19" t="str">
        <x:v>Balanced/EXP001/results/seed6109_Full.json</x:v>
      </x:c>
    </x:row>
    <x:row r="84" ht="15" hidden="0" customHeight="1">
      <x:c r="A84" s="3" t="str">
        <x:v>EXP001</x:v>
      </x:c>
      <x:c r="B84" s="3" t="str">
        <x:v>Balanced</x:v>
      </x:c>
      <x:c r="C84" s="18" t="n">
        <x:v>6109</x:v>
      </x:c>
      <x:c r="D84" s="3" t="str">
        <x:v>Relative cutoff 1e-2</x:v>
      </x:c>
      <x:c r="E84" s="18" t="n">
        <x:v>800</x:v>
      </x:c>
      <x:c r="F84" s="21" t="n">
        <x:v>851.6065891115136</x:v>
      </x:c>
      <x:c r="G84" s="21" t="n">
        <x:f>F78</x:f>
        <x:v>644.4184508470881</x:v>
      </x:c>
      <x:c r="H84" s="21" t="n">
        <x:f>F83</x:f>
        <x:v>651.0008641308964</x:v>
      </x:c>
      <x:c r="I84" s="27" t="n">
        <x:f>IF(AND(ISNUMBER(G84),ISNUMBER(H84),H84&gt;0),G84/H84-1,"")</x:f>
        <x:v>-0.01011122050136748</x:v>
      </x:c>
      <x:c r="J84" s="27" t="n">
        <x:f>IF(AND(ISNUMBER(G84),F84&gt;0),G84/F84-1,"")</x:f>
        <x:v>-0.2432909055818675</x:v>
      </x:c>
      <x:c r="K84" s="19" t="str">
        <x:v>Balanced/EXP001/results/seed6109_Relative_cutoff_1e-2.json</x:v>
      </x:c>
    </x:row>
    <x:row r="85" ht="15" hidden="0" customHeight="1">
      <x:c r="A85" s="3" t="str">
        <x:v>EXP001</x:v>
      </x:c>
      <x:c r="B85" s="3" t="str">
        <x:v>Balanced</x:v>
      </x:c>
      <x:c r="C85" s="18" t="n">
        <x:v>6109</x:v>
      </x:c>
      <x:c r="D85" s="3" t="str">
        <x:v>Relative cutoff 1e-4</x:v>
      </x:c>
      <x:c r="E85" s="18" t="n">
        <x:v>800</x:v>
      </x:c>
      <x:c r="F85" s="21" t="n">
        <x:v>529.9040685945834</x:v>
      </x:c>
      <x:c r="G85" s="21" t="n">
        <x:f>F78</x:f>
        <x:v>644.4184508470881</x:v>
      </x:c>
      <x:c r="H85" s="21" t="n">
        <x:f>F83</x:f>
        <x:v>651.0008641308964</x:v>
      </x:c>
      <x:c r="I85" s="27" t="n">
        <x:f>IF(AND(ISNUMBER(G85),ISNUMBER(H85),H85&gt;0),G85/H85-1,"")</x:f>
        <x:v>-0.01011122050136748</x:v>
      </x:c>
      <x:c r="J85" s="27" t="n">
        <x:f>IF(AND(ISNUMBER(G85),F85&gt;0),G85/F85-1,"")</x:f>
        <x:v>0.2161039875693367</x:v>
      </x:c>
      <x:c r="K85" s="19" t="str">
        <x:v>Balanced/EXP001/results/seed6109_Relative_cutoff_1e-4.json</x:v>
      </x:c>
    </x:row>
    <x:row r="86" ht="15" hidden="0" customHeight="1">
      <x:c r="A86" s="3" t="str">
        <x:v>EXP001</x:v>
      </x:c>
      <x:c r="B86" s="3" t="str">
        <x:v>Balanced</x:v>
      </x:c>
      <x:c r="C86" s="18" t="n">
        <x:v>6111</x:v>
      </x:c>
      <x:c r="D86" s="3" t="str">
        <x:v>BBP</x:v>
      </x:c>
      <x:c r="E86" s="18" t="n">
        <x:v>800</x:v>
      </x:c>
      <x:c r="F86" s="21" t="n">
        <x:v>525.7728706027018</x:v>
      </x:c>
      <x:c r="G86" s="21" t="n">
        <x:f>F86</x:f>
        <x:v>525.7728706027018</x:v>
      </x:c>
      <x:c r="H86" s="21" t="n">
        <x:f>F91</x:f>
        <x:v>573.310604454082</x:v>
      </x:c>
      <x:c r="I86" s="27" t="n">
        <x:f>IF(AND(ISNUMBER(G86),ISNUMBER(H86),H86&gt;0),G86/H86-1,"")</x:f>
        <x:v>-0.08291793921489832</x:v>
      </x:c>
      <x:c r="J86" s="27" t="n">
        <x:f>IF(AND(ISNUMBER(G86),F86&gt;0),G86/F86-1,"")</x:f>
        <x:v>0</x:v>
      </x:c>
      <x:c r="K86" s="19" t="str">
        <x:v>Balanced/EXP001/results/seed6111_BBP.json</x:v>
      </x:c>
    </x:row>
    <x:row r="87" ht="15" hidden="0" customHeight="1">
      <x:c r="A87" s="3" t="str">
        <x:v>EXP001</x:v>
      </x:c>
      <x:c r="B87" s="3" t="str">
        <x:v>Balanced</x:v>
      </x:c>
      <x:c r="C87" s="18" t="n">
        <x:v>6111</x:v>
      </x:c>
      <x:c r="D87" s="3" t="str">
        <x:v>Relative cutoff 1e-5</x:v>
      </x:c>
      <x:c r="E87" s="18" t="n">
        <x:v>800</x:v>
      </x:c>
      <x:c r="F87" s="21" t="n">
        <x:v>545.428173948356</x:v>
      </x:c>
      <x:c r="G87" s="21" t="n">
        <x:f>F86</x:f>
        <x:v>525.7728706027018</x:v>
      </x:c>
      <x:c r="H87" s="21" t="n">
        <x:f>F91</x:f>
        <x:v>573.310604454082</x:v>
      </x:c>
      <x:c r="I87" s="27" t="n">
        <x:f>IF(AND(ISNUMBER(G87),ISNUMBER(H87),H87&gt;0),G87/H87-1,"")</x:f>
        <x:v>-0.08291793921489832</x:v>
      </x:c>
      <x:c r="J87" s="27" t="n">
        <x:f>IF(AND(ISNUMBER(G87),F87&gt;0),G87/F87-1,"")</x:f>
        <x:v>-0.03603646508277958</x:v>
      </x:c>
      <x:c r="K87" s="19" t="str">
        <x:v>Balanced/EXP001/results/seed6111_Relative_cutoff_1e-5.json</x:v>
      </x:c>
    </x:row>
    <x:row r="88" ht="15" hidden="0" customHeight="1">
      <x:c r="A88" s="3" t="str">
        <x:v>EXP001</x:v>
      </x:c>
      <x:c r="B88" s="3" t="str">
        <x:v>Balanced</x:v>
      </x:c>
      <x:c r="C88" s="18" t="n">
        <x:v>6111</x:v>
      </x:c>
      <x:c r="D88" s="3" t="str">
        <x:v>Fixed rank 10</x:v>
      </x:c>
      <x:c r="E88" s="18" t="n">
        <x:v>800</x:v>
      </x:c>
      <x:c r="F88" s="21" t="n">
        <x:v>532.9144824824172</x:v>
      </x:c>
      <x:c r="G88" s="21" t="n">
        <x:f>F86</x:f>
        <x:v>525.7728706027018</x:v>
      </x:c>
      <x:c r="H88" s="21" t="n">
        <x:f>F91</x:f>
        <x:v>573.310604454082</x:v>
      </x:c>
      <x:c r="I88" s="27" t="n">
        <x:f>IF(AND(ISNUMBER(G88),ISNUMBER(H88),H88&gt;0),G88/H88-1,"")</x:f>
        <x:v>-0.08291793921489832</x:v>
      </x:c>
      <x:c r="J88" s="27" t="n">
        <x:f>IF(AND(ISNUMBER(G88),F88&gt;0),G88/F88-1,"")</x:f>
        <x:v>-0.013401046724135446</x:v>
      </x:c>
      <x:c r="K88" s="19" t="str">
        <x:v>Balanced/EXP001/results/seed6111_Fixed_rank_10.json</x:v>
      </x:c>
    </x:row>
    <x:row r="89" ht="15" hidden="0" customHeight="1">
      <x:c r="A89" s="3" t="str">
        <x:v>EXP001</x:v>
      </x:c>
      <x:c r="B89" s="3" t="str">
        <x:v>Balanced</x:v>
      </x:c>
      <x:c r="C89" s="18" t="n">
        <x:v>6111</x:v>
      </x:c>
      <x:c r="D89" s="3" t="str">
        <x:v>Fixed rank 25</x:v>
      </x:c>
      <x:c r="E89" s="18" t="n">
        <x:v>800</x:v>
      </x:c>
      <x:c r="F89" s="21" t="n">
        <x:v>528.4876806039516</x:v>
      </x:c>
      <x:c r="G89" s="21" t="n">
        <x:f>F86</x:f>
        <x:v>525.7728706027018</x:v>
      </x:c>
      <x:c r="H89" s="21" t="n">
        <x:f>F91</x:f>
        <x:v>573.310604454082</x:v>
      </x:c>
      <x:c r="I89" s="27" t="n">
        <x:f>IF(AND(ISNUMBER(G89),ISNUMBER(H89),H89&gt;0),G89/H89-1,"")</x:f>
        <x:v>-0.08291793921489832</x:v>
      </x:c>
      <x:c r="J89" s="27" t="n">
        <x:f>IF(AND(ISNUMBER(G89),F89&gt;0),G89/F89-1,"")</x:f>
        <x:v>-0.005136940937104484</x:v>
      </x:c>
      <x:c r="K89" s="19" t="str">
        <x:v>Balanced/EXP001/results/seed6111_Fixed_rank_25.json</x:v>
      </x:c>
    </x:row>
    <x:row r="90" ht="15" hidden="0" customHeight="1">
      <x:c r="A90" s="3" t="str">
        <x:v>EXP001</x:v>
      </x:c>
      <x:c r="B90" s="3" t="str">
        <x:v>Balanced</x:v>
      </x:c>
      <x:c r="C90" s="18" t="n">
        <x:v>6111</x:v>
      </x:c>
      <x:c r="D90" s="3" t="str">
        <x:v>Relative cutoff 1e-6</x:v>
      </x:c>
      <x:c r="E90" s="18" t="n">
        <x:v>800</x:v>
      </x:c>
      <x:c r="F90" s="21" t="n">
        <x:v>543.4176231806244</x:v>
      </x:c>
      <x:c r="G90" s="21" t="n">
        <x:f>F86</x:f>
        <x:v>525.7728706027018</x:v>
      </x:c>
      <x:c r="H90" s="21" t="n">
        <x:f>F91</x:f>
        <x:v>573.310604454082</x:v>
      </x:c>
      <x:c r="I90" s="27" t="n">
        <x:f>IF(AND(ISNUMBER(G90),ISNUMBER(H90),H90&gt;0),G90/H90-1,"")</x:f>
        <x:v>-0.08291793921489832</x:v>
      </x:c>
      <x:c r="J90" s="27" t="n">
        <x:f>IF(AND(ISNUMBER(G90),F90&gt;0),G90/F90-1,"")</x:f>
        <x:v>-0.03246996752635267</x:v>
      </x:c>
      <x:c r="K90" s="19" t="str">
        <x:v>Balanced/EXP001/results/seed6111_Relative_cutoff_1e-6.json</x:v>
      </x:c>
    </x:row>
    <x:row r="91" ht="15" hidden="0" customHeight="1">
      <x:c r="A91" s="3" t="str">
        <x:v>EXP001</x:v>
      </x:c>
      <x:c r="B91" s="3" t="str">
        <x:v>Balanced</x:v>
      </x:c>
      <x:c r="C91" s="18" t="n">
        <x:v>6111</x:v>
      </x:c>
      <x:c r="D91" s="3" t="str">
        <x:v>Full</x:v>
      </x:c>
      <x:c r="E91" s="18" t="n">
        <x:v>800</x:v>
      </x:c>
      <x:c r="F91" s="21" t="n">
        <x:v>573.310604454082</x:v>
      </x:c>
      <x:c r="G91" s="21" t="n">
        <x:f>F86</x:f>
        <x:v>525.7728706027018</x:v>
      </x:c>
      <x:c r="H91" s="21" t="n">
        <x:f>F91</x:f>
        <x:v>573.310604454082</x:v>
      </x:c>
      <x:c r="I91" s="27" t="n">
        <x:f>IF(AND(ISNUMBER(G91),ISNUMBER(H91),H91&gt;0),G91/H91-1,"")</x:f>
        <x:v>-0.08291793921489832</x:v>
      </x:c>
      <x:c r="J91" s="27" t="n">
        <x:f>IF(AND(ISNUMBER(G91),F91&gt;0),G91/F91-1,"")</x:f>
        <x:v>-0.08291793921489832</x:v>
      </x:c>
      <x:c r="K91" s="19" t="str">
        <x:v>Balanced/EXP001/results/seed6111_Full.json</x:v>
      </x:c>
    </x:row>
    <x:row r="92" ht="15" hidden="0" customHeight="1">
      <x:c r="A92" s="3" t="str">
        <x:v>EXP001</x:v>
      </x:c>
      <x:c r="B92" s="3" t="str">
        <x:v>Balanced</x:v>
      </x:c>
      <x:c r="C92" s="18" t="n">
        <x:v>6111</x:v>
      </x:c>
      <x:c r="D92" s="3" t="str">
        <x:v>Relative cutoff 1e-2</x:v>
      </x:c>
      <x:c r="E92" s="18" t="n">
        <x:v>800</x:v>
      </x:c>
      <x:c r="F92" s="21" t="n">
        <x:v>536.8969382022801</x:v>
      </x:c>
      <x:c r="G92" s="21" t="n">
        <x:f>F86</x:f>
        <x:v>525.7728706027018</x:v>
      </x:c>
      <x:c r="H92" s="21" t="n">
        <x:f>F91</x:f>
        <x:v>573.310604454082</x:v>
      </x:c>
      <x:c r="I92" s="27" t="n">
        <x:f>IF(AND(ISNUMBER(G92),ISNUMBER(H92),H92&gt;0),G92/H92-1,"")</x:f>
        <x:v>-0.08291793921489832</x:v>
      </x:c>
      <x:c r="J92" s="27" t="n">
        <x:f>IF(AND(ISNUMBER(G92),F92&gt;0),G92/F92-1,"")</x:f>
        <x:v>-0.020719186138080103</x:v>
      </x:c>
      <x:c r="K92" s="19" t="str">
        <x:v>Balanced/EXP001/results/seed6111_Relative_cutoff_1e-2.json</x:v>
      </x:c>
    </x:row>
    <x:row r="93" ht="15" hidden="0" customHeight="1">
      <x:c r="A93" s="3" t="str">
        <x:v>EXP001</x:v>
      </x:c>
      <x:c r="B93" s="3" t="str">
        <x:v>Balanced</x:v>
      </x:c>
      <x:c r="C93" s="18" t="n">
        <x:v>6111</x:v>
      </x:c>
      <x:c r="D93" s="3" t="str">
        <x:v>Relative cutoff 1e-4</x:v>
      </x:c>
      <x:c r="E93" s="18" t="n">
        <x:v>800</x:v>
      </x:c>
      <x:c r="F93" s="21" t="n">
        <x:v>540.5306252582906</x:v>
      </x:c>
      <x:c r="G93" s="21" t="n">
        <x:f>F86</x:f>
        <x:v>525.7728706027018</x:v>
      </x:c>
      <x:c r="H93" s="21" t="n">
        <x:f>F91</x:f>
        <x:v>573.310604454082</x:v>
      </x:c>
      <x:c r="I93" s="27" t="n">
        <x:f>IF(AND(ISNUMBER(G93),ISNUMBER(H93),H93&gt;0),G93/H93-1,"")</x:f>
        <x:v>-0.08291793921489832</x:v>
      </x:c>
      <x:c r="J93" s="27" t="n">
        <x:f>IF(AND(ISNUMBER(G93),F93&gt;0),G93/F93-1,"")</x:f>
        <x:v>-0.027302346927219556</x:v>
      </x:c>
      <x:c r="K93" s="19" t="str">
        <x:v>Balanced/EXP001/results/seed6111_Relative_cutoff_1e-4.json</x:v>
      </x:c>
    </x:row>
    <x:row r="94" ht="15" hidden="0" customHeight="1">
      <x:c r="A94" s="3" t="str">
        <x:v>EXP001</x:v>
      </x:c>
      <x:c r="B94" s="3" t="str">
        <x:v>Balanced</x:v>
      </x:c>
      <x:c r="C94" s="18" t="n">
        <x:v>6112</x:v>
      </x:c>
      <x:c r="D94" s="3" t="str">
        <x:v>BBP</x:v>
      </x:c>
      <x:c r="E94" s="18" t="n">
        <x:v>800</x:v>
      </x:c>
      <x:c r="F94" s="21" t="n">
        <x:v>548.4516149298622</x:v>
      </x:c>
      <x:c r="G94" s="21" t="n">
        <x:f>F94</x:f>
        <x:v>548.4516149298622</x:v>
      </x:c>
      <x:c r="H94" s="21" t="n">
        <x:f>F99</x:f>
        <x:v>522.1514163913067</x:v>
      </x:c>
      <x:c r="I94" s="27" t="n">
        <x:f>IF(AND(ISNUMBER(G94),ISNUMBER(H94),H94&gt;0),G94/H94-1,"")</x:f>
        <x:v>0.05036891160866985</x:v>
      </x:c>
      <x:c r="J94" s="27" t="n">
        <x:f>IF(AND(ISNUMBER(G94),F94&gt;0),G94/F94-1,"")</x:f>
        <x:v>0</x:v>
      </x:c>
      <x:c r="K94" s="19" t="str">
        <x:v>Balanced/EXP001/results/seed6112_BBP.json</x:v>
      </x:c>
    </x:row>
    <x:row r="95" ht="15" hidden="0" customHeight="1">
      <x:c r="A95" s="3" t="str">
        <x:v>EXP001</x:v>
      </x:c>
      <x:c r="B95" s="3" t="str">
        <x:v>Balanced</x:v>
      </x:c>
      <x:c r="C95" s="18" t="n">
        <x:v>6112</x:v>
      </x:c>
      <x:c r="D95" s="3" t="str">
        <x:v>Relative cutoff 1e-5</x:v>
      </x:c>
      <x:c r="E95" s="18" t="n">
        <x:v>800</x:v>
      </x:c>
      <x:c r="F95" s="21" t="n">
        <x:v>533.2173848792479</x:v>
      </x:c>
      <x:c r="G95" s="21" t="n">
        <x:f>F94</x:f>
        <x:v>548.4516149298622</x:v>
      </x:c>
      <x:c r="H95" s="21" t="n">
        <x:f>F99</x:f>
        <x:v>522.1514163913067</x:v>
      </x:c>
      <x:c r="I95" s="27" t="n">
        <x:f>IF(AND(ISNUMBER(G95),ISNUMBER(H95),H95&gt;0),G95/H95-1,"")</x:f>
        <x:v>0.05036891160866985</x:v>
      </x:c>
      <x:c r="J95" s="27" t="n">
        <x:f>IF(AND(ISNUMBER(G95),F95&gt;0),G95/F95-1,"")</x:f>
        <x:v>0.02857039264401373</x:v>
      </x:c>
      <x:c r="K95" s="19" t="str">
        <x:v>Balanced/EXP001/results/seed6112_Relative_cutoff_1e-5.json</x:v>
      </x:c>
    </x:row>
    <x:row r="96" ht="15" hidden="0" customHeight="1">
      <x:c r="A96" s="3" t="str">
        <x:v>EXP001</x:v>
      </x:c>
      <x:c r="B96" s="3" t="str">
        <x:v>Balanced</x:v>
      </x:c>
      <x:c r="C96" s="18" t="n">
        <x:v>6112</x:v>
      </x:c>
      <x:c r="D96" s="3" t="str">
        <x:v>Fixed rank 10</x:v>
      </x:c>
      <x:c r="E96" s="18" t="n">
        <x:v>800</x:v>
      </x:c>
      <x:c r="F96" s="21" t="n">
        <x:v>579.0027782891278</x:v>
      </x:c>
      <x:c r="G96" s="21" t="n">
        <x:f>F94</x:f>
        <x:v>548.4516149298622</x:v>
      </x:c>
      <x:c r="H96" s="21" t="n">
        <x:f>F99</x:f>
        <x:v>522.1514163913067</x:v>
      </x:c>
      <x:c r="I96" s="27" t="n">
        <x:f>IF(AND(ISNUMBER(G96),ISNUMBER(H96),H96&gt;0),G96/H96-1,"")</x:f>
        <x:v>0.05036891160866985</x:v>
      </x:c>
      <x:c r="J96" s="27" t="n">
        <x:f>IF(AND(ISNUMBER(G96),F96&gt;0),G96/F96-1,"")</x:f>
        <x:v>-0.05276514121320808</x:v>
      </x:c>
      <x:c r="K96" s="19" t="str">
        <x:v>Balanced/EXP001/results/seed6112_Fixed_rank_10.json</x:v>
      </x:c>
    </x:row>
    <x:row r="97" ht="15" hidden="0" customHeight="1">
      <x:c r="A97" s="3" t="str">
        <x:v>EXP001</x:v>
      </x:c>
      <x:c r="B97" s="3" t="str">
        <x:v>Balanced</x:v>
      </x:c>
      <x:c r="C97" s="18" t="n">
        <x:v>6112</x:v>
      </x:c>
      <x:c r="D97" s="3" t="str">
        <x:v>Fixed rank 25</x:v>
      </x:c>
      <x:c r="E97" s="18" t="n">
        <x:v>800</x:v>
      </x:c>
      <x:c r="F97" s="21" t="n">
        <x:v>555.4334882361476</x:v>
      </x:c>
      <x:c r="G97" s="21" t="n">
        <x:f>F94</x:f>
        <x:v>548.4516149298622</x:v>
      </x:c>
      <x:c r="H97" s="21" t="n">
        <x:f>F99</x:f>
        <x:v>522.1514163913067</x:v>
      </x:c>
      <x:c r="I97" s="27" t="n">
        <x:f>IF(AND(ISNUMBER(G97),ISNUMBER(H97),H97&gt;0),G97/H97-1,"")</x:f>
        <x:v>0.05036891160866985</x:v>
      </x:c>
      <x:c r="J97" s="27" t="n">
        <x:f>IF(AND(ISNUMBER(G97),F97&gt;0),G97/F97-1,"")</x:f>
        <x:v>-0.012570133875898004</x:v>
      </x:c>
      <x:c r="K97" s="19" t="str">
        <x:v>Balanced/EXP001/results/seed6112_Fixed_rank_25.json</x:v>
      </x:c>
    </x:row>
    <x:row r="98" ht="15" hidden="0" customHeight="1">
      <x:c r="A98" s="3" t="str">
        <x:v>EXP001</x:v>
      </x:c>
      <x:c r="B98" s="3" t="str">
        <x:v>Balanced</x:v>
      </x:c>
      <x:c r="C98" s="18" t="n">
        <x:v>6112</x:v>
      </x:c>
      <x:c r="D98" s="3" t="str">
        <x:v>Relative cutoff 1e-6</x:v>
      </x:c>
      <x:c r="E98" s="18" t="n">
        <x:v>800</x:v>
      </x:c>
      <x:c r="F98" s="21" t="n">
        <x:v>545.9426715193405</x:v>
      </x:c>
      <x:c r="G98" s="21" t="n">
        <x:f>F94</x:f>
        <x:v>548.4516149298622</x:v>
      </x:c>
      <x:c r="H98" s="21" t="n">
        <x:f>F99</x:f>
        <x:v>522.1514163913067</x:v>
      </x:c>
      <x:c r="I98" s="27" t="n">
        <x:f>IF(AND(ISNUMBER(G98),ISNUMBER(H98),H98&gt;0),G98/H98-1,"")</x:f>
        <x:v>0.05036891160866985</x:v>
      </x:c>
      <x:c r="J98" s="27" t="n">
        <x:f>IF(AND(ISNUMBER(G98),F98&gt;0),G98/F98-1,"")</x:f>
        <x:v>0.00459561697849975</x:v>
      </x:c>
      <x:c r="K98" s="19" t="str">
        <x:v>Balanced/EXP001/results/seed6112_Relative_cutoff_1e-6.json</x:v>
      </x:c>
    </x:row>
    <x:row r="99" ht="15" hidden="0" customHeight="1">
      <x:c r="A99" s="3" t="str">
        <x:v>EXP001</x:v>
      </x:c>
      <x:c r="B99" s="3" t="str">
        <x:v>Balanced</x:v>
      </x:c>
      <x:c r="C99" s="18" t="n">
        <x:v>6112</x:v>
      </x:c>
      <x:c r="D99" s="3" t="str">
        <x:v>Full</x:v>
      </x:c>
      <x:c r="E99" s="18" t="n">
        <x:v>800</x:v>
      </x:c>
      <x:c r="F99" s="21" t="n">
        <x:v>522.1514163913067</x:v>
      </x:c>
      <x:c r="G99" s="21" t="n">
        <x:f>F94</x:f>
        <x:v>548.4516149298622</x:v>
      </x:c>
      <x:c r="H99" s="21" t="n">
        <x:f>F99</x:f>
        <x:v>522.1514163913067</x:v>
      </x:c>
      <x:c r="I99" s="27" t="n">
        <x:f>IF(AND(ISNUMBER(G99),ISNUMBER(H99),H99&gt;0),G99/H99-1,"")</x:f>
        <x:v>0.05036891160866985</x:v>
      </x:c>
      <x:c r="J99" s="27" t="n">
        <x:f>IF(AND(ISNUMBER(G99),F99&gt;0),G99/F99-1,"")</x:f>
        <x:v>0.05036891160866985</x:v>
      </x:c>
      <x:c r="K99" s="19" t="str">
        <x:v>Balanced/EXP001/results/seed6112_Full.json</x:v>
      </x:c>
    </x:row>
    <x:row r="100" ht="15" hidden="0" customHeight="1">
      <x:c r="A100" s="3" t="str">
        <x:v>EXP001</x:v>
      </x:c>
      <x:c r="B100" s="3" t="str">
        <x:v>Balanced</x:v>
      </x:c>
      <x:c r="C100" s="18" t="n">
        <x:v>6112</x:v>
      </x:c>
      <x:c r="D100" s="3" t="str">
        <x:v>Relative cutoff 1e-2</x:v>
      </x:c>
      <x:c r="E100" s="18" t="n">
        <x:v>800</x:v>
      </x:c>
      <x:c r="F100" s="21" t="n">
        <x:v>668.9685826620384</x:v>
      </x:c>
      <x:c r="G100" s="21" t="n">
        <x:f>F94</x:f>
        <x:v>548.4516149298622</x:v>
      </x:c>
      <x:c r="H100" s="21" t="n">
        <x:f>F99</x:f>
        <x:v>522.1514163913067</x:v>
      </x:c>
      <x:c r="I100" s="27" t="n">
        <x:f>IF(AND(ISNUMBER(G100),ISNUMBER(H100),H100&gt;0),G100/H100-1,"")</x:f>
        <x:v>0.05036891160866985</x:v>
      </x:c>
      <x:c r="J100" s="27" t="n">
        <x:f>IF(AND(ISNUMBER(G100),F100&gt;0),G100/F100-1,"")</x:f>
        <x:v>-0.18015340459278517</x:v>
      </x:c>
      <x:c r="K100" s="19" t="str">
        <x:v>Balanced/EXP001/results/seed6112_Relative_cutoff_1e-2.json</x:v>
      </x:c>
    </x:row>
    <x:row r="101" ht="15" hidden="0" customHeight="1">
      <x:c r="A101" s="3" t="str">
        <x:v>EXP001</x:v>
      </x:c>
      <x:c r="B101" s="3" t="str">
        <x:v>Balanced</x:v>
      </x:c>
      <x:c r="C101" s="18" t="n">
        <x:v>6112</x:v>
      </x:c>
      <x:c r="D101" s="3" t="str">
        <x:v>Relative cutoff 1e-4</x:v>
      </x:c>
      <x:c r="E101" s="18" t="n">
        <x:v>800</x:v>
      </x:c>
      <x:c r="F101" s="21" t="n">
        <x:v>574.8592372492832</x:v>
      </x:c>
      <x:c r="G101" s="21" t="n">
        <x:f>F94</x:f>
        <x:v>548.4516149298622</x:v>
      </x:c>
      <x:c r="H101" s="21" t="n">
        <x:f>F99</x:f>
        <x:v>522.1514163913067</x:v>
      </x:c>
      <x:c r="I101" s="27" t="n">
        <x:f>IF(AND(ISNUMBER(G101),ISNUMBER(H101),H101&gt;0),G101/H101-1,"")</x:f>
        <x:v>0.05036891160866985</x:v>
      </x:c>
      <x:c r="J101" s="27" t="n">
        <x:f>IF(AND(ISNUMBER(G101),F101&gt;0),G101/F101-1,"")</x:f>
        <x:v>-0.04593754541682615</x:v>
      </x:c>
      <x:c r="K101" s="19" t="str">
        <x:v>Balanced/EXP001/results/seed6112_Relative_cutoff_1e-4.json</x:v>
      </x:c>
    </x:row>
    <x:row r="102" ht="15" hidden="0" customHeight="1">
      <x:c r="A102" s="3" t="str">
        <x:v>EXP001</x:v>
      </x:c>
      <x:c r="B102" s="3" t="str">
        <x:v>Balanced</x:v>
      </x:c>
      <x:c r="C102" s="18" t="n">
        <x:v>6113</x:v>
      </x:c>
      <x:c r="D102" s="3" t="str">
        <x:v>BBP</x:v>
      </x:c>
      <x:c r="E102" s="18" t="n">
        <x:v>800</x:v>
      </x:c>
      <x:c r="F102" s="21" t="n">
        <x:v>577.0379676161638</x:v>
      </x:c>
      <x:c r="G102" s="21" t="n">
        <x:f>F102</x:f>
        <x:v>577.0379676161638</x:v>
      </x:c>
      <x:c r="H102" s="21" t="n">
        <x:f>F107</x:f>
        <x:v>555.9905788017613</x:v>
      </x:c>
      <x:c r="I102" s="27" t="n">
        <x:f>IF(AND(ISNUMBER(G102),ISNUMBER(H102),H102&gt;0),G102/H102-1,"")</x:f>
        <x:v>0.03785565730225593</x:v>
      </x:c>
      <x:c r="J102" s="27" t="n">
        <x:f>IF(AND(ISNUMBER(G102),F102&gt;0),G102/F102-1,"")</x:f>
        <x:v>0</x:v>
      </x:c>
      <x:c r="K102" s="19" t="str">
        <x:v>Balanced/EXP001/results/seed6113_BBP.json</x:v>
      </x:c>
    </x:row>
    <x:row r="103" ht="15" hidden="0" customHeight="1">
      <x:c r="A103" s="3" t="str">
        <x:v>EXP001</x:v>
      </x:c>
      <x:c r="B103" s="3" t="str">
        <x:v>Balanced</x:v>
      </x:c>
      <x:c r="C103" s="18" t="n">
        <x:v>6113</x:v>
      </x:c>
      <x:c r="D103" s="3" t="str">
        <x:v>Relative cutoff 1e-5</x:v>
      </x:c>
      <x:c r="E103" s="18" t="n">
        <x:v>800</x:v>
      </x:c>
      <x:c r="F103" s="21" t="n">
        <x:v>551.3569563012323</x:v>
      </x:c>
      <x:c r="G103" s="21" t="n">
        <x:f>F102</x:f>
        <x:v>577.0379676161638</x:v>
      </x:c>
      <x:c r="H103" s="21" t="n">
        <x:f>F107</x:f>
        <x:v>555.9905788017613</x:v>
      </x:c>
      <x:c r="I103" s="27" t="n">
        <x:f>IF(AND(ISNUMBER(G103),ISNUMBER(H103),H103&gt;0),G103/H103-1,"")</x:f>
        <x:v>0.03785565730225593</x:v>
      </x:c>
      <x:c r="J103" s="27" t="n">
        <x:f>IF(AND(ISNUMBER(G103),F103&gt;0),G103/F103-1,"")</x:f>
        <x:v>0.046577831333102226</x:v>
      </x:c>
      <x:c r="K103" s="19" t="str">
        <x:v>Balanced/EXP001/results/seed6113_Relative_cutoff_1e-5.json</x:v>
      </x:c>
    </x:row>
    <x:row r="104" ht="15" hidden="0" customHeight="1">
      <x:c r="A104" s="3" t="str">
        <x:v>EXP001</x:v>
      </x:c>
      <x:c r="B104" s="3" t="str">
        <x:v>Balanced</x:v>
      </x:c>
      <x:c r="C104" s="18" t="n">
        <x:v>6113</x:v>
      </x:c>
      <x:c r="D104" s="3" t="str">
        <x:v>Fixed rank 10</x:v>
      </x:c>
      <x:c r="E104" s="18" t="n">
        <x:v>800</x:v>
      </x:c>
      <x:c r="F104" s="21" t="n">
        <x:v>590.6698103132239</x:v>
      </x:c>
      <x:c r="G104" s="21" t="n">
        <x:f>F102</x:f>
        <x:v>577.0379676161638</x:v>
      </x:c>
      <x:c r="H104" s="21" t="n">
        <x:f>F107</x:f>
        <x:v>555.9905788017613</x:v>
      </x:c>
      <x:c r="I104" s="27" t="n">
        <x:f>IF(AND(ISNUMBER(G104),ISNUMBER(H104),H104&gt;0),G104/H104-1,"")</x:f>
        <x:v>0.03785565730225593</x:v>
      </x:c>
      <x:c r="J104" s="27" t="n">
        <x:f>IF(AND(ISNUMBER(G104),F104&gt;0),G104/F104-1,"")</x:f>
        <x:v>-0.023078617628741527</x:v>
      </x:c>
      <x:c r="K104" s="19" t="str">
        <x:v>Balanced/EXP001/results/seed6113_Fixed_rank_10.json</x:v>
      </x:c>
    </x:row>
    <x:row r="105" ht="15" hidden="0" customHeight="1">
      <x:c r="A105" s="3" t="str">
        <x:v>EXP001</x:v>
      </x:c>
      <x:c r="B105" s="3" t="str">
        <x:v>Balanced</x:v>
      </x:c>
      <x:c r="C105" s="18" t="n">
        <x:v>6113</x:v>
      </x:c>
      <x:c r="D105" s="3" t="str">
        <x:v>Fixed rank 25</x:v>
      </x:c>
      <x:c r="E105" s="18" t="n">
        <x:v>800</x:v>
      </x:c>
      <x:c r="F105" s="21" t="n">
        <x:v>571.3621260329454</x:v>
      </x:c>
      <x:c r="G105" s="21" t="n">
        <x:f>F102</x:f>
        <x:v>577.0379676161638</x:v>
      </x:c>
      <x:c r="H105" s="21" t="n">
        <x:f>F107</x:f>
        <x:v>555.9905788017613</x:v>
      </x:c>
      <x:c r="I105" s="27" t="n">
        <x:f>IF(AND(ISNUMBER(G105),ISNUMBER(H105),H105&gt;0),G105/H105-1,"")</x:f>
        <x:v>0.03785565730225593</x:v>
      </x:c>
      <x:c r="J105" s="27" t="n">
        <x:f>IF(AND(ISNUMBER(G105),F105&gt;0),G105/F105-1,"")</x:f>
        <x:v>0.009933877876411978</x:v>
      </x:c>
      <x:c r="K105" s="19" t="str">
        <x:v>Balanced/EXP001/results/seed6113_Fixed_rank_25.json</x:v>
      </x:c>
    </x:row>
    <x:row r="106" ht="15" hidden="0" customHeight="1">
      <x:c r="A106" s="3" t="str">
        <x:v>EXP001</x:v>
      </x:c>
      <x:c r="B106" s="3" t="str">
        <x:v>Balanced</x:v>
      </x:c>
      <x:c r="C106" s="18" t="n">
        <x:v>6113</x:v>
      </x:c>
      <x:c r="D106" s="3" t="str">
        <x:v>Relative cutoff 1e-6</x:v>
      </x:c>
      <x:c r="E106" s="18" t="n">
        <x:v>800</x:v>
      </x:c>
      <x:c r="F106" s="21" t="n">
        <x:v>569.2468429602745</x:v>
      </x:c>
      <x:c r="G106" s="21" t="n">
        <x:f>F102</x:f>
        <x:v>577.0379676161638</x:v>
      </x:c>
      <x:c r="H106" s="21" t="n">
        <x:f>F107</x:f>
        <x:v>555.9905788017613</x:v>
      </x:c>
      <x:c r="I106" s="27" t="n">
        <x:f>IF(AND(ISNUMBER(G106),ISNUMBER(H106),H106&gt;0),G106/H106-1,"")</x:f>
        <x:v>0.03785565730225593</x:v>
      </x:c>
      <x:c r="J106" s="27" t="n">
        <x:f>IF(AND(ISNUMBER(G106),F106&gt;0),G106/F106-1,"")</x:f>
        <x:v>0.013686724401268169</x:v>
      </x:c>
      <x:c r="K106" s="19" t="str">
        <x:v>Balanced/EXP001/results/seed6113_Relative_cutoff_1e-6.json</x:v>
      </x:c>
    </x:row>
    <x:row r="107" ht="15" hidden="0" customHeight="1">
      <x:c r="A107" s="3" t="str">
        <x:v>EXP001</x:v>
      </x:c>
      <x:c r="B107" s="3" t="str">
        <x:v>Balanced</x:v>
      </x:c>
      <x:c r="C107" s="18" t="n">
        <x:v>6113</x:v>
      </x:c>
      <x:c r="D107" s="3" t="str">
        <x:v>Full</x:v>
      </x:c>
      <x:c r="E107" s="18" t="n">
        <x:v>800</x:v>
      </x:c>
      <x:c r="F107" s="21" t="n">
        <x:v>555.9905788017613</x:v>
      </x:c>
      <x:c r="G107" s="21" t="n">
        <x:f>F102</x:f>
        <x:v>577.0379676161638</x:v>
      </x:c>
      <x:c r="H107" s="21" t="n">
        <x:f>F107</x:f>
        <x:v>555.9905788017613</x:v>
      </x:c>
      <x:c r="I107" s="27" t="n">
        <x:f>IF(AND(ISNUMBER(G107),ISNUMBER(H107),H107&gt;0),G107/H107-1,"")</x:f>
        <x:v>0.03785565730225593</x:v>
      </x:c>
      <x:c r="J107" s="27" t="n">
        <x:f>IF(AND(ISNUMBER(G107),F107&gt;0),G107/F107-1,"")</x:f>
        <x:v>0.03785565730225593</x:v>
      </x:c>
      <x:c r="K107" s="19" t="str">
        <x:v>Balanced/EXP001/results/seed6113_Full.json</x:v>
      </x:c>
    </x:row>
    <x:row r="108" ht="15" hidden="0" customHeight="1">
      <x:c r="A108" s="3" t="str">
        <x:v>EXP001</x:v>
      </x:c>
      <x:c r="B108" s="3" t="str">
        <x:v>Balanced</x:v>
      </x:c>
      <x:c r="C108" s="18" t="n">
        <x:v>6113</x:v>
      </x:c>
      <x:c r="D108" s="3" t="str">
        <x:v>Relative cutoff 1e-2</x:v>
      </x:c>
      <x:c r="E108" s="18" t="n">
        <x:v>800</x:v>
      </x:c>
      <x:c r="F108" s="21" t="n">
        <x:v>628.3734251164913</x:v>
      </x:c>
      <x:c r="G108" s="21" t="n">
        <x:f>F102</x:f>
        <x:v>577.0379676161638</x:v>
      </x:c>
      <x:c r="H108" s="21" t="n">
        <x:f>F107</x:f>
        <x:v>555.9905788017613</x:v>
      </x:c>
      <x:c r="I108" s="27" t="n">
        <x:f>IF(AND(ISNUMBER(G108),ISNUMBER(H108),H108&gt;0),G108/H108-1,"")</x:f>
        <x:v>0.03785565730225593</x:v>
      </x:c>
      <x:c r="J108" s="27" t="n">
        <x:f>IF(AND(ISNUMBER(G108),F108&gt;0),G108/F108-1,"")</x:f>
        <x:v>-0.08169578064319105</x:v>
      </x:c>
      <x:c r="K108" s="19" t="str">
        <x:v>Balanced/EXP001/results/seed6113_Relative_cutoff_1e-2.json</x:v>
      </x:c>
    </x:row>
    <x:row r="109" ht="15" hidden="0" customHeight="1">
      <x:c r="A109" s="3" t="str">
        <x:v>EXP001</x:v>
      </x:c>
      <x:c r="B109" s="3" t="str">
        <x:v>Balanced</x:v>
      </x:c>
      <x:c r="C109" s="18" t="n">
        <x:v>6113</x:v>
      </x:c>
      <x:c r="D109" s="3" t="str">
        <x:v>Relative cutoff 1e-4</x:v>
      </x:c>
      <x:c r="E109" s="18" t="n">
        <x:v>800</x:v>
      </x:c>
      <x:c r="F109" s="21" t="n">
        <x:v>604.0973863396549</x:v>
      </x:c>
      <x:c r="G109" s="21" t="n">
        <x:f>F102</x:f>
        <x:v>577.0379676161638</x:v>
      </x:c>
      <x:c r="H109" s="21" t="n">
        <x:f>F107</x:f>
        <x:v>555.9905788017613</x:v>
      </x:c>
      <x:c r="I109" s="27" t="n">
        <x:f>IF(AND(ISNUMBER(G109),ISNUMBER(H109),H109&gt;0),G109/H109-1,"")</x:f>
        <x:v>0.03785565730225593</x:v>
      </x:c>
      <x:c r="J109" s="27" t="n">
        <x:f>IF(AND(ISNUMBER(G109),F109&gt;0),G109/F109-1,"")</x:f>
        <x:v>-0.044793139873439136</x:v>
      </x:c>
      <x:c r="K109" s="19" t="str">
        <x:v>Balanced/EXP001/results/seed6113_Relative_cutoff_1e-4.json</x:v>
      </x:c>
    </x:row>
    <x:row r="110" ht="15" hidden="0" customHeight="1">
      <x:c r="A110" s="3" t="str">
        <x:v>EXP001</x:v>
      </x:c>
      <x:c r="B110" s="3" t="str">
        <x:v>Balanced</x:v>
      </x:c>
      <x:c r="C110" s="18" t="n">
        <x:v>2515295</x:v>
      </x:c>
      <x:c r="D110" s="3" t="str">
        <x:v>BBP</x:v>
      </x:c>
      <x:c r="E110" s="18" t="n">
        <x:v>800</x:v>
      </x:c>
      <x:c r="F110" s="21" t="n">
        <x:v>395.2858771148204</x:v>
      </x:c>
      <x:c r="G110" s="21" t="n">
        <x:f>F110</x:f>
        <x:v>395.2858771148204</x:v>
      </x:c>
      <x:c r="H110" s="21" t="n">
        <x:f>F115</x:f>
        <x:v>403.6484777889865</x:v>
      </x:c>
      <x:c r="I110" s="27" t="n">
        <x:f>IF(AND(ISNUMBER(G110),ISNUMBER(H110),H110&gt;0),G110/H110-1,"")</x:f>
        <x:v>-0.02071753303758972</x:v>
      </x:c>
      <x:c r="J110" s="27" t="n">
        <x:f>IF(AND(ISNUMBER(G110),F110&gt;0),G110/F110-1,"")</x:f>
        <x:v>0</x:v>
      </x:c>
      <x:c r="K110" s="19" t="str">
        <x:v>Balanced/EXP001/results/seed2515295_BBP.json</x:v>
      </x:c>
    </x:row>
    <x:row r="111" ht="15" hidden="0" customHeight="1">
      <x:c r="A111" s="3" t="str">
        <x:v>EXP001</x:v>
      </x:c>
      <x:c r="B111" s="3" t="str">
        <x:v>Balanced</x:v>
      </x:c>
      <x:c r="C111" s="18" t="n">
        <x:v>2515295</x:v>
      </x:c>
      <x:c r="D111" s="3" t="str">
        <x:v>Relative cutoff 1e-5</x:v>
      </x:c>
      <x:c r="E111" s="18" t="n">
        <x:v>800</x:v>
      </x:c>
      <x:c r="F111" s="21" t="n">
        <x:v>392.6256494688586</x:v>
      </x:c>
      <x:c r="G111" s="21" t="n">
        <x:f>F110</x:f>
        <x:v>395.2858771148204</x:v>
      </x:c>
      <x:c r="H111" s="21" t="n">
        <x:f>F115</x:f>
        <x:v>403.6484777889865</x:v>
      </x:c>
      <x:c r="I111" s="27" t="n">
        <x:f>IF(AND(ISNUMBER(G111),ISNUMBER(H111),H111&gt;0),G111/H111-1,"")</x:f>
        <x:v>-0.02071753303758972</x:v>
      </x:c>
      <x:c r="J111" s="27" t="n">
        <x:f>IF(AND(ISNUMBER(G111),F111&gt;0),G111/F111-1,"")</x:f>
        <x:v>0.006775481045521392</x:v>
      </x:c>
      <x:c r="K111" s="19" t="str">
        <x:v>Balanced/EXP001/results/seed2515295_Relative_cutoff_1e-5.json</x:v>
      </x:c>
    </x:row>
    <x:row r="112" ht="15" hidden="0" customHeight="1">
      <x:c r="A112" s="3" t="str">
        <x:v>EXP001</x:v>
      </x:c>
      <x:c r="B112" s="3" t="str">
        <x:v>Balanced</x:v>
      </x:c>
      <x:c r="C112" s="18" t="n">
        <x:v>2515295</x:v>
      </x:c>
      <x:c r="D112" s="3" t="str">
        <x:v>Fixed rank 10</x:v>
      </x:c>
      <x:c r="E112" s="18" t="n">
        <x:v>800</x:v>
      </x:c>
      <x:c r="F112" s="21" t="n">
        <x:v>386.2805766964625</x:v>
      </x:c>
      <x:c r="G112" s="21" t="n">
        <x:f>F110</x:f>
        <x:v>395.2858771148204</x:v>
      </x:c>
      <x:c r="H112" s="21" t="n">
        <x:f>F115</x:f>
        <x:v>403.6484777889865</x:v>
      </x:c>
      <x:c r="I112" s="27" t="n">
        <x:f>IF(AND(ISNUMBER(G112),ISNUMBER(H112),H112&gt;0),G112/H112-1,"")</x:f>
        <x:v>-0.02071753303758972</x:v>
      </x:c>
      <x:c r="J112" s="27" t="n">
        <x:f>IF(AND(ISNUMBER(G112),F112&gt;0),G112/F112-1,"")</x:f>
        <x:v>0.023312848125506935</x:v>
      </x:c>
      <x:c r="K112" s="19" t="str">
        <x:v>Balanced/EXP001/results/seed2515295_Fixed_rank_10.json</x:v>
      </x:c>
    </x:row>
    <x:row r="113" ht="15" hidden="0" customHeight="1">
      <x:c r="A113" s="3" t="str">
        <x:v>EXP001</x:v>
      </x:c>
      <x:c r="B113" s="3" t="str">
        <x:v>Balanced</x:v>
      </x:c>
      <x:c r="C113" s="18" t="n">
        <x:v>2515295</x:v>
      </x:c>
      <x:c r="D113" s="3" t="str">
        <x:v>Fixed rank 25</x:v>
      </x:c>
      <x:c r="E113" s="18" t="n">
        <x:v>800</x:v>
      </x:c>
      <x:c r="F113" s="21" t="n">
        <x:v>398.22291133554404</x:v>
      </x:c>
      <x:c r="G113" s="21" t="n">
        <x:f>F110</x:f>
        <x:v>395.2858771148204</x:v>
      </x:c>
      <x:c r="H113" s="21" t="n">
        <x:f>F115</x:f>
        <x:v>403.6484777889865</x:v>
      </x:c>
      <x:c r="I113" s="27" t="n">
        <x:f>IF(AND(ISNUMBER(G113),ISNUMBER(H113),H113&gt;0),G113/H113-1,"")</x:f>
        <x:v>-0.02071753303758972</x:v>
      </x:c>
      <x:c r="J113" s="27" t="n">
        <x:f>IF(AND(ISNUMBER(G113),F113&gt;0),G113/F113-1,"")</x:f>
        <x:v>-0.007375352188736639</x:v>
      </x:c>
      <x:c r="K113" s="19" t="str">
        <x:v>Balanced/EXP001/results/seed2515295_Fixed_rank_25.json</x:v>
      </x:c>
    </x:row>
    <x:row r="114" ht="15" hidden="0" customHeight="1">
      <x:c r="A114" s="3" t="str">
        <x:v>EXP001</x:v>
      </x:c>
      <x:c r="B114" s="3" t="str">
        <x:v>Balanced</x:v>
      </x:c>
      <x:c r="C114" s="18" t="n">
        <x:v>2515295</x:v>
      </x:c>
      <x:c r="D114" s="3" t="str">
        <x:v>Relative cutoff 1e-6</x:v>
      </x:c>
      <x:c r="E114" s="18" t="n">
        <x:v>800</x:v>
      </x:c>
      <x:c r="F114" s="21" t="n">
        <x:v>404.1601483382332</x:v>
      </x:c>
      <x:c r="G114" s="21" t="n">
        <x:f>F110</x:f>
        <x:v>395.2858771148204</x:v>
      </x:c>
      <x:c r="H114" s="21" t="n">
        <x:f>F115</x:f>
        <x:v>403.6484777889865</x:v>
      </x:c>
      <x:c r="I114" s="27" t="n">
        <x:f>IF(AND(ISNUMBER(G114),ISNUMBER(H114),H114&gt;0),G114/H114-1,"")</x:f>
        <x:v>-0.02071753303758972</x:v>
      </x:c>
      <x:c r="J114" s="27" t="n">
        <x:f>IF(AND(ISNUMBER(G114),F114&gt;0),G114/F114-1,"")</x:f>
        <x:v>-0.02195731385170152</x:v>
      </x:c>
      <x:c r="K114" s="19" t="str">
        <x:v>Balanced/EXP001/results/seed2515295_Relative_cutoff_1e-6.json</x:v>
      </x:c>
    </x:row>
    <x:row r="115" ht="15" hidden="0" customHeight="1">
      <x:c r="A115" s="3" t="str">
        <x:v>EXP001</x:v>
      </x:c>
      <x:c r="B115" s="3" t="str">
        <x:v>Balanced</x:v>
      </x:c>
      <x:c r="C115" s="18" t="n">
        <x:v>2515295</x:v>
      </x:c>
      <x:c r="D115" s="3" t="str">
        <x:v>Full</x:v>
      </x:c>
      <x:c r="E115" s="18" t="n">
        <x:v>800</x:v>
      </x:c>
      <x:c r="F115" s="21" t="n">
        <x:v>403.6484777889865</x:v>
      </x:c>
      <x:c r="G115" s="21" t="n">
        <x:f>F110</x:f>
        <x:v>395.2858771148204</x:v>
      </x:c>
      <x:c r="H115" s="21" t="n">
        <x:f>F115</x:f>
        <x:v>403.6484777889865</x:v>
      </x:c>
      <x:c r="I115" s="27" t="n">
        <x:f>IF(AND(ISNUMBER(G115),ISNUMBER(H115),H115&gt;0),G115/H115-1,"")</x:f>
        <x:v>-0.02071753303758972</x:v>
      </x:c>
      <x:c r="J115" s="27" t="n">
        <x:f>IF(AND(ISNUMBER(G115),F115&gt;0),G115/F115-1,"")</x:f>
        <x:v>-0.02071753303758972</x:v>
      </x:c>
      <x:c r="K115" s="19" t="str">
        <x:v>Balanced/EXP001/results/seed2515295_Full.json</x:v>
      </x:c>
    </x:row>
    <x:row r="116" ht="15" hidden="0" customHeight="1">
      <x:c r="A116" s="3" t="str">
        <x:v>EXP001</x:v>
      </x:c>
      <x:c r="B116" s="3" t="str">
        <x:v>Balanced</x:v>
      </x:c>
      <x:c r="C116" s="18" t="n">
        <x:v>2515295</x:v>
      </x:c>
      <x:c r="D116" s="3" t="str">
        <x:v>Relative cutoff 1e-2</x:v>
      </x:c>
      <x:c r="E116" s="18" t="n">
        <x:v>800</x:v>
      </x:c>
      <x:c r="F116" s="21" t="n">
        <x:v>506.8186734096568</x:v>
      </x:c>
      <x:c r="G116" s="21" t="n">
        <x:f>F110</x:f>
        <x:v>395.2858771148204</x:v>
      </x:c>
      <x:c r="H116" s="21" t="n">
        <x:f>F115</x:f>
        <x:v>403.6484777889865</x:v>
      </x:c>
      <x:c r="I116" s="27" t="n">
        <x:f>IF(AND(ISNUMBER(G116),ISNUMBER(H116),H116&gt;0),G116/H116-1,"")</x:f>
        <x:v>-0.02071753303758972</x:v>
      </x:c>
      <x:c r="J116" s="27" t="n">
        <x:f>IF(AND(ISNUMBER(G116),F116&gt;0),G116/F116-1,"")</x:f>
        <x:v>-0.22006449672521344</x:v>
      </x:c>
      <x:c r="K116" s="19" t="str">
        <x:v>Balanced/EXP001/results/seed2515295_Relative_cutoff_1e-2.json</x:v>
      </x:c>
    </x:row>
    <x:row r="117" ht="15" hidden="0" customHeight="1">
      <x:c r="A117" s="3" t="str">
        <x:v>EXP001</x:v>
      </x:c>
      <x:c r="B117" s="3" t="str">
        <x:v>Balanced</x:v>
      </x:c>
      <x:c r="C117" s="18" t="n">
        <x:v>2515295</x:v>
      </x:c>
      <x:c r="D117" s="3" t="str">
        <x:v>Relative cutoff 1e-4</x:v>
      </x:c>
      <x:c r="E117" s="18" t="n">
        <x:v>800</x:v>
      </x:c>
      <x:c r="F117" s="21" t="n">
        <x:v>388.3522339588971</x:v>
      </x:c>
      <x:c r="G117" s="21" t="n">
        <x:f>F110</x:f>
        <x:v>395.2858771148204</x:v>
      </x:c>
      <x:c r="H117" s="21" t="n">
        <x:f>F115</x:f>
        <x:v>403.6484777889865</x:v>
      </x:c>
      <x:c r="I117" s="27" t="n">
        <x:f>IF(AND(ISNUMBER(G117),ISNUMBER(H117),H117&gt;0),G117/H117-1,"")</x:f>
        <x:v>-0.02071753303758972</x:v>
      </x:c>
      <x:c r="J117" s="27" t="n">
        <x:f>IF(AND(ISNUMBER(G117),F117&gt;0),G117/F117-1,"")</x:f>
        <x:v>0.017854006104821574</x:v>
      </x:c>
      <x:c r="K117" s="19" t="str">
        <x:v>Balanced/EXP001/results/seed2515295_Relative_cutoff_1e-4.json</x:v>
      </x:c>
    </x:row>
    <x:row r="118" ht="15" hidden="0" customHeight="1">
      <x:c r="A118" s="3" t="str">
        <x:v>EXP001</x:v>
      </x:c>
      <x:c r="B118" s="3" t="str">
        <x:v>Balanced</x:v>
      </x:c>
      <x:c r="C118" s="18" t="n">
        <x:v>55908590</x:v>
      </x:c>
      <x:c r="D118" s="3" t="str">
        <x:v>BBP</x:v>
      </x:c>
      <x:c r="E118" s="18" t="n">
        <x:v>800</x:v>
      </x:c>
      <x:c r="F118" s="21" t="n">
        <x:v>535.047996120636</x:v>
      </x:c>
      <x:c r="G118" s="21" t="n">
        <x:f>F118</x:f>
        <x:v>535.047996120636</x:v>
      </x:c>
      <x:c r="H118" s="21" t="n">
        <x:f>F123</x:f>
        <x:v>549.8833534175371</x:v>
      </x:c>
      <x:c r="I118" s="27" t="n">
        <x:f>IF(AND(ISNUMBER(G118),ISNUMBER(H118),H118&gt;0),G118/H118-1,"")</x:f>
        <x:v>-0.026979098757398456</x:v>
      </x:c>
      <x:c r="J118" s="27" t="n">
        <x:f>IF(AND(ISNUMBER(G118),F118&gt;0),G118/F118-1,"")</x:f>
        <x:v>0</x:v>
      </x:c>
      <x:c r="K118" s="19" t="str">
        <x:v>Balanced/EXP001/results/seed55908590_BBP.json</x:v>
      </x:c>
    </x:row>
    <x:row r="119" ht="15" hidden="0" customHeight="1">
      <x:c r="A119" s="3" t="str">
        <x:v>EXP001</x:v>
      </x:c>
      <x:c r="B119" s="3" t="str">
        <x:v>Balanced</x:v>
      </x:c>
      <x:c r="C119" s="18" t="n">
        <x:v>55908590</x:v>
      </x:c>
      <x:c r="D119" s="3" t="str">
        <x:v>Relative cutoff 1e-5</x:v>
      </x:c>
      <x:c r="E119" s="18" t="n">
        <x:v>800</x:v>
      </x:c>
      <x:c r="F119" s="21" t="n">
        <x:v>559.8072803180145</x:v>
      </x:c>
      <x:c r="G119" s="21" t="n">
        <x:f>F118</x:f>
        <x:v>535.047996120636</x:v>
      </x:c>
      <x:c r="H119" s="21" t="n">
        <x:f>F123</x:f>
        <x:v>549.8833534175371</x:v>
      </x:c>
      <x:c r="I119" s="27" t="n">
        <x:f>IF(AND(ISNUMBER(G119),ISNUMBER(H119),H119&gt;0),G119/H119-1,"")</x:f>
        <x:v>-0.026979098757398456</x:v>
      </x:c>
      <x:c r="J119" s="27" t="n">
        <x:f>IF(AND(ISNUMBER(G119),F119&gt;0),G119/F119-1,"")</x:f>
        <x:v>-0.04422822829905548</x:v>
      </x:c>
      <x:c r="K119" s="19" t="str">
        <x:v>Balanced/EXP001/results/seed55908590_Relative_cutoff_1e-5.json</x:v>
      </x:c>
    </x:row>
    <x:row r="120" ht="15" hidden="0" customHeight="1">
      <x:c r="A120" s="3" t="str">
        <x:v>EXP001</x:v>
      </x:c>
      <x:c r="B120" s="3" t="str">
        <x:v>Balanced</x:v>
      </x:c>
      <x:c r="C120" s="18" t="n">
        <x:v>55908590</x:v>
      </x:c>
      <x:c r="D120" s="3" t="str">
        <x:v>Fixed rank 10</x:v>
      </x:c>
      <x:c r="E120" s="18" t="n">
        <x:v>800</x:v>
      </x:c>
      <x:c r="F120" s="21" t="n">
        <x:v>541.5608689046005</x:v>
      </x:c>
      <x:c r="G120" s="21" t="n">
        <x:f>F118</x:f>
        <x:v>535.047996120636</x:v>
      </x:c>
      <x:c r="H120" s="21" t="n">
        <x:f>F123</x:f>
        <x:v>549.8833534175371</x:v>
      </x:c>
      <x:c r="I120" s="27" t="n">
        <x:f>IF(AND(ISNUMBER(G120),ISNUMBER(H120),H120&gt;0),G120/H120-1,"")</x:f>
        <x:v>-0.026979098757398456</x:v>
      </x:c>
      <x:c r="J120" s="27" t="n">
        <x:f>IF(AND(ISNUMBER(G120),F120&gt;0),G120/F120-1,"")</x:f>
        <x:v>-0.012026114067543281</x:v>
      </x:c>
      <x:c r="K120" s="19" t="str">
        <x:v>Balanced/EXP001/results/seed55908590_Fixed_rank_10.json</x:v>
      </x:c>
    </x:row>
    <x:row r="121" ht="15" hidden="0" customHeight="1">
      <x:c r="A121" s="3" t="str">
        <x:v>EXP001</x:v>
      </x:c>
      <x:c r="B121" s="3" t="str">
        <x:v>Balanced</x:v>
      </x:c>
      <x:c r="C121" s="18" t="n">
        <x:v>55908590</x:v>
      </x:c>
      <x:c r="D121" s="3" t="str">
        <x:v>Fixed rank 25</x:v>
      </x:c>
      <x:c r="E121" s="18" t="n">
        <x:v>800</x:v>
      </x:c>
      <x:c r="F121" s="21" t="n">
        <x:v>520.1300540657157</x:v>
      </x:c>
      <x:c r="G121" s="21" t="n">
        <x:f>F118</x:f>
        <x:v>535.047996120636</x:v>
      </x:c>
      <x:c r="H121" s="21" t="n">
        <x:f>F123</x:f>
        <x:v>549.8833534175371</x:v>
      </x:c>
      <x:c r="I121" s="27" t="n">
        <x:f>IF(AND(ISNUMBER(G121),ISNUMBER(H121),H121&gt;0),G121/H121-1,"")</x:f>
        <x:v>-0.026979098757398456</x:v>
      </x:c>
      <x:c r="J121" s="27" t="n">
        <x:f>IF(AND(ISNUMBER(G121),F121&gt;0),G121/F121-1,"")</x:f>
        <x:v>0.028681176829354005</x:v>
      </x:c>
      <x:c r="K121" s="19" t="str">
        <x:v>Balanced/EXP001/results/seed55908590_Fixed_rank_25.json</x:v>
      </x:c>
    </x:row>
    <x:row r="122" ht="15" hidden="0" customHeight="1">
      <x:c r="A122" s="3" t="str">
        <x:v>EXP001</x:v>
      </x:c>
      <x:c r="B122" s="3" t="str">
        <x:v>Balanced</x:v>
      </x:c>
      <x:c r="C122" s="18" t="n">
        <x:v>55908590</x:v>
      </x:c>
      <x:c r="D122" s="3" t="str">
        <x:v>Relative cutoff 1e-6</x:v>
      </x:c>
      <x:c r="E122" s="18" t="n">
        <x:v>800</x:v>
      </x:c>
      <x:c r="F122" s="21" t="n">
        <x:v>529.5369492722905</x:v>
      </x:c>
      <x:c r="G122" s="21" t="n">
        <x:f>F118</x:f>
        <x:v>535.047996120636</x:v>
      </x:c>
      <x:c r="H122" s="21" t="n">
        <x:f>F123</x:f>
        <x:v>549.8833534175371</x:v>
      </x:c>
      <x:c r="I122" s="27" t="n">
        <x:f>IF(AND(ISNUMBER(G122),ISNUMBER(H122),H122&gt;0),G122/H122-1,"")</x:f>
        <x:v>-0.026979098757398456</x:v>
      </x:c>
      <x:c r="J122" s="27" t="n">
        <x:f>IF(AND(ISNUMBER(G122),F122&gt;0),G122/F122-1,"")</x:f>
        <x:v>0.010407294251928878</x:v>
      </x:c>
      <x:c r="K122" s="19" t="str">
        <x:v>Balanced/EXP001/results/seed55908590_Relative_cutoff_1e-6.json</x:v>
      </x:c>
    </x:row>
    <x:row r="123" ht="15" hidden="0" customHeight="1">
      <x:c r="A123" s="3" t="str">
        <x:v>EXP001</x:v>
      </x:c>
      <x:c r="B123" s="3" t="str">
        <x:v>Balanced</x:v>
      </x:c>
      <x:c r="C123" s="18" t="n">
        <x:v>55908590</x:v>
      </x:c>
      <x:c r="D123" s="3" t="str">
        <x:v>Full</x:v>
      </x:c>
      <x:c r="E123" s="18" t="n">
        <x:v>800</x:v>
      </x:c>
      <x:c r="F123" s="21" t="n">
        <x:v>549.8833534175371</x:v>
      </x:c>
      <x:c r="G123" s="21" t="n">
        <x:f>F118</x:f>
        <x:v>535.047996120636</x:v>
      </x:c>
      <x:c r="H123" s="21" t="n">
        <x:f>F123</x:f>
        <x:v>549.8833534175371</x:v>
      </x:c>
      <x:c r="I123" s="27" t="n">
        <x:f>IF(AND(ISNUMBER(G123),ISNUMBER(H123),H123&gt;0),G123/H123-1,"")</x:f>
        <x:v>-0.026979098757398456</x:v>
      </x:c>
      <x:c r="J123" s="27" t="n">
        <x:f>IF(AND(ISNUMBER(G123),F123&gt;0),G123/F123-1,"")</x:f>
        <x:v>-0.026979098757398456</x:v>
      </x:c>
      <x:c r="K123" s="19" t="str">
        <x:v>Balanced/EXP001/results/seed55908590_Full.json</x:v>
      </x:c>
    </x:row>
    <x:row r="124" ht="15" hidden="0" customHeight="1">
      <x:c r="A124" s="3" t="str">
        <x:v>EXP001</x:v>
      </x:c>
      <x:c r="B124" s="3" t="str">
        <x:v>Balanced</x:v>
      </x:c>
      <x:c r="C124" s="18" t="n">
        <x:v>55908590</x:v>
      </x:c>
      <x:c r="D124" s="3" t="str">
        <x:v>Relative cutoff 1e-2</x:v>
      </x:c>
      <x:c r="E124" s="18" t="n">
        <x:v>800</x:v>
      </x:c>
      <x:c r="F124" s="21" t="n">
        <x:v>724.0551142436409</x:v>
      </x:c>
      <x:c r="G124" s="21" t="n">
        <x:f>F118</x:f>
        <x:v>535.047996120636</x:v>
      </x:c>
      <x:c r="H124" s="21" t="n">
        <x:f>F123</x:f>
        <x:v>549.8833534175371</x:v>
      </x:c>
      <x:c r="I124" s="27" t="n">
        <x:f>IF(AND(ISNUMBER(G124),ISNUMBER(H124),H124&gt;0),G124/H124-1,"")</x:f>
        <x:v>-0.026979098757398456</x:v>
      </x:c>
      <x:c r="J124" s="27" t="n">
        <x:f>IF(AND(ISNUMBER(G124),F124&gt;0),G124/F124-1,"")</x:f>
        <x:v>-0.26103968386501164</x:v>
      </x:c>
      <x:c r="K124" s="19" t="str">
        <x:v>Balanced/EXP001/results/seed55908590_Relative_cutoff_1e-2.json</x:v>
      </x:c>
    </x:row>
    <x:row r="125" ht="15" hidden="0" customHeight="1">
      <x:c r="A125" s="3" t="str">
        <x:v>EXP001</x:v>
      </x:c>
      <x:c r="B125" s="3" t="str">
        <x:v>Balanced</x:v>
      </x:c>
      <x:c r="C125" s="18" t="n">
        <x:v>55908590</x:v>
      </x:c>
      <x:c r="D125" s="3" t="str">
        <x:v>Relative cutoff 1e-4</x:v>
      </x:c>
      <x:c r="E125" s="18" t="n">
        <x:v>800</x:v>
      </x:c>
      <x:c r="F125" s="21" t="n">
        <x:v>562.1327837649401</x:v>
      </x:c>
      <x:c r="G125" s="21" t="n">
        <x:f>F118</x:f>
        <x:v>535.047996120636</x:v>
      </x:c>
      <x:c r="H125" s="21" t="n">
        <x:f>F123</x:f>
        <x:v>549.8833534175371</x:v>
      </x:c>
      <x:c r="I125" s="27" t="n">
        <x:f>IF(AND(ISNUMBER(G125),ISNUMBER(H125),H125&gt;0),G125/H125-1,"")</x:f>
        <x:v>-0.026979098757398456</x:v>
      </x:c>
      <x:c r="J125" s="27" t="n">
        <x:f>IF(AND(ISNUMBER(G125),F125&gt;0),G125/F125-1,"")</x:f>
        <x:v>-0.048182188313054874</x:v>
      </x:c>
      <x:c r="K125" s="19" t="str">
        <x:v>Balanced/EXP001/results/seed55908590_Relative_cutoff_1e-4.json</x:v>
      </x:c>
    </x:row>
    <x:row r="126" ht="15" hidden="0" customHeight="1">
      <x:c r="A126" s="3" t="str">
        <x:v>EXP001</x:v>
      </x:c>
      <x:c r="B126" s="3" t="str">
        <x:v>Balanced</x:v>
      </x:c>
      <x:c r="C126" s="18" t="n">
        <x:v>58789250</x:v>
      </x:c>
      <x:c r="D126" s="3" t="str">
        <x:v>BBP</x:v>
      </x:c>
      <x:c r="E126" s="18" t="n">
        <x:v>800</x:v>
      </x:c>
      <x:c r="F126" s="21" t="n">
        <x:v>706.8699927113836</x:v>
      </x:c>
      <x:c r="G126" s="21" t="n">
        <x:f>F126</x:f>
        <x:v>706.8699927113836</x:v>
      </x:c>
      <x:c r="H126" s="21" t="n">
        <x:f>F131</x:f>
        <x:v>717.3582692607768</x:v>
      </x:c>
      <x:c r="I126" s="27" t="n">
        <x:f>IF(AND(ISNUMBER(G126),ISNUMBER(H126),H126&gt;0),G126/H126-1,"")</x:f>
        <x:v>-0.014620695123792382</x:v>
      </x:c>
      <x:c r="J126" s="27" t="n">
        <x:f>IF(AND(ISNUMBER(G126),F126&gt;0),G126/F126-1,"")</x:f>
        <x:v>0</x:v>
      </x:c>
      <x:c r="K126" s="19" t="str">
        <x:v>Balanced/EXP001/results/seed58789250_BBP.json</x:v>
      </x:c>
    </x:row>
    <x:row r="127" ht="15" hidden="0" customHeight="1">
      <x:c r="A127" s="3" t="str">
        <x:v>EXP001</x:v>
      </x:c>
      <x:c r="B127" s="3" t="str">
        <x:v>Balanced</x:v>
      </x:c>
      <x:c r="C127" s="18" t="n">
        <x:v>58789250</x:v>
      </x:c>
      <x:c r="D127" s="3" t="str">
        <x:v>Relative cutoff 1e-5</x:v>
      </x:c>
      <x:c r="E127" s="18" t="n">
        <x:v>800</x:v>
      </x:c>
      <x:c r="F127" s="21" t="n">
        <x:v>722.2426022809649</x:v>
      </x:c>
      <x:c r="G127" s="21" t="n">
        <x:f>F126</x:f>
        <x:v>706.8699927113836</x:v>
      </x:c>
      <x:c r="H127" s="21" t="n">
        <x:f>F131</x:f>
        <x:v>717.3582692607768</x:v>
      </x:c>
      <x:c r="I127" s="27" t="n">
        <x:f>IF(AND(ISNUMBER(G127),ISNUMBER(H127),H127&gt;0),G127/H127-1,"")</x:f>
        <x:v>-0.014620695123792382</x:v>
      </x:c>
      <x:c r="J127" s="27" t="n">
        <x:f>IF(AND(ISNUMBER(G127),F127&gt;0),G127/F127-1,"")</x:f>
        <x:v>-0.021284551092710435</x:v>
      </x:c>
      <x:c r="K127" s="19" t="str">
        <x:v>Balanced/EXP001/results/seed58789250_Relative_cutoff_1e-5.json</x:v>
      </x:c>
    </x:row>
    <x:row r="128" ht="15" hidden="0" customHeight="1">
      <x:c r="A128" s="3" t="str">
        <x:v>EXP001</x:v>
      </x:c>
      <x:c r="B128" s="3" t="str">
        <x:v>Balanced</x:v>
      </x:c>
      <x:c r="C128" s="18" t="n">
        <x:v>58789250</x:v>
      </x:c>
      <x:c r="D128" s="3" t="str">
        <x:v>Fixed rank 10</x:v>
      </x:c>
      <x:c r="E128" s="18" t="n">
        <x:v>800</x:v>
      </x:c>
      <x:c r="F128" s="21" t="n">
        <x:v>586.3567385551627</x:v>
      </x:c>
      <x:c r="G128" s="21" t="n">
        <x:f>F126</x:f>
        <x:v>706.8699927113836</x:v>
      </x:c>
      <x:c r="H128" s="21" t="n">
        <x:f>F131</x:f>
        <x:v>717.3582692607768</x:v>
      </x:c>
      <x:c r="I128" s="27" t="n">
        <x:f>IF(AND(ISNUMBER(G128),ISNUMBER(H128),H128&gt;0),G128/H128-1,"")</x:f>
        <x:v>-0.014620695123792382</x:v>
      </x:c>
      <x:c r="J128" s="27" t="n">
        <x:f>IF(AND(ISNUMBER(G128),F128&gt;0),G128/F128-1,"")</x:f>
        <x:v>0.2055288977375389</x:v>
      </x:c>
      <x:c r="K128" s="19" t="str">
        <x:v>Balanced/EXP001/results/seed58789250_Fixed_rank_10.json</x:v>
      </x:c>
    </x:row>
    <x:row r="129" ht="15" hidden="0" customHeight="1">
      <x:c r="A129" s="3" t="str">
        <x:v>EXP001</x:v>
      </x:c>
      <x:c r="B129" s="3" t="str">
        <x:v>Balanced</x:v>
      </x:c>
      <x:c r="C129" s="18" t="n">
        <x:v>58789250</x:v>
      </x:c>
      <x:c r="D129" s="3" t="str">
        <x:v>Fixed rank 25</x:v>
      </x:c>
      <x:c r="E129" s="18" t="n">
        <x:v>800</x:v>
      </x:c>
      <x:c r="F129" s="21" t="n">
        <x:v>766.8630397558247</x:v>
      </x:c>
      <x:c r="G129" s="21" t="n">
        <x:f>F126</x:f>
        <x:v>706.8699927113836</x:v>
      </x:c>
      <x:c r="H129" s="21" t="n">
        <x:f>F131</x:f>
        <x:v>717.3582692607768</x:v>
      </x:c>
      <x:c r="I129" s="27" t="n">
        <x:f>IF(AND(ISNUMBER(G129),ISNUMBER(H129),H129&gt;0),G129/H129-1,"")</x:f>
        <x:v>-0.014620695123792382</x:v>
      </x:c>
      <x:c r="J129" s="27" t="n">
        <x:f>IF(AND(ISNUMBER(G129),F129&gt;0),G129/F129-1,"")</x:f>
        <x:v>-0.07823176230209683</x:v>
      </x:c>
      <x:c r="K129" s="19" t="str">
        <x:v>Balanced/EXP001/results/seed58789250_Fixed_rank_25.json</x:v>
      </x:c>
    </x:row>
    <x:row r="130" ht="15" hidden="0" customHeight="1">
      <x:c r="A130" s="3" t="str">
        <x:v>EXP001</x:v>
      </x:c>
      <x:c r="B130" s="3" t="str">
        <x:v>Balanced</x:v>
      </x:c>
      <x:c r="C130" s="18" t="n">
        <x:v>58789250</x:v>
      </x:c>
      <x:c r="D130" s="3" t="str">
        <x:v>Relative cutoff 1e-6</x:v>
      </x:c>
      <x:c r="E130" s="18" t="n">
        <x:v>800</x:v>
      </x:c>
      <x:c r="F130" s="21" t="n">
        <x:v>779.5751600527631</x:v>
      </x:c>
      <x:c r="G130" s="21" t="n">
        <x:f>F126</x:f>
        <x:v>706.8699927113836</x:v>
      </x:c>
      <x:c r="H130" s="21" t="n">
        <x:f>F131</x:f>
        <x:v>717.3582692607768</x:v>
      </x:c>
      <x:c r="I130" s="27" t="n">
        <x:f>IF(AND(ISNUMBER(G130),ISNUMBER(H130),H130&gt;0),G130/H130-1,"")</x:f>
        <x:v>-0.014620695123792382</x:v>
      </x:c>
      <x:c r="J130" s="27" t="n">
        <x:f>IF(AND(ISNUMBER(G130),F130&gt;0),G130/F130-1,"")</x:f>
        <x:v>-0.0932625499976919</x:v>
      </x:c>
      <x:c r="K130" s="19" t="str">
        <x:v>Balanced/EXP001/results/seed58789250_Relative_cutoff_1e-6.json</x:v>
      </x:c>
    </x:row>
    <x:row r="131" ht="15" hidden="0" customHeight="1">
      <x:c r="A131" s="3" t="str">
        <x:v>EXP001</x:v>
      </x:c>
      <x:c r="B131" s="3" t="str">
        <x:v>Balanced</x:v>
      </x:c>
      <x:c r="C131" s="18" t="n">
        <x:v>58789250</x:v>
      </x:c>
      <x:c r="D131" s="3" t="str">
        <x:v>Full</x:v>
      </x:c>
      <x:c r="E131" s="18" t="n">
        <x:v>800</x:v>
      </x:c>
      <x:c r="F131" s="21" t="n">
        <x:v>717.3582692607768</x:v>
      </x:c>
      <x:c r="G131" s="21" t="n">
        <x:f>F126</x:f>
        <x:v>706.8699927113836</x:v>
      </x:c>
      <x:c r="H131" s="21" t="n">
        <x:f>F131</x:f>
        <x:v>717.3582692607768</x:v>
      </x:c>
      <x:c r="I131" s="27" t="n">
        <x:f>IF(AND(ISNUMBER(G131),ISNUMBER(H131),H131&gt;0),G131/H131-1,"")</x:f>
        <x:v>-0.014620695123792382</x:v>
      </x:c>
      <x:c r="J131" s="27" t="n">
        <x:f>IF(AND(ISNUMBER(G131),F131&gt;0),G131/F131-1,"")</x:f>
        <x:v>-0.014620695123792382</x:v>
      </x:c>
      <x:c r="K131" s="19" t="str">
        <x:v>Balanced/EXP001/results/seed58789250_Full.json</x:v>
      </x:c>
    </x:row>
    <x:row r="132" ht="15" hidden="0" customHeight="1">
      <x:c r="A132" s="3" t="str">
        <x:v>EXP001</x:v>
      </x:c>
      <x:c r="B132" s="3" t="str">
        <x:v>Balanced</x:v>
      </x:c>
      <x:c r="C132" s="18" t="n">
        <x:v>58789250</x:v>
      </x:c>
      <x:c r="D132" s="3" t="str">
        <x:v>Relative cutoff 1e-2</x:v>
      </x:c>
      <x:c r="E132" s="18" t="n">
        <x:v>800</x:v>
      </x:c>
      <x:c r="F132" s="21" t="n">
        <x:v>818.9930027216277</x:v>
      </x:c>
      <x:c r="G132" s="21" t="n">
        <x:f>F126</x:f>
        <x:v>706.8699927113836</x:v>
      </x:c>
      <x:c r="H132" s="21" t="n">
        <x:f>F131</x:f>
        <x:v>717.3582692607768</x:v>
      </x:c>
      <x:c r="I132" s="27" t="n">
        <x:f>IF(AND(ISNUMBER(G132),ISNUMBER(H132),H132&gt;0),G132/H132-1,"")</x:f>
        <x:v>-0.014620695123792382</x:v>
      </x:c>
      <x:c r="J132" s="27" t="n">
        <x:f>IF(AND(ISNUMBER(G132),F132&gt;0),G132/F132-1,"")</x:f>
        <x:v>-0.13690350178529453</x:v>
      </x:c>
      <x:c r="K132" s="19" t="str">
        <x:v>Balanced/EXP001/results/seed58789250_Relative_cutoff_1e-2.json</x:v>
      </x:c>
    </x:row>
    <x:row r="133" ht="15" hidden="0" customHeight="1">
      <x:c r="A133" s="3" t="str">
        <x:v>EXP001</x:v>
      </x:c>
      <x:c r="B133" s="3" t="str">
        <x:v>Balanced</x:v>
      </x:c>
      <x:c r="C133" s="18" t="n">
        <x:v>58789250</x:v>
      </x:c>
      <x:c r="D133" s="3" t="str">
        <x:v>Relative cutoff 1e-4</x:v>
      </x:c>
      <x:c r="E133" s="18" t="n">
        <x:v>800</x:v>
      </x:c>
      <x:c r="F133" s="21" t="n">
        <x:v>737.5682930012952</x:v>
      </x:c>
      <x:c r="G133" s="21" t="n">
        <x:f>F126</x:f>
        <x:v>706.8699927113836</x:v>
      </x:c>
      <x:c r="H133" s="21" t="n">
        <x:f>F131</x:f>
        <x:v>717.3582692607768</x:v>
      </x:c>
      <x:c r="I133" s="27" t="n">
        <x:f>IF(AND(ISNUMBER(G133),ISNUMBER(H133),H133&gt;0),G133/H133-1,"")</x:f>
        <x:v>-0.014620695123792382</x:v>
      </x:c>
      <x:c r="J133" s="27" t="n">
        <x:f>IF(AND(ISNUMBER(G133),F133&gt;0),G133/F133-1,"")</x:f>
        <x:v>-0.04162095982325209</x:v>
      </x:c>
      <x:c r="K133" s="19" t="str">
        <x:v>Balanced/EXP001/results/seed58789250_Relative_cutoff_1e-4.json</x:v>
      </x:c>
    </x:row>
    <x:row r="134" ht="15" hidden="0" customHeight="1">
      <x:c r="A134" s="3" t="str">
        <x:v>EXP001</x:v>
      </x:c>
      <x:c r="B134" s="3" t="str">
        <x:v>Balanced</x:v>
      </x:c>
      <x:c r="C134" s="18" t="n">
        <x:v>71709808</x:v>
      </x:c>
      <x:c r="D134" s="3" t="str">
        <x:v>BBP</x:v>
      </x:c>
      <x:c r="E134" s="18" t="n">
        <x:v>800</x:v>
      </x:c>
      <x:c r="F134" s="21" t="n">
        <x:v>564.9786386330998</x:v>
      </x:c>
      <x:c r="G134" s="21" t="n">
        <x:f>F134</x:f>
        <x:v>564.9786386330998</x:v>
      </x:c>
      <x:c r="H134" s="21" t="n">
        <x:f>F139</x:f>
        <x:v>671.112621763698</x:v>
      </x:c>
      <x:c r="I134" s="27" t="n">
        <x:f>IF(AND(ISNUMBER(G134),ISNUMBER(H134),H134&gt;0),G134/H134-1,"")</x:f>
        <x:v>-0.15814630762222281</x:v>
      </x:c>
      <x:c r="J134" s="27" t="n">
        <x:f>IF(AND(ISNUMBER(G134),F134&gt;0),G134/F134-1,"")</x:f>
        <x:v>0</x:v>
      </x:c>
      <x:c r="K134" s="19" t="str">
        <x:v>Balanced/EXP001/results/seed71709808_BBP.json</x:v>
      </x:c>
    </x:row>
    <x:row r="135" ht="15" hidden="0" customHeight="1">
      <x:c r="A135" s="3" t="str">
        <x:v>EXP001</x:v>
      </x:c>
      <x:c r="B135" s="3" t="str">
        <x:v>Balanced</x:v>
      </x:c>
      <x:c r="C135" s="18" t="n">
        <x:v>71709808</x:v>
      </x:c>
      <x:c r="D135" s="3" t="str">
        <x:v>Relative cutoff 1e-5</x:v>
      </x:c>
      <x:c r="E135" s="18" t="n">
        <x:v>800</x:v>
      </x:c>
      <x:c r="F135" s="21" t="n">
        <x:v>605.7105999879847</x:v>
      </x:c>
      <x:c r="G135" s="21" t="n">
        <x:f>F134</x:f>
        <x:v>564.9786386330998</x:v>
      </x:c>
      <x:c r="H135" s="21" t="n">
        <x:f>F139</x:f>
        <x:v>671.112621763698</x:v>
      </x:c>
      <x:c r="I135" s="27" t="n">
        <x:f>IF(AND(ISNUMBER(G135),ISNUMBER(H135),H135&gt;0),G135/H135-1,"")</x:f>
        <x:v>-0.15814630762222281</x:v>
      </x:c>
      <x:c r="J135" s="27" t="n">
        <x:f>IF(AND(ISNUMBER(G135),F135&gt;0),G135/F135-1,"")</x:f>
        <x:v>-0.06724657180457616</x:v>
      </x:c>
      <x:c r="K135" s="19" t="str">
        <x:v>Balanced/EXP001/results/seed71709808_Relative_cutoff_1e-5.json</x:v>
      </x:c>
    </x:row>
    <x:row r="136" ht="15" hidden="0" customHeight="1">
      <x:c r="A136" s="3" t="str">
        <x:v>EXP001</x:v>
      </x:c>
      <x:c r="B136" s="3" t="str">
        <x:v>Balanced</x:v>
      </x:c>
      <x:c r="C136" s="18" t="n">
        <x:v>71709808</x:v>
      </x:c>
      <x:c r="D136" s="3" t="str">
        <x:v>Fixed rank 10</x:v>
      </x:c>
      <x:c r="E136" s="18" t="n">
        <x:v>800</x:v>
      </x:c>
      <x:c r="F136" s="21" t="n">
        <x:v>631.0178233273559</x:v>
      </x:c>
      <x:c r="G136" s="21" t="n">
        <x:f>F134</x:f>
        <x:v>564.9786386330998</x:v>
      </x:c>
      <x:c r="H136" s="21" t="n">
        <x:f>F139</x:f>
        <x:v>671.112621763698</x:v>
      </x:c>
      <x:c r="I136" s="27" t="n">
        <x:f>IF(AND(ISNUMBER(G136),ISNUMBER(H136),H136&gt;0),G136/H136-1,"")</x:f>
        <x:v>-0.15814630762222281</x:v>
      </x:c>
      <x:c r="J136" s="27" t="n">
        <x:f>IF(AND(ISNUMBER(G136),F136&gt;0),G136/F136-1,"")</x:f>
        <x:v>-0.10465502281065797</x:v>
      </x:c>
      <x:c r="K136" s="19" t="str">
        <x:v>Balanced/EXP001/results/seed71709808_Fixed_rank_10.json</x:v>
      </x:c>
    </x:row>
    <x:row r="137" ht="15" hidden="0" customHeight="1">
      <x:c r="A137" s="3" t="str">
        <x:v>EXP001</x:v>
      </x:c>
      <x:c r="B137" s="3" t="str">
        <x:v>Balanced</x:v>
      </x:c>
      <x:c r="C137" s="18" t="n">
        <x:v>71709808</x:v>
      </x:c>
      <x:c r="D137" s="3" t="str">
        <x:v>Fixed rank 25</x:v>
      </x:c>
      <x:c r="E137" s="18" t="n">
        <x:v>800</x:v>
      </x:c>
      <x:c r="F137" s="21" t="n">
        <x:v>564.4356618781467</x:v>
      </x:c>
      <x:c r="G137" s="21" t="n">
        <x:f>F134</x:f>
        <x:v>564.9786386330998</x:v>
      </x:c>
      <x:c r="H137" s="21" t="n">
        <x:f>F139</x:f>
        <x:v>671.112621763698</x:v>
      </x:c>
      <x:c r="I137" s="27" t="n">
        <x:f>IF(AND(ISNUMBER(G137),ISNUMBER(H137),H137&gt;0),G137/H137-1,"")</x:f>
        <x:v>-0.15814630762222281</x:v>
      </x:c>
      <x:c r="J137" s="27" t="n">
        <x:f>IF(AND(ISNUMBER(G137),F137&gt;0),G137/F137-1,"")</x:f>
        <x:v>0.0009619816599581998</x:v>
      </x:c>
      <x:c r="K137" s="19" t="str">
        <x:v>Balanced/EXP001/results/seed71709808_Fixed_rank_25.json</x:v>
      </x:c>
    </x:row>
    <x:row r="138" ht="15" hidden="0" customHeight="1">
      <x:c r="A138" s="3" t="str">
        <x:v>EXP001</x:v>
      </x:c>
      <x:c r="B138" s="3" t="str">
        <x:v>Balanced</x:v>
      </x:c>
      <x:c r="C138" s="18" t="n">
        <x:v>71709808</x:v>
      </x:c>
      <x:c r="D138" s="3" t="str">
        <x:v>Relative cutoff 1e-6</x:v>
      </x:c>
      <x:c r="E138" s="18" t="n">
        <x:v>800</x:v>
      </x:c>
      <x:c r="F138" s="21" t="n">
        <x:v>554.323824777909</x:v>
      </x:c>
      <x:c r="G138" s="21" t="n">
        <x:f>F134</x:f>
        <x:v>564.9786386330998</x:v>
      </x:c>
      <x:c r="H138" s="21" t="n">
        <x:f>F139</x:f>
        <x:v>671.112621763698</x:v>
      </x:c>
      <x:c r="I138" s="27" t="n">
        <x:f>IF(AND(ISNUMBER(G138),ISNUMBER(H138),H138&gt;0),G138/H138-1,"")</x:f>
        <x:v>-0.15814630762222281</x:v>
      </x:c>
      <x:c r="J138" s="27" t="n">
        <x:f>IF(AND(ISNUMBER(G138),F138&gt;0),G138/F138-1,"")</x:f>
        <x:v>0.01922128073686835</x:v>
      </x:c>
      <x:c r="K138" s="19" t="str">
        <x:v>Balanced/EXP001/results/seed71709808_Relative_cutoff_1e-6.json</x:v>
      </x:c>
    </x:row>
    <x:row r="139" ht="15" hidden="0" customHeight="1">
      <x:c r="A139" s="3" t="str">
        <x:v>EXP001</x:v>
      </x:c>
      <x:c r="B139" s="3" t="str">
        <x:v>Balanced</x:v>
      </x:c>
      <x:c r="C139" s="18" t="n">
        <x:v>71709808</x:v>
      </x:c>
      <x:c r="D139" s="3" t="str">
        <x:v>Full</x:v>
      </x:c>
      <x:c r="E139" s="18" t="n">
        <x:v>800</x:v>
      </x:c>
      <x:c r="F139" s="21" t="n">
        <x:v>671.112621763698</x:v>
      </x:c>
      <x:c r="G139" s="21" t="n">
        <x:f>F134</x:f>
        <x:v>564.9786386330998</x:v>
      </x:c>
      <x:c r="H139" s="21" t="n">
        <x:f>F139</x:f>
        <x:v>671.112621763698</x:v>
      </x:c>
      <x:c r="I139" s="27" t="n">
        <x:f>IF(AND(ISNUMBER(G139),ISNUMBER(H139),H139&gt;0),G139/H139-1,"")</x:f>
        <x:v>-0.15814630762222281</x:v>
      </x:c>
      <x:c r="J139" s="27" t="n">
        <x:f>IF(AND(ISNUMBER(G139),F139&gt;0),G139/F139-1,"")</x:f>
        <x:v>-0.15814630762222281</x:v>
      </x:c>
      <x:c r="K139" s="19" t="str">
        <x:v>Balanced/EXP001/results/seed71709808_Full.json</x:v>
      </x:c>
    </x:row>
    <x:row r="140" ht="15" hidden="0" customHeight="1">
      <x:c r="A140" s="3" t="str">
        <x:v>EXP001</x:v>
      </x:c>
      <x:c r="B140" s="3" t="str">
        <x:v>Balanced</x:v>
      </x:c>
      <x:c r="C140" s="18" t="n">
        <x:v>71709808</x:v>
      </x:c>
      <x:c r="D140" s="3" t="str">
        <x:v>Relative cutoff 1e-2</x:v>
      </x:c>
      <x:c r="E140" s="18" t="n">
        <x:v>800</x:v>
      </x:c>
      <x:c r="F140" s="21" t="n">
        <x:v>763.2880310055782</x:v>
      </x:c>
      <x:c r="G140" s="21" t="n">
        <x:f>F134</x:f>
        <x:v>564.9786386330998</x:v>
      </x:c>
      <x:c r="H140" s="21" t="n">
        <x:f>F139</x:f>
        <x:v>671.112621763698</x:v>
      </x:c>
      <x:c r="I140" s="27" t="n">
        <x:f>IF(AND(ISNUMBER(G140),ISNUMBER(H140),H140&gt;0),G140/H140-1,"")</x:f>
        <x:v>-0.15814630762222281</x:v>
      </x:c>
      <x:c r="J140" s="27" t="n">
        <x:f>IF(AND(ISNUMBER(G140),F140&gt;0),G140/F140-1,"")</x:f>
        <x:v>-0.25980938298117917</x:v>
      </x:c>
      <x:c r="K140" s="19" t="str">
        <x:v>Balanced/EXP001/results/seed71709808_Relative_cutoff_1e-2.json</x:v>
      </x:c>
    </x:row>
    <x:row r="141" ht="15" hidden="0" customHeight="1">
      <x:c r="A141" s="3" t="str">
        <x:v>EXP001</x:v>
      </x:c>
      <x:c r="B141" s="3" t="str">
        <x:v>Balanced</x:v>
      </x:c>
      <x:c r="C141" s="18" t="n">
        <x:v>71709808</x:v>
      </x:c>
      <x:c r="D141" s="3" t="str">
        <x:v>Relative cutoff 1e-4</x:v>
      </x:c>
      <x:c r="E141" s="18" t="n">
        <x:v>800</x:v>
      </x:c>
      <x:c r="F141" s="21" t="n">
        <x:v>614.1443404746182</x:v>
      </x:c>
      <x:c r="G141" s="21" t="n">
        <x:f>F134</x:f>
        <x:v>564.9786386330998</x:v>
      </x:c>
      <x:c r="H141" s="21" t="n">
        <x:f>F139</x:f>
        <x:v>671.112621763698</x:v>
      </x:c>
      <x:c r="I141" s="27" t="n">
        <x:f>IF(AND(ISNUMBER(G141),ISNUMBER(H141),H141&gt;0),G141/H141-1,"")</x:f>
        <x:v>-0.15814630762222281</x:v>
      </x:c>
      <x:c r="J141" s="27" t="n">
        <x:f>IF(AND(ISNUMBER(G141),F141&gt;0),G141/F141-1,"")</x:f>
        <x:v>-0.08005561331644373</x:v>
      </x:c>
      <x:c r="K141" s="19" t="str">
        <x:v>Balanced/EXP001/results/seed71709808_Relative_cutoff_1e-4.json</x:v>
      </x:c>
    </x:row>
    <x:row r="142" ht="15" hidden="0" customHeight="1">
      <x:c r="A142" s="3" t="str">
        <x:v>EXP001</x:v>
      </x:c>
      <x:c r="B142" s="3" t="str">
        <x:v>Balanced</x:v>
      </x:c>
      <x:c r="C142" s="18" t="n">
        <x:v>75770407</x:v>
      </x:c>
      <x:c r="D142" s="3" t="str">
        <x:v>BBP</x:v>
      </x:c>
      <x:c r="E142" s="18" t="n">
        <x:v>800</x:v>
      </x:c>
      <x:c r="F142" s="21" t="n">
        <x:v>584.7016037146611</x:v>
      </x:c>
      <x:c r="G142" s="21" t="n">
        <x:f>F142</x:f>
        <x:v>584.7016037146611</x:v>
      </x:c>
      <x:c r="H142" s="21" t="n">
        <x:f>F147</x:f>
        <x:v>568.16286902339</x:v>
      </x:c>
      <x:c r="I142" s="27" t="n">
        <x:f>IF(AND(ISNUMBER(G142),ISNUMBER(H142),H142&gt;0),G142/H142-1,"")</x:f>
        <x:v>0.029109143861687725</x:v>
      </x:c>
      <x:c r="J142" s="27" t="n">
        <x:f>IF(AND(ISNUMBER(G142),F142&gt;0),G142/F142-1,"")</x:f>
        <x:v>0</x:v>
      </x:c>
      <x:c r="K142" s="19" t="str">
        <x:v>Balanced/EXP001/results/seed75770407_BBP.json</x:v>
      </x:c>
    </x:row>
    <x:row r="143" ht="15" hidden="0" customHeight="1">
      <x:c r="A143" s="3" t="str">
        <x:v>EXP001</x:v>
      </x:c>
      <x:c r="B143" s="3" t="str">
        <x:v>Balanced</x:v>
      </x:c>
      <x:c r="C143" s="18" t="n">
        <x:v>75770407</x:v>
      </x:c>
      <x:c r="D143" s="3" t="str">
        <x:v>Relative cutoff 1e-5</x:v>
      </x:c>
      <x:c r="E143" s="18" t="n">
        <x:v>800</x:v>
      </x:c>
      <x:c r="F143" s="21" t="n">
        <x:v>574.2142927917472</x:v>
      </x:c>
      <x:c r="G143" s="21" t="n">
        <x:f>F142</x:f>
        <x:v>584.7016037146611</x:v>
      </x:c>
      <x:c r="H143" s="21" t="n">
        <x:f>F147</x:f>
        <x:v>568.16286902339</x:v>
      </x:c>
      <x:c r="I143" s="27" t="n">
        <x:f>IF(AND(ISNUMBER(G143),ISNUMBER(H143),H143&gt;0),G143/H143-1,"")</x:f>
        <x:v>0.029109143861687725</x:v>
      </x:c>
      <x:c r="J143" s="27" t="n">
        <x:f>IF(AND(ISNUMBER(G143),F143&gt;0),G143/F143-1,"")</x:f>
        <x:v>0.0182637580683096</x:v>
      </x:c>
      <x:c r="K143" s="19" t="str">
        <x:v>Balanced/EXP001/results/seed75770407_Relative_cutoff_1e-5.json</x:v>
      </x:c>
    </x:row>
    <x:row r="144" ht="15" hidden="0" customHeight="1">
      <x:c r="A144" s="3" t="str">
        <x:v>EXP001</x:v>
      </x:c>
      <x:c r="B144" s="3" t="str">
        <x:v>Balanced</x:v>
      </x:c>
      <x:c r="C144" s="18" t="n">
        <x:v>75770407</x:v>
      </x:c>
      <x:c r="D144" s="3" t="str">
        <x:v>Fixed rank 10</x:v>
      </x:c>
      <x:c r="E144" s="18" t="n">
        <x:v>800</x:v>
      </x:c>
      <x:c r="F144" s="21" t="n">
        <x:v>560.5774442866928</x:v>
      </x:c>
      <x:c r="G144" s="21" t="n">
        <x:f>F142</x:f>
        <x:v>584.7016037146611</x:v>
      </x:c>
      <x:c r="H144" s="21" t="n">
        <x:f>F147</x:f>
        <x:v>568.16286902339</x:v>
      </x:c>
      <x:c r="I144" s="27" t="n">
        <x:f>IF(AND(ISNUMBER(G144),ISNUMBER(H144),H144&gt;0),G144/H144-1,"")</x:f>
        <x:v>0.029109143861687725</x:v>
      </x:c>
      <x:c r="J144" s="27" t="n">
        <x:f>IF(AND(ISNUMBER(G144),F144&gt;0),G144/F144-1,"")</x:f>
        <x:v>0.043034481094160304</x:v>
      </x:c>
      <x:c r="K144" s="19" t="str">
        <x:v>Balanced/EXP001/results/seed75770407_Fixed_rank_10.json</x:v>
      </x:c>
    </x:row>
    <x:row r="145" ht="15" hidden="0" customHeight="1">
      <x:c r="A145" s="3" t="str">
        <x:v>EXP001</x:v>
      </x:c>
      <x:c r="B145" s="3" t="str">
        <x:v>Balanced</x:v>
      </x:c>
      <x:c r="C145" s="18" t="n">
        <x:v>75770407</x:v>
      </x:c>
      <x:c r="D145" s="3" t="str">
        <x:v>Fixed rank 25</x:v>
      </x:c>
      <x:c r="E145" s="18" t="n">
        <x:v>800</x:v>
      </x:c>
      <x:c r="F145" s="21" t="n">
        <x:v>572.7024429590244</x:v>
      </x:c>
      <x:c r="G145" s="21" t="n">
        <x:f>F142</x:f>
        <x:v>584.7016037146611</x:v>
      </x:c>
      <x:c r="H145" s="21" t="n">
        <x:f>F147</x:f>
        <x:v>568.16286902339</x:v>
      </x:c>
      <x:c r="I145" s="27" t="n">
        <x:f>IF(AND(ISNUMBER(G145),ISNUMBER(H145),H145&gt;0),G145/H145-1,"")</x:f>
        <x:v>0.029109143861687725</x:v>
      </x:c>
      <x:c r="J145" s="27" t="n">
        <x:f>IF(AND(ISNUMBER(G145),F145&gt;0),G145/F145-1,"")</x:f>
        <x:v>0.020951823941311787</x:v>
      </x:c>
      <x:c r="K145" s="19" t="str">
        <x:v>Balanced/EXP001/results/seed75770407_Fixed_rank_25.json</x:v>
      </x:c>
    </x:row>
    <x:row r="146" ht="15" hidden="0" customHeight="1">
      <x:c r="A146" s="3" t="str">
        <x:v>EXP001</x:v>
      </x:c>
      <x:c r="B146" s="3" t="str">
        <x:v>Balanced</x:v>
      </x:c>
      <x:c r="C146" s="18" t="n">
        <x:v>75770407</x:v>
      </x:c>
      <x:c r="D146" s="3" t="str">
        <x:v>Relative cutoff 1e-6</x:v>
      </x:c>
      <x:c r="E146" s="18" t="n">
        <x:v>800</x:v>
      </x:c>
      <x:c r="F146" s="21" t="n">
        <x:v>572.5552122630775</x:v>
      </x:c>
      <x:c r="G146" s="21" t="n">
        <x:f>F142</x:f>
        <x:v>584.7016037146611</x:v>
      </x:c>
      <x:c r="H146" s="21" t="n">
        <x:f>F147</x:f>
        <x:v>568.16286902339</x:v>
      </x:c>
      <x:c r="I146" s="27" t="n">
        <x:f>IF(AND(ISNUMBER(G146),ISNUMBER(H146),H146&gt;0),G146/H146-1,"")</x:f>
        <x:v>0.029109143861687725</x:v>
      </x:c>
      <x:c r="J146" s="27" t="n">
        <x:f>IF(AND(ISNUMBER(G146),F146&gt;0),G146/F146-1,"")</x:f>
        <x:v>0.02121435835606822</x:v>
      </x:c>
      <x:c r="K146" s="19" t="str">
        <x:v>Balanced/EXP001/results/seed75770407_Relative_cutoff_1e-6.json</x:v>
      </x:c>
    </x:row>
    <x:row r="147" ht="15" hidden="0" customHeight="1">
      <x:c r="A147" s="3" t="str">
        <x:v>EXP001</x:v>
      </x:c>
      <x:c r="B147" s="3" t="str">
        <x:v>Balanced</x:v>
      </x:c>
      <x:c r="C147" s="18" t="n">
        <x:v>75770407</x:v>
      </x:c>
      <x:c r="D147" s="3" t="str">
        <x:v>Full</x:v>
      </x:c>
      <x:c r="E147" s="18" t="n">
        <x:v>800</x:v>
      </x:c>
      <x:c r="F147" s="21" t="n">
        <x:v>568.16286902339</x:v>
      </x:c>
      <x:c r="G147" s="21" t="n">
        <x:f>F142</x:f>
        <x:v>584.7016037146611</x:v>
      </x:c>
      <x:c r="H147" s="21" t="n">
        <x:f>F147</x:f>
        <x:v>568.16286902339</x:v>
      </x:c>
      <x:c r="I147" s="27" t="n">
        <x:f>IF(AND(ISNUMBER(G147),ISNUMBER(H147),H147&gt;0),G147/H147-1,"")</x:f>
        <x:v>0.029109143861687725</x:v>
      </x:c>
      <x:c r="J147" s="27" t="n">
        <x:f>IF(AND(ISNUMBER(G147),F147&gt;0),G147/F147-1,"")</x:f>
        <x:v>0.029109143861687725</x:v>
      </x:c>
      <x:c r="K147" s="19" t="str">
        <x:v>Balanced/EXP001/results/seed75770407_Full.json</x:v>
      </x:c>
    </x:row>
    <x:row r="148" ht="15" hidden="0" customHeight="1">
      <x:c r="A148" s="3" t="str">
        <x:v>EXP001</x:v>
      </x:c>
      <x:c r="B148" s="3" t="str">
        <x:v>Balanced</x:v>
      </x:c>
      <x:c r="C148" s="18" t="n">
        <x:v>75770407</x:v>
      </x:c>
      <x:c r="D148" s="3" t="str">
        <x:v>Relative cutoff 1e-2</x:v>
      </x:c>
      <x:c r="E148" s="18" t="n">
        <x:v>800</x:v>
      </x:c>
      <x:c r="F148" s="21" t="n">
        <x:v>654.5126977276224</x:v>
      </x:c>
      <x:c r="G148" s="21" t="n">
        <x:f>F142</x:f>
        <x:v>584.7016037146611</x:v>
      </x:c>
      <x:c r="H148" s="21" t="n">
        <x:f>F147</x:f>
        <x:v>568.16286902339</x:v>
      </x:c>
      <x:c r="I148" s="27" t="n">
        <x:f>IF(AND(ISNUMBER(G148),ISNUMBER(H148),H148&gt;0),G148/H148-1,"")</x:f>
        <x:v>0.029109143861687725</x:v>
      </x:c>
      <x:c r="J148" s="27" t="n">
        <x:f>IF(AND(ISNUMBER(G148),F148&gt;0),G148/F148-1,"")</x:f>
        <x:v>-0.10666117594866487</x:v>
      </x:c>
      <x:c r="K148" s="19" t="str">
        <x:v>Balanced/EXP001/results/seed75770407_Relative_cutoff_1e-2.json</x:v>
      </x:c>
    </x:row>
    <x:row r="149" ht="15" hidden="0" customHeight="1">
      <x:c r="A149" s="3" t="str">
        <x:v>EXP001</x:v>
      </x:c>
      <x:c r="B149" s="3" t="str">
        <x:v>Balanced</x:v>
      </x:c>
      <x:c r="C149" s="18" t="n">
        <x:v>75770407</x:v>
      </x:c>
      <x:c r="D149" s="3" t="str">
        <x:v>Relative cutoff 1e-4</x:v>
      </x:c>
      <x:c r="E149" s="18" t="n">
        <x:v>800</x:v>
      </x:c>
      <x:c r="F149" s="21" t="n">
        <x:v>523.7255398067246</x:v>
      </x:c>
      <x:c r="G149" s="21" t="n">
        <x:f>F142</x:f>
        <x:v>584.7016037146611</x:v>
      </x:c>
      <x:c r="H149" s="21" t="n">
        <x:f>F147</x:f>
        <x:v>568.16286902339</x:v>
      </x:c>
      <x:c r="I149" s="27" t="n">
        <x:f>IF(AND(ISNUMBER(G149),ISNUMBER(H149),H149&gt;0),G149/H149-1,"")</x:f>
        <x:v>0.029109143861687725</x:v>
      </x:c>
      <x:c r="J149" s="27" t="n">
        <x:f>IF(AND(ISNUMBER(G149),F149&gt;0),G149/F149-1,"")</x:f>
        <x:v>0.11642751646299154</x:v>
      </x:c>
      <x:c r="K149" s="19" t="str">
        <x:v>Balanced/EXP001/results/seed75770407_Relative_cutoff_1e-4.json</x:v>
      </x:c>
    </x:row>
    <x:row r="150" ht="15" hidden="0" customHeight="1">
      <x:c r="A150" s="3" t="str">
        <x:v>EXP001</x:v>
      </x:c>
      <x:c r="B150" s="3" t="str">
        <x:v>Balanced</x:v>
      </x:c>
      <x:c r="C150" s="18" t="n">
        <x:v>149790458</x:v>
      </x:c>
      <x:c r="D150" s="3" t="str">
        <x:v>BBP</x:v>
      </x:c>
      <x:c r="E150" s="18" t="n">
        <x:v>800</x:v>
      </x:c>
      <x:c r="F150" s="21" t="n">
        <x:v>462.7188973532921</x:v>
      </x:c>
      <x:c r="G150" s="21" t="n">
        <x:f>F150</x:f>
        <x:v>462.7188973532921</x:v>
      </x:c>
      <x:c r="H150" s="21" t="n">
        <x:f>F155</x:f>
        <x:v>466.56559940967225</x:v>
      </x:c>
      <x:c r="I150" s="27" t="n">
        <x:f>IF(AND(ISNUMBER(G150),ISNUMBER(H150),H150&gt;0),G150/H150-1,"")</x:f>
        <x:v>-0.008244718558863329</x:v>
      </x:c>
      <x:c r="J150" s="27" t="n">
        <x:f>IF(AND(ISNUMBER(G150),F150&gt;0),G150/F150-1,"")</x:f>
        <x:v>0</x:v>
      </x:c>
      <x:c r="K150" s="19" t="str">
        <x:v>Balanced/EXP001/results/seed149790458_BBP.json</x:v>
      </x:c>
    </x:row>
    <x:row r="151" ht="15" hidden="0" customHeight="1">
      <x:c r="A151" s="3" t="str">
        <x:v>EXP001</x:v>
      </x:c>
      <x:c r="B151" s="3" t="str">
        <x:v>Balanced</x:v>
      </x:c>
      <x:c r="C151" s="18" t="n">
        <x:v>149790458</x:v>
      </x:c>
      <x:c r="D151" s="3" t="str">
        <x:v>Relative cutoff 1e-5</x:v>
      </x:c>
      <x:c r="E151" s="18" t="n">
        <x:v>800</x:v>
      </x:c>
      <x:c r="F151" s="21" t="n">
        <x:v>445.96758051844057</x:v>
      </x:c>
      <x:c r="G151" s="21" t="n">
        <x:f>F150</x:f>
        <x:v>462.7188973532921</x:v>
      </x:c>
      <x:c r="H151" s="21" t="n">
        <x:f>F155</x:f>
        <x:v>466.56559940967225</x:v>
      </x:c>
      <x:c r="I151" s="27" t="n">
        <x:f>IF(AND(ISNUMBER(G151),ISNUMBER(H151),H151&gt;0),G151/H151-1,"")</x:f>
        <x:v>-0.008244718558863329</x:v>
      </x:c>
      <x:c r="J151" s="27" t="n">
        <x:f>IF(AND(ISNUMBER(G151),F151&gt;0),G151/F151-1,"")</x:f>
        <x:v>0.03756173669704421</x:v>
      </x:c>
      <x:c r="K151" s="19" t="str">
        <x:v>Balanced/EXP001/results/seed149790458_Relative_cutoff_1e-5.json</x:v>
      </x:c>
    </x:row>
    <x:row r="152" ht="15" hidden="0" customHeight="1">
      <x:c r="A152" s="3" t="str">
        <x:v>EXP001</x:v>
      </x:c>
      <x:c r="B152" s="3" t="str">
        <x:v>Balanced</x:v>
      </x:c>
      <x:c r="C152" s="18" t="n">
        <x:v>149790458</x:v>
      </x:c>
      <x:c r="D152" s="3" t="str">
        <x:v>Fixed rank 10</x:v>
      </x:c>
      <x:c r="E152" s="18" t="n">
        <x:v>800</x:v>
      </x:c>
      <x:c r="F152" s="21" t="n">
        <x:v>449.9957314574421</x:v>
      </x:c>
      <x:c r="G152" s="21" t="n">
        <x:f>F150</x:f>
        <x:v>462.7188973532921</x:v>
      </x:c>
      <x:c r="H152" s="21" t="n">
        <x:f>F155</x:f>
        <x:v>466.56559940967225</x:v>
      </x:c>
      <x:c r="I152" s="27" t="n">
        <x:f>IF(AND(ISNUMBER(G152),ISNUMBER(H152),H152&gt;0),G152/H152-1,"")</x:f>
        <x:v>-0.008244718558863329</x:v>
      </x:c>
      <x:c r="J152" s="27" t="n">
        <x:f>IF(AND(ISNUMBER(G152),F152&gt;0),G152/F152-1,"")</x:f>
        <x:v>0.028273970187766784</x:v>
      </x:c>
      <x:c r="K152" s="19" t="str">
        <x:v>Balanced/EXP001/results/seed149790458_Fixed_rank_10.json</x:v>
      </x:c>
    </x:row>
    <x:row r="153" ht="15" hidden="0" customHeight="1">
      <x:c r="A153" s="3" t="str">
        <x:v>EXP001</x:v>
      </x:c>
      <x:c r="B153" s="3" t="str">
        <x:v>Balanced</x:v>
      </x:c>
      <x:c r="C153" s="18" t="n">
        <x:v>149790458</x:v>
      </x:c>
      <x:c r="D153" s="3" t="str">
        <x:v>Fixed rank 25</x:v>
      </x:c>
      <x:c r="E153" s="18" t="n">
        <x:v>800</x:v>
      </x:c>
      <x:c r="F153" s="21" t="n">
        <x:v>466.33718703211076</x:v>
      </x:c>
      <x:c r="G153" s="21" t="n">
        <x:f>F150</x:f>
        <x:v>462.7188973532921</x:v>
      </x:c>
      <x:c r="H153" s="21" t="n">
        <x:f>F155</x:f>
        <x:v>466.56559940967225</x:v>
      </x:c>
      <x:c r="I153" s="27" t="n">
        <x:f>IF(AND(ISNUMBER(G153),ISNUMBER(H153),H153&gt;0),G153/H153-1,"")</x:f>
        <x:v>-0.008244718558863329</x:v>
      </x:c>
      <x:c r="J153" s="27" t="n">
        <x:f>IF(AND(ISNUMBER(G153),F153&gt;0),G153/F153-1,"")</x:f>
        <x:v>-0.007758955921671973</x:v>
      </x:c>
      <x:c r="K153" s="19" t="str">
        <x:v>Balanced/EXP001/results/seed149790458_Fixed_rank_25.json</x:v>
      </x:c>
    </x:row>
    <x:row r="154" ht="15" hidden="0" customHeight="1">
      <x:c r="A154" s="3" t="str">
        <x:v>EXP001</x:v>
      </x:c>
      <x:c r="B154" s="3" t="str">
        <x:v>Balanced</x:v>
      </x:c>
      <x:c r="C154" s="18" t="n">
        <x:v>149790458</x:v>
      </x:c>
      <x:c r="D154" s="3" t="str">
        <x:v>Relative cutoff 1e-6</x:v>
      </x:c>
      <x:c r="E154" s="18" t="n">
        <x:v>800</x:v>
      </x:c>
      <x:c r="F154" s="21" t="n">
        <x:v>449.98209133952827</x:v>
      </x:c>
      <x:c r="G154" s="21" t="n">
        <x:f>F150</x:f>
        <x:v>462.7188973532921</x:v>
      </x:c>
      <x:c r="H154" s="21" t="n">
        <x:f>F155</x:f>
        <x:v>466.56559940967225</x:v>
      </x:c>
      <x:c r="I154" s="27" t="n">
        <x:f>IF(AND(ISNUMBER(G154),ISNUMBER(H154),H154&gt;0),G154/H154-1,"")</x:f>
        <x:v>-0.008244718558863329</x:v>
      </x:c>
      <x:c r="J154" s="27" t="n">
        <x:f>IF(AND(ISNUMBER(G154),F154&gt;0),G154/F154-1,"")</x:f>
        <x:v>0.028305139824228</x:v>
      </x:c>
      <x:c r="K154" s="19" t="str">
        <x:v>Balanced/EXP001/results/seed149790458_Relative_cutoff_1e-6.json</x:v>
      </x:c>
    </x:row>
    <x:row r="155" ht="15" hidden="0" customHeight="1">
      <x:c r="A155" s="3" t="str">
        <x:v>EXP001</x:v>
      </x:c>
      <x:c r="B155" s="3" t="str">
        <x:v>Balanced</x:v>
      </x:c>
      <x:c r="C155" s="18" t="n">
        <x:v>149790458</x:v>
      </x:c>
      <x:c r="D155" s="3" t="str">
        <x:v>Full</x:v>
      </x:c>
      <x:c r="E155" s="18" t="n">
        <x:v>800</x:v>
      </x:c>
      <x:c r="F155" s="21" t="n">
        <x:v>466.56559940967225</x:v>
      </x:c>
      <x:c r="G155" s="21" t="n">
        <x:f>F150</x:f>
        <x:v>462.7188973532921</x:v>
      </x:c>
      <x:c r="H155" s="21" t="n">
        <x:f>F155</x:f>
        <x:v>466.56559940967225</x:v>
      </x:c>
      <x:c r="I155" s="27" t="n">
        <x:f>IF(AND(ISNUMBER(G155),ISNUMBER(H155),H155&gt;0),G155/H155-1,"")</x:f>
        <x:v>-0.008244718558863329</x:v>
      </x:c>
      <x:c r="J155" s="27" t="n">
        <x:f>IF(AND(ISNUMBER(G155),F155&gt;0),G155/F155-1,"")</x:f>
        <x:v>-0.008244718558863329</x:v>
      </x:c>
      <x:c r="K155" s="19" t="str">
        <x:v>Balanced/EXP001/results/seed149790458_Full.json</x:v>
      </x:c>
    </x:row>
    <x:row r="156" ht="15" hidden="0" customHeight="1">
      <x:c r="A156" s="3" t="str">
        <x:v>EXP001</x:v>
      </x:c>
      <x:c r="B156" s="3" t="str">
        <x:v>Balanced</x:v>
      </x:c>
      <x:c r="C156" s="18" t="n">
        <x:v>149790458</x:v>
      </x:c>
      <x:c r="D156" s="3" t="str">
        <x:v>Relative cutoff 1e-2</x:v>
      </x:c>
      <x:c r="E156" s="18" t="n">
        <x:v>800</x:v>
      </x:c>
      <x:c r="F156" s="21" t="n">
        <x:v>489.79315221132106</x:v>
      </x:c>
      <x:c r="G156" s="21" t="n">
        <x:f>F150</x:f>
        <x:v>462.7188973532921</x:v>
      </x:c>
      <x:c r="H156" s="21" t="n">
        <x:f>F155</x:f>
        <x:v>466.56559940967225</x:v>
      </x:c>
      <x:c r="I156" s="27" t="n">
        <x:f>IF(AND(ISNUMBER(G156),ISNUMBER(H156),H156&gt;0),G156/H156-1,"")</x:f>
        <x:v>-0.008244718558863329</x:v>
      </x:c>
      <x:c r="J156" s="27" t="n">
        <x:f>IF(AND(ISNUMBER(G156),F156&gt;0),G156/F156-1,"")</x:f>
        <x:v>-0.05527691584864747</x:v>
      </x:c>
      <x:c r="K156" s="19" t="str">
        <x:v>Balanced/EXP001/results/seed149790458_Relative_cutoff_1e-2.json</x:v>
      </x:c>
    </x:row>
    <x:row r="157" ht="15" hidden="0" customHeight="1">
      <x:c r="A157" s="3" t="str">
        <x:v>EXP001</x:v>
      </x:c>
      <x:c r="B157" s="3" t="str">
        <x:v>Balanced</x:v>
      </x:c>
      <x:c r="C157" s="18" t="n">
        <x:v>149790458</x:v>
      </x:c>
      <x:c r="D157" s="3" t="str">
        <x:v>Relative cutoff 1e-4</x:v>
      </x:c>
      <x:c r="E157" s="18" t="n">
        <x:v>800</x:v>
      </x:c>
      <x:c r="F157" s="21" t="n">
        <x:v>471.25655715447</x:v>
      </x:c>
      <x:c r="G157" s="21" t="n">
        <x:f>F150</x:f>
        <x:v>462.7188973532921</x:v>
      </x:c>
      <x:c r="H157" s="21" t="n">
        <x:f>F155</x:f>
        <x:v>466.56559940967225</x:v>
      </x:c>
      <x:c r="I157" s="27" t="n">
        <x:f>IF(AND(ISNUMBER(G157),ISNUMBER(H157),H157&gt;0),G157/H157-1,"")</x:f>
        <x:v>-0.008244718558863329</x:v>
      </x:c>
      <x:c r="J157" s="27" t="n">
        <x:f>IF(AND(ISNUMBER(G157),F157&gt;0),G157/F157-1,"")</x:f>
        <x:v>-0.01811679789185272</x:v>
      </x:c>
      <x:c r="K157" s="19" t="str">
        <x:v>Balanced/EXP001/results/seed149790458_Relative_cutoff_1e-4.json</x:v>
      </x:c>
    </x:row>
    <x:row r="158" ht="15" hidden="0" customHeight="1">
      <x:c r="A158" s="3" t="str">
        <x:v>EXP001</x:v>
      </x:c>
      <x:c r="B158" s="3" t="str">
        <x:v>Balanced</x:v>
      </x:c>
      <x:c r="C158" s="18" t="n">
        <x:v>178718637</x:v>
      </x:c>
      <x:c r="D158" s="3" t="str">
        <x:v>BBP</x:v>
      </x:c>
      <x:c r="E158" s="18" t="n">
        <x:v>800</x:v>
      </x:c>
      <x:c r="F158" s="21" t="n">
        <x:v>584.9820409105238</x:v>
      </x:c>
      <x:c r="G158" s="21" t="n">
        <x:f>F158</x:f>
        <x:v>584.9820409105238</x:v>
      </x:c>
      <x:c r="H158" s="21" t="n">
        <x:f>F163</x:f>
        <x:v>545.946827959875</x:v>
      </x:c>
      <x:c r="I158" s="27" t="n">
        <x:f>IF(AND(ISNUMBER(G158),ISNUMBER(H158),H158&gt;0),G158/H158-1,"")</x:f>
        <x:v>0.07150002702006297</x:v>
      </x:c>
      <x:c r="J158" s="27" t="n">
        <x:f>IF(AND(ISNUMBER(G158),F158&gt;0),G158/F158-1,"")</x:f>
        <x:v>0</x:v>
      </x:c>
      <x:c r="K158" s="19" t="str">
        <x:v>Balanced/EXP001/results/seed178718637_BBP.json</x:v>
      </x:c>
    </x:row>
    <x:row r="159" ht="15" hidden="0" customHeight="1">
      <x:c r="A159" s="3" t="str">
        <x:v>EXP001</x:v>
      </x:c>
      <x:c r="B159" s="3" t="str">
        <x:v>Balanced</x:v>
      </x:c>
      <x:c r="C159" s="18" t="n">
        <x:v>178718637</x:v>
      </x:c>
      <x:c r="D159" s="3" t="str">
        <x:v>Relative cutoff 1e-5</x:v>
      </x:c>
      <x:c r="E159" s="18" t="n">
        <x:v>800</x:v>
      </x:c>
      <x:c r="F159" s="21" t="n">
        <x:v>552.2271854625989</x:v>
      </x:c>
      <x:c r="G159" s="21" t="n">
        <x:f>F158</x:f>
        <x:v>584.9820409105238</x:v>
      </x:c>
      <x:c r="H159" s="21" t="n">
        <x:f>F163</x:f>
        <x:v>545.946827959875</x:v>
      </x:c>
      <x:c r="I159" s="27" t="n">
        <x:f>IF(AND(ISNUMBER(G159),ISNUMBER(H159),H159&gt;0),G159/H159-1,"")</x:f>
        <x:v>0.07150002702006297</x:v>
      </x:c>
      <x:c r="J159" s="27" t="n">
        <x:f>IF(AND(ISNUMBER(G159),F159&gt;0),G159/F159-1,"")</x:f>
        <x:v>0.05931409447089475</x:v>
      </x:c>
      <x:c r="K159" s="19" t="str">
        <x:v>Balanced/EXP001/results/seed178718637_Relative_cutoff_1e-5.json</x:v>
      </x:c>
    </x:row>
    <x:row r="160" ht="15" hidden="0" customHeight="1">
      <x:c r="A160" s="3" t="str">
        <x:v>EXP001</x:v>
      </x:c>
      <x:c r="B160" s="3" t="str">
        <x:v>Balanced</x:v>
      </x:c>
      <x:c r="C160" s="18" t="n">
        <x:v>178718637</x:v>
      </x:c>
      <x:c r="D160" s="3" t="str">
        <x:v>Fixed rank 10</x:v>
      </x:c>
      <x:c r="E160" s="18" t="n">
        <x:v>800</x:v>
      </x:c>
      <x:c r="F160" s="21" t="n">
        <x:v>559.4069583240938</x:v>
      </x:c>
      <x:c r="G160" s="21" t="n">
        <x:f>F158</x:f>
        <x:v>584.9820409105238</x:v>
      </x:c>
      <x:c r="H160" s="21" t="n">
        <x:f>F163</x:f>
        <x:v>545.946827959875</x:v>
      </x:c>
      <x:c r="I160" s="27" t="n">
        <x:f>IF(AND(ISNUMBER(G160),ISNUMBER(H160),H160&gt;0),G160/H160-1,"")</x:f>
        <x:v>0.07150002702006297</x:v>
      </x:c>
      <x:c r="J160" s="27" t="n">
        <x:f>IF(AND(ISNUMBER(G160),F160&gt;0),G160/F160-1,"")</x:f>
        <x:v>0.045718206049937926</x:v>
      </x:c>
      <x:c r="K160" s="19" t="str">
        <x:v>Balanced/EXP001/results/seed178718637_Fixed_rank_10.json</x:v>
      </x:c>
    </x:row>
    <x:row r="161" ht="15" hidden="0" customHeight="1">
      <x:c r="A161" s="3" t="str">
        <x:v>EXP001</x:v>
      </x:c>
      <x:c r="B161" s="3" t="str">
        <x:v>Balanced</x:v>
      </x:c>
      <x:c r="C161" s="18" t="n">
        <x:v>178718637</x:v>
      </x:c>
      <x:c r="D161" s="3" t="str">
        <x:v>Fixed rank 25</x:v>
      </x:c>
      <x:c r="E161" s="18" t="n">
        <x:v>800</x:v>
      </x:c>
      <x:c r="F161" s="21" t="n">
        <x:v>583.7650336637022</x:v>
      </x:c>
      <x:c r="G161" s="21" t="n">
        <x:f>F158</x:f>
        <x:v>584.9820409105238</x:v>
      </x:c>
      <x:c r="H161" s="21" t="n">
        <x:f>F163</x:f>
        <x:v>545.946827959875</x:v>
      </x:c>
      <x:c r="I161" s="27" t="n">
        <x:f>IF(AND(ISNUMBER(G161),ISNUMBER(H161),H161&gt;0),G161/H161-1,"")</x:f>
        <x:v>0.07150002702006297</x:v>
      </x:c>
      <x:c r="J161" s="27" t="n">
        <x:f>IF(AND(ISNUMBER(G161),F161&gt;0),G161/F161-1,"")</x:f>
        <x:v>0.002084755298178198</x:v>
      </x:c>
      <x:c r="K161" s="19" t="str">
        <x:v>Balanced/EXP001/results/seed178718637_Fixed_rank_25.json</x:v>
      </x:c>
    </x:row>
    <x:row r="162" ht="15" hidden="0" customHeight="1">
      <x:c r="A162" s="3" t="str">
        <x:v>EXP001</x:v>
      </x:c>
      <x:c r="B162" s="3" t="str">
        <x:v>Balanced</x:v>
      </x:c>
      <x:c r="C162" s="18" t="n">
        <x:v>178718637</x:v>
      </x:c>
      <x:c r="D162" s="3" t="str">
        <x:v>Relative cutoff 1e-6</x:v>
      </x:c>
      <x:c r="E162" s="18" t="n">
        <x:v>800</x:v>
      </x:c>
      <x:c r="F162" s="21" t="n">
        <x:v>550.9393025215494</x:v>
      </x:c>
      <x:c r="G162" s="21" t="n">
        <x:f>F158</x:f>
        <x:v>584.9820409105238</x:v>
      </x:c>
      <x:c r="H162" s="21" t="n">
        <x:f>F163</x:f>
        <x:v>545.946827959875</x:v>
      </x:c>
      <x:c r="I162" s="27" t="n">
        <x:f>IF(AND(ISNUMBER(G162),ISNUMBER(H162),H162&gt;0),G162/H162-1,"")</x:f>
        <x:v>0.07150002702006297</x:v>
      </x:c>
      <x:c r="J162" s="27" t="n">
        <x:f>IF(AND(ISNUMBER(G162),F162&gt;0),G162/F162-1,"")</x:f>
        <x:v>0.061790360994699256</x:v>
      </x:c>
      <x:c r="K162" s="19" t="str">
        <x:v>Balanced/EXP001/results/seed178718637_Relative_cutoff_1e-6.json</x:v>
      </x:c>
    </x:row>
    <x:row r="163" ht="15" hidden="0" customHeight="1">
      <x:c r="A163" s="3" t="str">
        <x:v>EXP001</x:v>
      </x:c>
      <x:c r="B163" s="3" t="str">
        <x:v>Balanced</x:v>
      </x:c>
      <x:c r="C163" s="18" t="n">
        <x:v>178718637</x:v>
      </x:c>
      <x:c r="D163" s="3" t="str">
        <x:v>Full</x:v>
      </x:c>
      <x:c r="E163" s="18" t="n">
        <x:v>800</x:v>
      </x:c>
      <x:c r="F163" s="21" t="n">
        <x:v>545.946827959875</x:v>
      </x:c>
      <x:c r="G163" s="21" t="n">
        <x:f>F158</x:f>
        <x:v>584.9820409105238</x:v>
      </x:c>
      <x:c r="H163" s="21" t="n">
        <x:f>F163</x:f>
        <x:v>545.946827959875</x:v>
      </x:c>
      <x:c r="I163" s="27" t="n">
        <x:f>IF(AND(ISNUMBER(G163),ISNUMBER(H163),H163&gt;0),G163/H163-1,"")</x:f>
        <x:v>0.07150002702006297</x:v>
      </x:c>
      <x:c r="J163" s="27" t="n">
        <x:f>IF(AND(ISNUMBER(G163),F163&gt;0),G163/F163-1,"")</x:f>
        <x:v>0.07150002702006297</x:v>
      </x:c>
      <x:c r="K163" s="19" t="str">
        <x:v>Balanced/EXP001/results/seed178718637_Full.json</x:v>
      </x:c>
    </x:row>
    <x:row r="164" ht="15" hidden="0" customHeight="1">
      <x:c r="A164" s="3" t="str">
        <x:v>EXP001</x:v>
      </x:c>
      <x:c r="B164" s="3" t="str">
        <x:v>Balanced</x:v>
      </x:c>
      <x:c r="C164" s="18" t="n">
        <x:v>178718637</x:v>
      </x:c>
      <x:c r="D164" s="3" t="str">
        <x:v>Relative cutoff 1e-2</x:v>
      </x:c>
      <x:c r="E164" s="18" t="n">
        <x:v>800</x:v>
      </x:c>
      <x:c r="F164" s="21" t="n">
        <x:v>714.8732240122382</x:v>
      </x:c>
      <x:c r="G164" s="21" t="n">
        <x:f>F158</x:f>
        <x:v>584.9820409105238</x:v>
      </x:c>
      <x:c r="H164" s="21" t="n">
        <x:f>F163</x:f>
        <x:v>545.946827959875</x:v>
      </x:c>
      <x:c r="I164" s="27" t="n">
        <x:f>IF(AND(ISNUMBER(G164),ISNUMBER(H164),H164&gt;0),G164/H164-1,"")</x:f>
        <x:v>0.07150002702006297</x:v>
      </x:c>
      <x:c r="J164" s="27" t="n">
        <x:f>IF(AND(ISNUMBER(G164),F164&gt;0),G164/F164-1,"")</x:f>
        <x:v>-0.18169820709285756</x:v>
      </x:c>
      <x:c r="K164" s="19" t="str">
        <x:v>Balanced/EXP001/results/seed178718637_Relative_cutoff_1e-2.json</x:v>
      </x:c>
    </x:row>
    <x:row r="165" ht="15" hidden="0" customHeight="1">
      <x:c r="A165" s="3" t="str">
        <x:v>EXP001</x:v>
      </x:c>
      <x:c r="B165" s="3" t="str">
        <x:v>Balanced</x:v>
      </x:c>
      <x:c r="C165" s="18" t="n">
        <x:v>178718637</x:v>
      </x:c>
      <x:c r="D165" s="3" t="str">
        <x:v>Relative cutoff 1e-4</x:v>
      </x:c>
      <x:c r="E165" s="18" t="n">
        <x:v>800</x:v>
      </x:c>
      <x:c r="F165" s="21" t="n">
        <x:v>649.2880784052853</x:v>
      </x:c>
      <x:c r="G165" s="21" t="n">
        <x:f>F158</x:f>
        <x:v>584.9820409105238</x:v>
      </x:c>
      <x:c r="H165" s="21" t="n">
        <x:f>F163</x:f>
        <x:v>545.946827959875</x:v>
      </x:c>
      <x:c r="I165" s="27" t="n">
        <x:f>IF(AND(ISNUMBER(G165),ISNUMBER(H165),H165&gt;0),G165/H165-1,"")</x:f>
        <x:v>0.07150002702006297</x:v>
      </x:c>
      <x:c r="J165" s="27" t="n">
        <x:f>IF(AND(ISNUMBER(G165),F165&gt;0),G165/F165-1,"")</x:f>
        <x:v>-0.09904084124369483</x:v>
      </x:c>
      <x:c r="K165" s="19" t="str">
        <x:v>Balanced/EXP001/results/seed178718637_Relative_cutoff_1e-4.json</x:v>
      </x:c>
    </x:row>
    <x:row r="166" ht="15" hidden="0" customHeight="1">
      <x:c r="A166" s="3" t="str">
        <x:v>EXP001</x:v>
      </x:c>
      <x:c r="B166" s="3" t="str">
        <x:v>Balanced</x:v>
      </x:c>
      <x:c r="C166" s="18" t="n">
        <x:v>191938147</x:v>
      </x:c>
      <x:c r="D166" s="3" t="str">
        <x:v>BBP</x:v>
      </x:c>
      <x:c r="E166" s="18" t="n">
        <x:v>800</x:v>
      </x:c>
      <x:c r="F166" s="21" t="n">
        <x:v>611.2113257630909</x:v>
      </x:c>
      <x:c r="G166" s="21" t="n">
        <x:f>F166</x:f>
        <x:v>611.2113257630909</x:v>
      </x:c>
      <x:c r="H166" s="21" t="n">
        <x:f>F171</x:f>
        <x:v>593.1880281451128</x:v>
      </x:c>
      <x:c r="I166" s="27" t="n">
        <x:f>IF(AND(ISNUMBER(G166),ISNUMBER(H166),H166&gt;0),G166/H166-1,"")</x:f>
        <x:v>0.030383785179105338</x:v>
      </x:c>
      <x:c r="J166" s="27" t="n">
        <x:f>IF(AND(ISNUMBER(G166),F166&gt;0),G166/F166-1,"")</x:f>
        <x:v>0</x:v>
      </x:c>
      <x:c r="K166" s="19" t="str">
        <x:v>Balanced/EXP001/results/seed191938147_BBP.json</x:v>
      </x:c>
    </x:row>
    <x:row r="167" ht="15" hidden="0" customHeight="1">
      <x:c r="A167" s="3" t="str">
        <x:v>EXP001</x:v>
      </x:c>
      <x:c r="B167" s="3" t="str">
        <x:v>Balanced</x:v>
      </x:c>
      <x:c r="C167" s="18" t="n">
        <x:v>191938147</x:v>
      </x:c>
      <x:c r="D167" s="3" t="str">
        <x:v>Relative cutoff 1e-5</x:v>
      </x:c>
      <x:c r="E167" s="18" t="n">
        <x:v>800</x:v>
      </x:c>
      <x:c r="F167" s="21" t="n">
        <x:v>599.6506461403388</x:v>
      </x:c>
      <x:c r="G167" s="21" t="n">
        <x:f>F166</x:f>
        <x:v>611.2113257630909</x:v>
      </x:c>
      <x:c r="H167" s="21" t="n">
        <x:f>F171</x:f>
        <x:v>593.1880281451128</x:v>
      </x:c>
      <x:c r="I167" s="27" t="n">
        <x:f>IF(AND(ISNUMBER(G167),ISNUMBER(H167),H167&gt;0),G167/H167-1,"")</x:f>
        <x:v>0.030383785179105338</x:v>
      </x:c>
      <x:c r="J167" s="27" t="n">
        <x:f>IF(AND(ISNUMBER(G167),F167&gt;0),G167/F167-1,"")</x:f>
        <x:v>0.019279024707406833</x:v>
      </x:c>
      <x:c r="K167" s="19" t="str">
        <x:v>Balanced/EXP001/results/seed191938147_Relative_cutoff_1e-5.json</x:v>
      </x:c>
    </x:row>
    <x:row r="168" ht="15" hidden="0" customHeight="1">
      <x:c r="A168" s="3" t="str">
        <x:v>EXP001</x:v>
      </x:c>
      <x:c r="B168" s="3" t="str">
        <x:v>Balanced</x:v>
      </x:c>
      <x:c r="C168" s="18" t="n">
        <x:v>191938147</x:v>
      </x:c>
      <x:c r="D168" s="3" t="str">
        <x:v>Fixed rank 10</x:v>
      </x:c>
      <x:c r="E168" s="18" t="n">
        <x:v>800</x:v>
      </x:c>
      <x:c r="F168" s="21" t="n">
        <x:v>650.6581737105398</x:v>
      </x:c>
      <x:c r="G168" s="21" t="n">
        <x:f>F166</x:f>
        <x:v>611.2113257630909</x:v>
      </x:c>
      <x:c r="H168" s="21" t="n">
        <x:f>F171</x:f>
        <x:v>593.1880281451128</x:v>
      </x:c>
      <x:c r="I168" s="27" t="n">
        <x:f>IF(AND(ISNUMBER(G168),ISNUMBER(H168),H168&gt;0),G168/H168-1,"")</x:f>
        <x:v>0.030383785179105338</x:v>
      </x:c>
      <x:c r="J168" s="27" t="n">
        <x:f>IF(AND(ISNUMBER(G168),F168&gt;0),G168/F168-1,"")</x:f>
        <x:v>-0.060626069941599914</x:v>
      </x:c>
      <x:c r="K168" s="19" t="str">
        <x:v>Balanced/EXP001/results/seed191938147_Fixed_rank_10.json</x:v>
      </x:c>
    </x:row>
    <x:row r="169" ht="15" hidden="0" customHeight="1">
      <x:c r="A169" s="3" t="str">
        <x:v>EXP001</x:v>
      </x:c>
      <x:c r="B169" s="3" t="str">
        <x:v>Balanced</x:v>
      </x:c>
      <x:c r="C169" s="18" t="n">
        <x:v>191938147</x:v>
      </x:c>
      <x:c r="D169" s="3" t="str">
        <x:v>Fixed rank 25</x:v>
      </x:c>
      <x:c r="E169" s="18" t="n">
        <x:v>800</x:v>
      </x:c>
      <x:c r="F169" s="21" t="n">
        <x:v>614.6421316171327</x:v>
      </x:c>
      <x:c r="G169" s="21" t="n">
        <x:f>F166</x:f>
        <x:v>611.2113257630909</x:v>
      </x:c>
      <x:c r="H169" s="21" t="n">
        <x:f>F171</x:f>
        <x:v>593.1880281451128</x:v>
      </x:c>
      <x:c r="I169" s="27" t="n">
        <x:f>IF(AND(ISNUMBER(G169),ISNUMBER(H169),H169&gt;0),G169/H169-1,"")</x:f>
        <x:v>0.030383785179105338</x:v>
      </x:c>
      <x:c r="J169" s="27" t="n">
        <x:f>IF(AND(ISNUMBER(G169),F169&gt;0),G169/F169-1,"")</x:f>
        <x:v>-0.005581794149085217</x:v>
      </x:c>
      <x:c r="K169" s="19" t="str">
        <x:v>Balanced/EXP001/results/seed191938147_Fixed_rank_25.json</x:v>
      </x:c>
    </x:row>
    <x:row r="170" ht="15" hidden="0" customHeight="1">
      <x:c r="A170" s="3" t="str">
        <x:v>EXP001</x:v>
      </x:c>
      <x:c r="B170" s="3" t="str">
        <x:v>Balanced</x:v>
      </x:c>
      <x:c r="C170" s="18" t="n">
        <x:v>191938147</x:v>
      </x:c>
      <x:c r="D170" s="3" t="str">
        <x:v>Relative cutoff 1e-6</x:v>
      </x:c>
      <x:c r="E170" s="18" t="n">
        <x:v>800</x:v>
      </x:c>
      <x:c r="F170" s="21" t="n">
        <x:v>641.7977691408117</x:v>
      </x:c>
      <x:c r="G170" s="21" t="n">
        <x:f>F166</x:f>
        <x:v>611.2113257630909</x:v>
      </x:c>
      <x:c r="H170" s="21" t="n">
        <x:f>F171</x:f>
        <x:v>593.1880281451128</x:v>
      </x:c>
      <x:c r="I170" s="27" t="n">
        <x:f>IF(AND(ISNUMBER(G170),ISNUMBER(H170),H170&gt;0),G170/H170-1,"")</x:f>
        <x:v>0.030383785179105338</x:v>
      </x:c>
      <x:c r="J170" s="27" t="n">
        <x:f>IF(AND(ISNUMBER(G170),F170&gt;0),G170/F170-1,"")</x:f>
        <x:v>-0.047657447327477453</x:v>
      </x:c>
      <x:c r="K170" s="19" t="str">
        <x:v>Balanced/EXP001/results/seed191938147_Relative_cutoff_1e-6.json</x:v>
      </x:c>
    </x:row>
    <x:row r="171" ht="15" hidden="0" customHeight="1">
      <x:c r="A171" s="3" t="str">
        <x:v>EXP001</x:v>
      </x:c>
      <x:c r="B171" s="3" t="str">
        <x:v>Balanced</x:v>
      </x:c>
      <x:c r="C171" s="18" t="n">
        <x:v>191938147</x:v>
      </x:c>
      <x:c r="D171" s="3" t="str">
        <x:v>Full</x:v>
      </x:c>
      <x:c r="E171" s="18" t="n">
        <x:v>800</x:v>
      </x:c>
      <x:c r="F171" s="21" t="n">
        <x:v>593.1880281451128</x:v>
      </x:c>
      <x:c r="G171" s="21" t="n">
        <x:f>F166</x:f>
        <x:v>611.2113257630909</x:v>
      </x:c>
      <x:c r="H171" s="21" t="n">
        <x:f>F171</x:f>
        <x:v>593.1880281451128</x:v>
      </x:c>
      <x:c r="I171" s="27" t="n">
        <x:f>IF(AND(ISNUMBER(G171),ISNUMBER(H171),H171&gt;0),G171/H171-1,"")</x:f>
        <x:v>0.030383785179105338</x:v>
      </x:c>
      <x:c r="J171" s="27" t="n">
        <x:f>IF(AND(ISNUMBER(G171),F171&gt;0),G171/F171-1,"")</x:f>
        <x:v>0.030383785179105338</x:v>
      </x:c>
      <x:c r="K171" s="19" t="str">
        <x:v>Balanced/EXP001/results/seed191938147_Full.json</x:v>
      </x:c>
    </x:row>
    <x:row r="172" ht="15" hidden="0" customHeight="1">
      <x:c r="A172" s="3" t="str">
        <x:v>EXP001</x:v>
      </x:c>
      <x:c r="B172" s="3" t="str">
        <x:v>Balanced</x:v>
      </x:c>
      <x:c r="C172" s="18" t="n">
        <x:v>191938147</x:v>
      </x:c>
      <x:c r="D172" s="3" t="str">
        <x:v>Relative cutoff 1e-2</x:v>
      </x:c>
      <x:c r="E172" s="18" t="n">
        <x:v>800</x:v>
      </x:c>
      <x:c r="F172" s="21" t="n">
        <x:v>804.6762315684624</x:v>
      </x:c>
      <x:c r="G172" s="21" t="n">
        <x:f>F166</x:f>
        <x:v>611.2113257630909</x:v>
      </x:c>
      <x:c r="H172" s="21" t="n">
        <x:f>F171</x:f>
        <x:v>593.1880281451128</x:v>
      </x:c>
      <x:c r="I172" s="27" t="n">
        <x:f>IF(AND(ISNUMBER(G172),ISNUMBER(H172),H172&gt;0),G172/H172-1,"")</x:f>
        <x:v>0.030383785179105338</x:v>
      </x:c>
      <x:c r="J172" s="27" t="n">
        <x:f>IF(AND(ISNUMBER(G172),F172&gt;0),G172/F172-1,"")</x:f>
        <x:v>-0.24042577401382004</x:v>
      </x:c>
      <x:c r="K172" s="19" t="str">
        <x:v>Balanced/EXP001/results/seed191938147_Relative_cutoff_1e-2.json</x:v>
      </x:c>
    </x:row>
    <x:row r="173" ht="15" hidden="0" customHeight="1">
      <x:c r="A173" s="3" t="str">
        <x:v>EXP001</x:v>
      </x:c>
      <x:c r="B173" s="3" t="str">
        <x:v>Balanced</x:v>
      </x:c>
      <x:c r="C173" s="18" t="n">
        <x:v>191938147</x:v>
      </x:c>
      <x:c r="D173" s="3" t="str">
        <x:v>Relative cutoff 1e-4</x:v>
      </x:c>
      <x:c r="E173" s="18" t="n">
        <x:v>800</x:v>
      </x:c>
      <x:c r="F173" s="21" t="n">
        <x:v>675.6669709899827</x:v>
      </x:c>
      <x:c r="G173" s="21" t="n">
        <x:f>F166</x:f>
        <x:v>611.2113257630909</x:v>
      </x:c>
      <x:c r="H173" s="21" t="n">
        <x:f>F171</x:f>
        <x:v>593.1880281451128</x:v>
      </x:c>
      <x:c r="I173" s="27" t="n">
        <x:f>IF(AND(ISNUMBER(G173),ISNUMBER(H173),H173&gt;0),G173/H173-1,"")</x:f>
        <x:v>0.030383785179105338</x:v>
      </x:c>
      <x:c r="J173" s="27" t="n">
        <x:f>IF(AND(ISNUMBER(G173),F173&gt;0),G173/F173-1,"")</x:f>
        <x:v>-0.09539558391088998</x:v>
      </x:c>
      <x:c r="K173" s="19" t="str">
        <x:v>Balanced/EXP001/results/seed191938147_Relative_cutoff_1e-4.json</x:v>
      </x:c>
    </x:row>
    <x:row r="174" ht="15" hidden="0" customHeight="1">
      <x:c r="A174" s="3" t="str">
        <x:v>EXP001</x:v>
      </x:c>
      <x:c r="B174" s="3" t="str">
        <x:v>Balanced</x:v>
      </x:c>
      <x:c r="C174" s="18" t="n">
        <x:v>216884209</x:v>
      </x:c>
      <x:c r="D174" s="3" t="str">
        <x:v>BBP</x:v>
      </x:c>
      <x:c r="E174" s="18" t="n">
        <x:v>800</x:v>
      </x:c>
      <x:c r="F174" s="21" t="n">
        <x:v>494.65849113708083</x:v>
      </x:c>
      <x:c r="G174" s="21" t="n">
        <x:f>F174</x:f>
        <x:v>494.65849113708083</x:v>
      </x:c>
      <x:c r="H174" s="21" t="n">
        <x:f>F179</x:f>
        <x:v>492.61479611744164</x:v>
      </x:c>
      <x:c r="I174" s="27" t="n">
        <x:f>IF(AND(ISNUMBER(G174),ISNUMBER(H174),H174&gt;0),G174/H174-1,"")</x:f>
        <x:v>0.004148667550683882</x:v>
      </x:c>
      <x:c r="J174" s="27" t="n">
        <x:f>IF(AND(ISNUMBER(G174),F174&gt;0),G174/F174-1,"")</x:f>
        <x:v>0</x:v>
      </x:c>
      <x:c r="K174" s="19" t="str">
        <x:v>Balanced/EXP001/results/seed216884209_BBP.json</x:v>
      </x:c>
    </x:row>
    <x:row r="175" ht="15" hidden="0" customHeight="1">
      <x:c r="A175" s="3" t="str">
        <x:v>EXP001</x:v>
      </x:c>
      <x:c r="B175" s="3" t="str">
        <x:v>Balanced</x:v>
      </x:c>
      <x:c r="C175" s="18" t="n">
        <x:v>216884209</x:v>
      </x:c>
      <x:c r="D175" s="3" t="str">
        <x:v>Relative cutoff 1e-5</x:v>
      </x:c>
      <x:c r="E175" s="18" t="n">
        <x:v>800</x:v>
      </x:c>
      <x:c r="F175" s="21" t="n">
        <x:v>527.7281633976883</x:v>
      </x:c>
      <x:c r="G175" s="21" t="n">
        <x:f>F174</x:f>
        <x:v>494.65849113708083</x:v>
      </x:c>
      <x:c r="H175" s="21" t="n">
        <x:f>F179</x:f>
        <x:v>492.61479611744164</x:v>
      </x:c>
      <x:c r="I175" s="27" t="n">
        <x:f>IF(AND(ISNUMBER(G175),ISNUMBER(H175),H175&gt;0),G175/H175-1,"")</x:f>
        <x:v>0.004148667550683882</x:v>
      </x:c>
      <x:c r="J175" s="27" t="n">
        <x:f>IF(AND(ISNUMBER(G175),F175&gt;0),G175/F175-1,"")</x:f>
        <x:v>-0.06266421721307036</x:v>
      </x:c>
      <x:c r="K175" s="19" t="str">
        <x:v>Balanced/EXP001/results/seed216884209_Relative_cutoff_1e-5.json</x:v>
      </x:c>
    </x:row>
    <x:row r="176" ht="15" hidden="0" customHeight="1">
      <x:c r="A176" s="3" t="str">
        <x:v>EXP001</x:v>
      </x:c>
      <x:c r="B176" s="3" t="str">
        <x:v>Balanced</x:v>
      </x:c>
      <x:c r="C176" s="18" t="n">
        <x:v>216884209</x:v>
      </x:c>
      <x:c r="D176" s="3" t="str">
        <x:v>Fixed rank 10</x:v>
      </x:c>
      <x:c r="E176" s="18" t="n">
        <x:v>800</x:v>
      </x:c>
      <x:c r="F176" s="21" t="n">
        <x:v>511.5061300639338</x:v>
      </x:c>
      <x:c r="G176" s="21" t="n">
        <x:f>F174</x:f>
        <x:v>494.65849113708083</x:v>
      </x:c>
      <x:c r="H176" s="21" t="n">
        <x:f>F179</x:f>
        <x:v>492.61479611744164</x:v>
      </x:c>
      <x:c r="I176" s="27" t="n">
        <x:f>IF(AND(ISNUMBER(G176),ISNUMBER(H176),H176&gt;0),G176/H176-1,"")</x:f>
        <x:v>0.004148667550683882</x:v>
      </x:c>
      <x:c r="J176" s="27" t="n">
        <x:f>IF(AND(ISNUMBER(G176),F176&gt;0),G176/F176-1,"")</x:f>
        <x:v>-0.032937315775174</x:v>
      </x:c>
      <x:c r="K176" s="19" t="str">
        <x:v>Balanced/EXP001/results/seed216884209_Fixed_rank_10.json</x:v>
      </x:c>
    </x:row>
    <x:row r="177" ht="15" hidden="0" customHeight="1">
      <x:c r="A177" s="3" t="str">
        <x:v>EXP001</x:v>
      </x:c>
      <x:c r="B177" s="3" t="str">
        <x:v>Balanced</x:v>
      </x:c>
      <x:c r="C177" s="18" t="n">
        <x:v>216884209</x:v>
      </x:c>
      <x:c r="D177" s="3" t="str">
        <x:v>Fixed rank 25</x:v>
      </x:c>
      <x:c r="E177" s="18" t="n">
        <x:v>800</x:v>
      </x:c>
      <x:c r="F177" s="21" t="n">
        <x:v>500.04334639649034</x:v>
      </x:c>
      <x:c r="G177" s="21" t="n">
        <x:f>F174</x:f>
        <x:v>494.65849113708083</x:v>
      </x:c>
      <x:c r="H177" s="21" t="n">
        <x:f>F179</x:f>
        <x:v>492.61479611744164</x:v>
      </x:c>
      <x:c r="I177" s="27" t="n">
        <x:f>IF(AND(ISNUMBER(G177),ISNUMBER(H177),H177&gt;0),G177/H177-1,"")</x:f>
        <x:v>0.004148667550683882</x:v>
      </x:c>
      <x:c r="J177" s="27" t="n">
        <x:f>IF(AND(ISNUMBER(G177),F177&gt;0),G177/F177-1,"")</x:f>
        <x:v>-0.010768776943468783</x:v>
      </x:c>
      <x:c r="K177" s="19" t="str">
        <x:v>Balanced/EXP001/results/seed216884209_Fixed_rank_25.json</x:v>
      </x:c>
    </x:row>
    <x:row r="178" ht="15" hidden="0" customHeight="1">
      <x:c r="A178" s="3" t="str">
        <x:v>EXP001</x:v>
      </x:c>
      <x:c r="B178" s="3" t="str">
        <x:v>Balanced</x:v>
      </x:c>
      <x:c r="C178" s="18" t="n">
        <x:v>216884209</x:v>
      </x:c>
      <x:c r="D178" s="3" t="str">
        <x:v>Relative cutoff 1e-6</x:v>
      </x:c>
      <x:c r="E178" s="18" t="n">
        <x:v>800</x:v>
      </x:c>
      <x:c r="F178" s="21" t="n">
        <x:v>502.84311859718423</x:v>
      </x:c>
      <x:c r="G178" s="21" t="n">
        <x:f>F174</x:f>
        <x:v>494.65849113708083</x:v>
      </x:c>
      <x:c r="H178" s="21" t="n">
        <x:f>F179</x:f>
        <x:v>492.61479611744164</x:v>
      </x:c>
      <x:c r="I178" s="27" t="n">
        <x:f>IF(AND(ISNUMBER(G178),ISNUMBER(H178),H178&gt;0),G178/H178-1,"")</x:f>
        <x:v>0.004148667550683882</x:v>
      </x:c>
      <x:c r="J178" s="27" t="n">
        <x:f>IF(AND(ISNUMBER(G178),F178&gt;0),G178/F178-1,"")</x:f>
        <x:v>-0.01627670173340867</x:v>
      </x:c>
      <x:c r="K178" s="19" t="str">
        <x:v>Balanced/EXP001/results/seed216884209_Relative_cutoff_1e-6.json</x:v>
      </x:c>
    </x:row>
    <x:row r="179" ht="15" hidden="0" customHeight="1">
      <x:c r="A179" s="3" t="str">
        <x:v>EXP001</x:v>
      </x:c>
      <x:c r="B179" s="3" t="str">
        <x:v>Balanced</x:v>
      </x:c>
      <x:c r="C179" s="18" t="n">
        <x:v>216884209</x:v>
      </x:c>
      <x:c r="D179" s="3" t="str">
        <x:v>Full</x:v>
      </x:c>
      <x:c r="E179" s="18" t="n">
        <x:v>800</x:v>
      </x:c>
      <x:c r="F179" s="21" t="n">
        <x:v>492.61479611744164</x:v>
      </x:c>
      <x:c r="G179" s="21" t="n">
        <x:f>F174</x:f>
        <x:v>494.65849113708083</x:v>
      </x:c>
      <x:c r="H179" s="21" t="n">
        <x:f>F179</x:f>
        <x:v>492.61479611744164</x:v>
      </x:c>
      <x:c r="I179" s="27" t="n">
        <x:f>IF(AND(ISNUMBER(G179),ISNUMBER(H179),H179&gt;0),G179/H179-1,"")</x:f>
        <x:v>0.004148667550683882</x:v>
      </x:c>
      <x:c r="J179" s="27" t="n">
        <x:f>IF(AND(ISNUMBER(G179),F179&gt;0),G179/F179-1,"")</x:f>
        <x:v>0.004148667550683882</x:v>
      </x:c>
      <x:c r="K179" s="19" t="str">
        <x:v>Balanced/EXP001/results/seed216884209_Full.json</x:v>
      </x:c>
    </x:row>
    <x:row r="180" ht="15" hidden="0" customHeight="1">
      <x:c r="A180" s="3" t="str">
        <x:v>EXP001</x:v>
      </x:c>
      <x:c r="B180" s="3" t="str">
        <x:v>Balanced</x:v>
      </x:c>
      <x:c r="C180" s="18" t="n">
        <x:v>216884209</x:v>
      </x:c>
      <x:c r="D180" s="3" t="str">
        <x:v>Relative cutoff 1e-2</x:v>
      </x:c>
      <x:c r="E180" s="18" t="n">
        <x:v>800</x:v>
      </x:c>
      <x:c r="F180" s="21" t="n">
        <x:v>587.3809493982554</x:v>
      </x:c>
      <x:c r="G180" s="21" t="n">
        <x:f>F174</x:f>
        <x:v>494.65849113708083</x:v>
      </x:c>
      <x:c r="H180" s="21" t="n">
        <x:f>F179</x:f>
        <x:v>492.61479611744164</x:v>
      </x:c>
      <x:c r="I180" s="27" t="n">
        <x:f>IF(AND(ISNUMBER(G180),ISNUMBER(H180),H180&gt;0),G180/H180-1,"")</x:f>
        <x:v>0.004148667550683882</x:v>
      </x:c>
      <x:c r="J180" s="27" t="n">
        <x:f>IF(AND(ISNUMBER(G180),F180&gt;0),G180/F180-1,"")</x:f>
        <x:v>-0.15785744899654042</x:v>
      </x:c>
      <x:c r="K180" s="19" t="str">
        <x:v>Balanced/EXP001/results/seed216884209_Relative_cutoff_1e-2.json</x:v>
      </x:c>
    </x:row>
    <x:row r="181" ht="15" hidden="0" customHeight="1">
      <x:c r="A181" s="3" t="str">
        <x:v>EXP001</x:v>
      </x:c>
      <x:c r="B181" s="3" t="str">
        <x:v>Balanced</x:v>
      </x:c>
      <x:c r="C181" s="18" t="n">
        <x:v>216884209</x:v>
      </x:c>
      <x:c r="D181" s="3" t="str">
        <x:v>Relative cutoff 1e-4</x:v>
      </x:c>
      <x:c r="E181" s="18" t="n">
        <x:v>800</x:v>
      </x:c>
      <x:c r="F181" s="21" t="n">
        <x:v>551.2575234556982</x:v>
      </x:c>
      <x:c r="G181" s="21" t="n">
        <x:f>F174</x:f>
        <x:v>494.65849113708083</x:v>
      </x:c>
      <x:c r="H181" s="21" t="n">
        <x:f>F179</x:f>
        <x:v>492.61479611744164</x:v>
      </x:c>
      <x:c r="I181" s="27" t="n">
        <x:f>IF(AND(ISNUMBER(G181),ISNUMBER(H181),H181&gt;0),G181/H181-1,"")</x:f>
        <x:v>0.004148667550683882</x:v>
      </x:c>
      <x:c r="J181" s="27" t="n">
        <x:f>IF(AND(ISNUMBER(G181),F181&gt;0),G181/F181-1,"")</x:f>
        <x:v>-0.10267258025579762</x:v>
      </x:c>
      <x:c r="K181" s="19" t="str">
        <x:v>Balanced/EXP001/results/seed216884209_Relative_cutoff_1e-4.json</x:v>
      </x:c>
    </x:row>
    <x:row r="182" ht="15" hidden="0" customHeight="1">
      <x:c r="A182" s="3" t="str">
        <x:v>EXP001</x:v>
      </x:c>
      <x:c r="B182" s="3" t="str">
        <x:v>Balanced</x:v>
      </x:c>
      <x:c r="C182" s="18" t="n">
        <x:v>220029940</x:v>
      </x:c>
      <x:c r="D182" s="3" t="str">
        <x:v>BBP</x:v>
      </x:c>
      <x:c r="E182" s="18" t="n">
        <x:v>800</x:v>
      </x:c>
      <x:c r="F182" s="21" t="n">
        <x:v>449.62364503990807</x:v>
      </x:c>
      <x:c r="G182" s="21" t="n">
        <x:f>F182</x:f>
        <x:v>449.62364503990807</x:v>
      </x:c>
      <x:c r="H182" s="21" t="n">
        <x:f>F187</x:f>
        <x:v>446.6633471852613</x:v>
      </x:c>
      <x:c r="I182" s="27" t="n">
        <x:f>IF(AND(ISNUMBER(G182),ISNUMBER(H182),H182&gt;0),G182/H182-1,"")</x:f>
        <x:v>0.006627581764435675</x:v>
      </x:c>
      <x:c r="J182" s="27" t="n">
        <x:f>IF(AND(ISNUMBER(G182),F182&gt;0),G182/F182-1,"")</x:f>
        <x:v>0</x:v>
      </x:c>
      <x:c r="K182" s="19" t="str">
        <x:v>Balanced/EXP001/results/seed220029940_BBP.json</x:v>
      </x:c>
    </x:row>
    <x:row r="183" ht="15" hidden="0" customHeight="1">
      <x:c r="A183" s="3" t="str">
        <x:v>EXP001</x:v>
      </x:c>
      <x:c r="B183" s="3" t="str">
        <x:v>Balanced</x:v>
      </x:c>
      <x:c r="C183" s="18" t="n">
        <x:v>220029940</x:v>
      </x:c>
      <x:c r="D183" s="3" t="str">
        <x:v>Relative cutoff 1e-5</x:v>
      </x:c>
      <x:c r="E183" s="18" t="n">
        <x:v>800</x:v>
      </x:c>
      <x:c r="F183" s="21" t="n">
        <x:v>438.8666141810148</x:v>
      </x:c>
      <x:c r="G183" s="21" t="n">
        <x:f>F182</x:f>
        <x:v>449.62364503990807</x:v>
      </x:c>
      <x:c r="H183" s="21" t="n">
        <x:f>F187</x:f>
        <x:v>446.6633471852613</x:v>
      </x:c>
      <x:c r="I183" s="27" t="n">
        <x:f>IF(AND(ISNUMBER(G183),ISNUMBER(H183),H183&gt;0),G183/H183-1,"")</x:f>
        <x:v>0.006627581764435675</x:v>
      </x:c>
      <x:c r="J183" s="27" t="n">
        <x:f>IF(AND(ISNUMBER(G183),F183&gt;0),G183/F183-1,"")</x:f>
        <x:v>0.024510934555747266</x:v>
      </x:c>
      <x:c r="K183" s="19" t="str">
        <x:v>Balanced/EXP001/results/seed220029940_Relative_cutoff_1e-5.json</x:v>
      </x:c>
    </x:row>
    <x:row r="184" ht="15" hidden="0" customHeight="1">
      <x:c r="A184" s="3" t="str">
        <x:v>EXP001</x:v>
      </x:c>
      <x:c r="B184" s="3" t="str">
        <x:v>Balanced</x:v>
      </x:c>
      <x:c r="C184" s="18" t="n">
        <x:v>220029940</x:v>
      </x:c>
      <x:c r="D184" s="3" t="str">
        <x:v>Fixed rank 10</x:v>
      </x:c>
      <x:c r="E184" s="18" t="n">
        <x:v>800</x:v>
      </x:c>
      <x:c r="F184" s="21" t="n">
        <x:v>444.943229049624</x:v>
      </x:c>
      <x:c r="G184" s="21" t="n">
        <x:f>F182</x:f>
        <x:v>449.62364503990807</x:v>
      </x:c>
      <x:c r="H184" s="21" t="n">
        <x:f>F187</x:f>
        <x:v>446.6633471852613</x:v>
      </x:c>
      <x:c r="I184" s="27" t="n">
        <x:f>IF(AND(ISNUMBER(G184),ISNUMBER(H184),H184&gt;0),G184/H184-1,"")</x:f>
        <x:v>0.006627581764435675</x:v>
      </x:c>
      <x:c r="J184" s="27" t="n">
        <x:f>IF(AND(ISNUMBER(G184),F184&gt;0),G184/F184-1,"")</x:f>
        <x:v>0.010519130722095094</x:v>
      </x:c>
      <x:c r="K184" s="19" t="str">
        <x:v>Balanced/EXP001/results/seed220029940_Fixed_rank_10.json</x:v>
      </x:c>
    </x:row>
    <x:row r="185" ht="15" hidden="0" customHeight="1">
      <x:c r="A185" s="3" t="str">
        <x:v>EXP001</x:v>
      </x:c>
      <x:c r="B185" s="3" t="str">
        <x:v>Balanced</x:v>
      </x:c>
      <x:c r="C185" s="18" t="n">
        <x:v>220029940</x:v>
      </x:c>
      <x:c r="D185" s="3" t="str">
        <x:v>Fixed rank 25</x:v>
      </x:c>
      <x:c r="E185" s="18" t="n">
        <x:v>800</x:v>
      </x:c>
      <x:c r="F185" s="21" t="n">
        <x:v>442.75862555241554</x:v>
      </x:c>
      <x:c r="G185" s="21" t="n">
        <x:f>F182</x:f>
        <x:v>449.62364503990807</x:v>
      </x:c>
      <x:c r="H185" s="21" t="n">
        <x:f>F187</x:f>
        <x:v>446.6633471852613</x:v>
      </x:c>
      <x:c r="I185" s="27" t="n">
        <x:f>IF(AND(ISNUMBER(G185),ISNUMBER(H185),H185&gt;0),G185/H185-1,"")</x:f>
        <x:v>0.006627581764435675</x:v>
      </x:c>
      <x:c r="J185" s="27" t="n">
        <x:f>IF(AND(ISNUMBER(G185),F185&gt;0),G185/F185-1,"")</x:f>
        <x:v>0.015505106148812509</x:v>
      </x:c>
      <x:c r="K185" s="19" t="str">
        <x:v>Balanced/EXP001/results/seed220029940_Fixed_rank_25.json</x:v>
      </x:c>
    </x:row>
    <x:row r="186" ht="15" hidden="0" customHeight="1">
      <x:c r="A186" s="3" t="str">
        <x:v>EXP001</x:v>
      </x:c>
      <x:c r="B186" s="3" t="str">
        <x:v>Balanced</x:v>
      </x:c>
      <x:c r="C186" s="18" t="n">
        <x:v>220029940</x:v>
      </x:c>
      <x:c r="D186" s="3" t="str">
        <x:v>Relative cutoff 1e-6</x:v>
      </x:c>
      <x:c r="E186" s="18" t="n">
        <x:v>800</x:v>
      </x:c>
      <x:c r="F186" s="21" t="n">
        <x:v>445.5083514761648</x:v>
      </x:c>
      <x:c r="G186" s="21" t="n">
        <x:f>F182</x:f>
        <x:v>449.62364503990807</x:v>
      </x:c>
      <x:c r="H186" s="21" t="n">
        <x:f>F187</x:f>
        <x:v>446.6633471852613</x:v>
      </x:c>
      <x:c r="I186" s="27" t="n">
        <x:f>IF(AND(ISNUMBER(G186),ISNUMBER(H186),H186&gt;0),G186/H186-1,"")</x:f>
        <x:v>0.006627581764435675</x:v>
      </x:c>
      <x:c r="J186" s="27" t="n">
        <x:f>IF(AND(ISNUMBER(G186),F186&gt;0),G186/F186-1,"")</x:f>
        <x:v>0.009237298358397705</x:v>
      </x:c>
      <x:c r="K186" s="19" t="str">
        <x:v>Balanced/EXP001/results/seed220029940_Relative_cutoff_1e-6.json</x:v>
      </x:c>
    </x:row>
    <x:row r="187" ht="15" hidden="0" customHeight="1">
      <x:c r="A187" s="3" t="str">
        <x:v>EXP001</x:v>
      </x:c>
      <x:c r="B187" s="3" t="str">
        <x:v>Balanced</x:v>
      </x:c>
      <x:c r="C187" s="18" t="n">
        <x:v>220029940</x:v>
      </x:c>
      <x:c r="D187" s="3" t="str">
        <x:v>Full</x:v>
      </x:c>
      <x:c r="E187" s="18" t="n">
        <x:v>800</x:v>
      </x:c>
      <x:c r="F187" s="21" t="n">
        <x:v>446.6633471852613</x:v>
      </x:c>
      <x:c r="G187" s="21" t="n">
        <x:f>F182</x:f>
        <x:v>449.62364503990807</x:v>
      </x:c>
      <x:c r="H187" s="21" t="n">
        <x:f>F187</x:f>
        <x:v>446.6633471852613</x:v>
      </x:c>
      <x:c r="I187" s="27" t="n">
        <x:f>IF(AND(ISNUMBER(G187),ISNUMBER(H187),H187&gt;0),G187/H187-1,"")</x:f>
        <x:v>0.006627581764435675</x:v>
      </x:c>
      <x:c r="J187" s="27" t="n">
        <x:f>IF(AND(ISNUMBER(G187),F187&gt;0),G187/F187-1,"")</x:f>
        <x:v>0.006627581764435675</x:v>
      </x:c>
      <x:c r="K187" s="19" t="str">
        <x:v>Balanced/EXP001/results/seed220029940_Full.json</x:v>
      </x:c>
    </x:row>
    <x:row r="188" ht="15" hidden="0" customHeight="1">
      <x:c r="A188" s="3" t="str">
        <x:v>EXP001</x:v>
      </x:c>
      <x:c r="B188" s="3" t="str">
        <x:v>Balanced</x:v>
      </x:c>
      <x:c r="C188" s="18" t="n">
        <x:v>220029940</x:v>
      </x:c>
      <x:c r="D188" s="3" t="str">
        <x:v>Relative cutoff 1e-2</x:v>
      </x:c>
      <x:c r="E188" s="18" t="n">
        <x:v>800</x:v>
      </x:c>
      <x:c r="F188" s="21" t="n">
        <x:v>491.96088221267996</x:v>
      </x:c>
      <x:c r="G188" s="21" t="n">
        <x:f>F182</x:f>
        <x:v>449.62364503990807</x:v>
      </x:c>
      <x:c r="H188" s="21" t="n">
        <x:f>F187</x:f>
        <x:v>446.6633471852613</x:v>
      </x:c>
      <x:c r="I188" s="27" t="n">
        <x:f>IF(AND(ISNUMBER(G188),ISNUMBER(H188),H188&gt;0),G188/H188-1,"")</x:f>
        <x:v>0.006627581764435675</x:v>
      </x:c>
      <x:c r="J188" s="27" t="n">
        <x:f>IF(AND(ISNUMBER(G188),F188&gt;0),G188/F188-1,"")</x:f>
        <x:v>-0.08605813735098766</x:v>
      </x:c>
      <x:c r="K188" s="19" t="str">
        <x:v>Balanced/EXP001/results/seed220029940_Relative_cutoff_1e-2.json</x:v>
      </x:c>
    </x:row>
    <x:row r="189" ht="15" hidden="0" customHeight="1">
      <x:c r="A189" s="3" t="str">
        <x:v>EXP001</x:v>
      </x:c>
      <x:c r="B189" s="3" t="str">
        <x:v>Balanced</x:v>
      </x:c>
      <x:c r="C189" s="18" t="n">
        <x:v>220029940</x:v>
      </x:c>
      <x:c r="D189" s="3" t="str">
        <x:v>Relative cutoff 1e-4</x:v>
      </x:c>
      <x:c r="E189" s="18" t="n">
        <x:v>800</x:v>
      </x:c>
      <x:c r="F189" s="21" t="n">
        <x:v>461.04868580519354</x:v>
      </x:c>
      <x:c r="G189" s="21" t="n">
        <x:f>F182</x:f>
        <x:v>449.62364503990807</x:v>
      </x:c>
      <x:c r="H189" s="21" t="n">
        <x:f>F187</x:f>
        <x:v>446.6633471852613</x:v>
      </x:c>
      <x:c r="I189" s="27" t="n">
        <x:f>IF(AND(ISNUMBER(G189),ISNUMBER(H189),H189&gt;0),G189/H189-1,"")</x:f>
        <x:v>0.006627581764435675</x:v>
      </x:c>
      <x:c r="J189" s="27" t="n">
        <x:f>IF(AND(ISNUMBER(G189),F189&gt;0),G189/F189-1,"")</x:f>
        <x:v>-0.024780551635956494</x:v>
      </x:c>
      <x:c r="K189" s="19" t="str">
        <x:v>Balanced/EXP001/results/seed220029940_Relative_cutoff_1e-4.json</x:v>
      </x:c>
    </x:row>
    <x:row r="190" ht="15" hidden="0" customHeight="1">
      <x:c r="A190" s="3" t="str">
        <x:v>EXP001</x:v>
      </x:c>
      <x:c r="B190" s="3" t="str">
        <x:v>Balanced</x:v>
      </x:c>
      <x:c r="C190" s="18" t="n">
        <x:v>293575552</x:v>
      </x:c>
      <x:c r="D190" s="3" t="str">
        <x:v>BBP</x:v>
      </x:c>
      <x:c r="E190" s="18" t="n">
        <x:v>800</x:v>
      </x:c>
      <x:c r="F190" s="21" t="n">
        <x:v>412.1699825741031</x:v>
      </x:c>
      <x:c r="G190" s="21" t="n">
        <x:f>F190</x:f>
        <x:v>412.1699825741031</x:v>
      </x:c>
      <x:c r="H190" s="21" t="n">
        <x:f>F195</x:f>
        <x:v>408.99518875354545</x:v>
      </x:c>
      <x:c r="I190" s="27" t="n">
        <x:f>IF(AND(ISNUMBER(G190),ISNUMBER(H190),H190&gt;0),G190/H190-1,"")</x:f>
        <x:v>0.00776242339239519</x:v>
      </x:c>
      <x:c r="J190" s="27" t="n">
        <x:f>IF(AND(ISNUMBER(G190),F190&gt;0),G190/F190-1,"")</x:f>
        <x:v>0</x:v>
      </x:c>
      <x:c r="K190" s="19" t="str">
        <x:v>Balanced/EXP001/results/seed293575552_BBP.json</x:v>
      </x:c>
    </x:row>
    <x:row r="191" ht="15" hidden="0" customHeight="1">
      <x:c r="A191" s="3" t="str">
        <x:v>EXP001</x:v>
      </x:c>
      <x:c r="B191" s="3" t="str">
        <x:v>Balanced</x:v>
      </x:c>
      <x:c r="C191" s="18" t="n">
        <x:v>293575552</x:v>
      </x:c>
      <x:c r="D191" s="3" t="str">
        <x:v>Relative cutoff 1e-5</x:v>
      </x:c>
      <x:c r="E191" s="18" t="n">
        <x:v>800</x:v>
      </x:c>
      <x:c r="F191" s="21" t="n">
        <x:v>431.9269370547445</x:v>
      </x:c>
      <x:c r="G191" s="21" t="n">
        <x:f>F190</x:f>
        <x:v>412.1699825741031</x:v>
      </x:c>
      <x:c r="H191" s="21" t="n">
        <x:f>F195</x:f>
        <x:v>408.99518875354545</x:v>
      </x:c>
      <x:c r="I191" s="27" t="n">
        <x:f>IF(AND(ISNUMBER(G191),ISNUMBER(H191),H191&gt;0),G191/H191-1,"")</x:f>
        <x:v>0.00776242339239519</x:v>
      </x:c>
      <x:c r="J191" s="27" t="n">
        <x:f>IF(AND(ISNUMBER(G191),F191&gt;0),G191/F191-1,"")</x:f>
        <x:v>-0.04574142704634632</x:v>
      </x:c>
      <x:c r="K191" s="19" t="str">
        <x:v>Balanced/EXP001/results/seed293575552_Relative_cutoff_1e-5.json</x:v>
      </x:c>
    </x:row>
    <x:row r="192" ht="15" hidden="0" customHeight="1">
      <x:c r="A192" s="3" t="str">
        <x:v>EXP001</x:v>
      </x:c>
      <x:c r="B192" s="3" t="str">
        <x:v>Balanced</x:v>
      </x:c>
      <x:c r="C192" s="18" t="n">
        <x:v>293575552</x:v>
      </x:c>
      <x:c r="D192" s="3" t="str">
        <x:v>Fixed rank 10</x:v>
      </x:c>
      <x:c r="E192" s="18" t="n">
        <x:v>800</x:v>
      </x:c>
      <x:c r="F192" s="21" t="n">
        <x:v>428.7116542489856</x:v>
      </x:c>
      <x:c r="G192" s="21" t="n">
        <x:f>F190</x:f>
        <x:v>412.1699825741031</x:v>
      </x:c>
      <x:c r="H192" s="21" t="n">
        <x:f>F195</x:f>
        <x:v>408.99518875354545</x:v>
      </x:c>
      <x:c r="I192" s="27" t="n">
        <x:f>IF(AND(ISNUMBER(G192),ISNUMBER(H192),H192&gt;0),G192/H192-1,"")</x:f>
        <x:v>0.00776242339239519</x:v>
      </x:c>
      <x:c r="J192" s="27" t="n">
        <x:f>IF(AND(ISNUMBER(G192),F192&gt;0),G192/F192-1,"")</x:f>
        <x:v>-0.03858460928443885</x:v>
      </x:c>
      <x:c r="K192" s="19" t="str">
        <x:v>Balanced/EXP001/results/seed293575552_Fixed_rank_10.json</x:v>
      </x:c>
    </x:row>
    <x:row r="193" ht="15" hidden="0" customHeight="1">
      <x:c r="A193" s="3" t="str">
        <x:v>EXP001</x:v>
      </x:c>
      <x:c r="B193" s="3" t="str">
        <x:v>Balanced</x:v>
      </x:c>
      <x:c r="C193" s="18" t="n">
        <x:v>293575552</x:v>
      </x:c>
      <x:c r="D193" s="3" t="str">
        <x:v>Fixed rank 25</x:v>
      </x:c>
      <x:c r="E193" s="18" t="n">
        <x:v>800</x:v>
      </x:c>
      <x:c r="F193" s="21" t="n">
        <x:v>415.55324711661444</x:v>
      </x:c>
      <x:c r="G193" s="21" t="n">
        <x:f>F190</x:f>
        <x:v>412.1699825741031</x:v>
      </x:c>
      <x:c r="H193" s="21" t="n">
        <x:f>F195</x:f>
        <x:v>408.99518875354545</x:v>
      </x:c>
      <x:c r="I193" s="27" t="n">
        <x:f>IF(AND(ISNUMBER(G193),ISNUMBER(H193),H193&gt;0),G193/H193-1,"")</x:f>
        <x:v>0.00776242339239519</x:v>
      </x:c>
      <x:c r="J193" s="27" t="n">
        <x:f>IF(AND(ISNUMBER(G193),F193&gt;0),G193/F193-1,"")</x:f>
        <x:v>-0.008141590917618124</x:v>
      </x:c>
      <x:c r="K193" s="19" t="str">
        <x:v>Balanced/EXP001/results/seed293575552_Fixed_rank_25.json</x:v>
      </x:c>
    </x:row>
    <x:row r="194" ht="15" hidden="0" customHeight="1">
      <x:c r="A194" s="3" t="str">
        <x:v>EXP001</x:v>
      </x:c>
      <x:c r="B194" s="3" t="str">
        <x:v>Balanced</x:v>
      </x:c>
      <x:c r="C194" s="18" t="n">
        <x:v>293575552</x:v>
      </x:c>
      <x:c r="D194" s="3" t="str">
        <x:v>Relative cutoff 1e-6</x:v>
      </x:c>
      <x:c r="E194" s="18" t="n">
        <x:v>800</x:v>
      </x:c>
      <x:c r="F194" s="21" t="n">
        <x:v>447.95815562426253</x:v>
      </x:c>
      <x:c r="G194" s="21" t="n">
        <x:f>F190</x:f>
        <x:v>412.1699825741031</x:v>
      </x:c>
      <x:c r="H194" s="21" t="n">
        <x:f>F195</x:f>
        <x:v>408.99518875354545</x:v>
      </x:c>
      <x:c r="I194" s="27" t="n">
        <x:f>IF(AND(ISNUMBER(G194),ISNUMBER(H194),H194&gt;0),G194/H194-1,"")</x:f>
        <x:v>0.00776242339239519</x:v>
      </x:c>
      <x:c r="J194" s="27" t="n">
        <x:f>IF(AND(ISNUMBER(G194),F194&gt;0),G194/F194-1,"")</x:f>
        <x:v>-0.07989177694574179</x:v>
      </x:c>
      <x:c r="K194" s="19" t="str">
        <x:v>Balanced/EXP001/results/seed293575552_Relative_cutoff_1e-6.json</x:v>
      </x:c>
    </x:row>
    <x:row r="195" ht="15" hidden="0" customHeight="1">
      <x:c r="A195" s="3" t="str">
        <x:v>EXP001</x:v>
      </x:c>
      <x:c r="B195" s="3" t="str">
        <x:v>Balanced</x:v>
      </x:c>
      <x:c r="C195" s="18" t="n">
        <x:v>293575552</x:v>
      </x:c>
      <x:c r="D195" s="3" t="str">
        <x:v>Full</x:v>
      </x:c>
      <x:c r="E195" s="18" t="n">
        <x:v>800</x:v>
      </x:c>
      <x:c r="F195" s="21" t="n">
        <x:v>408.99518875354545</x:v>
      </x:c>
      <x:c r="G195" s="21" t="n">
        <x:f>F190</x:f>
        <x:v>412.1699825741031</x:v>
      </x:c>
      <x:c r="H195" s="21" t="n">
        <x:f>F195</x:f>
        <x:v>408.99518875354545</x:v>
      </x:c>
      <x:c r="I195" s="27" t="n">
        <x:f>IF(AND(ISNUMBER(G195),ISNUMBER(H195),H195&gt;0),G195/H195-1,"")</x:f>
        <x:v>0.00776242339239519</x:v>
      </x:c>
      <x:c r="J195" s="27" t="n">
        <x:f>IF(AND(ISNUMBER(G195),F195&gt;0),G195/F195-1,"")</x:f>
        <x:v>0.00776242339239519</x:v>
      </x:c>
      <x:c r="K195" s="19" t="str">
        <x:v>Balanced/EXP001/results/seed293575552_Full.json</x:v>
      </x:c>
    </x:row>
    <x:row r="196" ht="15" hidden="0" customHeight="1">
      <x:c r="A196" s="3" t="str">
        <x:v>EXP001</x:v>
      </x:c>
      <x:c r="B196" s="3" t="str">
        <x:v>Balanced</x:v>
      </x:c>
      <x:c r="C196" s="18" t="n">
        <x:v>293575552</x:v>
      </x:c>
      <x:c r="D196" s="3" t="str">
        <x:v>Relative cutoff 1e-2</x:v>
      </x:c>
      <x:c r="E196" s="18" t="n">
        <x:v>800</x:v>
      </x:c>
      <x:c r="F196" s="21" t="n">
        <x:v>615.7770146423728</x:v>
      </x:c>
      <x:c r="G196" s="21" t="n">
        <x:f>F190</x:f>
        <x:v>412.1699825741031</x:v>
      </x:c>
      <x:c r="H196" s="21" t="n">
        <x:f>F195</x:f>
        <x:v>408.99518875354545</x:v>
      </x:c>
      <x:c r="I196" s="27" t="n">
        <x:f>IF(AND(ISNUMBER(G196),ISNUMBER(H196),H196&gt;0),G196/H196-1,"")</x:f>
        <x:v>0.00776242339239519</x:v>
      </x:c>
      <x:c r="J196" s="27" t="n">
        <x:f>IF(AND(ISNUMBER(G196),F196&gt;0),G196/F196-1,"")</x:f>
        <x:v>-0.33065058816220894</x:v>
      </x:c>
      <x:c r="K196" s="19" t="str">
        <x:v>Balanced/EXP001/results/seed293575552_Relative_cutoff_1e-2.json</x:v>
      </x:c>
    </x:row>
    <x:row r="197" ht="15" hidden="0" customHeight="1">
      <x:c r="A197" s="3" t="str">
        <x:v>EXP001</x:v>
      </x:c>
      <x:c r="B197" s="3" t="str">
        <x:v>Balanced</x:v>
      </x:c>
      <x:c r="C197" s="18" t="n">
        <x:v>293575552</x:v>
      </x:c>
      <x:c r="D197" s="3" t="str">
        <x:v>Relative cutoff 1e-4</x:v>
      </x:c>
      <x:c r="E197" s="18" t="n">
        <x:v>800</x:v>
      </x:c>
      <x:c r="F197" s="21" t="n">
        <x:v>396.2996743414428</x:v>
      </x:c>
      <x:c r="G197" s="21" t="n">
        <x:f>F190</x:f>
        <x:v>412.1699825741031</x:v>
      </x:c>
      <x:c r="H197" s="21" t="n">
        <x:f>F195</x:f>
        <x:v>408.99518875354545</x:v>
      </x:c>
      <x:c r="I197" s="27" t="n">
        <x:f>IF(AND(ISNUMBER(G197),ISNUMBER(H197),H197&gt;0),G197/H197-1,"")</x:f>
        <x:v>0.00776242339239519</x:v>
      </x:c>
      <x:c r="J197" s="27" t="n">
        <x:f>IF(AND(ISNUMBER(G197),F197&gt;0),G197/F197-1,"")</x:f>
        <x:v>0.040046230820232065</x:v>
      </x:c>
      <x:c r="K197" s="19" t="str">
        <x:v>Balanced/EXP001/results/seed293575552_Relative_cutoff_1e-4.json</x:v>
      </x:c>
    </x:row>
    <x:row r="198" ht="15" hidden="0" customHeight="1">
      <x:c r="A198" s="3" t="str">
        <x:v>EXP001</x:v>
      </x:c>
      <x:c r="B198" s="3" t="str">
        <x:v>Balanced</x:v>
      </x:c>
      <x:c r="C198" s="18" t="n">
        <x:v>309467981</x:v>
      </x:c>
      <x:c r="D198" s="3" t="str">
        <x:v>BBP</x:v>
      </x:c>
      <x:c r="E198" s="18" t="n">
        <x:v>800</x:v>
      </x:c>
      <x:c r="F198" s="21" t="n">
        <x:v>549.8467799406218</x:v>
      </x:c>
      <x:c r="G198" s="21" t="n">
        <x:f>F198</x:f>
        <x:v>549.8467799406218</x:v>
      </x:c>
      <x:c r="H198" s="21" t="n">
        <x:f>F203</x:f>
        <x:v>581.6406518207607</x:v>
      </x:c>
      <x:c r="I198" s="27" t="n">
        <x:f>IF(AND(ISNUMBER(G198),ISNUMBER(H198),H198&gt;0),G198/H198-1,"")</x:f>
        <x:v>-0.0546623964136822</x:v>
      </x:c>
      <x:c r="J198" s="27" t="n">
        <x:f>IF(AND(ISNUMBER(G198),F198&gt;0),G198/F198-1,"")</x:f>
        <x:v>0</x:v>
      </x:c>
      <x:c r="K198" s="19" t="str">
        <x:v>Balanced/EXP001/results/seed309467981_BBP.json</x:v>
      </x:c>
    </x:row>
    <x:row r="199" ht="15" hidden="0" customHeight="1">
      <x:c r="A199" s="3" t="str">
        <x:v>EXP001</x:v>
      </x:c>
      <x:c r="B199" s="3" t="str">
        <x:v>Balanced</x:v>
      </x:c>
      <x:c r="C199" s="18" t="n">
        <x:v>309467981</x:v>
      </x:c>
      <x:c r="D199" s="3" t="str">
        <x:v>Relative cutoff 1e-5</x:v>
      </x:c>
      <x:c r="E199" s="18" t="n">
        <x:v>800</x:v>
      </x:c>
      <x:c r="F199" s="21" t="n">
        <x:v>552.4804176924094</x:v>
      </x:c>
      <x:c r="G199" s="21" t="n">
        <x:f>F198</x:f>
        <x:v>549.8467799406218</x:v>
      </x:c>
      <x:c r="H199" s="21" t="n">
        <x:f>F203</x:f>
        <x:v>581.6406518207607</x:v>
      </x:c>
      <x:c r="I199" s="27" t="n">
        <x:f>IF(AND(ISNUMBER(G199),ISNUMBER(H199),H199&gt;0),G199/H199-1,"")</x:f>
        <x:v>-0.0546623964136822</x:v>
      </x:c>
      <x:c r="J199" s="27" t="n">
        <x:f>IF(AND(ISNUMBER(G199),F199&gt;0),G199/F199-1,"")</x:f>
        <x:v>-0.004766934116484656</x:v>
      </x:c>
      <x:c r="K199" s="19" t="str">
        <x:v>Balanced/EXP001/results/seed309467981_Relative_cutoff_1e-5.json</x:v>
      </x:c>
    </x:row>
    <x:row r="200" ht="15" hidden="0" customHeight="1">
      <x:c r="A200" s="3" t="str">
        <x:v>EXP001</x:v>
      </x:c>
      <x:c r="B200" s="3" t="str">
        <x:v>Balanced</x:v>
      </x:c>
      <x:c r="C200" s="18" t="n">
        <x:v>309467981</x:v>
      </x:c>
      <x:c r="D200" s="3" t="str">
        <x:v>Fixed rank 10</x:v>
      </x:c>
      <x:c r="E200" s="18" t="n">
        <x:v>800</x:v>
      </x:c>
      <x:c r="F200" s="21" t="n">
        <x:v>579.6505681121902</x:v>
      </x:c>
      <x:c r="G200" s="21" t="n">
        <x:f>F198</x:f>
        <x:v>549.8467799406218</x:v>
      </x:c>
      <x:c r="H200" s="21" t="n">
        <x:f>F203</x:f>
        <x:v>581.6406518207607</x:v>
      </x:c>
      <x:c r="I200" s="27" t="n">
        <x:f>IF(AND(ISNUMBER(G200),ISNUMBER(H200),H200&gt;0),G200/H200-1,"")</x:f>
        <x:v>-0.0546623964136822</x:v>
      </x:c>
      <x:c r="J200" s="27" t="n">
        <x:f>IF(AND(ISNUMBER(G200),F200&gt;0),G200/F200-1,"")</x:f>
        <x:v>-0.05141681870274628</x:v>
      </x:c>
      <x:c r="K200" s="19" t="str">
        <x:v>Balanced/EXP001/results/seed309467981_Fixed_rank_10.json</x:v>
      </x:c>
    </x:row>
    <x:row r="201" ht="15" hidden="0" customHeight="1">
      <x:c r="A201" s="3" t="str">
        <x:v>EXP001</x:v>
      </x:c>
      <x:c r="B201" s="3" t="str">
        <x:v>Balanced</x:v>
      </x:c>
      <x:c r="C201" s="18" t="n">
        <x:v>309467981</x:v>
      </x:c>
      <x:c r="D201" s="3" t="str">
        <x:v>Fixed rank 25</x:v>
      </x:c>
      <x:c r="E201" s="18" t="n">
        <x:v>800</x:v>
      </x:c>
      <x:c r="F201" s="21" t="n">
        <x:v>587.2164984973666</x:v>
      </x:c>
      <x:c r="G201" s="21" t="n">
        <x:f>F198</x:f>
        <x:v>549.8467799406218</x:v>
      </x:c>
      <x:c r="H201" s="21" t="n">
        <x:f>F203</x:f>
        <x:v>581.6406518207607</x:v>
      </x:c>
      <x:c r="I201" s="27" t="n">
        <x:f>IF(AND(ISNUMBER(G201),ISNUMBER(H201),H201&gt;0),G201/H201-1,"")</x:f>
        <x:v>-0.0546623964136822</x:v>
      </x:c>
      <x:c r="J201" s="27" t="n">
        <x:f>IF(AND(ISNUMBER(G201),F201&gt;0),G201/F201-1,"")</x:f>
        <x:v>-0.0636387408262038</x:v>
      </x:c>
      <x:c r="K201" s="19" t="str">
        <x:v>Balanced/EXP001/results/seed309467981_Fixed_rank_25.json</x:v>
      </x:c>
    </x:row>
    <x:row r="202" ht="15" hidden="0" customHeight="1">
      <x:c r="A202" s="3" t="str">
        <x:v>EXP001</x:v>
      </x:c>
      <x:c r="B202" s="3" t="str">
        <x:v>Balanced</x:v>
      </x:c>
      <x:c r="C202" s="18" t="n">
        <x:v>309467981</x:v>
      </x:c>
      <x:c r="D202" s="3" t="str">
        <x:v>Relative cutoff 1e-6</x:v>
      </x:c>
      <x:c r="E202" s="18" t="n">
        <x:v>800</x:v>
      </x:c>
      <x:c r="F202" s="21" t="n">
        <x:v>547.4365595604307</x:v>
      </x:c>
      <x:c r="G202" s="21" t="n">
        <x:f>F198</x:f>
        <x:v>549.8467799406218</x:v>
      </x:c>
      <x:c r="H202" s="21" t="n">
        <x:f>F203</x:f>
        <x:v>581.6406518207607</x:v>
      </x:c>
      <x:c r="I202" s="27" t="n">
        <x:f>IF(AND(ISNUMBER(G202),ISNUMBER(H202),H202&gt;0),G202/H202-1,"")</x:f>
        <x:v>-0.0546623964136822</x:v>
      </x:c>
      <x:c r="J202" s="27" t="n">
        <x:f>IF(AND(ISNUMBER(G202),F202&gt;0),G202/F202-1,"")</x:f>
        <x:v>0.004402739163285707</x:v>
      </x:c>
      <x:c r="K202" s="19" t="str">
        <x:v>Balanced/EXP001/results/seed309467981_Relative_cutoff_1e-6.json</x:v>
      </x:c>
    </x:row>
    <x:row r="203" ht="15" hidden="0" customHeight="1">
      <x:c r="A203" s="3" t="str">
        <x:v>EXP001</x:v>
      </x:c>
      <x:c r="B203" s="3" t="str">
        <x:v>Balanced</x:v>
      </x:c>
      <x:c r="C203" s="18" t="n">
        <x:v>309467981</x:v>
      </x:c>
      <x:c r="D203" s="3" t="str">
        <x:v>Full</x:v>
      </x:c>
      <x:c r="E203" s="18" t="n">
        <x:v>800</x:v>
      </x:c>
      <x:c r="F203" s="21" t="n">
        <x:v>581.6406518207607</x:v>
      </x:c>
      <x:c r="G203" s="21" t="n">
        <x:f>F198</x:f>
        <x:v>549.8467799406218</x:v>
      </x:c>
      <x:c r="H203" s="21" t="n">
        <x:f>F203</x:f>
        <x:v>581.6406518207607</x:v>
      </x:c>
      <x:c r="I203" s="27" t="n">
        <x:f>IF(AND(ISNUMBER(G203),ISNUMBER(H203),H203&gt;0),G203/H203-1,"")</x:f>
        <x:v>-0.0546623964136822</x:v>
      </x:c>
      <x:c r="J203" s="27" t="n">
        <x:f>IF(AND(ISNUMBER(G203),F203&gt;0),G203/F203-1,"")</x:f>
        <x:v>-0.0546623964136822</x:v>
      </x:c>
      <x:c r="K203" s="19" t="str">
        <x:v>Balanced/EXP001/results/seed309467981_Full.json</x:v>
      </x:c>
    </x:row>
    <x:row r="204" ht="15" hidden="0" customHeight="1">
      <x:c r="A204" s="3" t="str">
        <x:v>EXP001</x:v>
      </x:c>
      <x:c r="B204" s="3" t="str">
        <x:v>Balanced</x:v>
      </x:c>
      <x:c r="C204" s="18" t="n">
        <x:v>309467981</x:v>
      </x:c>
      <x:c r="D204" s="3" t="str">
        <x:v>Relative cutoff 1e-2</x:v>
      </x:c>
      <x:c r="E204" s="18" t="n">
        <x:v>800</x:v>
      </x:c>
      <x:c r="F204" s="21" t="n">
        <x:v>605.0309798336706</x:v>
      </x:c>
      <x:c r="G204" s="21" t="n">
        <x:f>F198</x:f>
        <x:v>549.8467799406218</x:v>
      </x:c>
      <x:c r="H204" s="21" t="n">
        <x:f>F203</x:f>
        <x:v>581.6406518207607</x:v>
      </x:c>
      <x:c r="I204" s="27" t="n">
        <x:f>IF(AND(ISNUMBER(G204),ISNUMBER(H204),H204&gt;0),G204/H204-1,"")</x:f>
        <x:v>-0.0546623964136822</x:v>
      </x:c>
      <x:c r="J204" s="27" t="n">
        <x:f>IF(AND(ISNUMBER(G204),F204&gt;0),G204/F204-1,"")</x:f>
        <x:v>-0.09120888306945785</x:v>
      </x:c>
      <x:c r="K204" s="19" t="str">
        <x:v>Balanced/EXP001/results/seed309467981_Relative_cutoff_1e-2.json</x:v>
      </x:c>
    </x:row>
    <x:row r="205" ht="15" hidden="0" customHeight="1">
      <x:c r="A205" s="3" t="str">
        <x:v>EXP001</x:v>
      </x:c>
      <x:c r="B205" s="3" t="str">
        <x:v>Balanced</x:v>
      </x:c>
      <x:c r="C205" s="18" t="n">
        <x:v>309467981</x:v>
      </x:c>
      <x:c r="D205" s="3" t="str">
        <x:v>Relative cutoff 1e-4</x:v>
      </x:c>
      <x:c r="E205" s="18" t="n">
        <x:v>800</x:v>
      </x:c>
      <x:c r="F205" s="21" t="n">
        <x:v>569.4356267145249</x:v>
      </x:c>
      <x:c r="G205" s="21" t="n">
        <x:f>F198</x:f>
        <x:v>549.8467799406218</x:v>
      </x:c>
      <x:c r="H205" s="21" t="n">
        <x:f>F203</x:f>
        <x:v>581.6406518207607</x:v>
      </x:c>
      <x:c r="I205" s="27" t="n">
        <x:f>IF(AND(ISNUMBER(G205),ISNUMBER(H205),H205&gt;0),G205/H205-1,"")</x:f>
        <x:v>-0.0546623964136822</x:v>
      </x:c>
      <x:c r="J205" s="27" t="n">
        <x:f>IF(AND(ISNUMBER(G205),F205&gt;0),G205/F205-1,"")</x:f>
        <x:v>-0.03440045872599329</x:v>
      </x:c>
      <x:c r="K205" s="19" t="str">
        <x:v>Balanced/EXP001/results/seed309467981_Relative_cutoff_1e-4.json</x:v>
      </x:c>
    </x:row>
    <x:row r="206" ht="15" hidden="0" customHeight="1">
      <x:c r="A206" s="3" t="str">
        <x:v>EXP001</x:v>
      </x:c>
      <x:c r="B206" s="3" t="str">
        <x:v>Balanced</x:v>
      </x:c>
      <x:c r="C206" s="18" t="n">
        <x:v>351846493</x:v>
      </x:c>
      <x:c r="D206" s="3" t="str">
        <x:v>BBP</x:v>
      </x:c>
      <x:c r="E206" s="18" t="n">
        <x:v>800</x:v>
      </x:c>
      <x:c r="F206" s="21" t="n">
        <x:v>418.15298778518695</x:v>
      </x:c>
      <x:c r="G206" s="21" t="n">
        <x:f>F206</x:f>
        <x:v>418.15298778518695</x:v>
      </x:c>
      <x:c r="H206" s="21" t="n">
        <x:f>F211</x:f>
        <x:v>429.1494725387844</x:v>
      </x:c>
      <x:c r="I206" s="27" t="n">
        <x:f>IF(AND(ISNUMBER(G206),ISNUMBER(H206),H206&gt;0),G206/H206-1,"")</x:f>
        <x:v>-0.025623903691513017</x:v>
      </x:c>
      <x:c r="J206" s="27" t="n">
        <x:f>IF(AND(ISNUMBER(G206),F206&gt;0),G206/F206-1,"")</x:f>
        <x:v>0</x:v>
      </x:c>
      <x:c r="K206" s="19" t="str">
        <x:v>Balanced/EXP001/results/seed351846493_BBP.json</x:v>
      </x:c>
    </x:row>
    <x:row r="207" ht="15" hidden="0" customHeight="1">
      <x:c r="A207" s="3" t="str">
        <x:v>EXP001</x:v>
      </x:c>
      <x:c r="B207" s="3" t="str">
        <x:v>Balanced</x:v>
      </x:c>
      <x:c r="C207" s="18" t="n">
        <x:v>351846493</x:v>
      </x:c>
      <x:c r="D207" s="3" t="str">
        <x:v>Relative cutoff 1e-5</x:v>
      </x:c>
      <x:c r="E207" s="18" t="n">
        <x:v>800</x:v>
      </x:c>
      <x:c r="F207" s="21" t="n">
        <x:v>427.2193179072274</x:v>
      </x:c>
      <x:c r="G207" s="21" t="n">
        <x:f>F206</x:f>
        <x:v>418.15298778518695</x:v>
      </x:c>
      <x:c r="H207" s="21" t="n">
        <x:f>F211</x:f>
        <x:v>429.1494725387844</x:v>
      </x:c>
      <x:c r="I207" s="27" t="n">
        <x:f>IF(AND(ISNUMBER(G207),ISNUMBER(H207),H207&gt;0),G207/H207-1,"")</x:f>
        <x:v>-0.025623903691513017</x:v>
      </x:c>
      <x:c r="J207" s="27" t="n">
        <x:f>IF(AND(ISNUMBER(G207),F207&gt;0),G207/F207-1,"")</x:f>
        <x:v>-0.021221723227434208</x:v>
      </x:c>
      <x:c r="K207" s="19" t="str">
        <x:v>Balanced/EXP001/results/seed351846493_Relative_cutoff_1e-5.json</x:v>
      </x:c>
    </x:row>
    <x:row r="208" ht="15" hidden="0" customHeight="1">
      <x:c r="A208" s="3" t="str">
        <x:v>EXP001</x:v>
      </x:c>
      <x:c r="B208" s="3" t="str">
        <x:v>Balanced</x:v>
      </x:c>
      <x:c r="C208" s="18" t="n">
        <x:v>351846493</x:v>
      </x:c>
      <x:c r="D208" s="3" t="str">
        <x:v>Fixed rank 10</x:v>
      </x:c>
      <x:c r="E208" s="18" t="n">
        <x:v>800</x:v>
      </x:c>
      <x:c r="F208" s="21" t="n">
        <x:v>446.3830832589684</x:v>
      </x:c>
      <x:c r="G208" s="21" t="n">
        <x:f>F206</x:f>
        <x:v>418.15298778518695</x:v>
      </x:c>
      <x:c r="H208" s="21" t="n">
        <x:f>F211</x:f>
        <x:v>429.1494725387844</x:v>
      </x:c>
      <x:c r="I208" s="27" t="n">
        <x:f>IF(AND(ISNUMBER(G208),ISNUMBER(H208),H208&gt;0),G208/H208-1,"")</x:f>
        <x:v>-0.025623903691513017</x:v>
      </x:c>
      <x:c r="J208" s="27" t="n">
        <x:f>IF(AND(ISNUMBER(G208),F208&gt;0),G208/F208-1,"")</x:f>
        <x:v>-0.06324185779550207</x:v>
      </x:c>
      <x:c r="K208" s="19" t="str">
        <x:v>Balanced/EXP001/results/seed351846493_Fixed_rank_10.json</x:v>
      </x:c>
    </x:row>
    <x:row r="209" ht="15" hidden="0" customHeight="1">
      <x:c r="A209" s="3" t="str">
        <x:v>EXP001</x:v>
      </x:c>
      <x:c r="B209" s="3" t="str">
        <x:v>Balanced</x:v>
      </x:c>
      <x:c r="C209" s="18" t="n">
        <x:v>351846493</x:v>
      </x:c>
      <x:c r="D209" s="3" t="str">
        <x:v>Fixed rank 25</x:v>
      </x:c>
      <x:c r="E209" s="18" t="n">
        <x:v>800</x:v>
      </x:c>
      <x:c r="F209" s="21" t="n">
        <x:v>418.03477057625645</x:v>
      </x:c>
      <x:c r="G209" s="21" t="n">
        <x:f>F206</x:f>
        <x:v>418.15298778518695</x:v>
      </x:c>
      <x:c r="H209" s="21" t="n">
        <x:f>F211</x:f>
        <x:v>429.1494725387844</x:v>
      </x:c>
      <x:c r="I209" s="27" t="n">
        <x:f>IF(AND(ISNUMBER(G209),ISNUMBER(H209),H209&gt;0),G209/H209-1,"")</x:f>
        <x:v>-0.025623903691513017</x:v>
      </x:c>
      <x:c r="J209" s="27" t="n">
        <x:f>IF(AND(ISNUMBER(G209),F209&gt;0),G209/F209-1,"")</x:f>
        <x:v>0.0002827927657012008</x:v>
      </x:c>
      <x:c r="K209" s="19" t="str">
        <x:v>Balanced/EXP001/results/seed351846493_Fixed_rank_25.json</x:v>
      </x:c>
    </x:row>
    <x:row r="210" ht="15" hidden="0" customHeight="1">
      <x:c r="A210" s="3" t="str">
        <x:v>EXP001</x:v>
      </x:c>
      <x:c r="B210" s="3" t="str">
        <x:v>Balanced</x:v>
      </x:c>
      <x:c r="C210" s="18" t="n">
        <x:v>351846493</x:v>
      </x:c>
      <x:c r="D210" s="3" t="str">
        <x:v>Relative cutoff 1e-6</x:v>
      </x:c>
      <x:c r="E210" s="18" t="n">
        <x:v>800</x:v>
      </x:c>
      <x:c r="F210" s="21" t="n">
        <x:v>427.19106474926235</x:v>
      </x:c>
      <x:c r="G210" s="21" t="n">
        <x:f>F206</x:f>
        <x:v>418.15298778518695</x:v>
      </x:c>
      <x:c r="H210" s="21" t="n">
        <x:f>F211</x:f>
        <x:v>429.1494725387844</x:v>
      </x:c>
      <x:c r="I210" s="27" t="n">
        <x:f>IF(AND(ISNUMBER(G210),ISNUMBER(H210),H210&gt;0),G210/H210-1,"")</x:f>
        <x:v>-0.025623903691513017</x:v>
      </x:c>
      <x:c r="J210" s="27" t="n">
        <x:f>IF(AND(ISNUMBER(G210),F210&gt;0),G210/F210-1,"")</x:f>
        <x:v>-0.021156989716955454</x:v>
      </x:c>
      <x:c r="K210" s="19" t="str">
        <x:v>Balanced/EXP001/results/seed351846493_Relative_cutoff_1e-6.json</x:v>
      </x:c>
    </x:row>
    <x:row r="211" ht="15" hidden="0" customHeight="1">
      <x:c r="A211" s="3" t="str">
        <x:v>EXP001</x:v>
      </x:c>
      <x:c r="B211" s="3" t="str">
        <x:v>Balanced</x:v>
      </x:c>
      <x:c r="C211" s="18" t="n">
        <x:v>351846493</x:v>
      </x:c>
      <x:c r="D211" s="3" t="str">
        <x:v>Full</x:v>
      </x:c>
      <x:c r="E211" s="18" t="n">
        <x:v>800</x:v>
      </x:c>
      <x:c r="F211" s="21" t="n">
        <x:v>429.1494725387844</x:v>
      </x:c>
      <x:c r="G211" s="21" t="n">
        <x:f>F206</x:f>
        <x:v>418.15298778518695</x:v>
      </x:c>
      <x:c r="H211" s="21" t="n">
        <x:f>F211</x:f>
        <x:v>429.1494725387844</x:v>
      </x:c>
      <x:c r="I211" s="27" t="n">
        <x:f>IF(AND(ISNUMBER(G211),ISNUMBER(H211),H211&gt;0),G211/H211-1,"")</x:f>
        <x:v>-0.025623903691513017</x:v>
      </x:c>
      <x:c r="J211" s="27" t="n">
        <x:f>IF(AND(ISNUMBER(G211),F211&gt;0),G211/F211-1,"")</x:f>
        <x:v>-0.025623903691513017</x:v>
      </x:c>
      <x:c r="K211" s="19" t="str">
        <x:v>Balanced/EXP001/results/seed351846493_Full.json</x:v>
      </x:c>
    </x:row>
    <x:row r="212" ht="15" hidden="0" customHeight="1">
      <x:c r="A212" s="3" t="str">
        <x:v>EXP001</x:v>
      </x:c>
      <x:c r="B212" s="3" t="str">
        <x:v>Balanced</x:v>
      </x:c>
      <x:c r="C212" s="18" t="n">
        <x:v>351846493</x:v>
      </x:c>
      <x:c r="D212" s="3" t="str">
        <x:v>Relative cutoff 1e-2</x:v>
      </x:c>
      <x:c r="E212" s="18" t="n">
        <x:v>800</x:v>
      </x:c>
      <x:c r="F212" s="21" t="n">
        <x:v>504.01125007442914</x:v>
      </x:c>
      <x:c r="G212" s="21" t="n">
        <x:f>F206</x:f>
        <x:v>418.15298778518695</x:v>
      </x:c>
      <x:c r="H212" s="21" t="n">
        <x:f>F211</x:f>
        <x:v>429.1494725387844</x:v>
      </x:c>
      <x:c r="I212" s="27" t="n">
        <x:f>IF(AND(ISNUMBER(G212),ISNUMBER(H212),H212&gt;0),G212/H212-1,"")</x:f>
        <x:v>-0.025623903691513017</x:v>
      </x:c>
      <x:c r="J212" s="27" t="n">
        <x:f>IF(AND(ISNUMBER(G212),F212&gt;0),G212/F212-1,"")</x:f>
        <x:v>-0.17034989254022248</x:v>
      </x:c>
      <x:c r="K212" s="19" t="str">
        <x:v>Balanced/EXP001/results/seed351846493_Relative_cutoff_1e-2.json</x:v>
      </x:c>
    </x:row>
    <x:row r="213" ht="15" hidden="0" customHeight="1">
      <x:c r="A213" s="3" t="str">
        <x:v>EXP001</x:v>
      </x:c>
      <x:c r="B213" s="3" t="str">
        <x:v>Balanced</x:v>
      </x:c>
      <x:c r="C213" s="18" t="n">
        <x:v>351846493</x:v>
      </x:c>
      <x:c r="D213" s="3" t="str">
        <x:v>Relative cutoff 1e-4</x:v>
      </x:c>
      <x:c r="E213" s="18" t="n">
        <x:v>800</x:v>
      </x:c>
      <x:c r="F213" s="21" t="n">
        <x:v>419.20809240049726</x:v>
      </x:c>
      <x:c r="G213" s="21" t="n">
        <x:f>F206</x:f>
        <x:v>418.15298778518695</x:v>
      </x:c>
      <x:c r="H213" s="21" t="n">
        <x:f>F211</x:f>
        <x:v>429.1494725387844</x:v>
      </x:c>
      <x:c r="I213" s="27" t="n">
        <x:f>IF(AND(ISNUMBER(G213),ISNUMBER(H213),H213&gt;0),G213/H213-1,"")</x:f>
        <x:v>-0.025623903691513017</x:v>
      </x:c>
      <x:c r="J213" s="27" t="n">
        <x:f>IF(AND(ISNUMBER(G213),F213&gt;0),G213/F213-1,"")</x:f>
        <x:v>-0.002516899445496157</x:v>
      </x:c>
      <x:c r="K213" s="19" t="str">
        <x:v>Balanced/EXP001/results/seed351846493_Relative_cutoff_1e-4.json</x:v>
      </x:c>
    </x:row>
    <x:row r="214" ht="15" hidden="0" customHeight="1">
      <x:c r="A214" s="3" t="str">
        <x:v>EXP001</x:v>
      </x:c>
      <x:c r="B214" s="3" t="str">
        <x:v>Balanced</x:v>
      </x:c>
      <x:c r="C214" s="18" t="n">
        <x:v>355690922</x:v>
      </x:c>
      <x:c r="D214" s="3" t="str">
        <x:v>BBP</x:v>
      </x:c>
      <x:c r="E214" s="18" t="n">
        <x:v>800</x:v>
      </x:c>
      <x:c r="F214" s="21" t="n">
        <x:v>587.4626272430198</x:v>
      </x:c>
      <x:c r="G214" s="21" t="n">
        <x:f>F214</x:f>
        <x:v>587.4626272430198</x:v>
      </x:c>
      <x:c r="H214" s="21" t="n">
        <x:f>F219</x:f>
        <x:v>594.4207591763096</x:v>
      </x:c>
      <x:c r="I214" s="27" t="n">
        <x:f>IF(AND(ISNUMBER(G214),ISNUMBER(H214),H214&gt;0),G214/H214-1,"")</x:f>
        <x:v>-0.011705735080537405</x:v>
      </x:c>
      <x:c r="J214" s="27" t="n">
        <x:f>IF(AND(ISNUMBER(G214),F214&gt;0),G214/F214-1,"")</x:f>
        <x:v>0</x:v>
      </x:c>
      <x:c r="K214" s="19" t="str">
        <x:v>Balanced/EXP001/results/seed355690922_BBP.json</x:v>
      </x:c>
    </x:row>
    <x:row r="215" ht="15" hidden="0" customHeight="1">
      <x:c r="A215" s="3" t="str">
        <x:v>EXP001</x:v>
      </x:c>
      <x:c r="B215" s="3" t="str">
        <x:v>Balanced</x:v>
      </x:c>
      <x:c r="C215" s="18" t="n">
        <x:v>355690922</x:v>
      </x:c>
      <x:c r="D215" s="3" t="str">
        <x:v>Relative cutoff 1e-5</x:v>
      </x:c>
      <x:c r="E215" s="18" t="n">
        <x:v>800</x:v>
      </x:c>
      <x:c r="F215" s="21" t="n">
        <x:v>728.2403060138746</x:v>
      </x:c>
      <x:c r="G215" s="21" t="n">
        <x:f>F214</x:f>
        <x:v>587.4626272430198</x:v>
      </x:c>
      <x:c r="H215" s="21" t="n">
        <x:f>F219</x:f>
        <x:v>594.4207591763096</x:v>
      </x:c>
      <x:c r="I215" s="27" t="n">
        <x:f>IF(AND(ISNUMBER(G215),ISNUMBER(H215),H215&gt;0),G215/H215-1,"")</x:f>
        <x:v>-0.011705735080537405</x:v>
      </x:c>
      <x:c r="J215" s="27" t="n">
        <x:f>IF(AND(ISNUMBER(G215),F215&gt;0),G215/F215-1,"")</x:f>
        <x:v>-0.1933121218481041</x:v>
      </x:c>
      <x:c r="K215" s="19" t="str">
        <x:v>Balanced/EXP001/results/seed355690922_Relative_cutoff_1e-5.json</x:v>
      </x:c>
    </x:row>
    <x:row r="216" ht="15" hidden="0" customHeight="1">
      <x:c r="A216" s="3" t="str">
        <x:v>EXP001</x:v>
      </x:c>
      <x:c r="B216" s="3" t="str">
        <x:v>Balanced</x:v>
      </x:c>
      <x:c r="C216" s="18" t="n">
        <x:v>355690922</x:v>
      </x:c>
      <x:c r="D216" s="3" t="str">
        <x:v>Fixed rank 10</x:v>
      </x:c>
      <x:c r="E216" s="18" t="n">
        <x:v>800</x:v>
      </x:c>
      <x:c r="F216" s="21" t="n">
        <x:v>634.1090880519977</x:v>
      </x:c>
      <x:c r="G216" s="21" t="n">
        <x:f>F214</x:f>
        <x:v>587.4626272430198</x:v>
      </x:c>
      <x:c r="H216" s="21" t="n">
        <x:f>F219</x:f>
        <x:v>594.4207591763096</x:v>
      </x:c>
      <x:c r="I216" s="27" t="n">
        <x:f>IF(AND(ISNUMBER(G216),ISNUMBER(H216),H216&gt;0),G216/H216-1,"")</x:f>
        <x:v>-0.011705735080537405</x:v>
      </x:c>
      <x:c r="J216" s="27" t="n">
        <x:f>IF(AND(ISNUMBER(G216),F216&gt;0),G216/F216-1,"")</x:f>
        <x:v>-0.07356220197423313</x:v>
      </x:c>
      <x:c r="K216" s="19" t="str">
        <x:v>Balanced/EXP001/results/seed355690922_Fixed_rank_10.json</x:v>
      </x:c>
    </x:row>
    <x:row r="217" ht="15" hidden="0" customHeight="1">
      <x:c r="A217" s="3" t="str">
        <x:v>EXP001</x:v>
      </x:c>
      <x:c r="B217" s="3" t="str">
        <x:v>Balanced</x:v>
      </x:c>
      <x:c r="C217" s="18" t="n">
        <x:v>355690922</x:v>
      </x:c>
      <x:c r="D217" s="3" t="str">
        <x:v>Fixed rank 25</x:v>
      </x:c>
      <x:c r="E217" s="18" t="n">
        <x:v>800</x:v>
      </x:c>
      <x:c r="F217" s="21" t="n">
        <x:v>581.4537340851958</x:v>
      </x:c>
      <x:c r="G217" s="21" t="n">
        <x:f>F214</x:f>
        <x:v>587.4626272430198</x:v>
      </x:c>
      <x:c r="H217" s="21" t="n">
        <x:f>F219</x:f>
        <x:v>594.4207591763096</x:v>
      </x:c>
      <x:c r="I217" s="27" t="n">
        <x:f>IF(AND(ISNUMBER(G217),ISNUMBER(H217),H217&gt;0),G217/H217-1,"")</x:f>
        <x:v>-0.011705735080537405</x:v>
      </x:c>
      <x:c r="J217" s="27" t="n">
        <x:f>IF(AND(ISNUMBER(G217),F217&gt;0),G217/F217-1,"")</x:f>
        <x:v>0.010334258438081667</x:v>
      </x:c>
      <x:c r="K217" s="19" t="str">
        <x:v>Balanced/EXP001/results/seed355690922_Fixed_rank_25.json</x:v>
      </x:c>
    </x:row>
    <x:row r="218" ht="15" hidden="0" customHeight="1">
      <x:c r="A218" s="3" t="str">
        <x:v>EXP001</x:v>
      </x:c>
      <x:c r="B218" s="3" t="str">
        <x:v>Balanced</x:v>
      </x:c>
      <x:c r="C218" s="18" t="n">
        <x:v>355690922</x:v>
      </x:c>
      <x:c r="D218" s="3" t="str">
        <x:v>Relative cutoff 1e-6</x:v>
      </x:c>
      <x:c r="E218" s="18" t="n">
        <x:v>800</x:v>
      </x:c>
      <x:c r="F218" s="21" t="n">
        <x:v>580.5384438111672</x:v>
      </x:c>
      <x:c r="G218" s="21" t="n">
        <x:f>F214</x:f>
        <x:v>587.4626272430198</x:v>
      </x:c>
      <x:c r="H218" s="21" t="n">
        <x:f>F219</x:f>
        <x:v>594.4207591763096</x:v>
      </x:c>
      <x:c r="I218" s="27" t="n">
        <x:f>IF(AND(ISNUMBER(G218),ISNUMBER(H218),H218&gt;0),G218/H218-1,"")</x:f>
        <x:v>-0.011705735080537405</x:v>
      </x:c>
      <x:c r="J218" s="27" t="n">
        <x:f>IF(AND(ISNUMBER(G218),F218&gt;0),G218/F218-1,"")</x:f>
        <x:v>0.011927174686996</x:v>
      </x:c>
      <x:c r="K218" s="19" t="str">
        <x:v>Balanced/EXP001/results/seed355690922_Relative_cutoff_1e-6.json</x:v>
      </x:c>
    </x:row>
    <x:row r="219" ht="15" hidden="0" customHeight="1">
      <x:c r="A219" s="3" t="str">
        <x:v>EXP001</x:v>
      </x:c>
      <x:c r="B219" s="3" t="str">
        <x:v>Balanced</x:v>
      </x:c>
      <x:c r="C219" s="18" t="n">
        <x:v>355690922</x:v>
      </x:c>
      <x:c r="D219" s="3" t="str">
        <x:v>Full</x:v>
      </x:c>
      <x:c r="E219" s="18" t="n">
        <x:v>800</x:v>
      </x:c>
      <x:c r="F219" s="21" t="n">
        <x:v>594.4207591763096</x:v>
      </x:c>
      <x:c r="G219" s="21" t="n">
        <x:f>F214</x:f>
        <x:v>587.4626272430198</x:v>
      </x:c>
      <x:c r="H219" s="21" t="n">
        <x:f>F219</x:f>
        <x:v>594.4207591763096</x:v>
      </x:c>
      <x:c r="I219" s="27" t="n">
        <x:f>IF(AND(ISNUMBER(G219),ISNUMBER(H219),H219&gt;0),G219/H219-1,"")</x:f>
        <x:v>-0.011705735080537405</x:v>
      </x:c>
      <x:c r="J219" s="27" t="n">
        <x:f>IF(AND(ISNUMBER(G219),F219&gt;0),G219/F219-1,"")</x:f>
        <x:v>-0.011705735080537405</x:v>
      </x:c>
      <x:c r="K219" s="19" t="str">
        <x:v>Balanced/EXP001/results/seed355690922_Full.json</x:v>
      </x:c>
    </x:row>
    <x:row r="220" ht="15" hidden="0" customHeight="1">
      <x:c r="A220" s="3" t="str">
        <x:v>EXP001</x:v>
      </x:c>
      <x:c r="B220" s="3" t="str">
        <x:v>Balanced</x:v>
      </x:c>
      <x:c r="C220" s="18" t="n">
        <x:v>355690922</x:v>
      </x:c>
      <x:c r="D220" s="3" t="str">
        <x:v>Relative cutoff 1e-2</x:v>
      </x:c>
      <x:c r="E220" s="18" t="n">
        <x:v>800</x:v>
      </x:c>
      <x:c r="F220" s="21" t="n">
        <x:v>629.6046801382237</x:v>
      </x:c>
      <x:c r="G220" s="21" t="n">
        <x:f>F214</x:f>
        <x:v>587.4626272430198</x:v>
      </x:c>
      <x:c r="H220" s="21" t="n">
        <x:f>F219</x:f>
        <x:v>594.4207591763096</x:v>
      </x:c>
      <x:c r="I220" s="27" t="n">
        <x:f>IF(AND(ISNUMBER(G220),ISNUMBER(H220),H220&gt;0),G220/H220-1,"")</x:f>
        <x:v>-0.011705735080537405</x:v>
      </x:c>
      <x:c r="J220" s="27" t="n">
        <x:f>IF(AND(ISNUMBER(G220),F220&gt;0),G220/F220-1,"")</x:f>
        <x:v>-0.06693414808471876</x:v>
      </x:c>
      <x:c r="K220" s="19" t="str">
        <x:v>Balanced/EXP001/results/seed355690922_Relative_cutoff_1e-2.json</x:v>
      </x:c>
    </x:row>
    <x:row r="221" ht="15" hidden="0" customHeight="1">
      <x:c r="A221" s="3" t="str">
        <x:v>EXP001</x:v>
      </x:c>
      <x:c r="B221" s="3" t="str">
        <x:v>Balanced</x:v>
      </x:c>
      <x:c r="C221" s="18" t="n">
        <x:v>355690922</x:v>
      </x:c>
      <x:c r="D221" s="3" t="str">
        <x:v>Relative cutoff 1e-4</x:v>
      </x:c>
      <x:c r="E221" s="18" t="n">
        <x:v>800</x:v>
      </x:c>
      <x:c r="F221" s="21" t="n">
        <x:v>622.9875981332841</x:v>
      </x:c>
      <x:c r="G221" s="21" t="n">
        <x:f>F214</x:f>
        <x:v>587.4626272430198</x:v>
      </x:c>
      <x:c r="H221" s="21" t="n">
        <x:f>F219</x:f>
        <x:v>594.4207591763096</x:v>
      </x:c>
      <x:c r="I221" s="27" t="n">
        <x:f>IF(AND(ISNUMBER(G221),ISNUMBER(H221),H221&gt;0),G221/H221-1,"")</x:f>
        <x:v>-0.011705735080537405</x:v>
      </x:c>
      <x:c r="J221" s="27" t="n">
        <x:f>IF(AND(ISNUMBER(G221),F221&gt;0),G221/F221-1,"")</x:f>
        <x:v>-0.05702356033524758</x:v>
      </x:c>
      <x:c r="K221" s="19" t="str">
        <x:v>Balanced/EXP001/results/seed355690922_Relative_cutoff_1e-4.json</x:v>
      </x:c>
    </x:row>
    <x:row r="222" ht="15" hidden="0" customHeight="1">
      <x:c r="A222" s="3" t="str">
        <x:v>EXP001</x:v>
      </x:c>
      <x:c r="B222" s="3" t="str">
        <x:v>Balanced</x:v>
      </x:c>
      <x:c r="C222" s="18" t="n">
        <x:v>403257883</x:v>
      </x:c>
      <x:c r="D222" s="3" t="str">
        <x:v>BBP</x:v>
      </x:c>
      <x:c r="E222" s="18" t="n">
        <x:v>800</x:v>
      </x:c>
      <x:c r="F222" s="21" t="n">
        <x:v>426.32557314795446</x:v>
      </x:c>
      <x:c r="G222" s="21" t="n">
        <x:f>F222</x:f>
        <x:v>426.32557314795446</x:v>
      </x:c>
      <x:c r="H222" s="21" t="n">
        <x:f>F227</x:f>
        <x:v>465.0856983296116</x:v>
      </x:c>
      <x:c r="I222" s="27" t="n">
        <x:f>IF(AND(ISNUMBER(G222),ISNUMBER(H222),H222&gt;0),G222/H222-1,"")</x:f>
        <x:v>-0.08333974861163629</x:v>
      </x:c>
      <x:c r="J222" s="27" t="n">
        <x:f>IF(AND(ISNUMBER(G222),F222&gt;0),G222/F222-1,"")</x:f>
        <x:v>0</x:v>
      </x:c>
      <x:c r="K222" s="19" t="str">
        <x:v>Balanced/EXP001/results/seed403257883_BBP.json</x:v>
      </x:c>
    </x:row>
    <x:row r="223" ht="15" hidden="0" customHeight="1">
      <x:c r="A223" s="3" t="str">
        <x:v>EXP001</x:v>
      </x:c>
      <x:c r="B223" s="3" t="str">
        <x:v>Balanced</x:v>
      </x:c>
      <x:c r="C223" s="18" t="n">
        <x:v>403257883</x:v>
      </x:c>
      <x:c r="D223" s="3" t="str">
        <x:v>Relative cutoff 1e-5</x:v>
      </x:c>
      <x:c r="E223" s="18" t="n">
        <x:v>800</x:v>
      </x:c>
      <x:c r="F223" s="21" t="n">
        <x:v>454.2530346573369</x:v>
      </x:c>
      <x:c r="G223" s="21" t="n">
        <x:f>F222</x:f>
        <x:v>426.32557314795446</x:v>
      </x:c>
      <x:c r="H223" s="21" t="n">
        <x:f>F227</x:f>
        <x:v>465.0856983296116</x:v>
      </x:c>
      <x:c r="I223" s="27" t="n">
        <x:f>IF(AND(ISNUMBER(G223),ISNUMBER(H223),H223&gt;0),G223/H223-1,"")</x:f>
        <x:v>-0.08333974861163629</x:v>
      </x:c>
      <x:c r="J223" s="27" t="n">
        <x:f>IF(AND(ISNUMBER(G223),F223&gt;0),G223/F223-1,"")</x:f>
        <x:v>-0.061479966843698386</x:v>
      </x:c>
      <x:c r="K223" s="19" t="str">
        <x:v>Balanced/EXP001/results/seed403257883_Relative_cutoff_1e-5.json</x:v>
      </x:c>
    </x:row>
    <x:row r="224" ht="15" hidden="0" customHeight="1">
      <x:c r="A224" s="3" t="str">
        <x:v>EXP001</x:v>
      </x:c>
      <x:c r="B224" s="3" t="str">
        <x:v>Balanced</x:v>
      </x:c>
      <x:c r="C224" s="18" t="n">
        <x:v>403257883</x:v>
      </x:c>
      <x:c r="D224" s="3" t="str">
        <x:v>Fixed rank 10</x:v>
      </x:c>
      <x:c r="E224" s="18" t="n">
        <x:v>800</x:v>
      </x:c>
      <x:c r="F224" s="21" t="n">
        <x:v>459.18719297601643</x:v>
      </x:c>
      <x:c r="G224" s="21" t="n">
        <x:f>F222</x:f>
        <x:v>426.32557314795446</x:v>
      </x:c>
      <x:c r="H224" s="21" t="n">
        <x:f>F227</x:f>
        <x:v>465.0856983296116</x:v>
      </x:c>
      <x:c r="I224" s="27" t="n">
        <x:f>IF(AND(ISNUMBER(G224),ISNUMBER(H224),H224&gt;0),G224/H224-1,"")</x:f>
        <x:v>-0.08333974861163629</x:v>
      </x:c>
      <x:c r="J224" s="27" t="n">
        <x:f>IF(AND(ISNUMBER(G224),F224&gt;0),G224/F224-1,"")</x:f>
        <x:v>-0.07156475688070496</x:v>
      </x:c>
      <x:c r="K224" s="19" t="str">
        <x:v>Balanced/EXP001/results/seed403257883_Fixed_rank_10.json</x:v>
      </x:c>
    </x:row>
    <x:row r="225" ht="15" hidden="0" customHeight="1">
      <x:c r="A225" s="3" t="str">
        <x:v>EXP001</x:v>
      </x:c>
      <x:c r="B225" s="3" t="str">
        <x:v>Balanced</x:v>
      </x:c>
      <x:c r="C225" s="18" t="n">
        <x:v>403257883</x:v>
      </x:c>
      <x:c r="D225" s="3" t="str">
        <x:v>Fixed rank 25</x:v>
      </x:c>
      <x:c r="E225" s="18" t="n">
        <x:v>800</x:v>
      </x:c>
      <x:c r="F225" s="21" t="n">
        <x:v>427.56038324922804</x:v>
      </x:c>
      <x:c r="G225" s="21" t="n">
        <x:f>F222</x:f>
        <x:v>426.32557314795446</x:v>
      </x:c>
      <x:c r="H225" s="21" t="n">
        <x:f>F227</x:f>
        <x:v>465.0856983296116</x:v>
      </x:c>
      <x:c r="I225" s="27" t="n">
        <x:f>IF(AND(ISNUMBER(G225),ISNUMBER(H225),H225&gt;0),G225/H225-1,"")</x:f>
        <x:v>-0.08333974861163629</x:v>
      </x:c>
      <x:c r="J225" s="27" t="n">
        <x:f>IF(AND(ISNUMBER(G225),F225&gt;0),G225/F225-1,"")</x:f>
        <x:v>-0.002888036753755596</x:v>
      </x:c>
      <x:c r="K225" s="19" t="str">
        <x:v>Balanced/EXP001/results/seed403257883_Fixed_rank_25.json</x:v>
      </x:c>
    </x:row>
    <x:row r="226" ht="15" hidden="0" customHeight="1">
      <x:c r="A226" s="3" t="str">
        <x:v>EXP001</x:v>
      </x:c>
      <x:c r="B226" s="3" t="str">
        <x:v>Balanced</x:v>
      </x:c>
      <x:c r="C226" s="18" t="n">
        <x:v>403257883</x:v>
      </x:c>
      <x:c r="D226" s="3" t="str">
        <x:v>Relative cutoff 1e-6</x:v>
      </x:c>
      <x:c r="E226" s="18" t="n">
        <x:v>800</x:v>
      </x:c>
      <x:c r="F226" s="21" t="n">
        <x:v>427.19751369277355</x:v>
      </x:c>
      <x:c r="G226" s="21" t="n">
        <x:f>F222</x:f>
        <x:v>426.32557314795446</x:v>
      </x:c>
      <x:c r="H226" s="21" t="n">
        <x:f>F227</x:f>
        <x:v>465.0856983296116</x:v>
      </x:c>
      <x:c r="I226" s="27" t="n">
        <x:f>IF(AND(ISNUMBER(G226),ISNUMBER(H226),H226&gt;0),G226/H226-1,"")</x:f>
        <x:v>-0.08333974861163629</x:v>
      </x:c>
      <x:c r="J226" s="27" t="n">
        <x:f>IF(AND(ISNUMBER(G226),F226&gt;0),G226/F226-1,"")</x:f>
        <x:v>-0.0020410712068098524</x:v>
      </x:c>
      <x:c r="K226" s="19" t="str">
        <x:v>Balanced/EXP001/results/seed403257883_Relative_cutoff_1e-6.json</x:v>
      </x:c>
    </x:row>
    <x:row r="227" ht="15" hidden="0" customHeight="1">
      <x:c r="A227" s="3" t="str">
        <x:v>EXP001</x:v>
      </x:c>
      <x:c r="B227" s="3" t="str">
        <x:v>Balanced</x:v>
      </x:c>
      <x:c r="C227" s="18" t="n">
        <x:v>403257883</x:v>
      </x:c>
      <x:c r="D227" s="3" t="str">
        <x:v>Full</x:v>
      </x:c>
      <x:c r="E227" s="18" t="n">
        <x:v>800</x:v>
      </x:c>
      <x:c r="F227" s="21" t="n">
        <x:v>465.0856983296116</x:v>
      </x:c>
      <x:c r="G227" s="21" t="n">
        <x:f>F222</x:f>
        <x:v>426.32557314795446</x:v>
      </x:c>
      <x:c r="H227" s="21" t="n">
        <x:f>F227</x:f>
        <x:v>465.0856983296116</x:v>
      </x:c>
      <x:c r="I227" s="27" t="n">
        <x:f>IF(AND(ISNUMBER(G227),ISNUMBER(H227),H227&gt;0),G227/H227-1,"")</x:f>
        <x:v>-0.08333974861163629</x:v>
      </x:c>
      <x:c r="J227" s="27" t="n">
        <x:f>IF(AND(ISNUMBER(G227),F227&gt;0),G227/F227-1,"")</x:f>
        <x:v>-0.08333974861163629</x:v>
      </x:c>
      <x:c r="K227" s="19" t="str">
        <x:v>Balanced/EXP001/results/seed403257883_Full.json</x:v>
      </x:c>
    </x:row>
    <x:row r="228" ht="15" hidden="0" customHeight="1">
      <x:c r="A228" s="3" t="str">
        <x:v>EXP001</x:v>
      </x:c>
      <x:c r="B228" s="3" t="str">
        <x:v>Balanced</x:v>
      </x:c>
      <x:c r="C228" s="18" t="n">
        <x:v>403257883</x:v>
      </x:c>
      <x:c r="D228" s="3" t="str">
        <x:v>Relative cutoff 1e-2</x:v>
      </x:c>
      <x:c r="E228" s="18" t="n">
        <x:v>800</x:v>
      </x:c>
      <x:c r="F228" s="21" t="n">
        <x:v>554.9008334565336</x:v>
      </x:c>
      <x:c r="G228" s="21" t="n">
        <x:f>F222</x:f>
        <x:v>426.32557314795446</x:v>
      </x:c>
      <x:c r="H228" s="21" t="n">
        <x:f>F227</x:f>
        <x:v>465.0856983296116</x:v>
      </x:c>
      <x:c r="I228" s="27" t="n">
        <x:f>IF(AND(ISNUMBER(G228),ISNUMBER(H228),H228&gt;0),G228/H228-1,"")</x:f>
        <x:v>-0.08333974861163629</x:v>
      </x:c>
      <x:c r="J228" s="27" t="n">
        <x:f>IF(AND(ISNUMBER(G228),F228&gt;0),G228/F228-1,"")</x:f>
        <x:v>-0.23170853701493077</x:v>
      </x:c>
      <x:c r="K228" s="19" t="str">
        <x:v>Balanced/EXP001/results/seed403257883_Relative_cutoff_1e-2.json</x:v>
      </x:c>
    </x:row>
    <x:row r="229" ht="15" hidden="0" customHeight="1">
      <x:c r="A229" s="3" t="str">
        <x:v>EXP001</x:v>
      </x:c>
      <x:c r="B229" s="3" t="str">
        <x:v>Balanced</x:v>
      </x:c>
      <x:c r="C229" s="18" t="n">
        <x:v>403257883</x:v>
      </x:c>
      <x:c r="D229" s="3" t="str">
        <x:v>Relative cutoff 1e-4</x:v>
      </x:c>
      <x:c r="E229" s="18" t="n">
        <x:v>800</x:v>
      </x:c>
      <x:c r="F229" s="21" t="n">
        <x:v>448.3469708819025</x:v>
      </x:c>
      <x:c r="G229" s="21" t="n">
        <x:f>F222</x:f>
        <x:v>426.32557314795446</x:v>
      </x:c>
      <x:c r="H229" s="21" t="n">
        <x:f>F227</x:f>
        <x:v>465.0856983296116</x:v>
      </x:c>
      <x:c r="I229" s="27" t="n">
        <x:f>IF(AND(ISNUMBER(G229),ISNUMBER(H229),H229&gt;0),G229/H229-1,"")</x:f>
        <x:v>-0.08333974861163629</x:v>
      </x:c>
      <x:c r="J229" s="27" t="n">
        <x:f>IF(AND(ISNUMBER(G229),F229&gt;0),G229/F229-1,"")</x:f>
        <x:v>-0.04911686520515968</x:v>
      </x:c>
      <x:c r="K229" s="19" t="str">
        <x:v>Balanced/EXP001/results/seed403257883_Relative_cutoff_1e-4.json</x:v>
      </x:c>
    </x:row>
    <x:row r="230" ht="15" hidden="0" customHeight="1">
      <x:c r="A230" s="3" t="str">
        <x:v>EXP001</x:v>
      </x:c>
      <x:c r="B230" s="3" t="str">
        <x:v>Balanced</x:v>
      </x:c>
      <x:c r="C230" s="18" t="n">
        <x:v>405075886</x:v>
      </x:c>
      <x:c r="D230" s="3" t="str">
        <x:v>BBP</x:v>
      </x:c>
      <x:c r="E230" s="18" t="n">
        <x:v>800</x:v>
      </x:c>
      <x:c r="F230" s="21" t="n">
        <x:v>529.5082571915311</x:v>
      </x:c>
      <x:c r="G230" s="21" t="n">
        <x:f>F230</x:f>
        <x:v>529.5082571915311</x:v>
      </x:c>
      <x:c r="H230" s="21" t="n">
        <x:f>F235</x:f>
        <x:v>603.0334342758168</x:v>
      </x:c>
      <x:c r="I230" s="27" t="n">
        <x:f>IF(AND(ISNUMBER(G230),ISNUMBER(H230),H230&gt;0),G230/H230-1,"")</x:f>
        <x:v>-0.1219255399538205</x:v>
      </x:c>
      <x:c r="J230" s="27" t="n">
        <x:f>IF(AND(ISNUMBER(G230),F230&gt;0),G230/F230-1,"")</x:f>
        <x:v>0</x:v>
      </x:c>
      <x:c r="K230" s="19" t="str">
        <x:v>Balanced/EXP001/results/seed405075886_BBP.json</x:v>
      </x:c>
    </x:row>
    <x:row r="231" ht="15" hidden="0" customHeight="1">
      <x:c r="A231" s="3" t="str">
        <x:v>EXP001</x:v>
      </x:c>
      <x:c r="B231" s="3" t="str">
        <x:v>Balanced</x:v>
      </x:c>
      <x:c r="C231" s="18" t="n">
        <x:v>405075886</x:v>
      </x:c>
      <x:c r="D231" s="3" t="str">
        <x:v>Relative cutoff 1e-5</x:v>
      </x:c>
      <x:c r="E231" s="18" t="n">
        <x:v>800</x:v>
      </x:c>
      <x:c r="F231" s="21" t="n">
        <x:v>530.6347265186191</x:v>
      </x:c>
      <x:c r="G231" s="21" t="n">
        <x:f>F230</x:f>
        <x:v>529.5082571915311</x:v>
      </x:c>
      <x:c r="H231" s="21" t="n">
        <x:f>F235</x:f>
        <x:v>603.0334342758168</x:v>
      </x:c>
      <x:c r="I231" s="27" t="n">
        <x:f>IF(AND(ISNUMBER(G231),ISNUMBER(H231),H231&gt;0),G231/H231-1,"")</x:f>
        <x:v>-0.1219255399538205</x:v>
      </x:c>
      <x:c r="J231" s="27" t="n">
        <x:f>IF(AND(ISNUMBER(G231),F231&gt;0),G231/F231-1,"")</x:f>
        <x:v>-0.002122871479743771</x:v>
      </x:c>
      <x:c r="K231" s="19" t="str">
        <x:v>Balanced/EXP001/results/seed405075886_Relative_cutoff_1e-5.json</x:v>
      </x:c>
    </x:row>
    <x:row r="232" ht="15" hidden="0" customHeight="1">
      <x:c r="A232" s="3" t="str">
        <x:v>EXP001</x:v>
      </x:c>
      <x:c r="B232" s="3" t="str">
        <x:v>Balanced</x:v>
      </x:c>
      <x:c r="C232" s="18" t="n">
        <x:v>405075886</x:v>
      </x:c>
      <x:c r="D232" s="3" t="str">
        <x:v>Fixed rank 10</x:v>
      </x:c>
      <x:c r="E232" s="18" t="n">
        <x:v>800</x:v>
      </x:c>
      <x:c r="F232" s="21" t="n">
        <x:v>607.4924472872509</x:v>
      </x:c>
      <x:c r="G232" s="21" t="n">
        <x:f>F230</x:f>
        <x:v>529.5082571915311</x:v>
      </x:c>
      <x:c r="H232" s="21" t="n">
        <x:f>F235</x:f>
        <x:v>603.0334342758168</x:v>
      </x:c>
      <x:c r="I232" s="27" t="n">
        <x:f>IF(AND(ISNUMBER(G232),ISNUMBER(H232),H232&gt;0),G232/H232-1,"")</x:f>
        <x:v>-0.1219255399538205</x:v>
      </x:c>
      <x:c r="J232" s="27" t="n">
        <x:f>IF(AND(ISNUMBER(G232),F232&gt;0),G232/F232-1,"")</x:f>
        <x:v>-0.12837063315594643</x:v>
      </x:c>
      <x:c r="K232" s="19" t="str">
        <x:v>Balanced/EXP001/results/seed405075886_Fixed_rank_10.json</x:v>
      </x:c>
    </x:row>
    <x:row r="233" ht="15" hidden="0" customHeight="1">
      <x:c r="A233" s="3" t="str">
        <x:v>EXP001</x:v>
      </x:c>
      <x:c r="B233" s="3" t="str">
        <x:v>Balanced</x:v>
      </x:c>
      <x:c r="C233" s="18" t="n">
        <x:v>405075886</x:v>
      </x:c>
      <x:c r="D233" s="3" t="str">
        <x:v>Fixed rank 25</x:v>
      </x:c>
      <x:c r="E233" s="18" t="n">
        <x:v>800</x:v>
      </x:c>
      <x:c r="F233" s="21" t="n">
        <x:v>555.9447200578486</x:v>
      </x:c>
      <x:c r="G233" s="21" t="n">
        <x:f>F230</x:f>
        <x:v>529.5082571915311</x:v>
      </x:c>
      <x:c r="H233" s="21" t="n">
        <x:f>F235</x:f>
        <x:v>603.0334342758168</x:v>
      </x:c>
      <x:c r="I233" s="27" t="n">
        <x:f>IF(AND(ISNUMBER(G233),ISNUMBER(H233),H233&gt;0),G233/H233-1,"")</x:f>
        <x:v>-0.1219255399538205</x:v>
      </x:c>
      <x:c r="J233" s="27" t="n">
        <x:f>IF(AND(ISNUMBER(G233),F233&gt;0),G233/F233-1,"")</x:f>
        <x:v>-0.047552322942408076</x:v>
      </x:c>
      <x:c r="K233" s="19" t="str">
        <x:v>Balanced/EXP001/results/seed405075886_Fixed_rank_25.json</x:v>
      </x:c>
    </x:row>
    <x:row r="234" ht="15" hidden="0" customHeight="1">
      <x:c r="A234" s="3" t="str">
        <x:v>EXP001</x:v>
      </x:c>
      <x:c r="B234" s="3" t="str">
        <x:v>Balanced</x:v>
      </x:c>
      <x:c r="C234" s="18" t="n">
        <x:v>405075886</x:v>
      </x:c>
      <x:c r="D234" s="3" t="str">
        <x:v>Relative cutoff 1e-6</x:v>
      </x:c>
      <x:c r="E234" s="18" t="n">
        <x:v>800</x:v>
      </x:c>
      <x:c r="F234" s="21" t="n">
        <x:v>547.0889546462986</x:v>
      </x:c>
      <x:c r="G234" s="21" t="n">
        <x:f>F230</x:f>
        <x:v>529.5082571915311</x:v>
      </x:c>
      <x:c r="H234" s="21" t="n">
        <x:f>F235</x:f>
        <x:v>603.0334342758168</x:v>
      </x:c>
      <x:c r="I234" s="27" t="n">
        <x:f>IF(AND(ISNUMBER(G234),ISNUMBER(H234),H234&gt;0),G234/H234-1,"")</x:f>
        <x:v>-0.1219255399538205</x:v>
      </x:c>
      <x:c r="J234" s="27" t="n">
        <x:f>IF(AND(ISNUMBER(G234),F234&gt;0),G234/F234-1,"")</x:f>
        <x:v>-0.032134988844974344</x:v>
      </x:c>
      <x:c r="K234" s="19" t="str">
        <x:v>Balanced/EXP001/results/seed405075886_Relative_cutoff_1e-6.json</x:v>
      </x:c>
    </x:row>
    <x:row r="235" ht="15" hidden="0" customHeight="1">
      <x:c r="A235" s="3" t="str">
        <x:v>EXP001</x:v>
      </x:c>
      <x:c r="B235" s="3" t="str">
        <x:v>Balanced</x:v>
      </x:c>
      <x:c r="C235" s="18" t="n">
        <x:v>405075886</x:v>
      </x:c>
      <x:c r="D235" s="3" t="str">
        <x:v>Full</x:v>
      </x:c>
      <x:c r="E235" s="18" t="n">
        <x:v>800</x:v>
      </x:c>
      <x:c r="F235" s="21" t="n">
        <x:v>603.0334342758168</x:v>
      </x:c>
      <x:c r="G235" s="21" t="n">
        <x:f>F230</x:f>
        <x:v>529.5082571915311</x:v>
      </x:c>
      <x:c r="H235" s="21" t="n">
        <x:f>F235</x:f>
        <x:v>603.0334342758168</x:v>
      </x:c>
      <x:c r="I235" s="27" t="n">
        <x:f>IF(AND(ISNUMBER(G235),ISNUMBER(H235),H235&gt;0),G235/H235-1,"")</x:f>
        <x:v>-0.1219255399538205</x:v>
      </x:c>
      <x:c r="J235" s="27" t="n">
        <x:f>IF(AND(ISNUMBER(G235),F235&gt;0),G235/F235-1,"")</x:f>
        <x:v>-0.1219255399538205</x:v>
      </x:c>
      <x:c r="K235" s="19" t="str">
        <x:v>Balanced/EXP001/results/seed405075886_Full.json</x:v>
      </x:c>
    </x:row>
    <x:row r="236" ht="15" hidden="0" customHeight="1">
      <x:c r="A236" s="3" t="str">
        <x:v>EXP001</x:v>
      </x:c>
      <x:c r="B236" s="3" t="str">
        <x:v>Balanced</x:v>
      </x:c>
      <x:c r="C236" s="18" t="n">
        <x:v>405075886</x:v>
      </x:c>
      <x:c r="D236" s="3" t="str">
        <x:v>Relative cutoff 1e-2</x:v>
      </x:c>
      <x:c r="E236" s="18" t="n">
        <x:v>800</x:v>
      </x:c>
      <x:c r="F236" s="21" t="n">
        <x:v>648.3189769561087</x:v>
      </x:c>
      <x:c r="G236" s="21" t="n">
        <x:f>F230</x:f>
        <x:v>529.5082571915311</x:v>
      </x:c>
      <x:c r="H236" s="21" t="n">
        <x:f>F235</x:f>
        <x:v>603.0334342758168</x:v>
      </x:c>
      <x:c r="I236" s="27" t="n">
        <x:f>IF(AND(ISNUMBER(G236),ISNUMBER(H236),H236&gt;0),G236/H236-1,"")</x:f>
        <x:v>-0.1219255399538205</x:v>
      </x:c>
      <x:c r="J236" s="27" t="n">
        <x:f>IF(AND(ISNUMBER(G236),F236&gt;0),G236/F236-1,"")</x:f>
        <x:v>-0.18325966690409112</x:v>
      </x:c>
      <x:c r="K236" s="19" t="str">
        <x:v>Balanced/EXP001/results/seed405075886_Relative_cutoff_1e-2.json</x:v>
      </x:c>
    </x:row>
    <x:row r="237" ht="15" hidden="0" customHeight="1">
      <x:c r="A237" s="3" t="str">
        <x:v>EXP001</x:v>
      </x:c>
      <x:c r="B237" s="3" t="str">
        <x:v>Balanced</x:v>
      </x:c>
      <x:c r="C237" s="18" t="n">
        <x:v>405075886</x:v>
      </x:c>
      <x:c r="D237" s="3" t="str">
        <x:v>Relative cutoff 1e-4</x:v>
      </x:c>
      <x:c r="E237" s="18" t="n">
        <x:v>800</x:v>
      </x:c>
      <x:c r="F237" s="21" t="n">
        <x:v>519.6417758498673</x:v>
      </x:c>
      <x:c r="G237" s="21" t="n">
        <x:f>F230</x:f>
        <x:v>529.5082571915311</x:v>
      </x:c>
      <x:c r="H237" s="21" t="n">
        <x:f>F235</x:f>
        <x:v>603.0334342758168</x:v>
      </x:c>
      <x:c r="I237" s="27" t="n">
        <x:f>IF(AND(ISNUMBER(G237),ISNUMBER(H237),H237&gt;0),G237/H237-1,"")</x:f>
        <x:v>-0.1219255399538205</x:v>
      </x:c>
      <x:c r="J237" s="27" t="n">
        <x:f>IF(AND(ISNUMBER(G237),F237&gt;0),G237/F237-1,"")</x:f>
        <x:v>0.018987082640781416</x:v>
      </x:c>
      <x:c r="K237" s="19" t="str">
        <x:v>Balanced/EXP001/results/seed405075886_Relative_cutoff_1e-4.json</x:v>
      </x:c>
    </x:row>
    <x:row r="238" ht="15" hidden="0" customHeight="1">
      <x:c r="A238" s="3" t="str">
        <x:v>EXP001</x:v>
      </x:c>
      <x:c r="B238" s="3" t="str">
        <x:v>Balanced</x:v>
      </x:c>
      <x:c r="C238" s="18" t="n">
        <x:v>412802191</x:v>
      </x:c>
      <x:c r="D238" s="3" t="str">
        <x:v>BBP</x:v>
      </x:c>
      <x:c r="E238" s="18" t="n">
        <x:v>800</x:v>
      </x:c>
      <x:c r="F238" s="21" t="n">
        <x:v>763.428857449134</x:v>
      </x:c>
      <x:c r="G238" s="21" t="n">
        <x:f>F238</x:f>
        <x:v>763.428857449134</x:v>
      </x:c>
      <x:c r="H238" s="21" t="n">
        <x:f>F243</x:f>
        <x:v>768.2091472561327</x:v>
      </x:c>
      <x:c r="I238" s="27" t="n">
        <x:f>IF(AND(ISNUMBER(G238),ISNUMBER(H238),H238&gt;0),G238/H238-1,"")</x:f>
        <x:v>-0.006222641092042291</x:v>
      </x:c>
      <x:c r="J238" s="27" t="n">
        <x:f>IF(AND(ISNUMBER(G238),F238&gt;0),G238/F238-1,"")</x:f>
        <x:v>0</x:v>
      </x:c>
      <x:c r="K238" s="19" t="str">
        <x:v>Balanced/EXP001/results/seed412802191_BBP.json</x:v>
      </x:c>
    </x:row>
    <x:row r="239" ht="15" hidden="0" customHeight="1">
      <x:c r="A239" s="3" t="str">
        <x:v>EXP001</x:v>
      </x:c>
      <x:c r="B239" s="3" t="str">
        <x:v>Balanced</x:v>
      </x:c>
      <x:c r="C239" s="18" t="n">
        <x:v>412802191</x:v>
      </x:c>
      <x:c r="D239" s="3" t="str">
        <x:v>Relative cutoff 1e-5</x:v>
      </x:c>
      <x:c r="E239" s="18" t="n">
        <x:v>800</x:v>
      </x:c>
      <x:c r="F239" s="21" t="n">
        <x:v>863.3799020011653</x:v>
      </x:c>
      <x:c r="G239" s="21" t="n">
        <x:f>F238</x:f>
        <x:v>763.428857449134</x:v>
      </x:c>
      <x:c r="H239" s="21" t="n">
        <x:f>F243</x:f>
        <x:v>768.2091472561327</x:v>
      </x:c>
      <x:c r="I239" s="27" t="n">
        <x:f>IF(AND(ISNUMBER(G239),ISNUMBER(H239),H239&gt;0),G239/H239-1,"")</x:f>
        <x:v>-0.006222641092042291</x:v>
      </x:c>
      <x:c r="J239" s="27" t="n">
        <x:f>IF(AND(ISNUMBER(G239),F239&gt;0),G239/F239-1,"")</x:f>
        <x:v>-0.11576716613435423</x:v>
      </x:c>
      <x:c r="K239" s="19" t="str">
        <x:v>Balanced/EXP001/results/seed412802191_Relative_cutoff_1e-5.json</x:v>
      </x:c>
    </x:row>
    <x:row r="240" ht="15" hidden="0" customHeight="1">
      <x:c r="A240" s="3" t="str">
        <x:v>EXP001</x:v>
      </x:c>
      <x:c r="B240" s="3" t="str">
        <x:v>Balanced</x:v>
      </x:c>
      <x:c r="C240" s="18" t="n">
        <x:v>412802191</x:v>
      </x:c>
      <x:c r="D240" s="3" t="str">
        <x:v>Fixed rank 10</x:v>
      </x:c>
      <x:c r="E240" s="18" t="n">
        <x:v>800</x:v>
      </x:c>
      <x:c r="F240" s="21" t="n">
        <x:v>877.5313951749322</x:v>
      </x:c>
      <x:c r="G240" s="21" t="n">
        <x:f>F238</x:f>
        <x:v>763.428857449134</x:v>
      </x:c>
      <x:c r="H240" s="21" t="n">
        <x:f>F243</x:f>
        <x:v>768.2091472561327</x:v>
      </x:c>
      <x:c r="I240" s="27" t="n">
        <x:f>IF(AND(ISNUMBER(G240),ISNUMBER(H240),H240&gt;0),G240/H240-1,"")</x:f>
        <x:v>-0.006222641092042291</x:v>
      </x:c>
      <x:c r="J240" s="27" t="n">
        <x:f>IF(AND(ISNUMBER(G240),F240&gt;0),G240/F240-1,"")</x:f>
        <x:v>-0.13002672993033182</x:v>
      </x:c>
      <x:c r="K240" s="19" t="str">
        <x:v>Balanced/EXP001/results/seed412802191_Fixed_rank_10.json</x:v>
      </x:c>
    </x:row>
    <x:row r="241" ht="15" hidden="0" customHeight="1">
      <x:c r="A241" s="3" t="str">
        <x:v>EXP001</x:v>
      </x:c>
      <x:c r="B241" s="3" t="str">
        <x:v>Balanced</x:v>
      </x:c>
      <x:c r="C241" s="18" t="n">
        <x:v>412802191</x:v>
      </x:c>
      <x:c r="D241" s="3" t="str">
        <x:v>Fixed rank 25</x:v>
      </x:c>
      <x:c r="E241" s="18" t="n">
        <x:v>800</x:v>
      </x:c>
      <x:c r="F241" s="21" t="n">
        <x:v>720.8757868862556</x:v>
      </x:c>
      <x:c r="G241" s="21" t="n">
        <x:f>F238</x:f>
        <x:v>763.428857449134</x:v>
      </x:c>
      <x:c r="H241" s="21" t="n">
        <x:f>F243</x:f>
        <x:v>768.2091472561327</x:v>
      </x:c>
      <x:c r="I241" s="27" t="n">
        <x:f>IF(AND(ISNUMBER(G241),ISNUMBER(H241),H241&gt;0),G241/H241-1,"")</x:f>
        <x:v>-0.006222641092042291</x:v>
      </x:c>
      <x:c r="J241" s="27" t="n">
        <x:f>IF(AND(ISNUMBER(G241),F241&gt;0),G241/F241-1,"")</x:f>
        <x:v>0.05902968491518035</x:v>
      </x:c>
      <x:c r="K241" s="19" t="str">
        <x:v>Balanced/EXP001/results/seed412802191_Fixed_rank_25.json</x:v>
      </x:c>
    </x:row>
    <x:row r="242" ht="15" hidden="0" customHeight="1">
      <x:c r="A242" s="3" t="str">
        <x:v>EXP001</x:v>
      </x:c>
      <x:c r="B242" s="3" t="str">
        <x:v>Balanced</x:v>
      </x:c>
      <x:c r="C242" s="18" t="n">
        <x:v>412802191</x:v>
      </x:c>
      <x:c r="D242" s="3" t="str">
        <x:v>Relative cutoff 1e-6</x:v>
      </x:c>
      <x:c r="E242" s="18" t="n">
        <x:v>800</x:v>
      </x:c>
      <x:c r="F242" s="21" t="n">
        <x:v>797.1698240870852</x:v>
      </x:c>
      <x:c r="G242" s="21" t="n">
        <x:f>F238</x:f>
        <x:v>763.428857449134</x:v>
      </x:c>
      <x:c r="H242" s="21" t="n">
        <x:f>F243</x:f>
        <x:v>768.2091472561327</x:v>
      </x:c>
      <x:c r="I242" s="27" t="n">
        <x:f>IF(AND(ISNUMBER(G242),ISNUMBER(H242),H242&gt;0),G242/H242-1,"")</x:f>
        <x:v>-0.006222641092042291</x:v>
      </x:c>
      <x:c r="J242" s="27" t="n">
        <x:f>IF(AND(ISNUMBER(G242),F242&gt;0),G242/F242-1,"")</x:f>
        <x:v>-0.042325945637231355</x:v>
      </x:c>
      <x:c r="K242" s="19" t="str">
        <x:v>Balanced/EXP001/results/seed412802191_Relative_cutoff_1e-6.json</x:v>
      </x:c>
    </x:row>
    <x:row r="243" ht="15" hidden="0" customHeight="1">
      <x:c r="A243" s="3" t="str">
        <x:v>EXP001</x:v>
      </x:c>
      <x:c r="B243" s="3" t="str">
        <x:v>Balanced</x:v>
      </x:c>
      <x:c r="C243" s="18" t="n">
        <x:v>412802191</x:v>
      </x:c>
      <x:c r="D243" s="3" t="str">
        <x:v>Full</x:v>
      </x:c>
      <x:c r="E243" s="18" t="n">
        <x:v>800</x:v>
      </x:c>
      <x:c r="F243" s="21" t="n">
        <x:v>768.2091472561327</x:v>
      </x:c>
      <x:c r="G243" s="21" t="n">
        <x:f>F238</x:f>
        <x:v>763.428857449134</x:v>
      </x:c>
      <x:c r="H243" s="21" t="n">
        <x:f>F243</x:f>
        <x:v>768.2091472561327</x:v>
      </x:c>
      <x:c r="I243" s="27" t="n">
        <x:f>IF(AND(ISNUMBER(G243),ISNUMBER(H243),H243&gt;0),G243/H243-1,"")</x:f>
        <x:v>-0.006222641092042291</x:v>
      </x:c>
      <x:c r="J243" s="27" t="n">
        <x:f>IF(AND(ISNUMBER(G243),F243&gt;0),G243/F243-1,"")</x:f>
        <x:v>-0.006222641092042291</x:v>
      </x:c>
      <x:c r="K243" s="19" t="str">
        <x:v>Balanced/EXP001/results/seed412802191_Full.json</x:v>
      </x:c>
    </x:row>
    <x:row r="244" ht="15" hidden="0" customHeight="1">
      <x:c r="A244" s="3" t="str">
        <x:v>EXP001</x:v>
      </x:c>
      <x:c r="B244" s="3" t="str">
        <x:v>Balanced</x:v>
      </x:c>
      <x:c r="C244" s="18" t="n">
        <x:v>412802191</x:v>
      </x:c>
      <x:c r="D244" s="3" t="str">
        <x:v>Relative cutoff 1e-2</x:v>
      </x:c>
      <x:c r="E244" s="18" t="n">
        <x:v>800</x:v>
      </x:c>
      <x:c r="F244" s="21" t="n">
        <x:v>836.9020374424499</x:v>
      </x:c>
      <x:c r="G244" s="21" t="n">
        <x:f>F238</x:f>
        <x:v>763.428857449134</x:v>
      </x:c>
      <x:c r="H244" s="21" t="n">
        <x:f>F243</x:f>
        <x:v>768.2091472561327</x:v>
      </x:c>
      <x:c r="I244" s="27" t="n">
        <x:f>IF(AND(ISNUMBER(G244),ISNUMBER(H244),H244&gt;0),G244/H244-1,"")</x:f>
        <x:v>-0.006222641092042291</x:v>
      </x:c>
      <x:c r="J244" s="27" t="n">
        <x:f>IF(AND(ISNUMBER(G244),F244&gt;0),G244/F244-1,"")</x:f>
        <x:v>-0.08779185221946406</x:v>
      </x:c>
      <x:c r="K244" s="19" t="str">
        <x:v>Balanced/EXP001/results/seed412802191_Relative_cutoff_1e-2.json</x:v>
      </x:c>
    </x:row>
    <x:row r="245" ht="15" hidden="0" customHeight="1">
      <x:c r="A245" s="3" t="str">
        <x:v>EXP001</x:v>
      </x:c>
      <x:c r="B245" s="3" t="str">
        <x:v>Balanced</x:v>
      </x:c>
      <x:c r="C245" s="18" t="n">
        <x:v>412802191</x:v>
      </x:c>
      <x:c r="D245" s="3" t="str">
        <x:v>Relative cutoff 1e-4</x:v>
      </x:c>
      <x:c r="E245" s="18" t="n">
        <x:v>800</x:v>
      </x:c>
      <x:c r="F245" s="21" t="n">
        <x:v>900.3894081774932</x:v>
      </x:c>
      <x:c r="G245" s="21" t="n">
        <x:f>F238</x:f>
        <x:v>763.428857449134</x:v>
      </x:c>
      <x:c r="H245" s="21" t="n">
        <x:f>F243</x:f>
        <x:v>768.2091472561327</x:v>
      </x:c>
      <x:c r="I245" s="27" t="n">
        <x:f>IF(AND(ISNUMBER(G245),ISNUMBER(H245),H245&gt;0),G245/H245-1,"")</x:f>
        <x:v>-0.006222641092042291</x:v>
      </x:c>
      <x:c r="J245" s="27" t="n">
        <x:f>IF(AND(ISNUMBER(G245),F245&gt;0),G245/F245-1,"")</x:f>
        <x:v>-0.15211257427559643</x:v>
      </x:c>
      <x:c r="K245" s="19" t="str">
        <x:v>Balanced/EXP001/results/seed412802191_Relative_cutoff_1e-4.json</x:v>
      </x:c>
    </x:row>
    <x:row r="246" ht="15" hidden="0" customHeight="1">
      <x:c r="A246" s="3" t="str">
        <x:v>EXP001</x:v>
      </x:c>
      <x:c r="B246" s="3" t="str">
        <x:v>Balanced</x:v>
      </x:c>
      <x:c r="C246" s="18" t="n">
        <x:v>425428179</x:v>
      </x:c>
      <x:c r="D246" s="3" t="str">
        <x:v>BBP</x:v>
      </x:c>
      <x:c r="E246" s="18" t="n">
        <x:v>800</x:v>
      </x:c>
      <x:c r="F246" s="21" t="n">
        <x:v>458.54493858237004</x:v>
      </x:c>
      <x:c r="G246" s="21" t="n">
        <x:f>F246</x:f>
        <x:v>458.54493858237004</x:v>
      </x:c>
      <x:c r="H246" s="21" t="n">
        <x:f>F251</x:f>
        <x:v>452.66446645945746</x:v>
      </x:c>
      <x:c r="I246" s="27" t="n">
        <x:f>IF(AND(ISNUMBER(G246),ISNUMBER(H246),H246&gt;0),G246/H246-1,"")</x:f>
        <x:v>0.012990796845414154</x:v>
      </x:c>
      <x:c r="J246" s="27" t="n">
        <x:f>IF(AND(ISNUMBER(G246),F246&gt;0),G246/F246-1,"")</x:f>
        <x:v>0</x:v>
      </x:c>
      <x:c r="K246" s="19" t="str">
        <x:v>Balanced/EXP001/results/seed425428179_BBP.json</x:v>
      </x:c>
    </x:row>
    <x:row r="247" ht="15" hidden="0" customHeight="1">
      <x:c r="A247" s="3" t="str">
        <x:v>EXP001</x:v>
      </x:c>
      <x:c r="B247" s="3" t="str">
        <x:v>Balanced</x:v>
      </x:c>
      <x:c r="C247" s="18" t="n">
        <x:v>425428179</x:v>
      </x:c>
      <x:c r="D247" s="3" t="str">
        <x:v>Relative cutoff 1e-5</x:v>
      </x:c>
      <x:c r="E247" s="18" t="n">
        <x:v>800</x:v>
      </x:c>
      <x:c r="F247" s="21" t="n">
        <x:v>494.3012565555407</x:v>
      </x:c>
      <x:c r="G247" s="21" t="n">
        <x:f>F246</x:f>
        <x:v>458.54493858237004</x:v>
      </x:c>
      <x:c r="H247" s="21" t="n">
        <x:f>F251</x:f>
        <x:v>452.66446645945746</x:v>
      </x:c>
      <x:c r="I247" s="27" t="n">
        <x:f>IF(AND(ISNUMBER(G247),ISNUMBER(H247),H247&gt;0),G247/H247-1,"")</x:f>
        <x:v>0.012990796845414154</x:v>
      </x:c>
      <x:c r="J247" s="27" t="n">
        <x:f>IF(AND(ISNUMBER(G247),F247&gt;0),G247/F247-1,"")</x:f>
        <x:v>-0.07233709706168434</x:v>
      </x:c>
      <x:c r="K247" s="19" t="str">
        <x:v>Balanced/EXP001/results/seed425428179_Relative_cutoff_1e-5.json</x:v>
      </x:c>
    </x:row>
    <x:row r="248" ht="15" hidden="0" customHeight="1">
      <x:c r="A248" s="3" t="str">
        <x:v>EXP001</x:v>
      </x:c>
      <x:c r="B248" s="3" t="str">
        <x:v>Balanced</x:v>
      </x:c>
      <x:c r="C248" s="18" t="n">
        <x:v>425428179</x:v>
      </x:c>
      <x:c r="D248" s="3" t="str">
        <x:v>Fixed rank 10</x:v>
      </x:c>
      <x:c r="E248" s="18" t="n">
        <x:v>800</x:v>
      </x:c>
      <x:c r="F248" s="21" t="n">
        <x:v>457.5419867692734</x:v>
      </x:c>
      <x:c r="G248" s="21" t="n">
        <x:f>F246</x:f>
        <x:v>458.54493858237004</x:v>
      </x:c>
      <x:c r="H248" s="21" t="n">
        <x:f>F251</x:f>
        <x:v>452.66446645945746</x:v>
      </x:c>
      <x:c r="I248" s="27" t="n">
        <x:f>IF(AND(ISNUMBER(G248),ISNUMBER(H248),H248&gt;0),G248/H248-1,"")</x:f>
        <x:v>0.012990796845414154</x:v>
      </x:c>
      <x:c r="J248" s="27" t="n">
        <x:f>IF(AND(ISNUMBER(G248),F248&gt;0),G248/F248-1,"")</x:f>
        <x:v>0.002192043226848961</x:v>
      </x:c>
      <x:c r="K248" s="19" t="str">
        <x:v>Balanced/EXP001/results/seed425428179_Fixed_rank_10.json</x:v>
      </x:c>
    </x:row>
    <x:row r="249" ht="15" hidden="0" customHeight="1">
      <x:c r="A249" s="3" t="str">
        <x:v>EXP001</x:v>
      </x:c>
      <x:c r="B249" s="3" t="str">
        <x:v>Balanced</x:v>
      </x:c>
      <x:c r="C249" s="18" t="n">
        <x:v>425428179</x:v>
      </x:c>
      <x:c r="D249" s="3" t="str">
        <x:v>Fixed rank 25</x:v>
      </x:c>
      <x:c r="E249" s="18" t="n">
        <x:v>800</x:v>
      </x:c>
      <x:c r="F249" s="21" t="n">
        <x:v>453.7662374816693</x:v>
      </x:c>
      <x:c r="G249" s="21" t="n">
        <x:f>F246</x:f>
        <x:v>458.54493858237004</x:v>
      </x:c>
      <x:c r="H249" s="21" t="n">
        <x:f>F251</x:f>
        <x:v>452.66446645945746</x:v>
      </x:c>
      <x:c r="I249" s="27" t="n">
        <x:f>IF(AND(ISNUMBER(G249),ISNUMBER(H249),H249&gt;0),G249/H249-1,"")</x:f>
        <x:v>0.012990796845414154</x:v>
      </x:c>
      <x:c r="J249" s="27" t="n">
        <x:f>IF(AND(ISNUMBER(G249),F249&gt;0),G249/F249-1,"")</x:f>
        <x:v>0.010531195813998417</x:v>
      </x:c>
      <x:c r="K249" s="19" t="str">
        <x:v>Balanced/EXP001/results/seed425428179_Fixed_rank_25.json</x:v>
      </x:c>
    </x:row>
    <x:row r="250" ht="15" hidden="0" customHeight="1">
      <x:c r="A250" s="3" t="str">
        <x:v>EXP001</x:v>
      </x:c>
      <x:c r="B250" s="3" t="str">
        <x:v>Balanced</x:v>
      </x:c>
      <x:c r="C250" s="18" t="n">
        <x:v>425428179</x:v>
      </x:c>
      <x:c r="D250" s="3" t="str">
        <x:v>Relative cutoff 1e-6</x:v>
      </x:c>
      <x:c r="E250" s="18" t="n">
        <x:v>800</x:v>
      </x:c>
      <x:c r="F250" s="21" t="n">
        <x:v>452.7325695494209</x:v>
      </x:c>
      <x:c r="G250" s="21" t="n">
        <x:f>F246</x:f>
        <x:v>458.54493858237004</x:v>
      </x:c>
      <x:c r="H250" s="21" t="n">
        <x:f>F251</x:f>
        <x:v>452.66446645945746</x:v>
      </x:c>
      <x:c r="I250" s="27" t="n">
        <x:f>IF(AND(ISNUMBER(G250),ISNUMBER(H250),H250&gt;0),G250/H250-1,"")</x:f>
        <x:v>0.012990796845414154</x:v>
      </x:c>
      <x:c r="J250" s="27" t="n">
        <x:f>IF(AND(ISNUMBER(G250),F250&gt;0),G250/F250-1,"")</x:f>
        <x:v>0.01283841593003543</x:v>
      </x:c>
      <x:c r="K250" s="19" t="str">
        <x:v>Balanced/EXP001/results/seed425428179_Relative_cutoff_1e-6.json</x:v>
      </x:c>
    </x:row>
    <x:row r="251" ht="15" hidden="0" customHeight="1">
      <x:c r="A251" s="3" t="str">
        <x:v>EXP001</x:v>
      </x:c>
      <x:c r="B251" s="3" t="str">
        <x:v>Balanced</x:v>
      </x:c>
      <x:c r="C251" s="18" t="n">
        <x:v>425428179</x:v>
      </x:c>
      <x:c r="D251" s="3" t="str">
        <x:v>Full</x:v>
      </x:c>
      <x:c r="E251" s="18" t="n">
        <x:v>800</x:v>
      </x:c>
      <x:c r="F251" s="21" t="n">
        <x:v>452.66446645945746</x:v>
      </x:c>
      <x:c r="G251" s="21" t="n">
        <x:f>F246</x:f>
        <x:v>458.54493858237004</x:v>
      </x:c>
      <x:c r="H251" s="21" t="n">
        <x:f>F251</x:f>
        <x:v>452.66446645945746</x:v>
      </x:c>
      <x:c r="I251" s="27" t="n">
        <x:f>IF(AND(ISNUMBER(G251),ISNUMBER(H251),H251&gt;0),G251/H251-1,"")</x:f>
        <x:v>0.012990796845414154</x:v>
      </x:c>
      <x:c r="J251" s="27" t="n">
        <x:f>IF(AND(ISNUMBER(G251),F251&gt;0),G251/F251-1,"")</x:f>
        <x:v>0.012990796845414154</x:v>
      </x:c>
      <x:c r="K251" s="19" t="str">
        <x:v>Balanced/EXP001/results/seed425428179_Full.json</x:v>
      </x:c>
    </x:row>
    <x:row r="252" ht="15" hidden="0" customHeight="1">
      <x:c r="A252" s="3" t="str">
        <x:v>EXP001</x:v>
      </x:c>
      <x:c r="B252" s="3" t="str">
        <x:v>Balanced</x:v>
      </x:c>
      <x:c r="C252" s="18" t="n">
        <x:v>425428179</x:v>
      </x:c>
      <x:c r="D252" s="3" t="str">
        <x:v>Relative cutoff 1e-2</x:v>
      </x:c>
      <x:c r="E252" s="18" t="n">
        <x:v>800</x:v>
      </x:c>
      <x:c r="F252" s="21" t="n">
        <x:v>696.3893107080718</x:v>
      </x:c>
      <x:c r="G252" s="21" t="n">
        <x:f>F246</x:f>
        <x:v>458.54493858237004</x:v>
      </x:c>
      <x:c r="H252" s="21" t="n">
        <x:f>F251</x:f>
        <x:v>452.66446645945746</x:v>
      </x:c>
      <x:c r="I252" s="27" t="n">
        <x:f>IF(AND(ISNUMBER(G252),ISNUMBER(H252),H252&gt;0),G252/H252-1,"")</x:f>
        <x:v>0.012990796845414154</x:v>
      </x:c>
      <x:c r="J252" s="27" t="n">
        <x:f>IF(AND(ISNUMBER(G252),F252&gt;0),G252/F252-1,"")</x:f>
        <x:v>-0.34153937814448554</x:v>
      </x:c>
      <x:c r="K252" s="19" t="str">
        <x:v>Balanced/EXP001/results/seed425428179_Relative_cutoff_1e-2.json</x:v>
      </x:c>
    </x:row>
    <x:row r="253" ht="15" hidden="0" customHeight="1">
      <x:c r="A253" s="3" t="str">
        <x:v>EXP001</x:v>
      </x:c>
      <x:c r="B253" s="3" t="str">
        <x:v>Balanced</x:v>
      </x:c>
      <x:c r="C253" s="18" t="n">
        <x:v>425428179</x:v>
      </x:c>
      <x:c r="D253" s="3" t="str">
        <x:v>Relative cutoff 1e-4</x:v>
      </x:c>
      <x:c r="E253" s="18" t="n">
        <x:v>800</x:v>
      </x:c>
      <x:c r="F253" s="21" t="n">
        <x:v>484.29943200708635</x:v>
      </x:c>
      <x:c r="G253" s="21" t="n">
        <x:f>F246</x:f>
        <x:v>458.54493858237004</x:v>
      </x:c>
      <x:c r="H253" s="21" t="n">
        <x:f>F251</x:f>
        <x:v>452.66446645945746</x:v>
      </x:c>
      <x:c r="I253" s="27" t="n">
        <x:f>IF(AND(ISNUMBER(G253),ISNUMBER(H253),H253&gt;0),G253/H253-1,"")</x:f>
        <x:v>0.012990796845414154</x:v>
      </x:c>
      <x:c r="J253" s="27" t="n">
        <x:f>IF(AND(ISNUMBER(G253),F253&gt;0),G253/F253-1,"")</x:f>
        <x:v>-0.05317886357615942</x:v>
      </x:c>
      <x:c r="K253" s="19" t="str">
        <x:v>Balanced/EXP001/results/seed425428179_Relative_cutoff_1e-4.json</x:v>
      </x:c>
    </x:row>
    <x:row r="254" ht="15" hidden="0" customHeight="1">
      <x:c r="A254" s="3" t="str">
        <x:v>EXP001</x:v>
      </x:c>
      <x:c r="B254" s="3" t="str">
        <x:v>Balanced</x:v>
      </x:c>
      <x:c r="C254" s="18" t="n">
        <x:v>459145281</x:v>
      </x:c>
      <x:c r="D254" s="3" t="str">
        <x:v>BBP</x:v>
      </x:c>
      <x:c r="E254" s="18" t="n">
        <x:v>800</x:v>
      </x:c>
      <x:c r="F254" s="21" t="n">
        <x:v>572.821016927685</x:v>
      </x:c>
      <x:c r="G254" s="21" t="n">
        <x:f>F254</x:f>
        <x:v>572.821016927685</x:v>
      </x:c>
      <x:c r="H254" s="21" t="n">
        <x:f>F259</x:f>
        <x:v>574.7986106319818</x:v>
      </x:c>
      <x:c r="I254" s="27" t="n">
        <x:f>IF(AND(ISNUMBER(G254),ISNUMBER(H254),H254&gt;0),G254/H254-1,"")</x:f>
        <x:v>-0.0034404984071245703</x:v>
      </x:c>
      <x:c r="J254" s="27" t="n">
        <x:f>IF(AND(ISNUMBER(G254),F254&gt;0),G254/F254-1,"")</x:f>
        <x:v>0</x:v>
      </x:c>
      <x:c r="K254" s="19" t="str">
        <x:v>Balanced/EXP001/results/seed459145281_BBP.json</x:v>
      </x:c>
    </x:row>
    <x:row r="255" ht="15" hidden="0" customHeight="1">
      <x:c r="A255" s="3" t="str">
        <x:v>EXP001</x:v>
      </x:c>
      <x:c r="B255" s="3" t="str">
        <x:v>Balanced</x:v>
      </x:c>
      <x:c r="C255" s="18" t="n">
        <x:v>459145281</x:v>
      </x:c>
      <x:c r="D255" s="3" t="str">
        <x:v>Relative cutoff 1e-5</x:v>
      </x:c>
      <x:c r="E255" s="18" t="n">
        <x:v>800</x:v>
      </x:c>
      <x:c r="F255" s="21" t="n">
        <x:v>504.45798091600324</x:v>
      </x:c>
      <x:c r="G255" s="21" t="n">
        <x:f>F254</x:f>
        <x:v>572.821016927685</x:v>
      </x:c>
      <x:c r="H255" s="21" t="n">
        <x:f>F259</x:f>
        <x:v>574.7986106319818</x:v>
      </x:c>
      <x:c r="I255" s="27" t="n">
        <x:f>IF(AND(ISNUMBER(G255),ISNUMBER(H255),H255&gt;0),G255/H255-1,"")</x:f>
        <x:v>-0.0034404984071245703</x:v>
      </x:c>
      <x:c r="J255" s="27" t="n">
        <x:f>IF(AND(ISNUMBER(G255),F255&gt;0),G255/F255-1,"")</x:f>
        <x:v>0.13551780048666706</x:v>
      </x:c>
      <x:c r="K255" s="19" t="str">
        <x:v>Balanced/EXP001/results/seed459145281_Relative_cutoff_1e-5.json</x:v>
      </x:c>
    </x:row>
    <x:row r="256" ht="15" hidden="0" customHeight="1">
      <x:c r="A256" s="3" t="str">
        <x:v>EXP001</x:v>
      </x:c>
      <x:c r="B256" s="3" t="str">
        <x:v>Balanced</x:v>
      </x:c>
      <x:c r="C256" s="18" t="n">
        <x:v>459145281</x:v>
      </x:c>
      <x:c r="D256" s="3" t="str">
        <x:v>Fixed rank 10</x:v>
      </x:c>
      <x:c r="E256" s="18" t="n">
        <x:v>800</x:v>
      </x:c>
      <x:c r="F256" s="21" t="n">
        <x:v>520.6951031156472</x:v>
      </x:c>
      <x:c r="G256" s="21" t="n">
        <x:f>F254</x:f>
        <x:v>572.821016927685</x:v>
      </x:c>
      <x:c r="H256" s="21" t="n">
        <x:f>F259</x:f>
        <x:v>574.7986106319818</x:v>
      </x:c>
      <x:c r="I256" s="27" t="n">
        <x:f>IF(AND(ISNUMBER(G256),ISNUMBER(H256),H256&gt;0),G256/H256-1,"")</x:f>
        <x:v>-0.0034404984071245703</x:v>
      </x:c>
      <x:c r="J256" s="27" t="n">
        <x:f>IF(AND(ISNUMBER(G256),F256&gt;0),G256/F256-1,"")</x:f>
        <x:v>0.10010832347017606</x:v>
      </x:c>
      <x:c r="K256" s="19" t="str">
        <x:v>Balanced/EXP001/results/seed459145281_Fixed_rank_10.json</x:v>
      </x:c>
    </x:row>
    <x:row r="257" ht="15" hidden="0" customHeight="1">
      <x:c r="A257" s="3" t="str">
        <x:v>EXP001</x:v>
      </x:c>
      <x:c r="B257" s="3" t="str">
        <x:v>Balanced</x:v>
      </x:c>
      <x:c r="C257" s="18" t="n">
        <x:v>459145281</x:v>
      </x:c>
      <x:c r="D257" s="3" t="str">
        <x:v>Fixed rank 25</x:v>
      </x:c>
      <x:c r="E257" s="18" t="n">
        <x:v>800</x:v>
      </x:c>
      <x:c r="F257" s="21" t="n">
        <x:v>566.5612863278483</x:v>
      </x:c>
      <x:c r="G257" s="21" t="n">
        <x:f>F254</x:f>
        <x:v>572.821016927685</x:v>
      </x:c>
      <x:c r="H257" s="21" t="n">
        <x:f>F259</x:f>
        <x:v>574.7986106319818</x:v>
      </x:c>
      <x:c r="I257" s="27" t="n">
        <x:f>IF(AND(ISNUMBER(G257),ISNUMBER(H257),H257&gt;0),G257/H257-1,"")</x:f>
        <x:v>-0.0034404984071245703</x:v>
      </x:c>
      <x:c r="J257" s="27" t="n">
        <x:f>IF(AND(ISNUMBER(G257),F257&gt;0),G257/F257-1,"")</x:f>
        <x:v>0.011048638074812711</x:v>
      </x:c>
      <x:c r="K257" s="19" t="str">
        <x:v>Balanced/EXP001/results/seed459145281_Fixed_rank_25.json</x:v>
      </x:c>
    </x:row>
    <x:row r="258" ht="15" hidden="0" customHeight="1">
      <x:c r="A258" s="3" t="str">
        <x:v>EXP001</x:v>
      </x:c>
      <x:c r="B258" s="3" t="str">
        <x:v>Balanced</x:v>
      </x:c>
      <x:c r="C258" s="18" t="n">
        <x:v>459145281</x:v>
      </x:c>
      <x:c r="D258" s="3" t="str">
        <x:v>Relative cutoff 1e-6</x:v>
      </x:c>
      <x:c r="E258" s="18" t="n">
        <x:v>800</x:v>
      </x:c>
      <x:c r="F258" s="21" t="n">
        <x:v>608.0519267160387</x:v>
      </x:c>
      <x:c r="G258" s="21" t="n">
        <x:f>F254</x:f>
        <x:v>572.821016927685</x:v>
      </x:c>
      <x:c r="H258" s="21" t="n">
        <x:f>F259</x:f>
        <x:v>574.7986106319818</x:v>
      </x:c>
      <x:c r="I258" s="27" t="n">
        <x:f>IF(AND(ISNUMBER(G258),ISNUMBER(H258),H258&gt;0),G258/H258-1,"")</x:f>
        <x:v>-0.0034404984071245703</x:v>
      </x:c>
      <x:c r="J258" s="27" t="n">
        <x:f>IF(AND(ISNUMBER(G258),F258&gt;0),G258/F258-1,"")</x:f>
        <x:v>-0.05794062684519141</x:v>
      </x:c>
      <x:c r="K258" s="19" t="str">
        <x:v>Balanced/EXP001/results/seed459145281_Relative_cutoff_1e-6.json</x:v>
      </x:c>
    </x:row>
    <x:row r="259" ht="15" hidden="0" customHeight="1">
      <x:c r="A259" s="3" t="str">
        <x:v>EXP001</x:v>
      </x:c>
      <x:c r="B259" s="3" t="str">
        <x:v>Balanced</x:v>
      </x:c>
      <x:c r="C259" s="18" t="n">
        <x:v>459145281</x:v>
      </x:c>
      <x:c r="D259" s="3" t="str">
        <x:v>Full</x:v>
      </x:c>
      <x:c r="E259" s="18" t="n">
        <x:v>800</x:v>
      </x:c>
      <x:c r="F259" s="21" t="n">
        <x:v>574.7986106319818</x:v>
      </x:c>
      <x:c r="G259" s="21" t="n">
        <x:f>F254</x:f>
        <x:v>572.821016927685</x:v>
      </x:c>
      <x:c r="H259" s="21" t="n">
        <x:f>F259</x:f>
        <x:v>574.7986106319818</x:v>
      </x:c>
      <x:c r="I259" s="27" t="n">
        <x:f>IF(AND(ISNUMBER(G259),ISNUMBER(H259),H259&gt;0),G259/H259-1,"")</x:f>
        <x:v>-0.0034404984071245703</x:v>
      </x:c>
      <x:c r="J259" s="27" t="n">
        <x:f>IF(AND(ISNUMBER(G259),F259&gt;0),G259/F259-1,"")</x:f>
        <x:v>-0.0034404984071245703</x:v>
      </x:c>
      <x:c r="K259" s="19" t="str">
        <x:v>Balanced/EXP001/results/seed459145281_Full.json</x:v>
      </x:c>
    </x:row>
    <x:row r="260" ht="15" hidden="0" customHeight="1">
      <x:c r="A260" s="3" t="str">
        <x:v>EXP001</x:v>
      </x:c>
      <x:c r="B260" s="3" t="str">
        <x:v>Balanced</x:v>
      </x:c>
      <x:c r="C260" s="18" t="n">
        <x:v>459145281</x:v>
      </x:c>
      <x:c r="D260" s="3" t="str">
        <x:v>Relative cutoff 1e-2</x:v>
      </x:c>
      <x:c r="E260" s="18" t="n">
        <x:v>800</x:v>
      </x:c>
      <x:c r="F260" s="21" t="n">
        <x:v>734.8274532454739</x:v>
      </x:c>
      <x:c r="G260" s="21" t="n">
        <x:f>F254</x:f>
        <x:v>572.821016927685</x:v>
      </x:c>
      <x:c r="H260" s="21" t="n">
        <x:f>F259</x:f>
        <x:v>574.7986106319818</x:v>
      </x:c>
      <x:c r="I260" s="27" t="n">
        <x:f>IF(AND(ISNUMBER(G260),ISNUMBER(H260),H260&gt;0),G260/H260-1,"")</x:f>
        <x:v>-0.0034404984071245703</x:v>
      </x:c>
      <x:c r="J260" s="27" t="n">
        <x:f>IF(AND(ISNUMBER(G260),F260&gt;0),G260/F260-1,"")</x:f>
        <x:v>-0.22046867683326676</x:v>
      </x:c>
      <x:c r="K260" s="19" t="str">
        <x:v>Balanced/EXP001/results/seed459145281_Relative_cutoff_1e-2.json</x:v>
      </x:c>
    </x:row>
    <x:row r="261" ht="15" hidden="0" customHeight="1">
      <x:c r="A261" s="3" t="str">
        <x:v>EXP001</x:v>
      </x:c>
      <x:c r="B261" s="3" t="str">
        <x:v>Balanced</x:v>
      </x:c>
      <x:c r="C261" s="18" t="n">
        <x:v>459145281</x:v>
      </x:c>
      <x:c r="D261" s="3" t="str">
        <x:v>Relative cutoff 1e-4</x:v>
      </x:c>
      <x:c r="E261" s="18" t="n">
        <x:v>800</x:v>
      </x:c>
      <x:c r="F261" s="21" t="n">
        <x:v>547.304684161756</x:v>
      </x:c>
      <x:c r="G261" s="21" t="n">
        <x:f>F254</x:f>
        <x:v>572.821016927685</x:v>
      </x:c>
      <x:c r="H261" s="21" t="n">
        <x:f>F259</x:f>
        <x:v>574.7986106319818</x:v>
      </x:c>
      <x:c r="I261" s="27" t="n">
        <x:f>IF(AND(ISNUMBER(G261),ISNUMBER(H261),H261&gt;0),G261/H261-1,"")</x:f>
        <x:v>-0.0034404984071245703</x:v>
      </x:c>
      <x:c r="J261" s="27" t="n">
        <x:f>IF(AND(ISNUMBER(G261),F261&gt;0),G261/F261-1,"")</x:f>
        <x:v>0.04662180592334875</x:v>
      </x:c>
      <x:c r="K261" s="19" t="str">
        <x:v>Balanced/EXP001/results/seed459145281_Relative_cutoff_1e-4.json</x:v>
      </x:c>
    </x:row>
    <x:row r="262" ht="15" hidden="0" customHeight="1">
      <x:c r="A262" s="3" t="str">
        <x:v>EXP001</x:v>
      </x:c>
      <x:c r="B262" s="3" t="str">
        <x:v>Balanced</x:v>
      </x:c>
      <x:c r="C262" s="18" t="n">
        <x:v>528220742</x:v>
      </x:c>
      <x:c r="D262" s="3" t="str">
        <x:v>BBP</x:v>
      </x:c>
      <x:c r="E262" s="18" t="n">
        <x:v>800</x:v>
      </x:c>
      <x:c r="F262" s="21" t="n">
        <x:v>938.1672405038156</x:v>
      </x:c>
      <x:c r="G262" s="21" t="n">
        <x:f>F262</x:f>
        <x:v>938.1672405038156</x:v>
      </x:c>
      <x:c r="H262" s="21" t="n">
        <x:f>F267</x:f>
        <x:v>963.6096288838631</x:v>
      </x:c>
      <x:c r="I262" s="27" t="n">
        <x:f>IF(AND(ISNUMBER(G262),ISNUMBER(H262),H262&gt;0),G262/H262-1,"")</x:f>
        <x:v>-0.026403211028014684</x:v>
      </x:c>
      <x:c r="J262" s="27" t="n">
        <x:f>IF(AND(ISNUMBER(G262),F262&gt;0),G262/F262-1,"")</x:f>
        <x:v>0</x:v>
      </x:c>
      <x:c r="K262" s="19" t="str">
        <x:v>Balanced/EXP001/results/seed528220742_BBP.json</x:v>
      </x:c>
    </x:row>
    <x:row r="263" ht="15" hidden="0" customHeight="1">
      <x:c r="A263" s="3" t="str">
        <x:v>EXP001</x:v>
      </x:c>
      <x:c r="B263" s="3" t="str">
        <x:v>Balanced</x:v>
      </x:c>
      <x:c r="C263" s="18" t="n">
        <x:v>528220742</x:v>
      </x:c>
      <x:c r="D263" s="3" t="str">
        <x:v>Relative cutoff 1e-5</x:v>
      </x:c>
      <x:c r="E263" s="18" t="n">
        <x:v>800</x:v>
      </x:c>
      <x:c r="F263" s="21" t="n">
        <x:v>907.8441277541918</x:v>
      </x:c>
      <x:c r="G263" s="21" t="n">
        <x:f>F262</x:f>
        <x:v>938.1672405038156</x:v>
      </x:c>
      <x:c r="H263" s="21" t="n">
        <x:f>F267</x:f>
        <x:v>963.6096288838631</x:v>
      </x:c>
      <x:c r="I263" s="27" t="n">
        <x:f>IF(AND(ISNUMBER(G263),ISNUMBER(H263),H263&gt;0),G263/H263-1,"")</x:f>
        <x:v>-0.026403211028014684</x:v>
      </x:c>
      <x:c r="J263" s="27" t="n">
        <x:f>IF(AND(ISNUMBER(G263),F263&gt;0),G263/F263-1,"")</x:f>
        <x:v>0.03340123246116766</x:v>
      </x:c>
      <x:c r="K263" s="19" t="str">
        <x:v>Balanced/EXP001/results/seed528220742_Relative_cutoff_1e-5.json</x:v>
      </x:c>
    </x:row>
    <x:row r="264" ht="15" hidden="0" customHeight="1">
      <x:c r="A264" s="3" t="str">
        <x:v>EXP001</x:v>
      </x:c>
      <x:c r="B264" s="3" t="str">
        <x:v>Balanced</x:v>
      </x:c>
      <x:c r="C264" s="18" t="n">
        <x:v>528220742</x:v>
      </x:c>
      <x:c r="D264" s="3" t="str">
        <x:v>Fixed rank 10</x:v>
      </x:c>
      <x:c r="E264" s="18" t="n">
        <x:v>800</x:v>
      </x:c>
      <x:c r="F264" s="21" t="n">
        <x:v>918.2914126732331</x:v>
      </x:c>
      <x:c r="G264" s="21" t="n">
        <x:f>F262</x:f>
        <x:v>938.1672405038156</x:v>
      </x:c>
      <x:c r="H264" s="21" t="n">
        <x:f>F267</x:f>
        <x:v>963.6096288838631</x:v>
      </x:c>
      <x:c r="I264" s="27" t="n">
        <x:f>IF(AND(ISNUMBER(G264),ISNUMBER(H264),H264&gt;0),G264/H264-1,"")</x:f>
        <x:v>-0.026403211028014684</x:v>
      </x:c>
      <x:c r="J264" s="27" t="n">
        <x:f>IF(AND(ISNUMBER(G264),F264&gt;0),G264/F264-1,"")</x:f>
        <x:v>0.021644357723788366</x:v>
      </x:c>
      <x:c r="K264" s="19" t="str">
        <x:v>Balanced/EXP001/results/seed528220742_Fixed_rank_10.json</x:v>
      </x:c>
    </x:row>
    <x:row r="265" ht="15" hidden="0" customHeight="1">
      <x:c r="A265" s="3" t="str">
        <x:v>EXP001</x:v>
      </x:c>
      <x:c r="B265" s="3" t="str">
        <x:v>Balanced</x:v>
      </x:c>
      <x:c r="C265" s="18" t="n">
        <x:v>528220742</x:v>
      </x:c>
      <x:c r="D265" s="3" t="str">
        <x:v>Fixed rank 25</x:v>
      </x:c>
      <x:c r="E265" s="18" t="n">
        <x:v>800</x:v>
      </x:c>
      <x:c r="F265" s="21" t="n">
        <x:v>1158.2107613477874</x:v>
      </x:c>
      <x:c r="G265" s="21" t="n">
        <x:f>F262</x:f>
        <x:v>938.1672405038156</x:v>
      </x:c>
      <x:c r="H265" s="21" t="n">
        <x:f>F267</x:f>
        <x:v>963.6096288838631</x:v>
      </x:c>
      <x:c r="I265" s="27" t="n">
        <x:f>IF(AND(ISNUMBER(G265),ISNUMBER(H265),H265&gt;0),G265/H265-1,"")</x:f>
        <x:v>-0.026403211028014684</x:v>
      </x:c>
      <x:c r="J265" s="27" t="n">
        <x:f>IF(AND(ISNUMBER(G265),F265&gt;0),G265/F265-1,"")</x:f>
        <x:v>-0.18998573332880397</x:v>
      </x:c>
      <x:c r="K265" s="19" t="str">
        <x:v>Balanced/EXP001/results/seed528220742_Fixed_rank_25.json</x:v>
      </x:c>
    </x:row>
    <x:row r="266" ht="15" hidden="0" customHeight="1">
      <x:c r="A266" s="3" t="str">
        <x:v>EXP001</x:v>
      </x:c>
      <x:c r="B266" s="3" t="str">
        <x:v>Balanced</x:v>
      </x:c>
      <x:c r="C266" s="18" t="n">
        <x:v>528220742</x:v>
      </x:c>
      <x:c r="D266" s="3" t="str">
        <x:v>Relative cutoff 1e-6</x:v>
      </x:c>
      <x:c r="E266" s="18" t="n">
        <x:v>800</x:v>
      </x:c>
      <x:c r="F266" s="21" t="n">
        <x:v>994.5370260117658</x:v>
      </x:c>
      <x:c r="G266" s="21" t="n">
        <x:f>F262</x:f>
        <x:v>938.1672405038156</x:v>
      </x:c>
      <x:c r="H266" s="21" t="n">
        <x:f>F267</x:f>
        <x:v>963.6096288838631</x:v>
      </x:c>
      <x:c r="I266" s="27" t="n">
        <x:f>IF(AND(ISNUMBER(G266),ISNUMBER(H266),H266&gt;0),G266/H266-1,"")</x:f>
        <x:v>-0.026403211028014684</x:v>
      </x:c>
      <x:c r="J266" s="27" t="n">
        <x:f>IF(AND(ISNUMBER(G266),F266&gt;0),G266/F266-1,"")</x:f>
        <x:v>-0.05667942372543033</x:v>
      </x:c>
      <x:c r="K266" s="19" t="str">
        <x:v>Balanced/EXP001/results/seed528220742_Relative_cutoff_1e-6.json</x:v>
      </x:c>
    </x:row>
    <x:row r="267" ht="15" hidden="0" customHeight="1">
      <x:c r="A267" s="3" t="str">
        <x:v>EXP001</x:v>
      </x:c>
      <x:c r="B267" s="3" t="str">
        <x:v>Balanced</x:v>
      </x:c>
      <x:c r="C267" s="18" t="n">
        <x:v>528220742</x:v>
      </x:c>
      <x:c r="D267" s="3" t="str">
        <x:v>Full</x:v>
      </x:c>
      <x:c r="E267" s="18" t="n">
        <x:v>800</x:v>
      </x:c>
      <x:c r="F267" s="21" t="n">
        <x:v>963.6096288838631</x:v>
      </x:c>
      <x:c r="G267" s="21" t="n">
        <x:f>F262</x:f>
        <x:v>938.1672405038156</x:v>
      </x:c>
      <x:c r="H267" s="21" t="n">
        <x:f>F267</x:f>
        <x:v>963.6096288838631</x:v>
      </x:c>
      <x:c r="I267" s="27" t="n">
        <x:f>IF(AND(ISNUMBER(G267),ISNUMBER(H267),H267&gt;0),G267/H267-1,"")</x:f>
        <x:v>-0.026403211028014684</x:v>
      </x:c>
      <x:c r="J267" s="27" t="n">
        <x:f>IF(AND(ISNUMBER(G267),F267&gt;0),G267/F267-1,"")</x:f>
        <x:v>-0.026403211028014684</x:v>
      </x:c>
      <x:c r="K267" s="19" t="str">
        <x:v>Balanced/EXP001/results/seed528220742_Full.json</x:v>
      </x:c>
    </x:row>
    <x:row r="268" ht="15" hidden="0" customHeight="1">
      <x:c r="A268" s="3" t="str">
        <x:v>EXP001</x:v>
      </x:c>
      <x:c r="B268" s="3" t="str">
        <x:v>Balanced</x:v>
      </x:c>
      <x:c r="C268" s="18" t="n">
        <x:v>528220742</x:v>
      </x:c>
      <x:c r="D268" s="3" t="str">
        <x:v>Relative cutoff 1e-2</x:v>
      </x:c>
      <x:c r="E268" s="18" t="n">
        <x:v>800</x:v>
      </x:c>
      <x:c r="F268" s="21" t="n">
        <x:v>1068.0702489144394</x:v>
      </x:c>
      <x:c r="G268" s="21" t="n">
        <x:f>F262</x:f>
        <x:v>938.1672405038156</x:v>
      </x:c>
      <x:c r="H268" s="21" t="n">
        <x:f>F267</x:f>
        <x:v>963.6096288838631</x:v>
      </x:c>
      <x:c r="I268" s="27" t="n">
        <x:f>IF(AND(ISNUMBER(G268),ISNUMBER(H268),H268&gt;0),G268/H268-1,"")</x:f>
        <x:v>-0.026403211028014684</x:v>
      </x:c>
      <x:c r="J268" s="27" t="n">
        <x:f>IF(AND(ISNUMBER(G268),F268&gt;0),G268/F268-1,"")</x:f>
        <x:v>-0.12162403038812664</x:v>
      </x:c>
      <x:c r="K268" s="19" t="str">
        <x:v>Balanced/EXP001/results/seed528220742_Relative_cutoff_1e-2.json</x:v>
      </x:c>
    </x:row>
    <x:row r="269" ht="15" hidden="0" customHeight="1">
      <x:c r="A269" s="3" t="str">
        <x:v>EXP001</x:v>
      </x:c>
      <x:c r="B269" s="3" t="str">
        <x:v>Balanced</x:v>
      </x:c>
      <x:c r="C269" s="18" t="n">
        <x:v>528220742</x:v>
      </x:c>
      <x:c r="D269" s="3" t="str">
        <x:v>Relative cutoff 1e-4</x:v>
      </x:c>
      <x:c r="E269" s="18" t="n">
        <x:v>800</x:v>
      </x:c>
      <x:c r="F269" s="21" t="n">
        <x:v>874.3248830698078</x:v>
      </x:c>
      <x:c r="G269" s="21" t="n">
        <x:f>F262</x:f>
        <x:v>938.1672405038156</x:v>
      </x:c>
      <x:c r="H269" s="21" t="n">
        <x:f>F267</x:f>
        <x:v>963.6096288838631</x:v>
      </x:c>
      <x:c r="I269" s="27" t="n">
        <x:f>IF(AND(ISNUMBER(G269),ISNUMBER(H269),H269&gt;0),G269/H269-1,"")</x:f>
        <x:v>-0.026403211028014684</x:v>
      </x:c>
      <x:c r="J269" s="27" t="n">
        <x:f>IF(AND(ISNUMBER(G269),F269&gt;0),G269/F269-1,"")</x:f>
        <x:v>0.0730190329364222</x:v>
      </x:c>
      <x:c r="K269" s="19" t="str">
        <x:v>Balanced/EXP001/results/seed528220742_Relative_cutoff_1e-4.json</x:v>
      </x:c>
    </x:row>
    <x:row r="270" ht="15" hidden="0" customHeight="1">
      <x:c r="A270" s="3" t="str">
        <x:v>EXP001</x:v>
      </x:c>
      <x:c r="B270" s="3" t="str">
        <x:v>Balanced</x:v>
      </x:c>
      <x:c r="C270" s="18" t="n">
        <x:v>575884190</x:v>
      </x:c>
      <x:c r="D270" s="3" t="str">
        <x:v>BBP</x:v>
      </x:c>
      <x:c r="E270" s="18" t="n">
        <x:v>800</x:v>
      </x:c>
      <x:c r="F270" s="21" t="n">
        <x:v>517.0537013298626</x:v>
      </x:c>
      <x:c r="G270" s="21" t="n">
        <x:f>F270</x:f>
        <x:v>517.0537013298626</x:v>
      </x:c>
      <x:c r="H270" s="21" t="n">
        <x:f>F275</x:f>
        <x:v>549.5015553431039</x:v>
      </x:c>
      <x:c r="I270" s="27" t="n">
        <x:f>IF(AND(ISNUMBER(G270),ISNUMBER(H270),H270&gt;0),G270/H270-1,"")</x:f>
        <x:v>-0.05904961268577502</x:v>
      </x:c>
      <x:c r="J270" s="27" t="n">
        <x:f>IF(AND(ISNUMBER(G270),F270&gt;0),G270/F270-1,"")</x:f>
        <x:v>0</x:v>
      </x:c>
      <x:c r="K270" s="19" t="str">
        <x:v>Balanced/EXP001/results/seed575884190_BBP.json</x:v>
      </x:c>
    </x:row>
    <x:row r="271" ht="15" hidden="0" customHeight="1">
      <x:c r="A271" s="3" t="str">
        <x:v>EXP001</x:v>
      </x:c>
      <x:c r="B271" s="3" t="str">
        <x:v>Balanced</x:v>
      </x:c>
      <x:c r="C271" s="18" t="n">
        <x:v>575884190</x:v>
      </x:c>
      <x:c r="D271" s="3" t="str">
        <x:v>Relative cutoff 1e-5</x:v>
      </x:c>
      <x:c r="E271" s="18" t="n">
        <x:v>800</x:v>
      </x:c>
      <x:c r="F271" s="21" t="n">
        <x:v>503.1640620281331</x:v>
      </x:c>
      <x:c r="G271" s="21" t="n">
        <x:f>F270</x:f>
        <x:v>517.0537013298626</x:v>
      </x:c>
      <x:c r="H271" s="21" t="n">
        <x:f>F275</x:f>
        <x:v>549.5015553431039</x:v>
      </x:c>
      <x:c r="I271" s="27" t="n">
        <x:f>IF(AND(ISNUMBER(G271),ISNUMBER(H271),H271&gt;0),G271/H271-1,"")</x:f>
        <x:v>-0.05904961268577502</x:v>
      </x:c>
      <x:c r="J271" s="27" t="n">
        <x:f>IF(AND(ISNUMBER(G271),F271&gt;0),G271/F271-1,"")</x:f>
        <x:v>0.027604593312455128</x:v>
      </x:c>
      <x:c r="K271" s="19" t="str">
        <x:v>Balanced/EXP001/results/seed575884190_Relative_cutoff_1e-5.json</x:v>
      </x:c>
    </x:row>
    <x:row r="272" ht="15" hidden="0" customHeight="1">
      <x:c r="A272" s="3" t="str">
        <x:v>EXP001</x:v>
      </x:c>
      <x:c r="B272" s="3" t="str">
        <x:v>Balanced</x:v>
      </x:c>
      <x:c r="C272" s="18" t="n">
        <x:v>575884190</x:v>
      </x:c>
      <x:c r="D272" s="3" t="str">
        <x:v>Fixed rank 10</x:v>
      </x:c>
      <x:c r="E272" s="18" t="n">
        <x:v>800</x:v>
      </x:c>
      <x:c r="F272" s="21" t="n">
        <x:v>518.7995195414929</x:v>
      </x:c>
      <x:c r="G272" s="21" t="n">
        <x:f>F270</x:f>
        <x:v>517.0537013298626</x:v>
      </x:c>
      <x:c r="H272" s="21" t="n">
        <x:f>F275</x:f>
        <x:v>549.5015553431039</x:v>
      </x:c>
      <x:c r="I272" s="27" t="n">
        <x:f>IF(AND(ISNUMBER(G272),ISNUMBER(H272),H272&gt;0),G272/H272-1,"")</x:f>
        <x:v>-0.05904961268577502</x:v>
      </x:c>
      <x:c r="J272" s="27" t="n">
        <x:f>IF(AND(ISNUMBER(G272),F272&gt;0),G272/F272-1,"")</x:f>
        <x:v>-0.003365111465741588</x:v>
      </x:c>
      <x:c r="K272" s="19" t="str">
        <x:v>Balanced/EXP001/results/seed575884190_Fixed_rank_10.json</x:v>
      </x:c>
    </x:row>
    <x:row r="273" ht="15" hidden="0" customHeight="1">
      <x:c r="A273" s="3" t="str">
        <x:v>EXP001</x:v>
      </x:c>
      <x:c r="B273" s="3" t="str">
        <x:v>Balanced</x:v>
      </x:c>
      <x:c r="C273" s="18" t="n">
        <x:v>575884190</x:v>
      </x:c>
      <x:c r="D273" s="3" t="str">
        <x:v>Fixed rank 25</x:v>
      </x:c>
      <x:c r="E273" s="18" t="n">
        <x:v>800</x:v>
      </x:c>
      <x:c r="F273" s="21" t="n">
        <x:v>542.2273171861523</x:v>
      </x:c>
      <x:c r="G273" s="21" t="n">
        <x:f>F270</x:f>
        <x:v>517.0537013298626</x:v>
      </x:c>
      <x:c r="H273" s="21" t="n">
        <x:f>F275</x:f>
        <x:v>549.5015553431039</x:v>
      </x:c>
      <x:c r="I273" s="27" t="n">
        <x:f>IF(AND(ISNUMBER(G273),ISNUMBER(H273),H273&gt;0),G273/H273-1,"")</x:f>
        <x:v>-0.05904961268577502</x:v>
      </x:c>
      <x:c r="J273" s="27" t="n">
        <x:f>IF(AND(ISNUMBER(G273),F273&gt;0),G273/F273-1,"")</x:f>
        <x:v>-0.04642631431209743</x:v>
      </x:c>
      <x:c r="K273" s="19" t="str">
        <x:v>Balanced/EXP001/results/seed575884190_Fixed_rank_25.json</x:v>
      </x:c>
    </x:row>
    <x:row r="274" ht="15" hidden="0" customHeight="1">
      <x:c r="A274" s="3" t="str">
        <x:v>EXP001</x:v>
      </x:c>
      <x:c r="B274" s="3" t="str">
        <x:v>Balanced</x:v>
      </x:c>
      <x:c r="C274" s="18" t="n">
        <x:v>575884190</x:v>
      </x:c>
      <x:c r="D274" s="3" t="str">
        <x:v>Relative cutoff 1e-6</x:v>
      </x:c>
      <x:c r="E274" s="18" t="n">
        <x:v>800</x:v>
      </x:c>
      <x:c r="F274" s="21" t="n">
        <x:v>530.9001762580937</x:v>
      </x:c>
      <x:c r="G274" s="21" t="n">
        <x:f>F270</x:f>
        <x:v>517.0537013298626</x:v>
      </x:c>
      <x:c r="H274" s="21" t="n">
        <x:f>F275</x:f>
        <x:v>549.5015553431039</x:v>
      </x:c>
      <x:c r="I274" s="27" t="n">
        <x:f>IF(AND(ISNUMBER(G274),ISNUMBER(H274),H274&gt;0),G274/H274-1,"")</x:f>
        <x:v>-0.05904961268577502</x:v>
      </x:c>
      <x:c r="J274" s="27" t="n">
        <x:f>IF(AND(ISNUMBER(G274),F274&gt;0),G274/F274-1,"")</x:f>
        <x:v>-0.026081127013036887</x:v>
      </x:c>
      <x:c r="K274" s="19" t="str">
        <x:v>Balanced/EXP001/results/seed575884190_Relative_cutoff_1e-6.json</x:v>
      </x:c>
    </x:row>
    <x:row r="275" ht="15" hidden="0" customHeight="1">
      <x:c r="A275" s="3" t="str">
        <x:v>EXP001</x:v>
      </x:c>
      <x:c r="B275" s="3" t="str">
        <x:v>Balanced</x:v>
      </x:c>
      <x:c r="C275" s="18" t="n">
        <x:v>575884190</x:v>
      </x:c>
      <x:c r="D275" s="3" t="str">
        <x:v>Full</x:v>
      </x:c>
      <x:c r="E275" s="18" t="n">
        <x:v>800</x:v>
      </x:c>
      <x:c r="F275" s="21" t="n">
        <x:v>549.5015553431039</x:v>
      </x:c>
      <x:c r="G275" s="21" t="n">
        <x:f>F270</x:f>
        <x:v>517.0537013298626</x:v>
      </x:c>
      <x:c r="H275" s="21" t="n">
        <x:f>F275</x:f>
        <x:v>549.5015553431039</x:v>
      </x:c>
      <x:c r="I275" s="27" t="n">
        <x:f>IF(AND(ISNUMBER(G275),ISNUMBER(H275),H275&gt;0),G275/H275-1,"")</x:f>
        <x:v>-0.05904961268577502</x:v>
      </x:c>
      <x:c r="J275" s="27" t="n">
        <x:f>IF(AND(ISNUMBER(G275),F275&gt;0),G275/F275-1,"")</x:f>
        <x:v>-0.05904961268577502</x:v>
      </x:c>
      <x:c r="K275" s="19" t="str">
        <x:v>Balanced/EXP001/results/seed575884190_Full.json</x:v>
      </x:c>
    </x:row>
    <x:row r="276" ht="15" hidden="0" customHeight="1">
      <x:c r="A276" s="3" t="str">
        <x:v>EXP001</x:v>
      </x:c>
      <x:c r="B276" s="3" t="str">
        <x:v>Balanced</x:v>
      </x:c>
      <x:c r="C276" s="18" t="n">
        <x:v>575884190</x:v>
      </x:c>
      <x:c r="D276" s="3" t="str">
        <x:v>Relative cutoff 1e-2</x:v>
      </x:c>
      <x:c r="E276" s="18" t="n">
        <x:v>800</x:v>
      </x:c>
      <x:c r="F276" s="21" t="n">
        <x:v>648.9327012898613</x:v>
      </x:c>
      <x:c r="G276" s="21" t="n">
        <x:f>F270</x:f>
        <x:v>517.0537013298626</x:v>
      </x:c>
      <x:c r="H276" s="21" t="n">
        <x:f>F275</x:f>
        <x:v>549.5015553431039</x:v>
      </x:c>
      <x:c r="I276" s="27" t="n">
        <x:f>IF(AND(ISNUMBER(G276),ISNUMBER(H276),H276&gt;0),G276/H276-1,"")</x:f>
        <x:v>-0.05904961268577502</x:v>
      </x:c>
      <x:c r="J276" s="27" t="n">
        <x:f>IF(AND(ISNUMBER(G276),F276&gt;0),G276/F276-1,"")</x:f>
        <x:v>-0.2032244633347453</x:v>
      </x:c>
      <x:c r="K276" s="19" t="str">
        <x:v>Balanced/EXP001/results/seed575884190_Relative_cutoff_1e-2.json</x:v>
      </x:c>
    </x:row>
    <x:row r="277" ht="15" hidden="0" customHeight="1">
      <x:c r="A277" s="3" t="str">
        <x:v>EXP001</x:v>
      </x:c>
      <x:c r="B277" s="3" t="str">
        <x:v>Balanced</x:v>
      </x:c>
      <x:c r="C277" s="18" t="n">
        <x:v>575884190</x:v>
      </x:c>
      <x:c r="D277" s="3" t="str">
        <x:v>Relative cutoff 1e-4</x:v>
      </x:c>
      <x:c r="E277" s="18" t="n">
        <x:v>800</x:v>
      </x:c>
      <x:c r="F277" s="21" t="n">
        <x:v>526.4990222942887</x:v>
      </x:c>
      <x:c r="G277" s="21" t="n">
        <x:f>F270</x:f>
        <x:v>517.0537013298626</x:v>
      </x:c>
      <x:c r="H277" s="21" t="n">
        <x:f>F275</x:f>
        <x:v>549.5015553431039</x:v>
      </x:c>
      <x:c r="I277" s="27" t="n">
        <x:f>IF(AND(ISNUMBER(G277),ISNUMBER(H277),H277&gt;0),G277/H277-1,"")</x:f>
        <x:v>-0.05904961268577502</x:v>
      </x:c>
      <x:c r="J277" s="27" t="n">
        <x:f>IF(AND(ISNUMBER(G277),F277&gt;0),G277/F277-1,"")</x:f>
        <x:v>-0.0179398642057621</x:v>
      </x:c>
      <x:c r="K277" s="19" t="str">
        <x:v>Balanced/EXP001/results/seed575884190_Relative_cutoff_1e-4.json</x:v>
      </x:c>
    </x:row>
    <x:row r="278" ht="15" hidden="0" customHeight="1">
      <x:c r="A278" s="3" t="str">
        <x:v>EXP001</x:v>
      </x:c>
      <x:c r="B278" s="3" t="str">
        <x:v>Balanced</x:v>
      </x:c>
      <x:c r="C278" s="18" t="n">
        <x:v>583359781</x:v>
      </x:c>
      <x:c r="D278" s="3" t="str">
        <x:v>BBP</x:v>
      </x:c>
      <x:c r="E278" s="18" t="n">
        <x:v>800</x:v>
      </x:c>
      <x:c r="F278" s="21" t="n">
        <x:v>677.4985481583212</x:v>
      </x:c>
      <x:c r="G278" s="21" t="n">
        <x:f>F278</x:f>
        <x:v>677.4985481583212</x:v>
      </x:c>
      <x:c r="H278" s="21" t="n">
        <x:f>F283</x:f>
        <x:v>727.116512056264</x:v>
      </x:c>
      <x:c r="I278" s="27" t="n">
        <x:f>IF(AND(ISNUMBER(G278),ISNUMBER(H278),H278&gt;0),G278/H278-1,"")</x:f>
        <x:v>-0.06823935789551061</x:v>
      </x:c>
      <x:c r="J278" s="27" t="n">
        <x:f>IF(AND(ISNUMBER(G278),F278&gt;0),G278/F278-1,"")</x:f>
        <x:v>0</x:v>
      </x:c>
      <x:c r="K278" s="19" t="str">
        <x:v>Balanced/EXP001/results/seed583359781_BBP.json</x:v>
      </x:c>
    </x:row>
    <x:row r="279" ht="15" hidden="0" customHeight="1">
      <x:c r="A279" s="3" t="str">
        <x:v>EXP001</x:v>
      </x:c>
      <x:c r="B279" s="3" t="str">
        <x:v>Balanced</x:v>
      </x:c>
      <x:c r="C279" s="18" t="n">
        <x:v>583359781</x:v>
      </x:c>
      <x:c r="D279" s="3" t="str">
        <x:v>Relative cutoff 1e-5</x:v>
      </x:c>
      <x:c r="E279" s="18" t="n">
        <x:v>800</x:v>
      </x:c>
      <x:c r="F279" s="21" t="n">
        <x:v>722.8454902044821</x:v>
      </x:c>
      <x:c r="G279" s="21" t="n">
        <x:f>F278</x:f>
        <x:v>677.4985481583212</x:v>
      </x:c>
      <x:c r="H279" s="21" t="n">
        <x:f>F283</x:f>
        <x:v>727.116512056264</x:v>
      </x:c>
      <x:c r="I279" s="27" t="n">
        <x:f>IF(AND(ISNUMBER(G279),ISNUMBER(H279),H279&gt;0),G279/H279-1,"")</x:f>
        <x:v>-0.06823935789551061</x:v>
      </x:c>
      <x:c r="J279" s="27" t="n">
        <x:f>IF(AND(ISNUMBER(G279),F279&gt;0),G279/F279-1,"")</x:f>
        <x:v>-0.06273393506727543</x:v>
      </x:c>
      <x:c r="K279" s="19" t="str">
        <x:v>Balanced/EXP001/results/seed583359781_Relative_cutoff_1e-5.json</x:v>
      </x:c>
    </x:row>
    <x:row r="280" ht="15" hidden="0" customHeight="1">
      <x:c r="A280" s="3" t="str">
        <x:v>EXP001</x:v>
      </x:c>
      <x:c r="B280" s="3" t="str">
        <x:v>Balanced</x:v>
      </x:c>
      <x:c r="C280" s="18" t="n">
        <x:v>583359781</x:v>
      </x:c>
      <x:c r="D280" s="3" t="str">
        <x:v>Fixed rank 10</x:v>
      </x:c>
      <x:c r="E280" s="18" t="n">
        <x:v>800</x:v>
      </x:c>
      <x:c r="F280" s="21" t="n">
        <x:v>715.6556280485349</x:v>
      </x:c>
      <x:c r="G280" s="21" t="n">
        <x:f>F278</x:f>
        <x:v>677.4985481583212</x:v>
      </x:c>
      <x:c r="H280" s="21" t="n">
        <x:f>F283</x:f>
        <x:v>727.116512056264</x:v>
      </x:c>
      <x:c r="I280" s="27" t="n">
        <x:f>IF(AND(ISNUMBER(G280),ISNUMBER(H280),H280&gt;0),G280/H280-1,"")</x:f>
        <x:v>-0.06823935789551061</x:v>
      </x:c>
      <x:c r="J280" s="27" t="n">
        <x:f>IF(AND(ISNUMBER(G280),F280&gt;0),G280/F280-1,"")</x:f>
        <x:v>-0.053317655021118515</x:v>
      </x:c>
      <x:c r="K280" s="19" t="str">
        <x:v>Balanced/EXP001/results/seed583359781_Fixed_rank_10.json</x:v>
      </x:c>
    </x:row>
    <x:row r="281" ht="15" hidden="0" customHeight="1">
      <x:c r="A281" s="3" t="str">
        <x:v>EXP001</x:v>
      </x:c>
      <x:c r="B281" s="3" t="str">
        <x:v>Balanced</x:v>
      </x:c>
      <x:c r="C281" s="18" t="n">
        <x:v>583359781</x:v>
      </x:c>
      <x:c r="D281" s="3" t="str">
        <x:v>Fixed rank 25</x:v>
      </x:c>
      <x:c r="E281" s="18" t="n">
        <x:v>800</x:v>
      </x:c>
      <x:c r="F281" s="21" t="n">
        <x:v>678.3556969712625</x:v>
      </x:c>
      <x:c r="G281" s="21" t="n">
        <x:f>F278</x:f>
        <x:v>677.4985481583212</x:v>
      </x:c>
      <x:c r="H281" s="21" t="n">
        <x:f>F283</x:f>
        <x:v>727.116512056264</x:v>
      </x:c>
      <x:c r="I281" s="27" t="n">
        <x:f>IF(AND(ISNUMBER(G281),ISNUMBER(H281),H281&gt;0),G281/H281-1,"")</x:f>
        <x:v>-0.06823935789551061</x:v>
      </x:c>
      <x:c r="J281" s="27" t="n">
        <x:f>IF(AND(ISNUMBER(G281),F281&gt;0),G281/F281-1,"")</x:f>
        <x:v>-0.0012635683856836444</x:v>
      </x:c>
      <x:c r="K281" s="19" t="str">
        <x:v>Balanced/EXP001/results/seed583359781_Fixed_rank_25.json</x:v>
      </x:c>
    </x:row>
    <x:row r="282" ht="15" hidden="0" customHeight="1">
      <x:c r="A282" s="3" t="str">
        <x:v>EXP001</x:v>
      </x:c>
      <x:c r="B282" s="3" t="str">
        <x:v>Balanced</x:v>
      </x:c>
      <x:c r="C282" s="18" t="n">
        <x:v>583359781</x:v>
      </x:c>
      <x:c r="D282" s="3" t="str">
        <x:v>Relative cutoff 1e-6</x:v>
      </x:c>
      <x:c r="E282" s="18" t="n">
        <x:v>800</x:v>
      </x:c>
      <x:c r="F282" s="21" t="n">
        <x:v>745.8608229495045</x:v>
      </x:c>
      <x:c r="G282" s="21" t="n">
        <x:f>F278</x:f>
        <x:v>677.4985481583212</x:v>
      </x:c>
      <x:c r="H282" s="21" t="n">
        <x:f>F283</x:f>
        <x:v>727.116512056264</x:v>
      </x:c>
      <x:c r="I282" s="27" t="n">
        <x:f>IF(AND(ISNUMBER(G282),ISNUMBER(H282),H282&gt;0),G282/H282-1,"")</x:f>
        <x:v>-0.06823935789551061</x:v>
      </x:c>
      <x:c r="J282" s="27" t="n">
        <x:f>IF(AND(ISNUMBER(G282),F282&gt;0),G282/F282-1,"")</x:f>
        <x:v>-0.09165553771928237</x:v>
      </x:c>
      <x:c r="K282" s="19" t="str">
        <x:v>Balanced/EXP001/results/seed583359781_Relative_cutoff_1e-6.json</x:v>
      </x:c>
    </x:row>
    <x:row r="283" ht="15" hidden="0" customHeight="1">
      <x:c r="A283" s="3" t="str">
        <x:v>EXP001</x:v>
      </x:c>
      <x:c r="B283" s="3" t="str">
        <x:v>Balanced</x:v>
      </x:c>
      <x:c r="C283" s="18" t="n">
        <x:v>583359781</x:v>
      </x:c>
      <x:c r="D283" s="3" t="str">
        <x:v>Full</x:v>
      </x:c>
      <x:c r="E283" s="18" t="n">
        <x:v>800</x:v>
      </x:c>
      <x:c r="F283" s="21" t="n">
        <x:v>727.116512056264</x:v>
      </x:c>
      <x:c r="G283" s="21" t="n">
        <x:f>F278</x:f>
        <x:v>677.4985481583212</x:v>
      </x:c>
      <x:c r="H283" s="21" t="n">
        <x:f>F283</x:f>
        <x:v>727.116512056264</x:v>
      </x:c>
      <x:c r="I283" s="27" t="n">
        <x:f>IF(AND(ISNUMBER(G283),ISNUMBER(H283),H283&gt;0),G283/H283-1,"")</x:f>
        <x:v>-0.06823935789551061</x:v>
      </x:c>
      <x:c r="J283" s="27" t="n">
        <x:f>IF(AND(ISNUMBER(G283),F283&gt;0),G283/F283-1,"")</x:f>
        <x:v>-0.06823935789551061</x:v>
      </x:c>
      <x:c r="K283" s="19" t="str">
        <x:v>Balanced/EXP001/results/seed583359781_Full.json</x:v>
      </x:c>
    </x:row>
    <x:row r="284" ht="15" hidden="0" customHeight="1">
      <x:c r="A284" s="3" t="str">
        <x:v>EXP001</x:v>
      </x:c>
      <x:c r="B284" s="3" t="str">
        <x:v>Balanced</x:v>
      </x:c>
      <x:c r="C284" s="18" t="n">
        <x:v>583359781</x:v>
      </x:c>
      <x:c r="D284" s="3" t="str">
        <x:v>Relative cutoff 1e-2</x:v>
      </x:c>
      <x:c r="E284" s="18" t="n">
        <x:v>800</x:v>
      </x:c>
      <x:c r="F284" s="21" t="n">
        <x:v>934.1499877941587</x:v>
      </x:c>
      <x:c r="G284" s="21" t="n">
        <x:f>F278</x:f>
        <x:v>677.4985481583212</x:v>
      </x:c>
      <x:c r="H284" s="21" t="n">
        <x:f>F283</x:f>
        <x:v>727.116512056264</x:v>
      </x:c>
      <x:c r="I284" s="27" t="n">
        <x:f>IF(AND(ISNUMBER(G284),ISNUMBER(H284),H284&gt;0),G284/H284-1,"")</x:f>
        <x:v>-0.06823935789551061</x:v>
      </x:c>
      <x:c r="J284" s="27" t="n">
        <x:f>IF(AND(ISNUMBER(G284),F284&gt;0),G284/F284-1,"")</x:f>
        <x:v>-0.27474328853964614</x:v>
      </x:c>
      <x:c r="K284" s="19" t="str">
        <x:v>Balanced/EXP001/results/seed583359781_Relative_cutoff_1e-2.json</x:v>
      </x:c>
    </x:row>
    <x:row r="285" ht="15" hidden="0" customHeight="1">
      <x:c r="A285" s="3" t="str">
        <x:v>EXP001</x:v>
      </x:c>
      <x:c r="B285" s="3" t="str">
        <x:v>Balanced</x:v>
      </x:c>
      <x:c r="C285" s="18" t="n">
        <x:v>583359781</x:v>
      </x:c>
      <x:c r="D285" s="3" t="str">
        <x:v>Relative cutoff 1e-4</x:v>
      </x:c>
      <x:c r="E285" s="18" t="n">
        <x:v>800</x:v>
      </x:c>
      <x:c r="F285" s="21" t="n">
        <x:v>775.6540868544977</x:v>
      </x:c>
      <x:c r="G285" s="21" t="n">
        <x:f>F278</x:f>
        <x:v>677.4985481583212</x:v>
      </x:c>
      <x:c r="H285" s="21" t="n">
        <x:f>F283</x:f>
        <x:v>727.116512056264</x:v>
      </x:c>
      <x:c r="I285" s="27" t="n">
        <x:f>IF(AND(ISNUMBER(G285),ISNUMBER(H285),H285&gt;0),G285/H285-1,"")</x:f>
        <x:v>-0.06823935789551061</x:v>
      </x:c>
      <x:c r="J285" s="27" t="n">
        <x:f>IF(AND(ISNUMBER(G285),F285&gt;0),G285/F285-1,"")</x:f>
        <x:v>-0.12654550573468337</x:v>
      </x:c>
      <x:c r="K285" s="19" t="str">
        <x:v>Balanced/EXP001/results/seed583359781_Relative_cutoff_1e-4.json</x:v>
      </x:c>
    </x:row>
    <x:row r="286" ht="15" hidden="0" customHeight="1">
      <x:c r="A286" s="3" t="str">
        <x:v>EXP001</x:v>
      </x:c>
      <x:c r="B286" s="3" t="str">
        <x:v>Balanced</x:v>
      </x:c>
      <x:c r="C286" s="18" t="n">
        <x:v>596418390</x:v>
      </x:c>
      <x:c r="D286" s="3" t="str">
        <x:v>BBP</x:v>
      </x:c>
      <x:c r="E286" s="18" t="n">
        <x:v>800</x:v>
      </x:c>
      <x:c r="F286" s="21" t="n">
        <x:v>501.6544428267801</x:v>
      </x:c>
      <x:c r="G286" s="21" t="n">
        <x:f>F286</x:f>
        <x:v>501.6544428267801</x:v>
      </x:c>
      <x:c r="H286" s="21" t="n">
        <x:f>F291</x:f>
        <x:v>484.29662947493455</x:v>
      </x:c>
      <x:c r="I286" s="27" t="n">
        <x:f>IF(AND(ISNUMBER(G286),ISNUMBER(H286),H286&gt;0),G286/H286-1,"")</x:f>
        <x:v>0.03584128464958458</x:v>
      </x:c>
      <x:c r="J286" s="27" t="n">
        <x:f>IF(AND(ISNUMBER(G286),F286&gt;0),G286/F286-1,"")</x:f>
        <x:v>0</x:v>
      </x:c>
      <x:c r="K286" s="19" t="str">
        <x:v>Balanced/EXP001/results/seed596418390_BBP.json</x:v>
      </x:c>
    </x:row>
    <x:row r="287" ht="15" hidden="0" customHeight="1">
      <x:c r="A287" s="3" t="str">
        <x:v>EXP001</x:v>
      </x:c>
      <x:c r="B287" s="3" t="str">
        <x:v>Balanced</x:v>
      </x:c>
      <x:c r="C287" s="18" t="n">
        <x:v>596418390</x:v>
      </x:c>
      <x:c r="D287" s="3" t="str">
        <x:v>Relative cutoff 1e-5</x:v>
      </x:c>
      <x:c r="E287" s="18" t="n">
        <x:v>800</x:v>
      </x:c>
      <x:c r="F287" s="21" t="n">
        <x:v>470.5774753541763</x:v>
      </x:c>
      <x:c r="G287" s="21" t="n">
        <x:f>F286</x:f>
        <x:v>501.6544428267801</x:v>
      </x:c>
      <x:c r="H287" s="21" t="n">
        <x:f>F291</x:f>
        <x:v>484.29662947493455</x:v>
      </x:c>
      <x:c r="I287" s="27" t="n">
        <x:f>IF(AND(ISNUMBER(G287),ISNUMBER(H287),H287&gt;0),G287/H287-1,"")</x:f>
        <x:v>0.03584128464958458</x:v>
      </x:c>
      <x:c r="J287" s="27" t="n">
        <x:f>IF(AND(ISNUMBER(G287),F287&gt;0),G287/F287-1,"")</x:f>
        <x:v>0.0660400658769611</x:v>
      </x:c>
      <x:c r="K287" s="19" t="str">
        <x:v>Balanced/EXP001/results/seed596418390_Relative_cutoff_1e-5.json</x:v>
      </x:c>
    </x:row>
    <x:row r="288" ht="15" hidden="0" customHeight="1">
      <x:c r="A288" s="3" t="str">
        <x:v>EXP001</x:v>
      </x:c>
      <x:c r="B288" s="3" t="str">
        <x:v>Balanced</x:v>
      </x:c>
      <x:c r="C288" s="18" t="n">
        <x:v>596418390</x:v>
      </x:c>
      <x:c r="D288" s="3" t="str">
        <x:v>Fixed rank 10</x:v>
      </x:c>
      <x:c r="E288" s="18" t="n">
        <x:v>800</x:v>
      </x:c>
      <x:c r="F288" s="21" t="n">
        <x:v>604.2637040488112</x:v>
      </x:c>
      <x:c r="G288" s="21" t="n">
        <x:f>F286</x:f>
        <x:v>501.6544428267801</x:v>
      </x:c>
      <x:c r="H288" s="21" t="n">
        <x:f>F291</x:f>
        <x:v>484.29662947493455</x:v>
      </x:c>
      <x:c r="I288" s="27" t="n">
        <x:f>IF(AND(ISNUMBER(G288),ISNUMBER(H288),H288&gt;0),G288/H288-1,"")</x:f>
        <x:v>0.03584128464958458</x:v>
      </x:c>
      <x:c r="J288" s="27" t="n">
        <x:f>IF(AND(ISNUMBER(G288),F288&gt;0),G288/F288-1,"")</x:f>
        <x:v>-0.1698087449808875</x:v>
      </x:c>
      <x:c r="K288" s="19" t="str">
        <x:v>Balanced/EXP001/results/seed596418390_Fixed_rank_10.json</x:v>
      </x:c>
    </x:row>
    <x:row r="289" ht="15" hidden="0" customHeight="1">
      <x:c r="A289" s="3" t="str">
        <x:v>EXP001</x:v>
      </x:c>
      <x:c r="B289" s="3" t="str">
        <x:v>Balanced</x:v>
      </x:c>
      <x:c r="C289" s="18" t="n">
        <x:v>596418390</x:v>
      </x:c>
      <x:c r="D289" s="3" t="str">
        <x:v>Fixed rank 25</x:v>
      </x:c>
      <x:c r="E289" s="18" t="n">
        <x:v>800</x:v>
      </x:c>
      <x:c r="F289" s="21" t="n">
        <x:v>480.79396610810886</x:v>
      </x:c>
      <x:c r="G289" s="21" t="n">
        <x:f>F286</x:f>
        <x:v>501.6544428267801</x:v>
      </x:c>
      <x:c r="H289" s="21" t="n">
        <x:f>F291</x:f>
        <x:v>484.29662947493455</x:v>
      </x:c>
      <x:c r="I289" s="27" t="n">
        <x:f>IF(AND(ISNUMBER(G289),ISNUMBER(H289),H289&gt;0),G289/H289-1,"")</x:f>
        <x:v>0.03584128464958458</x:v>
      </x:c>
      <x:c r="J289" s="27" t="n">
        <x:f>IF(AND(ISNUMBER(G289),F289&gt;0),G289/F289-1,"")</x:f>
        <x:v>0.0433875593063926</x:v>
      </x:c>
      <x:c r="K289" s="19" t="str">
        <x:v>Balanced/EXP001/results/seed596418390_Fixed_rank_25.json</x:v>
      </x:c>
    </x:row>
    <x:row r="290" ht="15" hidden="0" customHeight="1">
      <x:c r="A290" s="3" t="str">
        <x:v>EXP001</x:v>
      </x:c>
      <x:c r="B290" s="3" t="str">
        <x:v>Balanced</x:v>
      </x:c>
      <x:c r="C290" s="18" t="n">
        <x:v>596418390</x:v>
      </x:c>
      <x:c r="D290" s="3" t="str">
        <x:v>Relative cutoff 1e-6</x:v>
      </x:c>
      <x:c r="E290" s="18" t="n">
        <x:v>800</x:v>
      </x:c>
      <x:c r="F290" s="21" t="n">
        <x:v>505.5094824520635</x:v>
      </x:c>
      <x:c r="G290" s="21" t="n">
        <x:f>F286</x:f>
        <x:v>501.6544428267801</x:v>
      </x:c>
      <x:c r="H290" s="21" t="n">
        <x:f>F291</x:f>
        <x:v>484.29662947493455</x:v>
      </x:c>
      <x:c r="I290" s="27" t="n">
        <x:f>IF(AND(ISNUMBER(G290),ISNUMBER(H290),H290&gt;0),G290/H290-1,"")</x:f>
        <x:v>0.03584128464958458</x:v>
      </x:c>
      <x:c r="J290" s="27" t="n">
        <x:f>IF(AND(ISNUMBER(G290),F290&gt;0),G290/F290-1,"")</x:f>
        <x:v>-0.00762604809425893</x:v>
      </x:c>
      <x:c r="K290" s="19" t="str">
        <x:v>Balanced/EXP001/results/seed596418390_Relative_cutoff_1e-6.json</x:v>
      </x:c>
    </x:row>
    <x:row r="291" ht="15" hidden="0" customHeight="1">
      <x:c r="A291" s="3" t="str">
        <x:v>EXP001</x:v>
      </x:c>
      <x:c r="B291" s="3" t="str">
        <x:v>Balanced</x:v>
      </x:c>
      <x:c r="C291" s="18" t="n">
        <x:v>596418390</x:v>
      </x:c>
      <x:c r="D291" s="3" t="str">
        <x:v>Full</x:v>
      </x:c>
      <x:c r="E291" s="18" t="n">
        <x:v>800</x:v>
      </x:c>
      <x:c r="F291" s="21" t="n">
        <x:v>484.29662947493455</x:v>
      </x:c>
      <x:c r="G291" s="21" t="n">
        <x:f>F286</x:f>
        <x:v>501.6544428267801</x:v>
      </x:c>
      <x:c r="H291" s="21" t="n">
        <x:f>F291</x:f>
        <x:v>484.29662947493455</x:v>
      </x:c>
      <x:c r="I291" s="27" t="n">
        <x:f>IF(AND(ISNUMBER(G291),ISNUMBER(H291),H291&gt;0),G291/H291-1,"")</x:f>
        <x:v>0.03584128464958458</x:v>
      </x:c>
      <x:c r="J291" s="27" t="n">
        <x:f>IF(AND(ISNUMBER(G291),F291&gt;0),G291/F291-1,"")</x:f>
        <x:v>0.03584128464958458</x:v>
      </x:c>
      <x:c r="K291" s="19" t="str">
        <x:v>Balanced/EXP001/results/seed596418390_Full.json</x:v>
      </x:c>
    </x:row>
    <x:row r="292" ht="15" hidden="0" customHeight="1">
      <x:c r="A292" s="3" t="str">
        <x:v>EXP001</x:v>
      </x:c>
      <x:c r="B292" s="3" t="str">
        <x:v>Balanced</x:v>
      </x:c>
      <x:c r="C292" s="18" t="n">
        <x:v>596418390</x:v>
      </x:c>
      <x:c r="D292" s="3" t="str">
        <x:v>Relative cutoff 1e-2</x:v>
      </x:c>
      <x:c r="E292" s="18" t="n">
        <x:v>800</x:v>
      </x:c>
      <x:c r="F292" s="21" t="n">
        <x:v>860.2108857432204</x:v>
      </x:c>
      <x:c r="G292" s="21" t="n">
        <x:f>F286</x:f>
        <x:v>501.6544428267801</x:v>
      </x:c>
      <x:c r="H292" s="21" t="n">
        <x:f>F291</x:f>
        <x:v>484.29662947493455</x:v>
      </x:c>
      <x:c r="I292" s="27" t="n">
        <x:f>IF(AND(ISNUMBER(G292),ISNUMBER(H292),H292&gt;0),G292/H292-1,"")</x:f>
        <x:v>0.03584128464958458</x:v>
      </x:c>
      <x:c r="J292" s="27" t="n">
        <x:f>IF(AND(ISNUMBER(G292),F292&gt;0),G292/F292-1,"")</x:f>
        <x:v>-0.41682388453692754</x:v>
      </x:c>
      <x:c r="K292" s="19" t="str">
        <x:v>Balanced/EXP001/results/seed596418390_Relative_cutoff_1e-2.json</x:v>
      </x:c>
    </x:row>
    <x:row r="293" ht="15" hidden="0" customHeight="1">
      <x:c r="A293" s="3" t="str">
        <x:v>EXP001</x:v>
      </x:c>
      <x:c r="B293" s="3" t="str">
        <x:v>Balanced</x:v>
      </x:c>
      <x:c r="C293" s="18" t="n">
        <x:v>596418390</x:v>
      </x:c>
      <x:c r="D293" s="3" t="str">
        <x:v>Relative cutoff 1e-4</x:v>
      </x:c>
      <x:c r="E293" s="18" t="n">
        <x:v>800</x:v>
      </x:c>
      <x:c r="F293" s="21" t="n">
        <x:v>515.1456158518091</x:v>
      </x:c>
      <x:c r="G293" s="21" t="n">
        <x:f>F286</x:f>
        <x:v>501.6544428267801</x:v>
      </x:c>
      <x:c r="H293" s="21" t="n">
        <x:f>F291</x:f>
        <x:v>484.29662947493455</x:v>
      </x:c>
      <x:c r="I293" s="27" t="n">
        <x:f>IF(AND(ISNUMBER(G293),ISNUMBER(H293),H293&gt;0),G293/H293-1,"")</x:f>
        <x:v>0.03584128464958458</x:v>
      </x:c>
      <x:c r="J293" s="27" t="n">
        <x:f>IF(AND(ISNUMBER(G293),F293&gt;0),G293/F293-1,"")</x:f>
        <x:v>-0.026189047542840793</x:v>
      </x:c>
      <x:c r="K293" s="19" t="str">
        <x:v>Balanced/EXP001/results/seed596418390_Relative_cutoff_1e-4.json</x:v>
      </x:c>
    </x:row>
    <x:row r="294" ht="15" hidden="0" customHeight="1">
      <x:c r="A294" s="3" t="str">
        <x:v>EXP001</x:v>
      </x:c>
      <x:c r="B294" s="3" t="str">
        <x:v>Balanced</x:v>
      </x:c>
      <x:c r="C294" s="18" t="n">
        <x:v>690050934</x:v>
      </x:c>
      <x:c r="D294" s="3" t="str">
        <x:v>BBP</x:v>
      </x:c>
      <x:c r="E294" s="18" t="n">
        <x:v>800</x:v>
      </x:c>
      <x:c r="F294" s="21" t="n">
        <x:v>734.0320895590563</x:v>
      </x:c>
      <x:c r="G294" s="21" t="n">
        <x:f>F294</x:f>
        <x:v>734.0320895590563</x:v>
      </x:c>
      <x:c r="H294" s="21" t="n">
        <x:f>F299</x:f>
        <x:v>769.4418639746852</x:v>
      </x:c>
      <x:c r="I294" s="27" t="n">
        <x:f>IF(AND(ISNUMBER(G294),ISNUMBER(H294),H294&gt;0),G294/H294-1,"")</x:f>
        <x:v>-0.04602007776482764</x:v>
      </x:c>
      <x:c r="J294" s="27" t="n">
        <x:f>IF(AND(ISNUMBER(G294),F294&gt;0),G294/F294-1,"")</x:f>
        <x:v>0</x:v>
      </x:c>
      <x:c r="K294" s="19" t="str">
        <x:v>Balanced/EXP001/results/seed690050934_BBP.json</x:v>
      </x:c>
    </x:row>
    <x:row r="295" ht="15" hidden="0" customHeight="1">
      <x:c r="A295" s="3" t="str">
        <x:v>EXP001</x:v>
      </x:c>
      <x:c r="B295" s="3" t="str">
        <x:v>Balanced</x:v>
      </x:c>
      <x:c r="C295" s="18" t="n">
        <x:v>690050934</x:v>
      </x:c>
      <x:c r="D295" s="3" t="str">
        <x:v>Relative cutoff 1e-5</x:v>
      </x:c>
      <x:c r="E295" s="18" t="n">
        <x:v>800</x:v>
      </x:c>
      <x:c r="F295" s="21" t="n">
        <x:v>770.4088730439901</x:v>
      </x:c>
      <x:c r="G295" s="21" t="n">
        <x:f>F294</x:f>
        <x:v>734.0320895590563</x:v>
      </x:c>
      <x:c r="H295" s="21" t="n">
        <x:f>F299</x:f>
        <x:v>769.4418639746852</x:v>
      </x:c>
      <x:c r="I295" s="27" t="n">
        <x:f>IF(AND(ISNUMBER(G295),ISNUMBER(H295),H295&gt;0),G295/H295-1,"")</x:f>
        <x:v>-0.04602007776482764</x:v>
      </x:c>
      <x:c r="J295" s="27" t="n">
        <x:f>IF(AND(ISNUMBER(G295),F295&gt;0),G295/F295-1,"")</x:f>
        <x:v>-0.047217503273559336</x:v>
      </x:c>
      <x:c r="K295" s="19" t="str">
        <x:v>Balanced/EXP001/results/seed690050934_Relative_cutoff_1e-5.json</x:v>
      </x:c>
    </x:row>
    <x:row r="296" ht="15" hidden="0" customHeight="1">
      <x:c r="A296" s="3" t="str">
        <x:v>EXP001</x:v>
      </x:c>
      <x:c r="B296" s="3" t="str">
        <x:v>Balanced</x:v>
      </x:c>
      <x:c r="C296" s="18" t="n">
        <x:v>690050934</x:v>
      </x:c>
      <x:c r="D296" s="3" t="str">
        <x:v>Fixed rank 10</x:v>
      </x:c>
      <x:c r="E296" s="18" t="n">
        <x:v>800</x:v>
      </x:c>
      <x:c r="F296" s="21" t="n">
        <x:v>787.8690568112511</x:v>
      </x:c>
      <x:c r="G296" s="21" t="n">
        <x:f>F294</x:f>
        <x:v>734.0320895590563</x:v>
      </x:c>
      <x:c r="H296" s="21" t="n">
        <x:f>F299</x:f>
        <x:v>769.4418639746852</x:v>
      </x:c>
      <x:c r="I296" s="27" t="n">
        <x:f>IF(AND(ISNUMBER(G296),ISNUMBER(H296),H296&gt;0),G296/H296-1,"")</x:f>
        <x:v>-0.04602007776482764</x:v>
      </x:c>
      <x:c r="J296" s="27" t="n">
        <x:f>IF(AND(ISNUMBER(G296),F296&gt;0),G296/F296-1,"")</x:f>
        <x:v>-0.0683323793297449</x:v>
      </x:c>
      <x:c r="K296" s="19" t="str">
        <x:v>Balanced/EXP001/results/seed690050934_Fixed_rank_10.json</x:v>
      </x:c>
    </x:row>
    <x:row r="297" ht="15" hidden="0" customHeight="1">
      <x:c r="A297" s="3" t="str">
        <x:v>EXP001</x:v>
      </x:c>
      <x:c r="B297" s="3" t="str">
        <x:v>Balanced</x:v>
      </x:c>
      <x:c r="C297" s="18" t="n">
        <x:v>690050934</x:v>
      </x:c>
      <x:c r="D297" s="3" t="str">
        <x:v>Fixed rank 25</x:v>
      </x:c>
      <x:c r="E297" s="18" t="n">
        <x:v>800</x:v>
      </x:c>
      <x:c r="F297" s="21" t="n">
        <x:v>713.8729143839048</x:v>
      </x:c>
      <x:c r="G297" s="21" t="n">
        <x:f>F294</x:f>
        <x:v>734.0320895590563</x:v>
      </x:c>
      <x:c r="H297" s="21" t="n">
        <x:f>F299</x:f>
        <x:v>769.4418639746852</x:v>
      </x:c>
      <x:c r="I297" s="27" t="n">
        <x:f>IF(AND(ISNUMBER(G297),ISNUMBER(H297),H297&gt;0),G297/H297-1,"")</x:f>
        <x:v>-0.04602007776482764</x:v>
      </x:c>
      <x:c r="J297" s="27" t="n">
        <x:f>IF(AND(ISNUMBER(G297),F297&gt;0),G297/F297-1,"")</x:f>
        <x:v>0.02823916521969405</x:v>
      </x:c>
      <x:c r="K297" s="19" t="str">
        <x:v>Balanced/EXP001/results/seed690050934_Fixed_rank_25.json</x:v>
      </x:c>
    </x:row>
    <x:row r="298" ht="15" hidden="0" customHeight="1">
      <x:c r="A298" s="3" t="str">
        <x:v>EXP001</x:v>
      </x:c>
      <x:c r="B298" s="3" t="str">
        <x:v>Balanced</x:v>
      </x:c>
      <x:c r="C298" s="18" t="n">
        <x:v>690050934</x:v>
      </x:c>
      <x:c r="D298" s="3" t="str">
        <x:v>Relative cutoff 1e-6</x:v>
      </x:c>
      <x:c r="E298" s="18" t="n">
        <x:v>800</x:v>
      </x:c>
      <x:c r="F298" s="21" t="n">
        <x:v>746.389915642495</x:v>
      </x:c>
      <x:c r="G298" s="21" t="n">
        <x:f>F294</x:f>
        <x:v>734.0320895590563</x:v>
      </x:c>
      <x:c r="H298" s="21" t="n">
        <x:f>F299</x:f>
        <x:v>769.4418639746852</x:v>
      </x:c>
      <x:c r="I298" s="27" t="n">
        <x:f>IF(AND(ISNUMBER(G298),ISNUMBER(H298),H298&gt;0),G298/H298-1,"")</x:f>
        <x:v>-0.04602007776482764</x:v>
      </x:c>
      <x:c r="J298" s="27" t="n">
        <x:f>IF(AND(ISNUMBER(G298),F298&gt;0),G298/F298-1,"")</x:f>
        <x:v>-0.016556796688230957</x:v>
      </x:c>
      <x:c r="K298" s="19" t="str">
        <x:v>Balanced/EXP001/results/seed690050934_Relative_cutoff_1e-6.json</x:v>
      </x:c>
    </x:row>
    <x:row r="299" ht="15" hidden="0" customHeight="1">
      <x:c r="A299" s="3" t="str">
        <x:v>EXP001</x:v>
      </x:c>
      <x:c r="B299" s="3" t="str">
        <x:v>Balanced</x:v>
      </x:c>
      <x:c r="C299" s="18" t="n">
        <x:v>690050934</x:v>
      </x:c>
      <x:c r="D299" s="3" t="str">
        <x:v>Full</x:v>
      </x:c>
      <x:c r="E299" s="18" t="n">
        <x:v>800</x:v>
      </x:c>
      <x:c r="F299" s="21" t="n">
        <x:v>769.4418639746852</x:v>
      </x:c>
      <x:c r="G299" s="21" t="n">
        <x:f>F294</x:f>
        <x:v>734.0320895590563</x:v>
      </x:c>
      <x:c r="H299" s="21" t="n">
        <x:f>F299</x:f>
        <x:v>769.4418639746852</x:v>
      </x:c>
      <x:c r="I299" s="27" t="n">
        <x:f>IF(AND(ISNUMBER(G299),ISNUMBER(H299),H299&gt;0),G299/H299-1,"")</x:f>
        <x:v>-0.04602007776482764</x:v>
      </x:c>
      <x:c r="J299" s="27" t="n">
        <x:f>IF(AND(ISNUMBER(G299),F299&gt;0),G299/F299-1,"")</x:f>
        <x:v>-0.04602007776482764</x:v>
      </x:c>
      <x:c r="K299" s="19" t="str">
        <x:v>Balanced/EXP001/results/seed690050934_Full.json</x:v>
      </x:c>
    </x:row>
    <x:row r="300" ht="15" hidden="0" customHeight="1">
      <x:c r="A300" s="3" t="str">
        <x:v>EXP001</x:v>
      </x:c>
      <x:c r="B300" s="3" t="str">
        <x:v>Balanced</x:v>
      </x:c>
      <x:c r="C300" s="18" t="n">
        <x:v>690050934</x:v>
      </x:c>
      <x:c r="D300" s="3" t="str">
        <x:v>Relative cutoff 1e-2</x:v>
      </x:c>
      <x:c r="E300" s="18" t="n">
        <x:v>800</x:v>
      </x:c>
      <x:c r="F300" s="21" t="n">
        <x:v>821.361994078641</x:v>
      </x:c>
      <x:c r="G300" s="21" t="n">
        <x:f>F294</x:f>
        <x:v>734.0320895590563</x:v>
      </x:c>
      <x:c r="H300" s="21" t="n">
        <x:f>F299</x:f>
        <x:v>769.4418639746852</x:v>
      </x:c>
      <x:c r="I300" s="27" t="n">
        <x:f>IF(AND(ISNUMBER(G300),ISNUMBER(H300),H300&gt;0),G300/H300-1,"")</x:f>
        <x:v>-0.04602007776482764</x:v>
      </x:c>
      <x:c r="J300" s="27" t="n">
        <x:f>IF(AND(ISNUMBER(G300),F300&gt;0),G300/F300-1,"")</x:f>
        <x:v>-0.10632328394686275</x:v>
      </x:c>
      <x:c r="K300" s="19" t="str">
        <x:v>Balanced/EXP001/results/seed690050934_Relative_cutoff_1e-2.json</x:v>
      </x:c>
    </x:row>
    <x:row r="301" ht="15" hidden="0" customHeight="1">
      <x:c r="A301" s="3" t="str">
        <x:v>EXP001</x:v>
      </x:c>
      <x:c r="B301" s="3" t="str">
        <x:v>Balanced</x:v>
      </x:c>
      <x:c r="C301" s="18" t="n">
        <x:v>690050934</x:v>
      </x:c>
      <x:c r="D301" s="3" t="str">
        <x:v>Relative cutoff 1e-4</x:v>
      </x:c>
      <x:c r="E301" s="18" t="n">
        <x:v>800</x:v>
      </x:c>
      <x:c r="F301" s="21" t="n">
        <x:v>720.7769669645733</x:v>
      </x:c>
      <x:c r="G301" s="21" t="n">
        <x:f>F294</x:f>
        <x:v>734.0320895590563</x:v>
      </x:c>
      <x:c r="H301" s="21" t="n">
        <x:f>F299</x:f>
        <x:v>769.4418639746852</x:v>
      </x:c>
      <x:c r="I301" s="27" t="n">
        <x:f>IF(AND(ISNUMBER(G301),ISNUMBER(H301),H301&gt;0),G301/H301-1,"")</x:f>
        <x:v>-0.04602007776482764</x:v>
      </x:c>
      <x:c r="J301" s="27" t="n">
        <x:f>IF(AND(ISNUMBER(G301),F301&gt;0),G301/F301-1,"")</x:f>
        <x:v>0.01839004740995631</x:v>
      </x:c>
      <x:c r="K301" s="19" t="str">
        <x:v>Balanced/EXP001/results/seed690050934_Relative_cutoff_1e-4.json</x:v>
      </x:c>
    </x:row>
    <x:row r="302" ht="15" hidden="0" customHeight="1">
      <x:c r="A302" s="3" t="str">
        <x:v>EXP001</x:v>
      </x:c>
      <x:c r="B302" s="3" t="str">
        <x:v>Balanced</x:v>
      </x:c>
      <x:c r="C302" s="18" t="n">
        <x:v>729426808</x:v>
      </x:c>
      <x:c r="D302" s="3" t="str">
        <x:v>BBP</x:v>
      </x:c>
      <x:c r="E302" s="18" t="n">
        <x:v>800</x:v>
      </x:c>
      <x:c r="F302" s="21" t="n">
        <x:v>513.676803021428</x:v>
      </x:c>
      <x:c r="G302" s="21" t="n">
        <x:f>F302</x:f>
        <x:v>513.676803021428</x:v>
      </x:c>
      <x:c r="H302" s="21" t="n">
        <x:f>F307</x:f>
        <x:v>583.7282275297496</x:v>
      </x:c>
      <x:c r="I302" s="27" t="n">
        <x:f>IF(AND(ISNUMBER(G302),ISNUMBER(H302),H302&gt;0),G302/H302-1,"")</x:f>
        <x:v>-0.12000691624040305</x:v>
      </x:c>
      <x:c r="J302" s="27" t="n">
        <x:f>IF(AND(ISNUMBER(G302),F302&gt;0),G302/F302-1,"")</x:f>
        <x:v>0</x:v>
      </x:c>
      <x:c r="K302" s="19" t="str">
        <x:v>Balanced/EXP001/results/seed729426808_BBP.json</x:v>
      </x:c>
    </x:row>
    <x:row r="303" ht="15" hidden="0" customHeight="1">
      <x:c r="A303" s="3" t="str">
        <x:v>EXP001</x:v>
      </x:c>
      <x:c r="B303" s="3" t="str">
        <x:v>Balanced</x:v>
      </x:c>
      <x:c r="C303" s="18" t="n">
        <x:v>729426808</x:v>
      </x:c>
      <x:c r="D303" s="3" t="str">
        <x:v>Relative cutoff 1e-5</x:v>
      </x:c>
      <x:c r="E303" s="18" t="n">
        <x:v>800</x:v>
      </x:c>
      <x:c r="F303" s="21" t="n">
        <x:v>634.5912709104925</x:v>
      </x:c>
      <x:c r="G303" s="21" t="n">
        <x:f>F302</x:f>
        <x:v>513.676803021428</x:v>
      </x:c>
      <x:c r="H303" s="21" t="n">
        <x:f>F307</x:f>
        <x:v>583.7282275297496</x:v>
      </x:c>
      <x:c r="I303" s="27" t="n">
        <x:f>IF(AND(ISNUMBER(G303),ISNUMBER(H303),H303&gt;0),G303/H303-1,"")</x:f>
        <x:v>-0.12000691624040305</x:v>
      </x:c>
      <x:c r="J303" s="27" t="n">
        <x:f>IF(AND(ISNUMBER(G303),F303&gt;0),G303/F303-1,"")</x:f>
        <x:v>-0.19053912877745716</x:v>
      </x:c>
      <x:c r="K303" s="19" t="str">
        <x:v>Balanced/EXP001/results/seed729426808_Relative_cutoff_1e-5.json</x:v>
      </x:c>
    </x:row>
    <x:row r="304" ht="15" hidden="0" customHeight="1">
      <x:c r="A304" s="3" t="str">
        <x:v>EXP001</x:v>
      </x:c>
      <x:c r="B304" s="3" t="str">
        <x:v>Balanced</x:v>
      </x:c>
      <x:c r="C304" s="18" t="n">
        <x:v>729426808</x:v>
      </x:c>
      <x:c r="D304" s="3" t="str">
        <x:v>Fixed rank 10</x:v>
      </x:c>
      <x:c r="E304" s="18" t="n">
        <x:v>800</x:v>
      </x:c>
      <x:c r="F304" s="21" t="n">
        <x:v>630.2012335708972</x:v>
      </x:c>
      <x:c r="G304" s="21" t="n">
        <x:f>F302</x:f>
        <x:v>513.676803021428</x:v>
      </x:c>
      <x:c r="H304" s="21" t="n">
        <x:f>F307</x:f>
        <x:v>583.7282275297496</x:v>
      </x:c>
      <x:c r="I304" s="27" t="n">
        <x:f>IF(AND(ISNUMBER(G304),ISNUMBER(H304),H304&gt;0),G304/H304-1,"")</x:f>
        <x:v>-0.12000691624040305</x:v>
      </x:c>
      <x:c r="J304" s="27" t="n">
        <x:f>IF(AND(ISNUMBER(G304),F304&gt;0),G304/F304-1,"")</x:f>
        <x:v>-0.18490035300186425</x:v>
      </x:c>
      <x:c r="K304" s="19" t="str">
        <x:v>Balanced/EXP001/results/seed729426808_Fixed_rank_10.json</x:v>
      </x:c>
    </x:row>
    <x:row r="305" ht="15" hidden="0" customHeight="1">
      <x:c r="A305" s="3" t="str">
        <x:v>EXP001</x:v>
      </x:c>
      <x:c r="B305" s="3" t="str">
        <x:v>Balanced</x:v>
      </x:c>
      <x:c r="C305" s="18" t="n">
        <x:v>729426808</x:v>
      </x:c>
      <x:c r="D305" s="3" t="str">
        <x:v>Fixed rank 25</x:v>
      </x:c>
      <x:c r="E305" s="18" t="n">
        <x:v>800</x:v>
      </x:c>
      <x:c r="F305" s="21" t="n">
        <x:v>510.29862555009606</x:v>
      </x:c>
      <x:c r="G305" s="21" t="n">
        <x:f>F302</x:f>
        <x:v>513.676803021428</x:v>
      </x:c>
      <x:c r="H305" s="21" t="n">
        <x:f>F307</x:f>
        <x:v>583.7282275297496</x:v>
      </x:c>
      <x:c r="I305" s="27" t="n">
        <x:f>IF(AND(ISNUMBER(G305),ISNUMBER(H305),H305&gt;0),G305/H305-1,"")</x:f>
        <x:v>-0.12000691624040305</x:v>
      </x:c>
      <x:c r="J305" s="27" t="n">
        <x:f>IF(AND(ISNUMBER(G305),F305&gt;0),G305/F305-1,"")</x:f>
        <x:v>0.006620001117365826</x:v>
      </x:c>
      <x:c r="K305" s="19" t="str">
        <x:v>Balanced/EXP001/results/seed729426808_Fixed_rank_25.json</x:v>
      </x:c>
    </x:row>
    <x:row r="306" ht="15" hidden="0" customHeight="1">
      <x:c r="A306" s="3" t="str">
        <x:v>EXP001</x:v>
      </x:c>
      <x:c r="B306" s="3" t="str">
        <x:v>Balanced</x:v>
      </x:c>
      <x:c r="C306" s="18" t="n">
        <x:v>729426808</x:v>
      </x:c>
      <x:c r="D306" s="3" t="str">
        <x:v>Relative cutoff 1e-6</x:v>
      </x:c>
      <x:c r="E306" s="18" t="n">
        <x:v>800</x:v>
      </x:c>
      <x:c r="F306" s="21" t="n">
        <x:v>593.8770330371635</x:v>
      </x:c>
      <x:c r="G306" s="21" t="n">
        <x:f>F302</x:f>
        <x:v>513.676803021428</x:v>
      </x:c>
      <x:c r="H306" s="21" t="n">
        <x:f>F307</x:f>
        <x:v>583.7282275297496</x:v>
      </x:c>
      <x:c r="I306" s="27" t="n">
        <x:f>IF(AND(ISNUMBER(G306),ISNUMBER(H306),H306&gt;0),G306/H306-1,"")</x:f>
        <x:v>-0.12000691624040305</x:v>
      </x:c>
      <x:c r="J306" s="27" t="n">
        <x:f>IF(AND(ISNUMBER(G306),F306&gt;0),G306/F306-1,"")</x:f>
        <x:v>-0.13504517863838117</x:v>
      </x:c>
      <x:c r="K306" s="19" t="str">
        <x:v>Balanced/EXP001/results/seed729426808_Relative_cutoff_1e-6.json</x:v>
      </x:c>
    </x:row>
    <x:row r="307" ht="15" hidden="0" customHeight="1">
      <x:c r="A307" s="3" t="str">
        <x:v>EXP001</x:v>
      </x:c>
      <x:c r="B307" s="3" t="str">
        <x:v>Balanced</x:v>
      </x:c>
      <x:c r="C307" s="18" t="n">
        <x:v>729426808</x:v>
      </x:c>
      <x:c r="D307" s="3" t="str">
        <x:v>Full</x:v>
      </x:c>
      <x:c r="E307" s="18" t="n">
        <x:v>800</x:v>
      </x:c>
      <x:c r="F307" s="21" t="n">
        <x:v>583.7282275297496</x:v>
      </x:c>
      <x:c r="G307" s="21" t="n">
        <x:f>F302</x:f>
        <x:v>513.676803021428</x:v>
      </x:c>
      <x:c r="H307" s="21" t="n">
        <x:f>F307</x:f>
        <x:v>583.7282275297496</x:v>
      </x:c>
      <x:c r="I307" s="27" t="n">
        <x:f>IF(AND(ISNUMBER(G307),ISNUMBER(H307),H307&gt;0),G307/H307-1,"")</x:f>
        <x:v>-0.12000691624040305</x:v>
      </x:c>
      <x:c r="J307" s="27" t="n">
        <x:f>IF(AND(ISNUMBER(G307),F307&gt;0),G307/F307-1,"")</x:f>
        <x:v>-0.12000691624040305</x:v>
      </x:c>
      <x:c r="K307" s="19" t="str">
        <x:v>Balanced/EXP001/results/seed729426808_Full.json</x:v>
      </x:c>
    </x:row>
    <x:row r="308" ht="15" hidden="0" customHeight="1">
      <x:c r="A308" s="3" t="str">
        <x:v>EXP001</x:v>
      </x:c>
      <x:c r="B308" s="3" t="str">
        <x:v>Balanced</x:v>
      </x:c>
      <x:c r="C308" s="18" t="n">
        <x:v>729426808</x:v>
      </x:c>
      <x:c r="D308" s="3" t="str">
        <x:v>Relative cutoff 1e-2</x:v>
      </x:c>
      <x:c r="E308" s="18" t="n">
        <x:v>800</x:v>
      </x:c>
      <x:c r="F308" s="21" t="n">
        <x:v>668.8539903305641</x:v>
      </x:c>
      <x:c r="G308" s="21" t="n">
        <x:f>F302</x:f>
        <x:v>513.676803021428</x:v>
      </x:c>
      <x:c r="H308" s="21" t="n">
        <x:f>F307</x:f>
        <x:v>583.7282275297496</x:v>
      </x:c>
      <x:c r="I308" s="27" t="n">
        <x:f>IF(AND(ISNUMBER(G308),ISNUMBER(H308),H308&gt;0),G308/H308-1,"")</x:f>
        <x:v>-0.12000691624040305</x:v>
      </x:c>
      <x:c r="J308" s="27" t="n">
        <x:f>IF(AND(ISNUMBER(G308),F308&gt;0),G308/F308-1,"")</x:f>
        <x:v>-0.23200457731057822</x:v>
      </x:c>
      <x:c r="K308" s="19" t="str">
        <x:v>Balanced/EXP001/results/seed729426808_Relative_cutoff_1e-2.json</x:v>
      </x:c>
    </x:row>
    <x:row r="309" ht="15" hidden="0" customHeight="1">
      <x:c r="A309" s="3" t="str">
        <x:v>EXP001</x:v>
      </x:c>
      <x:c r="B309" s="3" t="str">
        <x:v>Balanced</x:v>
      </x:c>
      <x:c r="C309" s="18" t="n">
        <x:v>729426808</x:v>
      </x:c>
      <x:c r="D309" s="3" t="str">
        <x:v>Relative cutoff 1e-4</x:v>
      </x:c>
      <x:c r="E309" s="18" t="n">
        <x:v>800</x:v>
      </x:c>
      <x:c r="F309" s="21" t="n">
        <x:v>554.7758976728005</x:v>
      </x:c>
      <x:c r="G309" s="21" t="n">
        <x:f>F302</x:f>
        <x:v>513.676803021428</x:v>
      </x:c>
      <x:c r="H309" s="21" t="n">
        <x:f>F307</x:f>
        <x:v>583.7282275297496</x:v>
      </x:c>
      <x:c r="I309" s="27" t="n">
        <x:f>IF(AND(ISNUMBER(G309),ISNUMBER(H309),H309&gt;0),G309/H309-1,"")</x:f>
        <x:v>-0.12000691624040305</x:v>
      </x:c>
      <x:c r="J309" s="27" t="n">
        <x:f>IF(AND(ISNUMBER(G309),F309&gt;0),G309/F309-1,"")</x:f>
        <x:v>-0.07408233635198802</x:v>
      </x:c>
      <x:c r="K309" s="19" t="str">
        <x:v>Balanced/EXP001/results/seed729426808_Relative_cutoff_1e-4.json</x:v>
      </x:c>
    </x:row>
    <x:row r="310" ht="15" hidden="0" customHeight="1">
      <x:c r="A310" s="3" t="str">
        <x:v>EXP001</x:v>
      </x:c>
      <x:c r="B310" s="3" t="str">
        <x:v>Balanced</x:v>
      </x:c>
      <x:c r="C310" s="18" t="n">
        <x:v>729963537</x:v>
      </x:c>
      <x:c r="D310" s="3" t="str">
        <x:v>BBP</x:v>
      </x:c>
      <x:c r="E310" s="18" t="n">
        <x:v>800</x:v>
      </x:c>
      <x:c r="F310" s="21" t="n">
        <x:v>743.1036289228847</x:v>
      </x:c>
      <x:c r="G310" s="21" t="n">
        <x:f>F310</x:f>
        <x:v>743.1036289228847</x:v>
      </x:c>
      <x:c r="H310" s="21" t="n">
        <x:f>F315</x:f>
        <x:v>704.0566573398643</x:v>
      </x:c>
      <x:c r="I310" s="27" t="n">
        <x:f>IF(AND(ISNUMBER(G310),ISNUMBER(H310),H310&gt;0),G310/H310-1,"")</x:f>
        <x:v>0.05545998489745352</x:v>
      </x:c>
      <x:c r="J310" s="27" t="n">
        <x:f>IF(AND(ISNUMBER(G310),F310&gt;0),G310/F310-1,"")</x:f>
        <x:v>0</x:v>
      </x:c>
      <x:c r="K310" s="19" t="str">
        <x:v>Balanced/EXP001/results/seed729963537_BBP.json</x:v>
      </x:c>
    </x:row>
    <x:row r="311" ht="15" hidden="0" customHeight="1">
      <x:c r="A311" s="3" t="str">
        <x:v>EXP001</x:v>
      </x:c>
      <x:c r="B311" s="3" t="str">
        <x:v>Balanced</x:v>
      </x:c>
      <x:c r="C311" s="18" t="n">
        <x:v>729963537</x:v>
      </x:c>
      <x:c r="D311" s="3" t="str">
        <x:v>Relative cutoff 1e-5</x:v>
      </x:c>
      <x:c r="E311" s="18" t="n">
        <x:v>800</x:v>
      </x:c>
      <x:c r="F311" s="21" t="n">
        <x:v>720.3269971804767</x:v>
      </x:c>
      <x:c r="G311" s="21" t="n">
        <x:f>F310</x:f>
        <x:v>743.1036289228847</x:v>
      </x:c>
      <x:c r="H311" s="21" t="n">
        <x:f>F315</x:f>
        <x:v>704.0566573398643</x:v>
      </x:c>
      <x:c r="I311" s="27" t="n">
        <x:f>IF(AND(ISNUMBER(G311),ISNUMBER(H311),H311&gt;0),G311/H311-1,"")</x:f>
        <x:v>0.05545998489745352</x:v>
      </x:c>
      <x:c r="J311" s="27" t="n">
        <x:f>IF(AND(ISNUMBER(G311),F311&gt;0),G311/F311-1,"")</x:f>
        <x:v>0.0316198501952043</x:v>
      </x:c>
      <x:c r="K311" s="19" t="str">
        <x:v>Balanced/EXP001/results/seed729963537_Relative_cutoff_1e-5.json</x:v>
      </x:c>
    </x:row>
    <x:row r="312" ht="15" hidden="0" customHeight="1">
      <x:c r="A312" s="3" t="str">
        <x:v>EXP001</x:v>
      </x:c>
      <x:c r="B312" s="3" t="str">
        <x:v>Balanced</x:v>
      </x:c>
      <x:c r="C312" s="18" t="n">
        <x:v>729963537</x:v>
      </x:c>
      <x:c r="D312" s="3" t="str">
        <x:v>Fixed rank 10</x:v>
      </x:c>
      <x:c r="E312" s="18" t="n">
        <x:v>800</x:v>
      </x:c>
      <x:c r="F312" s="21" t="n">
        <x:v>882.9030639965542</x:v>
      </x:c>
      <x:c r="G312" s="21" t="n">
        <x:f>F310</x:f>
        <x:v>743.1036289228847</x:v>
      </x:c>
      <x:c r="H312" s="21" t="n">
        <x:f>F315</x:f>
        <x:v>704.0566573398643</x:v>
      </x:c>
      <x:c r="I312" s="27" t="n">
        <x:f>IF(AND(ISNUMBER(G312),ISNUMBER(H312),H312&gt;0),G312/H312-1,"")</x:f>
        <x:v>0.05545998489745352</x:v>
      </x:c>
      <x:c r="J312" s="27" t="n">
        <x:f>IF(AND(ISNUMBER(G312),F312&gt;0),G312/F312-1,"")</x:f>
        <x:v>-0.15834063871162996</x:v>
      </x:c>
      <x:c r="K312" s="19" t="str">
        <x:v>Balanced/EXP001/results/seed729963537_Fixed_rank_10.json</x:v>
      </x:c>
    </x:row>
    <x:row r="313" ht="15" hidden="0" customHeight="1">
      <x:c r="A313" s="3" t="str">
        <x:v>EXP001</x:v>
      </x:c>
      <x:c r="B313" s="3" t="str">
        <x:v>Balanced</x:v>
      </x:c>
      <x:c r="C313" s="18" t="n">
        <x:v>729963537</x:v>
      </x:c>
      <x:c r="D313" s="3" t="str">
        <x:v>Fixed rank 25</x:v>
      </x:c>
      <x:c r="E313" s="18" t="n">
        <x:v>800</x:v>
      </x:c>
      <x:c r="F313" s="21" t="n">
        <x:v>734.8106264867018</x:v>
      </x:c>
      <x:c r="G313" s="21" t="n">
        <x:f>F310</x:f>
        <x:v>743.1036289228847</x:v>
      </x:c>
      <x:c r="H313" s="21" t="n">
        <x:f>F315</x:f>
        <x:v>704.0566573398643</x:v>
      </x:c>
      <x:c r="I313" s="27" t="n">
        <x:f>IF(AND(ISNUMBER(G313),ISNUMBER(H313),H313&gt;0),G313/H313-1,"")</x:f>
        <x:v>0.05545998489745352</x:v>
      </x:c>
      <x:c r="J313" s="27" t="n">
        <x:f>IF(AND(ISNUMBER(G313),F313&gt;0),G313/F313-1,"")</x:f>
        <x:v>0.011285904336786112</x:v>
      </x:c>
      <x:c r="K313" s="19" t="str">
        <x:v>Balanced/EXP001/results/seed729963537_Fixed_rank_25.json</x:v>
      </x:c>
    </x:row>
    <x:row r="314" ht="15" hidden="0" customHeight="1">
      <x:c r="A314" s="3" t="str">
        <x:v>EXP001</x:v>
      </x:c>
      <x:c r="B314" s="3" t="str">
        <x:v>Balanced</x:v>
      </x:c>
      <x:c r="C314" s="18" t="n">
        <x:v>729963537</x:v>
      </x:c>
      <x:c r="D314" s="3" t="str">
        <x:v>Relative cutoff 1e-6</x:v>
      </x:c>
      <x:c r="E314" s="18" t="n">
        <x:v>800</x:v>
      </x:c>
      <x:c r="F314" s="21" t="n">
        <x:v>811.3938543641542</x:v>
      </x:c>
      <x:c r="G314" s="21" t="n">
        <x:f>F310</x:f>
        <x:v>743.1036289228847</x:v>
      </x:c>
      <x:c r="H314" s="21" t="n">
        <x:f>F315</x:f>
        <x:v>704.0566573398643</x:v>
      </x:c>
      <x:c r="I314" s="27" t="n">
        <x:f>IF(AND(ISNUMBER(G314),ISNUMBER(H314),H314&gt;0),G314/H314-1,"")</x:f>
        <x:v>0.05545998489745352</x:v>
      </x:c>
      <x:c r="J314" s="27" t="n">
        <x:f>IF(AND(ISNUMBER(G314),F314&gt;0),G314/F314-1,"")</x:f>
        <x:v>-0.08416409007039483</x:v>
      </x:c>
      <x:c r="K314" s="19" t="str">
        <x:v>Balanced/EXP001/results/seed729963537_Relative_cutoff_1e-6.json</x:v>
      </x:c>
    </x:row>
    <x:row r="315" ht="15" hidden="0" customHeight="1">
      <x:c r="A315" s="3" t="str">
        <x:v>EXP001</x:v>
      </x:c>
      <x:c r="B315" s="3" t="str">
        <x:v>Balanced</x:v>
      </x:c>
      <x:c r="C315" s="18" t="n">
        <x:v>729963537</x:v>
      </x:c>
      <x:c r="D315" s="3" t="str">
        <x:v>Full</x:v>
      </x:c>
      <x:c r="E315" s="18" t="n">
        <x:v>800</x:v>
      </x:c>
      <x:c r="F315" s="21" t="n">
        <x:v>704.0566573398643</x:v>
      </x:c>
      <x:c r="G315" s="21" t="n">
        <x:f>F310</x:f>
        <x:v>743.1036289228847</x:v>
      </x:c>
      <x:c r="H315" s="21" t="n">
        <x:f>F315</x:f>
        <x:v>704.0566573398643</x:v>
      </x:c>
      <x:c r="I315" s="27" t="n">
        <x:f>IF(AND(ISNUMBER(G315),ISNUMBER(H315),H315&gt;0),G315/H315-1,"")</x:f>
        <x:v>0.05545998489745352</x:v>
      </x:c>
      <x:c r="J315" s="27" t="n">
        <x:f>IF(AND(ISNUMBER(G315),F315&gt;0),G315/F315-1,"")</x:f>
        <x:v>0.05545998489745352</x:v>
      </x:c>
      <x:c r="K315" s="19" t="str">
        <x:v>Balanced/EXP001/results/seed729963537_Full.json</x:v>
      </x:c>
    </x:row>
    <x:row r="316" ht="15" hidden="0" customHeight="1">
      <x:c r="A316" s="3" t="str">
        <x:v>EXP001</x:v>
      </x:c>
      <x:c r="B316" s="3" t="str">
        <x:v>Balanced</x:v>
      </x:c>
      <x:c r="C316" s="18" t="n">
        <x:v>729963537</x:v>
      </x:c>
      <x:c r="D316" s="3" t="str">
        <x:v>Relative cutoff 1e-2</x:v>
      </x:c>
      <x:c r="E316" s="18" t="n">
        <x:v>800</x:v>
      </x:c>
      <x:c r="F316" s="21" t="n">
        <x:v>849.0899863196944</x:v>
      </x:c>
      <x:c r="G316" s="21" t="n">
        <x:f>F310</x:f>
        <x:v>743.1036289228847</x:v>
      </x:c>
      <x:c r="H316" s="21" t="n">
        <x:f>F315</x:f>
        <x:v>704.0566573398643</x:v>
      </x:c>
      <x:c r="I316" s="27" t="n">
        <x:f>IF(AND(ISNUMBER(G316),ISNUMBER(H316),H316&gt;0),G316/H316-1,"")</x:f>
        <x:v>0.05545998489745352</x:v>
      </x:c>
      <x:c r="J316" s="27" t="n">
        <x:f>IF(AND(ISNUMBER(G316),F316&gt;0),G316/F316-1,"")</x:f>
        <x:v>-0.12482346877767125</x:v>
      </x:c>
      <x:c r="K316" s="19" t="str">
        <x:v>Balanced/EXP001/results/seed729963537_Relative_cutoff_1e-2.json</x:v>
      </x:c>
    </x:row>
    <x:row r="317" ht="15" hidden="0" customHeight="1">
      <x:c r="A317" s="3" t="str">
        <x:v>EXP001</x:v>
      </x:c>
      <x:c r="B317" s="3" t="str">
        <x:v>Balanced</x:v>
      </x:c>
      <x:c r="C317" s="18" t="n">
        <x:v>729963537</x:v>
      </x:c>
      <x:c r="D317" s="3" t="str">
        <x:v>Relative cutoff 1e-4</x:v>
      </x:c>
      <x:c r="E317" s="18" t="n">
        <x:v>800</x:v>
      </x:c>
      <x:c r="F317" s="21" t="n">
        <x:v>743.244537742871</x:v>
      </x:c>
      <x:c r="G317" s="21" t="n">
        <x:f>F310</x:f>
        <x:v>743.1036289228847</x:v>
      </x:c>
      <x:c r="H317" s="21" t="n">
        <x:f>F315</x:f>
        <x:v>704.0566573398643</x:v>
      </x:c>
      <x:c r="I317" s="27" t="n">
        <x:f>IF(AND(ISNUMBER(G317),ISNUMBER(H317),H317&gt;0),G317/H317-1,"")</x:f>
        <x:v>0.05545998489745352</x:v>
      </x:c>
      <x:c r="J317" s="27" t="n">
        <x:f>IF(AND(ISNUMBER(G317),F317&gt;0),G317/F317-1,"")</x:f>
        <x:v>-0.00018958608214492134</x:v>
      </x:c>
      <x:c r="K317" s="19" t="str">
        <x:v>Balanced/EXP001/results/seed729963537_Relative_cutoff_1e-4.json</x:v>
      </x:c>
    </x:row>
    <x:row r="318" ht="15" hidden="0" customHeight="1">
      <x:c r="A318" s="3" t="str">
        <x:v>EXP001</x:v>
      </x:c>
      <x:c r="B318" s="3" t="str">
        <x:v>Balanced</x:v>
      </x:c>
      <x:c r="C318" s="18" t="n">
        <x:v>768854411</x:v>
      </x:c>
      <x:c r="D318" s="3" t="str">
        <x:v>BBP</x:v>
      </x:c>
      <x:c r="E318" s="18" t="n">
        <x:v>800</x:v>
      </x:c>
      <x:c r="F318" s="21" t="n">
        <x:v>687.0576411298181</x:v>
      </x:c>
      <x:c r="G318" s="21" t="n">
        <x:f>F318</x:f>
        <x:v>687.0576411298181</x:v>
      </x:c>
      <x:c r="H318" s="21" t="n">
        <x:f>F323</x:f>
        <x:v>736.2902347132307</x:v>
      </x:c>
      <x:c r="I318" s="27" t="n">
        <x:f>IF(AND(ISNUMBER(G318),ISNUMBER(H318),H318&gt;0),G318/H318-1,"")</x:f>
        <x:v>-0.06686574296695336</x:v>
      </x:c>
      <x:c r="J318" s="27" t="n">
        <x:f>IF(AND(ISNUMBER(G318),F318&gt;0),G318/F318-1,"")</x:f>
        <x:v>0</x:v>
      </x:c>
      <x:c r="K318" s="19" t="str">
        <x:v>Balanced/EXP001/results/seed768854411_BBP.json</x:v>
      </x:c>
    </x:row>
    <x:row r="319" ht="15" hidden="0" customHeight="1">
      <x:c r="A319" s="3" t="str">
        <x:v>EXP001</x:v>
      </x:c>
      <x:c r="B319" s="3" t="str">
        <x:v>Balanced</x:v>
      </x:c>
      <x:c r="C319" s="18" t="n">
        <x:v>768854411</x:v>
      </x:c>
      <x:c r="D319" s="3" t="str">
        <x:v>Relative cutoff 1e-5</x:v>
      </x:c>
      <x:c r="E319" s="18" t="n">
        <x:v>800</x:v>
      </x:c>
      <x:c r="F319" s="21" t="n">
        <x:v>831.7398597611266</x:v>
      </x:c>
      <x:c r="G319" s="21" t="n">
        <x:f>F318</x:f>
        <x:v>687.0576411298181</x:v>
      </x:c>
      <x:c r="H319" s="21" t="n">
        <x:f>F323</x:f>
        <x:v>736.2902347132307</x:v>
      </x:c>
      <x:c r="I319" s="27" t="n">
        <x:f>IF(AND(ISNUMBER(G319),ISNUMBER(H319),H319&gt;0),G319/H319-1,"")</x:f>
        <x:v>-0.06686574296695336</x:v>
      </x:c>
      <x:c r="J319" s="27" t="n">
        <x:f>IF(AND(ISNUMBER(G319),F319&gt;0),G319/F319-1,"")</x:f>
        <x:v>-0.17395128649101999</x:v>
      </x:c>
      <x:c r="K319" s="19" t="str">
        <x:v>Balanced/EXP001/results/seed768854411_Relative_cutoff_1e-5.json</x:v>
      </x:c>
    </x:row>
    <x:row r="320" ht="15" hidden="0" customHeight="1">
      <x:c r="A320" s="3" t="str">
        <x:v>EXP001</x:v>
      </x:c>
      <x:c r="B320" s="3" t="str">
        <x:v>Balanced</x:v>
      </x:c>
      <x:c r="C320" s="18" t="n">
        <x:v>768854411</x:v>
      </x:c>
      <x:c r="D320" s="3" t="str">
        <x:v>Fixed rank 10</x:v>
      </x:c>
      <x:c r="E320" s="18" t="n">
        <x:v>800</x:v>
      </x:c>
      <x:c r="F320" s="21" t="n">
        <x:v>783.6998402166347</x:v>
      </x:c>
      <x:c r="G320" s="21" t="n">
        <x:f>F318</x:f>
        <x:v>687.0576411298181</x:v>
      </x:c>
      <x:c r="H320" s="21" t="n">
        <x:f>F323</x:f>
        <x:v>736.2902347132307</x:v>
      </x:c>
      <x:c r="I320" s="27" t="n">
        <x:f>IF(AND(ISNUMBER(G320),ISNUMBER(H320),H320&gt;0),G320/H320-1,"")</x:f>
        <x:v>-0.06686574296695336</x:v>
      </x:c>
      <x:c r="J320" s="27" t="n">
        <x:f>IF(AND(ISNUMBER(G320),F320&gt;0),G320/F320-1,"")</x:f>
        <x:v>-0.12331532319835903</x:v>
      </x:c>
      <x:c r="K320" s="19" t="str">
        <x:v>Balanced/EXP001/results/seed768854411_Fixed_rank_10.json</x:v>
      </x:c>
    </x:row>
    <x:row r="321" ht="15" hidden="0" customHeight="1">
      <x:c r="A321" s="3" t="str">
        <x:v>EXP001</x:v>
      </x:c>
      <x:c r="B321" s="3" t="str">
        <x:v>Balanced</x:v>
      </x:c>
      <x:c r="C321" s="18" t="n">
        <x:v>768854411</x:v>
      </x:c>
      <x:c r="D321" s="3" t="str">
        <x:v>Fixed rank 25</x:v>
      </x:c>
      <x:c r="E321" s="18" t="n">
        <x:v>800</x:v>
      </x:c>
      <x:c r="F321" s="21" t="n">
        <x:v>697.1121257442287</x:v>
      </x:c>
      <x:c r="G321" s="21" t="n">
        <x:f>F318</x:f>
        <x:v>687.0576411298181</x:v>
      </x:c>
      <x:c r="H321" s="21" t="n">
        <x:f>F323</x:f>
        <x:v>736.2902347132307</x:v>
      </x:c>
      <x:c r="I321" s="27" t="n">
        <x:f>IF(AND(ISNUMBER(G321),ISNUMBER(H321),H321&gt;0),G321/H321-1,"")</x:f>
        <x:v>-0.06686574296695336</x:v>
      </x:c>
      <x:c r="J321" s="27" t="n">
        <x:f>IF(AND(ISNUMBER(G321),F321&gt;0),G321/F321-1,"")</x:f>
        <x:v>-0.014423052250994162</x:v>
      </x:c>
      <x:c r="K321" s="19" t="str">
        <x:v>Balanced/EXP001/results/seed768854411_Fixed_rank_25.json</x:v>
      </x:c>
    </x:row>
    <x:row r="322" ht="15" hidden="0" customHeight="1">
      <x:c r="A322" s="3" t="str">
        <x:v>EXP001</x:v>
      </x:c>
      <x:c r="B322" s="3" t="str">
        <x:v>Balanced</x:v>
      </x:c>
      <x:c r="C322" s="18" t="n">
        <x:v>768854411</x:v>
      </x:c>
      <x:c r="D322" s="3" t="str">
        <x:v>Relative cutoff 1e-6</x:v>
      </x:c>
      <x:c r="E322" s="18" t="n">
        <x:v>800</x:v>
      </x:c>
      <x:c r="F322" s="21" t="n">
        <x:v>750.010128764532</x:v>
      </x:c>
      <x:c r="G322" s="21" t="n">
        <x:f>F318</x:f>
        <x:v>687.0576411298181</x:v>
      </x:c>
      <x:c r="H322" s="21" t="n">
        <x:f>F323</x:f>
        <x:v>736.2902347132307</x:v>
      </x:c>
      <x:c r="I322" s="27" t="n">
        <x:f>IF(AND(ISNUMBER(G322),ISNUMBER(H322),H322&gt;0),G322/H322-1,"")</x:f>
        <x:v>-0.06686574296695336</x:v>
      </x:c>
      <x:c r="J322" s="27" t="n">
        <x:f>IF(AND(ISNUMBER(G322),F322&gt;0),G322/F322-1,"")</x:f>
        <x:v>-0.08393551662884025</x:v>
      </x:c>
      <x:c r="K322" s="19" t="str">
        <x:v>Balanced/EXP001/results/seed768854411_Relative_cutoff_1e-6.json</x:v>
      </x:c>
    </x:row>
    <x:row r="323" ht="15" hidden="0" customHeight="1">
      <x:c r="A323" s="3" t="str">
        <x:v>EXP001</x:v>
      </x:c>
      <x:c r="B323" s="3" t="str">
        <x:v>Balanced</x:v>
      </x:c>
      <x:c r="C323" s="18" t="n">
        <x:v>768854411</x:v>
      </x:c>
      <x:c r="D323" s="3" t="str">
        <x:v>Full</x:v>
      </x:c>
      <x:c r="E323" s="18" t="n">
        <x:v>800</x:v>
      </x:c>
      <x:c r="F323" s="21" t="n">
        <x:v>736.2902347132307</x:v>
      </x:c>
      <x:c r="G323" s="21" t="n">
        <x:f>F318</x:f>
        <x:v>687.0576411298181</x:v>
      </x:c>
      <x:c r="H323" s="21" t="n">
        <x:f>F323</x:f>
        <x:v>736.2902347132307</x:v>
      </x:c>
      <x:c r="I323" s="27" t="n">
        <x:f>IF(AND(ISNUMBER(G323),ISNUMBER(H323),H323&gt;0),G323/H323-1,"")</x:f>
        <x:v>-0.06686574296695336</x:v>
      </x:c>
      <x:c r="J323" s="27" t="n">
        <x:f>IF(AND(ISNUMBER(G323),F323&gt;0),G323/F323-1,"")</x:f>
        <x:v>-0.06686574296695336</x:v>
      </x:c>
      <x:c r="K323" s="19" t="str">
        <x:v>Balanced/EXP001/results/seed768854411_Full.json</x:v>
      </x:c>
    </x:row>
    <x:row r="324" ht="15" hidden="0" customHeight="1">
      <x:c r="A324" s="3" t="str">
        <x:v>EXP001</x:v>
      </x:c>
      <x:c r="B324" s="3" t="str">
        <x:v>Balanced</x:v>
      </x:c>
      <x:c r="C324" s="18" t="n">
        <x:v>768854411</x:v>
      </x:c>
      <x:c r="D324" s="3" t="str">
        <x:v>Relative cutoff 1e-2</x:v>
      </x:c>
      <x:c r="E324" s="18" t="n">
        <x:v>800</x:v>
      </x:c>
      <x:c r="F324" s="21" t="n">
        <x:v>797.5395085488951</x:v>
      </x:c>
      <x:c r="G324" s="21" t="n">
        <x:f>F318</x:f>
        <x:v>687.0576411298181</x:v>
      </x:c>
      <x:c r="H324" s="21" t="n">
        <x:f>F323</x:f>
        <x:v>736.2902347132307</x:v>
      </x:c>
      <x:c r="I324" s="27" t="n">
        <x:f>IF(AND(ISNUMBER(G324),ISNUMBER(H324),H324&gt;0),G324/H324-1,"")</x:f>
        <x:v>-0.06686574296695336</x:v>
      </x:c>
      <x:c r="J324" s="27" t="n">
        <x:f>IF(AND(ISNUMBER(G324),F324&gt;0),G324/F324-1,"")</x:f>
        <x:v>-0.13852839418588336</x:v>
      </x:c>
      <x:c r="K324" s="19" t="str">
        <x:v>Balanced/EXP001/results/seed768854411_Relative_cutoff_1e-2.json</x:v>
      </x:c>
    </x:row>
    <x:row r="325" ht="15" hidden="0" customHeight="1">
      <x:c r="A325" s="3" t="str">
        <x:v>EXP001</x:v>
      </x:c>
      <x:c r="B325" s="3" t="str">
        <x:v>Balanced</x:v>
      </x:c>
      <x:c r="C325" s="18" t="n">
        <x:v>768854411</x:v>
      </x:c>
      <x:c r="D325" s="3" t="str">
        <x:v>Relative cutoff 1e-4</x:v>
      </x:c>
      <x:c r="E325" s="18" t="n">
        <x:v>800</x:v>
      </x:c>
      <x:c r="F325" s="21" t="n">
        <x:v>814.7192848156179</x:v>
      </x:c>
      <x:c r="G325" s="21" t="n">
        <x:f>F318</x:f>
        <x:v>687.0576411298181</x:v>
      </x:c>
      <x:c r="H325" s="21" t="n">
        <x:f>F323</x:f>
        <x:v>736.2902347132307</x:v>
      </x:c>
      <x:c r="I325" s="27" t="n">
        <x:f>IF(AND(ISNUMBER(G325),ISNUMBER(H325),H325&gt;0),G325/H325-1,"")</x:f>
        <x:v>-0.06686574296695336</x:v>
      </x:c>
      <x:c r="J325" s="27" t="n">
        <x:f>IF(AND(ISNUMBER(G325),F325&gt;0),G325/F325-1,"")</x:f>
        <x:v>-0.1566940246353582</x:v>
      </x:c>
      <x:c r="K325" s="19" t="str">
        <x:v>Balanced/EXP001/results/seed768854411_Relative_cutoff_1e-4.json</x:v>
      </x:c>
    </x:row>
    <x:row r="326" ht="15" hidden="0" customHeight="1">
      <x:c r="A326" s="3" t="str">
        <x:v>EXP001</x:v>
      </x:c>
      <x:c r="B326" s="3" t="str">
        <x:v>Balanced</x:v>
      </x:c>
      <x:c r="C326" s="18" t="n">
        <x:v>905354740</x:v>
      </x:c>
      <x:c r="D326" s="3" t="str">
        <x:v>BBP</x:v>
      </x:c>
      <x:c r="E326" s="18" t="n">
        <x:v>800</x:v>
      </x:c>
      <x:c r="F326" s="21" t="n">
        <x:v>870.3422710641914</x:v>
      </x:c>
      <x:c r="G326" s="21" t="n">
        <x:f>F326</x:f>
        <x:v>870.3422710641914</x:v>
      </x:c>
      <x:c r="H326" s="21" t="n">
        <x:f>F331</x:f>
        <x:v>878.1182934115067</x:v>
      </x:c>
      <x:c r="I326" s="27" t="n">
        <x:f>IF(AND(ISNUMBER(G326),ISNUMBER(H326),H326&gt;0),G326/H326-1,"")</x:f>
        <x:v>-0.008855324397246345</x:v>
      </x:c>
      <x:c r="J326" s="27" t="n">
        <x:f>IF(AND(ISNUMBER(G326),F326&gt;0),G326/F326-1,"")</x:f>
        <x:v>0</x:v>
      </x:c>
      <x:c r="K326" s="19" t="str">
        <x:v>Balanced/EXP001/results/seed905354740_BBP.json</x:v>
      </x:c>
    </x:row>
    <x:row r="327" ht="15" hidden="0" customHeight="1">
      <x:c r="A327" s="3" t="str">
        <x:v>EXP001</x:v>
      </x:c>
      <x:c r="B327" s="3" t="str">
        <x:v>Balanced</x:v>
      </x:c>
      <x:c r="C327" s="18" t="n">
        <x:v>905354740</x:v>
      </x:c>
      <x:c r="D327" s="3" t="str">
        <x:v>Relative cutoff 1e-5</x:v>
      </x:c>
      <x:c r="E327" s="18" t="n">
        <x:v>800</x:v>
      </x:c>
      <x:c r="F327" s="21" t="n">
        <x:v>870.6415505884618</x:v>
      </x:c>
      <x:c r="G327" s="21" t="n">
        <x:f>F326</x:f>
        <x:v>870.3422710641914</x:v>
      </x:c>
      <x:c r="H327" s="21" t="n">
        <x:f>F331</x:f>
        <x:v>878.1182934115067</x:v>
      </x:c>
      <x:c r="I327" s="27" t="n">
        <x:f>IF(AND(ISNUMBER(G327),ISNUMBER(H327),H327&gt;0),G327/H327-1,"")</x:f>
        <x:v>-0.008855324397246345</x:v>
      </x:c>
      <x:c r="J327" s="27" t="n">
        <x:f>IF(AND(ISNUMBER(G327),F327&gt;0),G327/F327-1,"")</x:f>
        <x:v>-0.00034374596993225204</x:v>
      </x:c>
      <x:c r="K327" s="19" t="str">
        <x:v>Balanced/EXP001/results/seed905354740_Relative_cutoff_1e-5.json</x:v>
      </x:c>
    </x:row>
    <x:row r="328" ht="15" hidden="0" customHeight="1">
      <x:c r="A328" s="3" t="str">
        <x:v>EXP001</x:v>
      </x:c>
      <x:c r="B328" s="3" t="str">
        <x:v>Balanced</x:v>
      </x:c>
      <x:c r="C328" s="18" t="n">
        <x:v>905354740</x:v>
      </x:c>
      <x:c r="D328" s="3" t="str">
        <x:v>Fixed rank 10</x:v>
      </x:c>
      <x:c r="E328" s="18" t="n">
        <x:v>800</x:v>
      </x:c>
      <x:c r="F328" s="21" t="n">
        <x:v>855.0934661223307</x:v>
      </x:c>
      <x:c r="G328" s="21" t="n">
        <x:f>F326</x:f>
        <x:v>870.3422710641914</x:v>
      </x:c>
      <x:c r="H328" s="21" t="n">
        <x:f>F331</x:f>
        <x:v>878.1182934115067</x:v>
      </x:c>
      <x:c r="I328" s="27" t="n">
        <x:f>IF(AND(ISNUMBER(G328),ISNUMBER(H328),H328&gt;0),G328/H328-1,"")</x:f>
        <x:v>-0.008855324397246345</x:v>
      </x:c>
      <x:c r="J328" s="27" t="n">
        <x:f>IF(AND(ISNUMBER(G328),F328&gt;0),G328/F328-1,"")</x:f>
        <x:v>0.017832910139064406</x:v>
      </x:c>
      <x:c r="K328" s="19" t="str">
        <x:v>Balanced/EXP001/results/seed905354740_Fixed_rank_10.json</x:v>
      </x:c>
    </x:row>
    <x:row r="329" ht="15" hidden="0" customHeight="1">
      <x:c r="A329" s="3" t="str">
        <x:v>EXP001</x:v>
      </x:c>
      <x:c r="B329" s="3" t="str">
        <x:v>Balanced</x:v>
      </x:c>
      <x:c r="C329" s="18" t="n">
        <x:v>905354740</x:v>
      </x:c>
      <x:c r="D329" s="3" t="str">
        <x:v>Fixed rank 25</x:v>
      </x:c>
      <x:c r="E329" s="18" t="n">
        <x:v>800</x:v>
      </x:c>
      <x:c r="F329" s="21" t="n">
        <x:v>854.8750118566365</x:v>
      </x:c>
      <x:c r="G329" s="21" t="n">
        <x:f>F326</x:f>
        <x:v>870.3422710641914</x:v>
      </x:c>
      <x:c r="H329" s="21" t="n">
        <x:f>F331</x:f>
        <x:v>878.1182934115067</x:v>
      </x:c>
      <x:c r="I329" s="27" t="n">
        <x:f>IF(AND(ISNUMBER(G329),ISNUMBER(H329),H329&gt;0),G329/H329-1,"")</x:f>
        <x:v>-0.008855324397246345</x:v>
      </x:c>
      <x:c r="J329" s="27" t="n">
        <x:f>IF(AND(ISNUMBER(G329),F329&gt;0),G329/F329-1,"")</x:f>
        <x:v>0.018093006571759274</x:v>
      </x:c>
      <x:c r="K329" s="19" t="str">
        <x:v>Balanced/EXP001/results/seed905354740_Fixed_rank_25.json</x:v>
      </x:c>
    </x:row>
    <x:row r="330" ht="15" hidden="0" customHeight="1">
      <x:c r="A330" s="3" t="str">
        <x:v>EXP001</x:v>
      </x:c>
      <x:c r="B330" s="3" t="str">
        <x:v>Balanced</x:v>
      </x:c>
      <x:c r="C330" s="18" t="n">
        <x:v>905354740</x:v>
      </x:c>
      <x:c r="D330" s="3" t="str">
        <x:v>Relative cutoff 1e-6</x:v>
      </x:c>
      <x:c r="E330" s="18" t="n">
        <x:v>800</x:v>
      </x:c>
      <x:c r="F330" s="21" t="n">
        <x:v>850.6235941003507</x:v>
      </x:c>
      <x:c r="G330" s="21" t="n">
        <x:f>F326</x:f>
        <x:v>870.3422710641914</x:v>
      </x:c>
      <x:c r="H330" s="21" t="n">
        <x:f>F331</x:f>
        <x:v>878.1182934115067</x:v>
      </x:c>
      <x:c r="I330" s="27" t="n">
        <x:f>IF(AND(ISNUMBER(G330),ISNUMBER(H330),H330&gt;0),G330/H330-1,"")</x:f>
        <x:v>-0.008855324397246345</x:v>
      </x:c>
      <x:c r="J330" s="27" t="n">
        <x:f>IF(AND(ISNUMBER(G330),F330&gt;0),G330/F330-1,"")</x:f>
        <x:v>0.023181436654947207</x:v>
      </x:c>
      <x:c r="K330" s="19" t="str">
        <x:v>Balanced/EXP001/results/seed905354740_Relative_cutoff_1e-6.json</x:v>
      </x:c>
    </x:row>
    <x:row r="331" ht="15" hidden="0" customHeight="1">
      <x:c r="A331" s="3" t="str">
        <x:v>EXP001</x:v>
      </x:c>
      <x:c r="B331" s="3" t="str">
        <x:v>Balanced</x:v>
      </x:c>
      <x:c r="C331" s="18" t="n">
        <x:v>905354740</x:v>
      </x:c>
      <x:c r="D331" s="3" t="str">
        <x:v>Full</x:v>
      </x:c>
      <x:c r="E331" s="18" t="n">
        <x:v>800</x:v>
      </x:c>
      <x:c r="F331" s="21" t="n">
        <x:v>878.1182934115067</x:v>
      </x:c>
      <x:c r="G331" s="21" t="n">
        <x:f>F326</x:f>
        <x:v>870.3422710641914</x:v>
      </x:c>
      <x:c r="H331" s="21" t="n">
        <x:f>F331</x:f>
        <x:v>878.1182934115067</x:v>
      </x:c>
      <x:c r="I331" s="27" t="n">
        <x:f>IF(AND(ISNUMBER(G331),ISNUMBER(H331),H331&gt;0),G331/H331-1,"")</x:f>
        <x:v>-0.008855324397246345</x:v>
      </x:c>
      <x:c r="J331" s="27" t="n">
        <x:f>IF(AND(ISNUMBER(G331),F331&gt;0),G331/F331-1,"")</x:f>
        <x:v>-0.008855324397246345</x:v>
      </x:c>
      <x:c r="K331" s="19" t="str">
        <x:v>Balanced/EXP001/results/seed905354740_Full.json</x:v>
      </x:c>
    </x:row>
    <x:row r="332" ht="15" hidden="0" customHeight="1">
      <x:c r="A332" s="3" t="str">
        <x:v>EXP001</x:v>
      </x:c>
      <x:c r="B332" s="3" t="str">
        <x:v>Balanced</x:v>
      </x:c>
      <x:c r="C332" s="18" t="n">
        <x:v>905354740</x:v>
      </x:c>
      <x:c r="D332" s="3" t="str">
        <x:v>Relative cutoff 1e-2</x:v>
      </x:c>
      <x:c r="E332" s="18" t="n">
        <x:v>800</x:v>
      </x:c>
      <x:c r="F332" s="21" t="n">
        <x:v>945.8962625164365</x:v>
      </x:c>
      <x:c r="G332" s="21" t="n">
        <x:f>F326</x:f>
        <x:v>870.3422710641914</x:v>
      </x:c>
      <x:c r="H332" s="21" t="n">
        <x:f>F331</x:f>
        <x:v>878.1182934115067</x:v>
      </x:c>
      <x:c r="I332" s="27" t="n">
        <x:f>IF(AND(ISNUMBER(G332),ISNUMBER(H332),H332&gt;0),G332/H332-1,"")</x:f>
        <x:v>-0.008855324397246345</x:v>
      </x:c>
      <x:c r="J332" s="27" t="n">
        <x:f>IF(AND(ISNUMBER(G332),F332&gt;0),G332/F332-1,"")</x:f>
        <x:v>-0.07987555765496246</x:v>
      </x:c>
      <x:c r="K332" s="19" t="str">
        <x:v>Balanced/EXP001/results/seed905354740_Relative_cutoff_1e-2.json</x:v>
      </x:c>
    </x:row>
    <x:row r="333" ht="15" hidden="0" customHeight="1">
      <x:c r="A333" s="3" t="str">
        <x:v>EXP001</x:v>
      </x:c>
      <x:c r="B333" s="3" t="str">
        <x:v>Balanced</x:v>
      </x:c>
      <x:c r="C333" s="18" t="n">
        <x:v>905354740</x:v>
      </x:c>
      <x:c r="D333" s="3" t="str">
        <x:v>Relative cutoff 1e-4</x:v>
      </x:c>
      <x:c r="E333" s="18" t="n">
        <x:v>800</x:v>
      </x:c>
      <x:c r="F333" s="21" t="n">
        <x:v>873.8778320919457</x:v>
      </x:c>
      <x:c r="G333" s="21" t="n">
        <x:f>F326</x:f>
        <x:v>870.3422710641914</x:v>
      </x:c>
      <x:c r="H333" s="21" t="n">
        <x:f>F331</x:f>
        <x:v>878.1182934115067</x:v>
      </x:c>
      <x:c r="I333" s="27" t="n">
        <x:f>IF(AND(ISNUMBER(G333),ISNUMBER(H333),H333&gt;0),G333/H333-1,"")</x:f>
        <x:v>-0.008855324397246345</x:v>
      </x:c>
      <x:c r="J333" s="27" t="n">
        <x:f>IF(AND(ISNUMBER(G333),F333&gt;0),G333/F333-1,"")</x:f>
        <x:v>-0.00404582986078339</x:v>
      </x:c>
      <x:c r="K333" s="19" t="str">
        <x:v>Balanced/EXP001/results/seed905354740_Relative_cutoff_1e-4.json</x:v>
      </x:c>
    </x:row>
    <x:row r="334" ht="15" hidden="0" customHeight="1">
      <x:c r="A334" s="3" t="str">
        <x:v>EXP001</x:v>
      </x:c>
      <x:c r="B334" s="3" t="str">
        <x:v>Balanced</x:v>
      </x:c>
      <x:c r="C334" s="18" t="n">
        <x:v>928245824</x:v>
      </x:c>
      <x:c r="D334" s="3" t="str">
        <x:v>BBP</x:v>
      </x:c>
      <x:c r="E334" s="18" t="n">
        <x:v>800</x:v>
      </x:c>
      <x:c r="F334" s="21" t="n">
        <x:v>388.1720977466832</x:v>
      </x:c>
      <x:c r="G334" s="21" t="n">
        <x:f>F334</x:f>
        <x:v>388.1720977466832</x:v>
      </x:c>
      <x:c r="H334" s="21" t="n">
        <x:f>F339</x:f>
        <x:v>404.0777308212792</x:v>
      </x:c>
      <x:c r="I334" s="27" t="n">
        <x:f>IF(AND(ISNUMBER(G334),ISNUMBER(H334),H334&gt;0),G334/H334-1,"")</x:f>
        <x:v>-0.03936280537476822</x:v>
      </x:c>
      <x:c r="J334" s="27" t="n">
        <x:f>IF(AND(ISNUMBER(G334),F334&gt;0),G334/F334-1,"")</x:f>
        <x:v>0</x:v>
      </x:c>
      <x:c r="K334" s="19" t="str">
        <x:v>Balanced/EXP001/results/seed928245824_BBP.json</x:v>
      </x:c>
    </x:row>
    <x:row r="335" ht="15" hidden="0" customHeight="1">
      <x:c r="A335" s="3" t="str">
        <x:v>EXP001</x:v>
      </x:c>
      <x:c r="B335" s="3" t="str">
        <x:v>Balanced</x:v>
      </x:c>
      <x:c r="C335" s="18" t="n">
        <x:v>928245824</x:v>
      </x:c>
      <x:c r="D335" s="3" t="str">
        <x:v>Relative cutoff 1e-5</x:v>
      </x:c>
      <x:c r="E335" s="18" t="n">
        <x:v>800</x:v>
      </x:c>
      <x:c r="F335" s="21" t="n">
        <x:v>410.6272034625812</x:v>
      </x:c>
      <x:c r="G335" s="21" t="n">
        <x:f>F334</x:f>
        <x:v>388.1720977466832</x:v>
      </x:c>
      <x:c r="H335" s="21" t="n">
        <x:f>F339</x:f>
        <x:v>404.0777308212792</x:v>
      </x:c>
      <x:c r="I335" s="27" t="n">
        <x:f>IF(AND(ISNUMBER(G335),ISNUMBER(H335),H335&gt;0),G335/H335-1,"")</x:f>
        <x:v>-0.03936280537476822</x:v>
      </x:c>
      <x:c r="J335" s="27" t="n">
        <x:f>IF(AND(ISNUMBER(G335),F335&gt;0),G335/F335-1,"")</x:f>
        <x:v>-0.054684895512394416</x:v>
      </x:c>
      <x:c r="K335" s="19" t="str">
        <x:v>Balanced/EXP001/results/seed928245824_Relative_cutoff_1e-5.json</x:v>
      </x:c>
    </x:row>
    <x:row r="336" ht="15" hidden="0" customHeight="1">
      <x:c r="A336" s="3" t="str">
        <x:v>EXP001</x:v>
      </x:c>
      <x:c r="B336" s="3" t="str">
        <x:v>Balanced</x:v>
      </x:c>
      <x:c r="C336" s="18" t="n">
        <x:v>928245824</x:v>
      </x:c>
      <x:c r="D336" s="3" t="str">
        <x:v>Fixed rank 10</x:v>
      </x:c>
      <x:c r="E336" s="18" t="n">
        <x:v>800</x:v>
      </x:c>
      <x:c r="F336" s="21" t="n">
        <x:v>435.7934322435192</x:v>
      </x:c>
      <x:c r="G336" s="21" t="n">
        <x:f>F334</x:f>
        <x:v>388.1720977466832</x:v>
      </x:c>
      <x:c r="H336" s="21" t="n">
        <x:f>F339</x:f>
        <x:v>404.0777308212792</x:v>
      </x:c>
      <x:c r="I336" s="27" t="n">
        <x:f>IF(AND(ISNUMBER(G336),ISNUMBER(H336),H336&gt;0),G336/H336-1,"")</x:f>
        <x:v>-0.03936280537476822</x:v>
      </x:c>
      <x:c r="J336" s="27" t="n">
        <x:f>IF(AND(ISNUMBER(G336),F336&gt;0),G336/F336-1,"")</x:f>
        <x:v>-0.10927501649502924</x:v>
      </x:c>
      <x:c r="K336" s="19" t="str">
        <x:v>Balanced/EXP001/results/seed928245824_Fixed_rank_10.json</x:v>
      </x:c>
    </x:row>
    <x:row r="337" ht="15" hidden="0" customHeight="1">
      <x:c r="A337" s="3" t="str">
        <x:v>EXP001</x:v>
      </x:c>
      <x:c r="B337" s="3" t="str">
        <x:v>Balanced</x:v>
      </x:c>
      <x:c r="C337" s="18" t="n">
        <x:v>928245824</x:v>
      </x:c>
      <x:c r="D337" s="3" t="str">
        <x:v>Fixed rank 25</x:v>
      </x:c>
      <x:c r="E337" s="18" t="n">
        <x:v>800</x:v>
      </x:c>
      <x:c r="F337" s="21" t="n">
        <x:v>400.3569037859272</x:v>
      </x:c>
      <x:c r="G337" s="21" t="n">
        <x:f>F334</x:f>
        <x:v>388.1720977466832</x:v>
      </x:c>
      <x:c r="H337" s="21" t="n">
        <x:f>F339</x:f>
        <x:v>404.0777308212792</x:v>
      </x:c>
      <x:c r="I337" s="27" t="n">
        <x:f>IF(AND(ISNUMBER(G337),ISNUMBER(H337),H337&gt;0),G337/H337-1,"")</x:f>
        <x:v>-0.03936280537476822</x:v>
      </x:c>
      <x:c r="J337" s="27" t="n">
        <x:f>IF(AND(ISNUMBER(G337),F337&gt;0),G337/F337-1,"")</x:f>
        <x:v>-0.030434859306833095</x:v>
      </x:c>
      <x:c r="K337" s="19" t="str">
        <x:v>Balanced/EXP001/results/seed928245824_Fixed_rank_25.json</x:v>
      </x:c>
    </x:row>
    <x:row r="338" ht="15" hidden="0" customHeight="1">
      <x:c r="A338" s="3" t="str">
        <x:v>EXP001</x:v>
      </x:c>
      <x:c r="B338" s="3" t="str">
        <x:v>Balanced</x:v>
      </x:c>
      <x:c r="C338" s="18" t="n">
        <x:v>928245824</x:v>
      </x:c>
      <x:c r="D338" s="3" t="str">
        <x:v>Relative cutoff 1e-6</x:v>
      </x:c>
      <x:c r="E338" s="18" t="n">
        <x:v>800</x:v>
      </x:c>
      <x:c r="F338" s="21" t="n">
        <x:v>386.60974693692316</x:v>
      </x:c>
      <x:c r="G338" s="21" t="n">
        <x:f>F334</x:f>
        <x:v>388.1720977466832</x:v>
      </x:c>
      <x:c r="H338" s="21" t="n">
        <x:f>F339</x:f>
        <x:v>404.0777308212792</x:v>
      </x:c>
      <x:c r="I338" s="27" t="n">
        <x:f>IF(AND(ISNUMBER(G338),ISNUMBER(H338),H338&gt;0),G338/H338-1,"")</x:f>
        <x:v>-0.03936280537476822</x:v>
      </x:c>
      <x:c r="J338" s="27" t="n">
        <x:f>IF(AND(ISNUMBER(G338),F338&gt;0),G338/F338-1,"")</x:f>
        <x:v>0.004041157322437927</x:v>
      </x:c>
      <x:c r="K338" s="19" t="str">
        <x:v>Balanced/EXP001/results/seed928245824_Relative_cutoff_1e-6.json</x:v>
      </x:c>
    </x:row>
    <x:row r="339" ht="15" hidden="0" customHeight="1">
      <x:c r="A339" s="3" t="str">
        <x:v>EXP001</x:v>
      </x:c>
      <x:c r="B339" s="3" t="str">
        <x:v>Balanced</x:v>
      </x:c>
      <x:c r="C339" s="18" t="n">
        <x:v>928245824</x:v>
      </x:c>
      <x:c r="D339" s="3" t="str">
        <x:v>Full</x:v>
      </x:c>
      <x:c r="E339" s="18" t="n">
        <x:v>800</x:v>
      </x:c>
      <x:c r="F339" s="21" t="n">
        <x:v>404.0777308212792</x:v>
      </x:c>
      <x:c r="G339" s="21" t="n">
        <x:f>F334</x:f>
        <x:v>388.1720977466832</x:v>
      </x:c>
      <x:c r="H339" s="21" t="n">
        <x:f>F339</x:f>
        <x:v>404.0777308212792</x:v>
      </x:c>
      <x:c r="I339" s="27" t="n">
        <x:f>IF(AND(ISNUMBER(G339),ISNUMBER(H339),H339&gt;0),G339/H339-1,"")</x:f>
        <x:v>-0.03936280537476822</x:v>
      </x:c>
      <x:c r="J339" s="27" t="n">
        <x:f>IF(AND(ISNUMBER(G339),F339&gt;0),G339/F339-1,"")</x:f>
        <x:v>-0.03936280537476822</x:v>
      </x:c>
      <x:c r="K339" s="19" t="str">
        <x:v>Balanced/EXP001/results/seed928245824_Full.json</x:v>
      </x:c>
    </x:row>
    <x:row r="340" ht="15" hidden="0" customHeight="1">
      <x:c r="A340" s="3" t="str">
        <x:v>EXP001</x:v>
      </x:c>
      <x:c r="B340" s="3" t="str">
        <x:v>Balanced</x:v>
      </x:c>
      <x:c r="C340" s="18" t="n">
        <x:v>928245824</x:v>
      </x:c>
      <x:c r="D340" s="3" t="str">
        <x:v>Relative cutoff 1e-2</x:v>
      </x:c>
      <x:c r="E340" s="18" t="n">
        <x:v>800</x:v>
      </x:c>
      <x:c r="F340" s="21" t="n">
        <x:v>502.4521707841492</x:v>
      </x:c>
      <x:c r="G340" s="21" t="n">
        <x:f>F334</x:f>
        <x:v>388.1720977466832</x:v>
      </x:c>
      <x:c r="H340" s="21" t="n">
        <x:f>F339</x:f>
        <x:v>404.0777308212792</x:v>
      </x:c>
      <x:c r="I340" s="27" t="n">
        <x:f>IF(AND(ISNUMBER(G340),ISNUMBER(H340),H340&gt;0),G340/H340-1,"")</x:f>
        <x:v>-0.03936280537476822</x:v>
      </x:c>
      <x:c r="J340" s="27" t="n">
        <x:f>IF(AND(ISNUMBER(G340),F340&gt;0),G340/F340-1,"")</x:f>
        <x:v>-0.22744467967789928</x:v>
      </x:c>
      <x:c r="K340" s="19" t="str">
        <x:v>Balanced/EXP001/results/seed928245824_Relative_cutoff_1e-2.json</x:v>
      </x:c>
    </x:row>
    <x:row r="341" ht="15" hidden="0" customHeight="1">
      <x:c r="A341" s="3" t="str">
        <x:v>EXP001</x:v>
      </x:c>
      <x:c r="B341" s="3" t="str">
        <x:v>Balanced</x:v>
      </x:c>
      <x:c r="C341" s="18" t="n">
        <x:v>928245824</x:v>
      </x:c>
      <x:c r="D341" s="3" t="str">
        <x:v>Relative cutoff 1e-4</x:v>
      </x:c>
      <x:c r="E341" s="18" t="n">
        <x:v>800</x:v>
      </x:c>
      <x:c r="F341" s="21" t="n">
        <x:v>398.444267751177</x:v>
      </x:c>
      <x:c r="G341" s="21" t="n">
        <x:f>F334</x:f>
        <x:v>388.1720977466832</x:v>
      </x:c>
      <x:c r="H341" s="21" t="n">
        <x:f>F339</x:f>
        <x:v>404.0777308212792</x:v>
      </x:c>
      <x:c r="I341" s="27" t="n">
        <x:f>IF(AND(ISNUMBER(G341),ISNUMBER(H341),H341&gt;0),G341/H341-1,"")</x:f>
        <x:v>-0.03936280537476822</x:v>
      </x:c>
      <x:c r="J341" s="27" t="n">
        <x:f>IF(AND(ISNUMBER(G341),F341&gt;0),G341/F341-1,"")</x:f>
        <x:v>-0.025780694656419523</x:v>
      </x:c>
      <x:c r="K341" s="19" t="str">
        <x:v>Balanced/EXP001/results/seed928245824_Relative_cutoff_1e-4.json</x:v>
      </x:c>
    </x:row>
    <x:row r="342" ht="15" hidden="0" customHeight="1">
      <x:c r="A342" s="3" t="str">
        <x:v>EXP001</x:v>
      </x:c>
      <x:c r="B342" s="3" t="str">
        <x:v>Balanced</x:v>
      </x:c>
      <x:c r="C342" s="18" t="n">
        <x:v>945338736</x:v>
      </x:c>
      <x:c r="D342" s="3" t="str">
        <x:v>BBP</x:v>
      </x:c>
      <x:c r="E342" s="18" t="n">
        <x:v>800</x:v>
      </x:c>
      <x:c r="F342" s="21" t="n">
        <x:v>618.1954804471351</x:v>
      </x:c>
      <x:c r="G342" s="21" t="n">
        <x:f>F342</x:f>
        <x:v>618.1954804471351</x:v>
      </x:c>
      <x:c r="H342" s="21" t="n">
        <x:f>F347</x:f>
        <x:v>614.0468553059536</x:v>
      </x:c>
      <x:c r="I342" s="27" t="n">
        <x:f>IF(AND(ISNUMBER(G342),ISNUMBER(H342),H342&gt;0),G342/H342-1,"")</x:f>
        <x:v>0.006756202894507846</x:v>
      </x:c>
      <x:c r="J342" s="27" t="n">
        <x:f>IF(AND(ISNUMBER(G342),F342&gt;0),G342/F342-1,"")</x:f>
        <x:v>0</x:v>
      </x:c>
      <x:c r="K342" s="19" t="str">
        <x:v>Balanced/EXP001/results/seed945338736_BBP.json</x:v>
      </x:c>
    </x:row>
    <x:row r="343" ht="15" hidden="0" customHeight="1">
      <x:c r="A343" s="3" t="str">
        <x:v>EXP001</x:v>
      </x:c>
      <x:c r="B343" s="3" t="str">
        <x:v>Balanced</x:v>
      </x:c>
      <x:c r="C343" s="18" t="n">
        <x:v>945338736</x:v>
      </x:c>
      <x:c r="D343" s="3" t="str">
        <x:v>Relative cutoff 1e-5</x:v>
      </x:c>
      <x:c r="E343" s="18" t="n">
        <x:v>800</x:v>
      </x:c>
      <x:c r="F343" s="21" t="n">
        <x:v>631.5684689476176</x:v>
      </x:c>
      <x:c r="G343" s="21" t="n">
        <x:f>F342</x:f>
        <x:v>618.1954804471351</x:v>
      </x:c>
      <x:c r="H343" s="21" t="n">
        <x:f>F347</x:f>
        <x:v>614.0468553059536</x:v>
      </x:c>
      <x:c r="I343" s="27" t="n">
        <x:f>IF(AND(ISNUMBER(G343),ISNUMBER(H343),H343&gt;0),G343/H343-1,"")</x:f>
        <x:v>0.006756202894507846</x:v>
      </x:c>
      <x:c r="J343" s="27" t="n">
        <x:f>IF(AND(ISNUMBER(G343),F343&gt;0),G343/F343-1,"")</x:f>
        <x:v>-0.021174249757537678</x:v>
      </x:c>
      <x:c r="K343" s="19" t="str">
        <x:v>Balanced/EXP001/results/seed945338736_Relative_cutoff_1e-5.json</x:v>
      </x:c>
    </x:row>
    <x:row r="344" ht="15" hidden="0" customHeight="1">
      <x:c r="A344" s="3" t="str">
        <x:v>EXP001</x:v>
      </x:c>
      <x:c r="B344" s="3" t="str">
        <x:v>Balanced</x:v>
      </x:c>
      <x:c r="C344" s="18" t="n">
        <x:v>945338736</x:v>
      </x:c>
      <x:c r="D344" s="3" t="str">
        <x:v>Fixed rank 10</x:v>
      </x:c>
      <x:c r="E344" s="18" t="n">
        <x:v>800</x:v>
      </x:c>
      <x:c r="F344" s="21" t="n">
        <x:v>639.2158892314135</x:v>
      </x:c>
      <x:c r="G344" s="21" t="n">
        <x:f>F342</x:f>
        <x:v>618.1954804471351</x:v>
      </x:c>
      <x:c r="H344" s="21" t="n">
        <x:f>F347</x:f>
        <x:v>614.0468553059536</x:v>
      </x:c>
      <x:c r="I344" s="27" t="n">
        <x:f>IF(AND(ISNUMBER(G344),ISNUMBER(H344),H344&gt;0),G344/H344-1,"")</x:f>
        <x:v>0.006756202894507846</x:v>
      </x:c>
      <x:c r="J344" s="27" t="n">
        <x:f>IF(AND(ISNUMBER(G344),F344&gt;0),G344/F344-1,"")</x:f>
        <x:v>-0.03288467814771179</x:v>
      </x:c>
      <x:c r="K344" s="19" t="str">
        <x:v>Balanced/EXP001/results/seed945338736_Fixed_rank_10.json</x:v>
      </x:c>
    </x:row>
    <x:row r="345" ht="15" hidden="0" customHeight="1">
      <x:c r="A345" s="3" t="str">
        <x:v>EXP001</x:v>
      </x:c>
      <x:c r="B345" s="3" t="str">
        <x:v>Balanced</x:v>
      </x:c>
      <x:c r="C345" s="18" t="n">
        <x:v>945338736</x:v>
      </x:c>
      <x:c r="D345" s="3" t="str">
        <x:v>Fixed rank 25</x:v>
      </x:c>
      <x:c r="E345" s="18" t="n">
        <x:v>800</x:v>
      </x:c>
      <x:c r="F345" s="21" t="n">
        <x:v>629.5250661534824</x:v>
      </x:c>
      <x:c r="G345" s="21" t="n">
        <x:f>F342</x:f>
        <x:v>618.1954804471351</x:v>
      </x:c>
      <x:c r="H345" s="21" t="n">
        <x:f>F347</x:f>
        <x:v>614.0468553059536</x:v>
      </x:c>
      <x:c r="I345" s="27" t="n">
        <x:f>IF(AND(ISNUMBER(G345),ISNUMBER(H345),H345&gt;0),G345/H345-1,"")</x:f>
        <x:v>0.006756202894507846</x:v>
      </x:c>
      <x:c r="J345" s="27" t="n">
        <x:f>IF(AND(ISNUMBER(G345),F345&gt;0),G345/F345-1,"")</x:f>
        <x:v>-0.017997036679688105</x:v>
      </x:c>
      <x:c r="K345" s="19" t="str">
        <x:v>Balanced/EXP001/results/seed945338736_Fixed_rank_25.json</x:v>
      </x:c>
    </x:row>
    <x:row r="346" ht="15" hidden="0" customHeight="1">
      <x:c r="A346" s="3" t="str">
        <x:v>EXP001</x:v>
      </x:c>
      <x:c r="B346" s="3" t="str">
        <x:v>Balanced</x:v>
      </x:c>
      <x:c r="C346" s="18" t="n">
        <x:v>945338736</x:v>
      </x:c>
      <x:c r="D346" s="3" t="str">
        <x:v>Relative cutoff 1e-6</x:v>
      </x:c>
      <x:c r="E346" s="18" t="n">
        <x:v>800</x:v>
      </x:c>
      <x:c r="F346" s="21" t="n">
        <x:v>635.8317365588804</x:v>
      </x:c>
      <x:c r="G346" s="21" t="n">
        <x:f>F342</x:f>
        <x:v>618.1954804471351</x:v>
      </x:c>
      <x:c r="H346" s="21" t="n">
        <x:f>F347</x:f>
        <x:v>614.0468553059536</x:v>
      </x:c>
      <x:c r="I346" s="27" t="n">
        <x:f>IF(AND(ISNUMBER(G346),ISNUMBER(H346),H346&gt;0),G346/H346-1,"")</x:f>
        <x:v>0.006756202894507846</x:v>
      </x:c>
      <x:c r="J346" s="27" t="n">
        <x:f>IF(AND(ISNUMBER(G346),F346&gt;0),G346/F346-1,"")</x:f>
        <x:v>-0.02773730076323755</x:v>
      </x:c>
      <x:c r="K346" s="19" t="str">
        <x:v>Balanced/EXP001/results/seed945338736_Relative_cutoff_1e-6.json</x:v>
      </x:c>
    </x:row>
    <x:row r="347" ht="15" hidden="0" customHeight="1">
      <x:c r="A347" s="3" t="str">
        <x:v>EXP001</x:v>
      </x:c>
      <x:c r="B347" s="3" t="str">
        <x:v>Balanced</x:v>
      </x:c>
      <x:c r="C347" s="18" t="n">
        <x:v>945338736</x:v>
      </x:c>
      <x:c r="D347" s="3" t="str">
        <x:v>Full</x:v>
      </x:c>
      <x:c r="E347" s="18" t="n">
        <x:v>800</x:v>
      </x:c>
      <x:c r="F347" s="21" t="n">
        <x:v>614.0468553059536</x:v>
      </x:c>
      <x:c r="G347" s="21" t="n">
        <x:f>F342</x:f>
        <x:v>618.1954804471351</x:v>
      </x:c>
      <x:c r="H347" s="21" t="n">
        <x:f>F347</x:f>
        <x:v>614.0468553059536</x:v>
      </x:c>
      <x:c r="I347" s="27" t="n">
        <x:f>IF(AND(ISNUMBER(G347),ISNUMBER(H347),H347&gt;0),G347/H347-1,"")</x:f>
        <x:v>0.006756202894507846</x:v>
      </x:c>
      <x:c r="J347" s="27" t="n">
        <x:f>IF(AND(ISNUMBER(G347),F347&gt;0),G347/F347-1,"")</x:f>
        <x:v>0.006756202894507846</x:v>
      </x:c>
      <x:c r="K347" s="19" t="str">
        <x:v>Balanced/EXP001/results/seed945338736_Full.json</x:v>
      </x:c>
    </x:row>
    <x:row r="348" ht="15" hidden="0" customHeight="1">
      <x:c r="A348" s="3" t="str">
        <x:v>EXP001</x:v>
      </x:c>
      <x:c r="B348" s="3" t="str">
        <x:v>Balanced</x:v>
      </x:c>
      <x:c r="C348" s="18" t="n">
        <x:v>945338736</x:v>
      </x:c>
      <x:c r="D348" s="3" t="str">
        <x:v>Relative cutoff 1e-2</x:v>
      </x:c>
      <x:c r="E348" s="18" t="n">
        <x:v>800</x:v>
      </x:c>
      <x:c r="F348" s="21" t="n">
        <x:v>797.0946144010755</x:v>
      </x:c>
      <x:c r="G348" s="21" t="n">
        <x:f>F342</x:f>
        <x:v>618.1954804471351</x:v>
      </x:c>
      <x:c r="H348" s="21" t="n">
        <x:f>F347</x:f>
        <x:v>614.0468553059536</x:v>
      </x:c>
      <x:c r="I348" s="27" t="n">
        <x:f>IF(AND(ISNUMBER(G348),ISNUMBER(H348),H348&gt;0),G348/H348-1,"")</x:f>
        <x:v>0.006756202894507846</x:v>
      </x:c>
      <x:c r="J348" s="27" t="n">
        <x:f>IF(AND(ISNUMBER(G348),F348&gt;0),G348/F348-1,"")</x:f>
        <x:v>-0.2244390198124252</x:v>
      </x:c>
      <x:c r="K348" s="19" t="str">
        <x:v>Balanced/EXP001/results/seed945338736_Relative_cutoff_1e-2.json</x:v>
      </x:c>
    </x:row>
    <x:row r="349" ht="15" hidden="0" customHeight="1">
      <x:c r="A349" s="3" t="str">
        <x:v>EXP001</x:v>
      </x:c>
      <x:c r="B349" s="3" t="str">
        <x:v>Balanced</x:v>
      </x:c>
      <x:c r="C349" s="18" t="n">
        <x:v>945338736</x:v>
      </x:c>
      <x:c r="D349" s="3" t="str">
        <x:v>Relative cutoff 1e-4</x:v>
      </x:c>
      <x:c r="E349" s="18" t="n">
        <x:v>800</x:v>
      </x:c>
      <x:c r="F349" s="21" t="n">
        <x:v>647.0253859126229</x:v>
      </x:c>
      <x:c r="G349" s="21" t="n">
        <x:f>F342</x:f>
        <x:v>618.1954804471351</x:v>
      </x:c>
      <x:c r="H349" s="21" t="n">
        <x:f>F347</x:f>
        <x:v>614.0468553059536</x:v>
      </x:c>
      <x:c r="I349" s="27" t="n">
        <x:f>IF(AND(ISNUMBER(G349),ISNUMBER(H349),H349&gt;0),G349/H349-1,"")</x:f>
        <x:v>0.006756202894507846</x:v>
      </x:c>
      <x:c r="J349" s="27" t="n">
        <x:f>IF(AND(ISNUMBER(G349),F349&gt;0),G349/F349-1,"")</x:f>
        <x:v>-0.04455761101988842</x:v>
      </x:c>
      <x:c r="K349" s="19" t="str">
        <x:v>Balanced/EXP001/results/seed945338736_Relative_cutoff_1e-4.json</x:v>
      </x:c>
    </x:row>
    <x:row r="350" ht="15" hidden="0" customHeight="1">
      <x:c r="A350" s="3" t="str">
        <x:v>EXP001</x:v>
      </x:c>
      <x:c r="B350" s="3" t="str">
        <x:v>Balanced</x:v>
      </x:c>
      <x:c r="C350" s="18" t="n">
        <x:v>980251967</x:v>
      </x:c>
      <x:c r="D350" s="3" t="str">
        <x:v>BBP</x:v>
      </x:c>
      <x:c r="E350" s="18" t="n">
        <x:v>800</x:v>
      </x:c>
      <x:c r="F350" s="21" t="n">
        <x:v>361.7849729908407</x:v>
      </x:c>
      <x:c r="G350" s="21" t="n">
        <x:f>F350</x:f>
        <x:v>361.7849729908407</x:v>
      </x:c>
      <x:c r="H350" s="21" t="n">
        <x:f>F355</x:f>
        <x:v>356.6830368039688</x:v>
      </x:c>
      <x:c r="I350" s="27" t="n">
        <x:f>IF(AND(ISNUMBER(G350),ISNUMBER(H350),H350&gt;0),G350/H350-1,"")</x:f>
        <x:v>0.014303837470341696</x:v>
      </x:c>
      <x:c r="J350" s="27" t="n">
        <x:f>IF(AND(ISNUMBER(G350),F350&gt;0),G350/F350-1,"")</x:f>
        <x:v>0</x:v>
      </x:c>
      <x:c r="K350" s="19" t="str">
        <x:v>Balanced/EXP001/results/seed980251967_BBP.json</x:v>
      </x:c>
    </x:row>
    <x:row r="351" ht="15" hidden="0" customHeight="1">
      <x:c r="A351" s="3" t="str">
        <x:v>EXP001</x:v>
      </x:c>
      <x:c r="B351" s="3" t="str">
        <x:v>Balanced</x:v>
      </x:c>
      <x:c r="C351" s="18" t="n">
        <x:v>980251967</x:v>
      </x:c>
      <x:c r="D351" s="3" t="str">
        <x:v>Relative cutoff 1e-5</x:v>
      </x:c>
      <x:c r="E351" s="18" t="n">
        <x:v>800</x:v>
      </x:c>
      <x:c r="F351" s="21" t="n">
        <x:v>428.4857516529239</x:v>
      </x:c>
      <x:c r="G351" s="21" t="n">
        <x:f>F350</x:f>
        <x:v>361.7849729908407</x:v>
      </x:c>
      <x:c r="H351" s="21" t="n">
        <x:f>F355</x:f>
        <x:v>356.6830368039688</x:v>
      </x:c>
      <x:c r="I351" s="27" t="n">
        <x:f>IF(AND(ISNUMBER(G351),ISNUMBER(H351),H351&gt;0),G351/H351-1,"")</x:f>
        <x:v>0.014303837470341696</x:v>
      </x:c>
      <x:c r="J351" s="27" t="n">
        <x:f>IF(AND(ISNUMBER(G351),F351&gt;0),G351/F351-1,"")</x:f>
        <x:v>-0.15566626989293975</x:v>
      </x:c>
      <x:c r="K351" s="19" t="str">
        <x:v>Balanced/EXP001/results/seed980251967_Relative_cutoff_1e-5.json</x:v>
      </x:c>
    </x:row>
    <x:row r="352" ht="15" hidden="0" customHeight="1">
      <x:c r="A352" s="3" t="str">
        <x:v>EXP001</x:v>
      </x:c>
      <x:c r="B352" s="3" t="str">
        <x:v>Balanced</x:v>
      </x:c>
      <x:c r="C352" s="18" t="n">
        <x:v>980251967</x:v>
      </x:c>
      <x:c r="D352" s="3" t="str">
        <x:v>Fixed rank 10</x:v>
      </x:c>
      <x:c r="E352" s="18" t="n">
        <x:v>800</x:v>
      </x:c>
      <x:c r="F352" s="21" t="n">
        <x:v>512.3435444408644</x:v>
      </x:c>
      <x:c r="G352" s="21" t="n">
        <x:f>F350</x:f>
        <x:v>361.7849729908407</x:v>
      </x:c>
      <x:c r="H352" s="21" t="n">
        <x:f>F355</x:f>
        <x:v>356.6830368039688</x:v>
      </x:c>
      <x:c r="I352" s="27" t="n">
        <x:f>IF(AND(ISNUMBER(G352),ISNUMBER(H352),H352&gt;0),G352/H352-1,"")</x:f>
        <x:v>0.014303837470341696</x:v>
      </x:c>
      <x:c r="J352" s="27" t="n">
        <x:f>IF(AND(ISNUMBER(G352),F352&gt;0),G352/F352-1,"")</x:f>
        <x:v>-0.2938625324426264</x:v>
      </x:c>
      <x:c r="K352" s="19" t="str">
        <x:v>Balanced/EXP001/results/seed980251967_Fixed_rank_10.json</x:v>
      </x:c>
    </x:row>
    <x:row r="353" ht="15" hidden="0" customHeight="1">
      <x:c r="A353" s="3" t="str">
        <x:v>EXP001</x:v>
      </x:c>
      <x:c r="B353" s="3" t="str">
        <x:v>Balanced</x:v>
      </x:c>
      <x:c r="C353" s="18" t="n">
        <x:v>980251967</x:v>
      </x:c>
      <x:c r="D353" s="3" t="str">
        <x:v>Fixed rank 25</x:v>
      </x:c>
      <x:c r="E353" s="18" t="n">
        <x:v>800</x:v>
      </x:c>
      <x:c r="F353" s="21" t="n">
        <x:v>362.3979327452032</x:v>
      </x:c>
      <x:c r="G353" s="21" t="n">
        <x:f>F350</x:f>
        <x:v>361.7849729908407</x:v>
      </x:c>
      <x:c r="H353" s="21" t="n">
        <x:f>F355</x:f>
        <x:v>356.6830368039688</x:v>
      </x:c>
      <x:c r="I353" s="27" t="n">
        <x:f>IF(AND(ISNUMBER(G353),ISNUMBER(H353),H353&gt;0),G353/H353-1,"")</x:f>
        <x:v>0.014303837470341696</x:v>
      </x:c>
      <x:c r="J353" s="27" t="n">
        <x:f>IF(AND(ISNUMBER(G353),F353&gt;0),G353/F353-1,"")</x:f>
        <x:v>-0.0016913996989974533</x:v>
      </x:c>
      <x:c r="K353" s="19" t="str">
        <x:v>Balanced/EXP001/results/seed980251967_Fixed_rank_25.json</x:v>
      </x:c>
    </x:row>
    <x:row r="354" ht="15" hidden="0" customHeight="1">
      <x:c r="A354" s="3" t="str">
        <x:v>EXP001</x:v>
      </x:c>
      <x:c r="B354" s="3" t="str">
        <x:v>Balanced</x:v>
      </x:c>
      <x:c r="C354" s="18" t="n">
        <x:v>980251967</x:v>
      </x:c>
      <x:c r="D354" s="3" t="str">
        <x:v>Relative cutoff 1e-6</x:v>
      </x:c>
      <x:c r="E354" s="18" t="n">
        <x:v>800</x:v>
      </x:c>
      <x:c r="F354" s="21" t="n">
        <x:v>373.8001967734228</x:v>
      </x:c>
      <x:c r="G354" s="21" t="n">
        <x:f>F350</x:f>
        <x:v>361.7849729908407</x:v>
      </x:c>
      <x:c r="H354" s="21" t="n">
        <x:f>F355</x:f>
        <x:v>356.6830368039688</x:v>
      </x:c>
      <x:c r="I354" s="27" t="n">
        <x:f>IF(AND(ISNUMBER(G354),ISNUMBER(H354),H354&gt;0),G354/H354-1,"")</x:f>
        <x:v>0.014303837470341696</x:v>
      </x:c>
      <x:c r="J354" s="27" t="n">
        <x:f>IF(AND(ISNUMBER(G354),F354&gt;0),G354/F354-1,"")</x:f>
        <x:v>-0.03214343889140614</x:v>
      </x:c>
      <x:c r="K354" s="19" t="str">
        <x:v>Balanced/EXP001/results/seed980251967_Relative_cutoff_1e-6.json</x:v>
      </x:c>
    </x:row>
    <x:row r="355" ht="15" hidden="0" customHeight="1">
      <x:c r="A355" s="3" t="str">
        <x:v>EXP001</x:v>
      </x:c>
      <x:c r="B355" s="3" t="str">
        <x:v>Balanced</x:v>
      </x:c>
      <x:c r="C355" s="18" t="n">
        <x:v>980251967</x:v>
      </x:c>
      <x:c r="D355" s="3" t="str">
        <x:v>Full</x:v>
      </x:c>
      <x:c r="E355" s="18" t="n">
        <x:v>800</x:v>
      </x:c>
      <x:c r="F355" s="21" t="n">
        <x:v>356.6830368039688</x:v>
      </x:c>
      <x:c r="G355" s="21" t="n">
        <x:f>F350</x:f>
        <x:v>361.7849729908407</x:v>
      </x:c>
      <x:c r="H355" s="21" t="n">
        <x:f>F355</x:f>
        <x:v>356.6830368039688</x:v>
      </x:c>
      <x:c r="I355" s="27" t="n">
        <x:f>IF(AND(ISNUMBER(G355),ISNUMBER(H355),H355&gt;0),G355/H355-1,"")</x:f>
        <x:v>0.014303837470341696</x:v>
      </x:c>
      <x:c r="J355" s="27" t="n">
        <x:f>IF(AND(ISNUMBER(G355),F355&gt;0),G355/F355-1,"")</x:f>
        <x:v>0.014303837470341696</x:v>
      </x:c>
      <x:c r="K355" s="19" t="str">
        <x:v>Balanced/EXP001/results/seed980251967_Full.json</x:v>
      </x:c>
    </x:row>
    <x:row r="356" ht="15" hidden="0" customHeight="1">
      <x:c r="A356" s="3" t="str">
        <x:v>EXP001</x:v>
      </x:c>
      <x:c r="B356" s="3" t="str">
        <x:v>Balanced</x:v>
      </x:c>
      <x:c r="C356" s="18" t="n">
        <x:v>980251967</x:v>
      </x:c>
      <x:c r="D356" s="3" t="str">
        <x:v>Relative cutoff 1e-2</x:v>
      </x:c>
      <x:c r="E356" s="18" t="n">
        <x:v>800</x:v>
      </x:c>
      <x:c r="F356" s="21" t="n">
        <x:v>562.5940105722958</x:v>
      </x:c>
      <x:c r="G356" s="21" t="n">
        <x:f>F350</x:f>
        <x:v>361.7849729908407</x:v>
      </x:c>
      <x:c r="H356" s="21" t="n">
        <x:f>F355</x:f>
        <x:v>356.6830368039688</x:v>
      </x:c>
      <x:c r="I356" s="27" t="n">
        <x:f>IF(AND(ISNUMBER(G356),ISNUMBER(H356),H356&gt;0),G356/H356-1,"")</x:f>
        <x:v>0.014303837470341696</x:v>
      </x:c>
      <x:c r="J356" s="27" t="n">
        <x:f>IF(AND(ISNUMBER(G356),F356&gt;0),G356/F356-1,"")</x:f>
        <x:v>-0.356934190211487</x:v>
      </x:c>
      <x:c r="K356" s="19" t="str">
        <x:v>Balanced/EXP001/results/seed980251967_Relative_cutoff_1e-2.json</x:v>
      </x:c>
    </x:row>
    <x:row r="357" ht="15" hidden="0" customHeight="1">
      <x:c r="A357" s="3" t="str">
        <x:v>EXP001</x:v>
      </x:c>
      <x:c r="B357" s="3" t="str">
        <x:v>Balanced</x:v>
      </x:c>
      <x:c r="C357" s="18" t="n">
        <x:v>980251967</x:v>
      </x:c>
      <x:c r="D357" s="3" t="str">
        <x:v>Relative cutoff 1e-4</x:v>
      </x:c>
      <x:c r="E357" s="18" t="n">
        <x:v>800</x:v>
      </x:c>
      <x:c r="F357" s="21" t="n">
        <x:v>389.5048450053866</x:v>
      </x:c>
      <x:c r="G357" s="21" t="n">
        <x:f>F350</x:f>
        <x:v>361.7849729908407</x:v>
      </x:c>
      <x:c r="H357" s="21" t="n">
        <x:f>F355</x:f>
        <x:v>356.6830368039688</x:v>
      </x:c>
      <x:c r="I357" s="27" t="n">
        <x:f>IF(AND(ISNUMBER(G357),ISNUMBER(H357),H357&gt;0),G357/H357-1,"")</x:f>
        <x:v>0.014303837470341696</x:v>
      </x:c>
      <x:c r="J357" s="27" t="n">
        <x:f>IF(AND(ISNUMBER(G357),F357&gt;0),G357/F357-1,"")</x:f>
        <x:v>-0.07116695047570598</x:v>
      </x:c>
      <x:c r="K357" s="19" t="str">
        <x:v>Balanced/EXP001/results/seed980251967_Relative_cutoff_1e-4.json</x:v>
      </x:c>
    </x:row>
    <x:row r="358" ht="15" hidden="0" customHeight="1">
      <x:c r="A358" s="3" t="str">
        <x:v>EXP001</x:v>
      </x:c>
      <x:c r="B358" s="3" t="str">
        <x:v>Balanced</x:v>
      </x:c>
      <x:c r="C358" s="18" t="n">
        <x:v>999739978</x:v>
      </x:c>
      <x:c r="D358" s="3" t="str">
        <x:v>BBP</x:v>
      </x:c>
      <x:c r="E358" s="18" t="n">
        <x:v>800</x:v>
      </x:c>
      <x:c r="F358" s="21" t="n">
        <x:v>423.7158214377833</x:v>
      </x:c>
      <x:c r="G358" s="21" t="n">
        <x:f>F358</x:f>
        <x:v>423.7158214377833</x:v>
      </x:c>
      <x:c r="H358" s="21" t="n">
        <x:f>F363</x:f>
        <x:v>425.99825692712176</x:v>
      </x:c>
      <x:c r="I358" s="27" t="n">
        <x:f>IF(AND(ISNUMBER(G358),ISNUMBER(H358),H358&gt;0),G358/H358-1,"")</x:f>
        <x:v>-0.005357851710010464</x:v>
      </x:c>
      <x:c r="J358" s="27" t="n">
        <x:f>IF(AND(ISNUMBER(G358),F358&gt;0),G358/F358-1,"")</x:f>
        <x:v>0</x:v>
      </x:c>
      <x:c r="K358" s="19" t="str">
        <x:v>Balanced/EXP001/results/seed999739978_BBP.json</x:v>
      </x:c>
    </x:row>
    <x:row r="359" ht="15" hidden="0" customHeight="1">
      <x:c r="A359" s="3" t="str">
        <x:v>EXP001</x:v>
      </x:c>
      <x:c r="B359" s="3" t="str">
        <x:v>Balanced</x:v>
      </x:c>
      <x:c r="C359" s="18" t="n">
        <x:v>999739978</x:v>
      </x:c>
      <x:c r="D359" s="3" t="str">
        <x:v>Relative cutoff 1e-5</x:v>
      </x:c>
      <x:c r="E359" s="18" t="n">
        <x:v>800</x:v>
      </x:c>
      <x:c r="F359" s="21" t="n">
        <x:v>435.39341719529153</x:v>
      </x:c>
      <x:c r="G359" s="21" t="n">
        <x:f>F358</x:f>
        <x:v>423.7158214377833</x:v>
      </x:c>
      <x:c r="H359" s="21" t="n">
        <x:f>F363</x:f>
        <x:v>425.99825692712176</x:v>
      </x:c>
      <x:c r="I359" s="27" t="n">
        <x:f>IF(AND(ISNUMBER(G359),ISNUMBER(H359),H359&gt;0),G359/H359-1,"")</x:f>
        <x:v>-0.005357851710010464</x:v>
      </x:c>
      <x:c r="J359" s="27" t="n">
        <x:f>IF(AND(ISNUMBER(G359),F359&gt;0),G359/F359-1,"")</x:f>
        <x:v>-0.026820790798199767</x:v>
      </x:c>
      <x:c r="K359" s="19" t="str">
        <x:v>Balanced/EXP001/results/seed999739978_Relative_cutoff_1e-5.json</x:v>
      </x:c>
    </x:row>
    <x:row r="360" ht="15" hidden="0" customHeight="1">
      <x:c r="A360" s="3" t="str">
        <x:v>EXP001</x:v>
      </x:c>
      <x:c r="B360" s="3" t="str">
        <x:v>Balanced</x:v>
      </x:c>
      <x:c r="C360" s="18" t="n">
        <x:v>999739978</x:v>
      </x:c>
      <x:c r="D360" s="3" t="str">
        <x:v>Fixed rank 10</x:v>
      </x:c>
      <x:c r="E360" s="18" t="n">
        <x:v>800</x:v>
      </x:c>
      <x:c r="F360" s="21" t="n">
        <x:v>443.5166823622178</x:v>
      </x:c>
      <x:c r="G360" s="21" t="n">
        <x:f>F358</x:f>
        <x:v>423.7158214377833</x:v>
      </x:c>
      <x:c r="H360" s="21" t="n">
        <x:f>F363</x:f>
        <x:v>425.99825692712176</x:v>
      </x:c>
      <x:c r="I360" s="27" t="n">
        <x:f>IF(AND(ISNUMBER(G360),ISNUMBER(H360),H360&gt;0),G360/H360-1,"")</x:f>
        <x:v>-0.005357851710010464</x:v>
      </x:c>
      <x:c r="J360" s="27" t="n">
        <x:f>IF(AND(ISNUMBER(G360),F360&gt;0),G360/F360-1,"")</x:f>
        <x:v>-0.04464513221683786</x:v>
      </x:c>
      <x:c r="K360" s="19" t="str">
        <x:v>Balanced/EXP001/results/seed999739978_Fixed_rank_10.json</x:v>
      </x:c>
    </x:row>
    <x:row r="361" ht="15" hidden="0" customHeight="1">
      <x:c r="A361" s="3" t="str">
        <x:v>EXP001</x:v>
      </x:c>
      <x:c r="B361" s="3" t="str">
        <x:v>Balanced</x:v>
      </x:c>
      <x:c r="C361" s="18" t="n">
        <x:v>999739978</x:v>
      </x:c>
      <x:c r="D361" s="3" t="str">
        <x:v>Fixed rank 25</x:v>
      </x:c>
      <x:c r="E361" s="18" t="n">
        <x:v>800</x:v>
      </x:c>
      <x:c r="F361" s="21" t="n">
        <x:v>415.0596081246465</x:v>
      </x:c>
      <x:c r="G361" s="21" t="n">
        <x:f>F358</x:f>
        <x:v>423.7158214377833</x:v>
      </x:c>
      <x:c r="H361" s="21" t="n">
        <x:f>F363</x:f>
        <x:v>425.99825692712176</x:v>
      </x:c>
      <x:c r="I361" s="27" t="n">
        <x:f>IF(AND(ISNUMBER(G361),ISNUMBER(H361),H361&gt;0),G361/H361-1,"")</x:f>
        <x:v>-0.005357851710010464</x:v>
      </x:c>
      <x:c r="J361" s="27" t="n">
        <x:f>IF(AND(ISNUMBER(G361),F361&gt;0),G361/F361-1,"")</x:f>
        <x:v>0.020855349794811184</x:v>
      </x:c>
      <x:c r="K361" s="19" t="str">
        <x:v>Balanced/EXP001/results/seed999739978_Fixed_rank_25.json</x:v>
      </x:c>
    </x:row>
    <x:row r="362" ht="15" hidden="0" customHeight="1">
      <x:c r="A362" s="3" t="str">
        <x:v>EXP001</x:v>
      </x:c>
      <x:c r="B362" s="3" t="str">
        <x:v>Balanced</x:v>
      </x:c>
      <x:c r="C362" s="18" t="n">
        <x:v>999739978</x:v>
      </x:c>
      <x:c r="D362" s="3" t="str">
        <x:v>Relative cutoff 1e-6</x:v>
      </x:c>
      <x:c r="E362" s="18" t="n">
        <x:v>800</x:v>
      </x:c>
      <x:c r="F362" s="21" t="n">
        <x:v>421.8905182446962</x:v>
      </x:c>
      <x:c r="G362" s="21" t="n">
        <x:f>F358</x:f>
        <x:v>423.7158214377833</x:v>
      </x:c>
      <x:c r="H362" s="21" t="n">
        <x:f>F363</x:f>
        <x:v>425.99825692712176</x:v>
      </x:c>
      <x:c r="I362" s="27" t="n">
        <x:f>IF(AND(ISNUMBER(G362),ISNUMBER(H362),H362&gt;0),G362/H362-1,"")</x:f>
        <x:v>-0.005357851710010464</x:v>
      </x:c>
      <x:c r="J362" s="27" t="n">
        <x:f>IF(AND(ISNUMBER(G362),F362&gt;0),G362/F362-1,"")</x:f>
        <x:v>0.004326485460449225</x:v>
      </x:c>
      <x:c r="K362" s="19" t="str">
        <x:v>Balanced/EXP001/results/seed999739978_Relative_cutoff_1e-6.json</x:v>
      </x:c>
    </x:row>
    <x:row r="363" ht="15" hidden="0" customHeight="1">
      <x:c r="A363" s="3" t="str">
        <x:v>EXP001</x:v>
      </x:c>
      <x:c r="B363" s="3" t="str">
        <x:v>Balanced</x:v>
      </x:c>
      <x:c r="C363" s="18" t="n">
        <x:v>999739978</x:v>
      </x:c>
      <x:c r="D363" s="3" t="str">
        <x:v>Full</x:v>
      </x:c>
      <x:c r="E363" s="18" t="n">
        <x:v>800</x:v>
      </x:c>
      <x:c r="F363" s="21" t="n">
        <x:v>425.99825692712176</x:v>
      </x:c>
      <x:c r="G363" s="21" t="n">
        <x:f>F358</x:f>
        <x:v>423.7158214377833</x:v>
      </x:c>
      <x:c r="H363" s="21" t="n">
        <x:f>F363</x:f>
        <x:v>425.99825692712176</x:v>
      </x:c>
      <x:c r="I363" s="27" t="n">
        <x:f>IF(AND(ISNUMBER(G363),ISNUMBER(H363),H363&gt;0),G363/H363-1,"")</x:f>
        <x:v>-0.005357851710010464</x:v>
      </x:c>
      <x:c r="J363" s="27" t="n">
        <x:f>IF(AND(ISNUMBER(G363),F363&gt;0),G363/F363-1,"")</x:f>
        <x:v>-0.005357851710010464</x:v>
      </x:c>
      <x:c r="K363" s="19" t="str">
        <x:v>Balanced/EXP001/results/seed999739978_Full.json</x:v>
      </x:c>
    </x:row>
    <x:row r="364" ht="15" hidden="0" customHeight="1">
      <x:c r="A364" s="3" t="str">
        <x:v>EXP001</x:v>
      </x:c>
      <x:c r="B364" s="3" t="str">
        <x:v>Balanced</x:v>
      </x:c>
      <x:c r="C364" s="18" t="n">
        <x:v>999739978</x:v>
      </x:c>
      <x:c r="D364" s="3" t="str">
        <x:v>Relative cutoff 1e-2</x:v>
      </x:c>
      <x:c r="E364" s="18" t="n">
        <x:v>800</x:v>
      </x:c>
      <x:c r="F364" s="21" t="n">
        <x:v>471.0897686563297</x:v>
      </x:c>
      <x:c r="G364" s="21" t="n">
        <x:f>F358</x:f>
        <x:v>423.7158214377833</x:v>
      </x:c>
      <x:c r="H364" s="21" t="n">
        <x:f>F363</x:f>
        <x:v>425.99825692712176</x:v>
      </x:c>
      <x:c r="I364" s="27" t="n">
        <x:f>IF(AND(ISNUMBER(G364),ISNUMBER(H364),H364&gt;0),G364/H364-1,"")</x:f>
        <x:v>-0.005357851710010464</x:v>
      </x:c>
      <x:c r="J364" s="27" t="n">
        <x:f>IF(AND(ISNUMBER(G364),F364&gt;0),G364/F364-1,"")</x:f>
        <x:v>-0.10056246255075585</x:v>
      </x:c>
      <x:c r="K364" s="19" t="str">
        <x:v>Balanced/EXP001/results/seed999739978_Relative_cutoff_1e-2.json</x:v>
      </x:c>
    </x:row>
    <x:row r="365" ht="15" hidden="0" customHeight="1">
      <x:c r="A365" s="3" t="str">
        <x:v>EXP001</x:v>
      </x:c>
      <x:c r="B365" s="3" t="str">
        <x:v>Balanced</x:v>
      </x:c>
      <x:c r="C365" s="18" t="n">
        <x:v>999739978</x:v>
      </x:c>
      <x:c r="D365" s="3" t="str">
        <x:v>Relative cutoff 1e-4</x:v>
      </x:c>
      <x:c r="E365" s="18" t="n">
        <x:v>800</x:v>
      </x:c>
      <x:c r="F365" s="21" t="n">
        <x:v>440.38472365796684</x:v>
      </x:c>
      <x:c r="G365" s="21" t="n">
        <x:f>F358</x:f>
        <x:v>423.7158214377833</x:v>
      </x:c>
      <x:c r="H365" s="21" t="n">
        <x:f>F363</x:f>
        <x:v>425.99825692712176</x:v>
      </x:c>
      <x:c r="I365" s="27" t="n">
        <x:f>IF(AND(ISNUMBER(G365),ISNUMBER(H365),H365&gt;0),G365/H365-1,"")</x:f>
        <x:v>-0.005357851710010464</x:v>
      </x:c>
      <x:c r="J365" s="27" t="n">
        <x:f>IF(AND(ISNUMBER(G365),F365&gt;0),G365/F365-1,"")</x:f>
        <x:v>-0.03785077302801665</x:v>
      </x:c>
      <x:c r="K365" s="19" t="str">
        <x:v>Balanced/EXP001/results/seed999739978_Relative_cutoff_1e-4.json</x:v>
      </x:c>
    </x:row>
    <x:row r="366" ht="15" hidden="0" customHeight="1">
      <x:c r="A366" s="3" t="str">
        <x:v>EXP001</x:v>
      </x:c>
      <x:c r="B366" s="3" t="str">
        <x:v>Balanced</x:v>
      </x:c>
      <x:c r="C366" s="18" t="n">
        <x:v>1011245401</x:v>
      </x:c>
      <x:c r="D366" s="3" t="str">
        <x:v>BBP</x:v>
      </x:c>
      <x:c r="E366" s="18" t="n">
        <x:v>800</x:v>
      </x:c>
      <x:c r="F366" s="21" t="n">
        <x:v>418.0424905523072</x:v>
      </x:c>
      <x:c r="G366" s="21" t="n">
        <x:f>F366</x:f>
        <x:v>418.0424905523072</x:v>
      </x:c>
      <x:c r="H366" s="21" t="n">
        <x:f>F371</x:f>
        <x:v>454.2756710201523</x:v>
      </x:c>
      <x:c r="I366" s="27" t="n">
        <x:f>IF(AND(ISNUMBER(G366),ISNUMBER(H366),H366&gt;0),G366/H366-1,"")</x:f>
        <x:v>-0.07976033668384097</x:v>
      </x:c>
      <x:c r="J366" s="27" t="n">
        <x:f>IF(AND(ISNUMBER(G366),F366&gt;0),G366/F366-1,"")</x:f>
        <x:v>0</x:v>
      </x:c>
      <x:c r="K366" s="19" t="str">
        <x:v>Balanced/EXP001/results/seed1011245401_BBP.json</x:v>
      </x:c>
    </x:row>
    <x:row r="367" ht="15" hidden="0" customHeight="1">
      <x:c r="A367" s="3" t="str">
        <x:v>EXP001</x:v>
      </x:c>
      <x:c r="B367" s="3" t="str">
        <x:v>Balanced</x:v>
      </x:c>
      <x:c r="C367" s="18" t="n">
        <x:v>1011245401</x:v>
      </x:c>
      <x:c r="D367" s="3" t="str">
        <x:v>Relative cutoff 1e-5</x:v>
      </x:c>
      <x:c r="E367" s="18" t="n">
        <x:v>800</x:v>
      </x:c>
      <x:c r="F367" s="21" t="n">
        <x:v>468.1523819965877</x:v>
      </x:c>
      <x:c r="G367" s="21" t="n">
        <x:f>F366</x:f>
        <x:v>418.0424905523072</x:v>
      </x:c>
      <x:c r="H367" s="21" t="n">
        <x:f>F371</x:f>
        <x:v>454.2756710201523</x:v>
      </x:c>
      <x:c r="I367" s="27" t="n">
        <x:f>IF(AND(ISNUMBER(G367),ISNUMBER(H367),H367&gt;0),G367/H367-1,"")</x:f>
        <x:v>-0.07976033668384097</x:v>
      </x:c>
      <x:c r="J367" s="27" t="n">
        <x:f>IF(AND(ISNUMBER(G367),F367&gt;0),G367/F367-1,"")</x:f>
        <x:v>-0.10703756591084856</x:v>
      </x:c>
      <x:c r="K367" s="19" t="str">
        <x:v>Balanced/EXP001/results/seed1011245401_Relative_cutoff_1e-5.json</x:v>
      </x:c>
    </x:row>
    <x:row r="368" ht="15" hidden="0" customHeight="1">
      <x:c r="A368" s="3" t="str">
        <x:v>EXP001</x:v>
      </x:c>
      <x:c r="B368" s="3" t="str">
        <x:v>Balanced</x:v>
      </x:c>
      <x:c r="C368" s="18" t="n">
        <x:v>1011245401</x:v>
      </x:c>
      <x:c r="D368" s="3" t="str">
        <x:v>Fixed rank 10</x:v>
      </x:c>
      <x:c r="E368" s="18" t="n">
        <x:v>800</x:v>
      </x:c>
      <x:c r="F368" s="21" t="n">
        <x:v>441.15129686998966</x:v>
      </x:c>
      <x:c r="G368" s="21" t="n">
        <x:f>F366</x:f>
        <x:v>418.0424905523072</x:v>
      </x:c>
      <x:c r="H368" s="21" t="n">
        <x:f>F371</x:f>
        <x:v>454.2756710201523</x:v>
      </x:c>
      <x:c r="I368" s="27" t="n">
        <x:f>IF(AND(ISNUMBER(G368),ISNUMBER(H368),H368&gt;0),G368/H368-1,"")</x:f>
        <x:v>-0.07976033668384097</x:v>
      </x:c>
      <x:c r="J368" s="27" t="n">
        <x:f>IF(AND(ISNUMBER(G368),F368&gt;0),G368/F368-1,"")</x:f>
        <x:v>-0.052382949980293914</x:v>
      </x:c>
      <x:c r="K368" s="19" t="str">
        <x:v>Balanced/EXP001/results/seed1011245401_Fixed_rank_10.json</x:v>
      </x:c>
    </x:row>
    <x:row r="369" ht="15" hidden="0" customHeight="1">
      <x:c r="A369" s="3" t="str">
        <x:v>EXP001</x:v>
      </x:c>
      <x:c r="B369" s="3" t="str">
        <x:v>Balanced</x:v>
      </x:c>
      <x:c r="C369" s="18" t="n">
        <x:v>1011245401</x:v>
      </x:c>
      <x:c r="D369" s="3" t="str">
        <x:v>Fixed rank 25</x:v>
      </x:c>
      <x:c r="E369" s="18" t="n">
        <x:v>800</x:v>
      </x:c>
      <x:c r="F369" s="21" t="n">
        <x:v>418.24926411035653</x:v>
      </x:c>
      <x:c r="G369" s="21" t="n">
        <x:f>F366</x:f>
        <x:v>418.0424905523072</x:v>
      </x:c>
      <x:c r="H369" s="21" t="n">
        <x:f>F371</x:f>
        <x:v>454.2756710201523</x:v>
      </x:c>
      <x:c r="I369" s="27" t="n">
        <x:f>IF(AND(ISNUMBER(G369),ISNUMBER(H369),H369&gt;0),G369/H369-1,"")</x:f>
        <x:v>-0.07976033668384097</x:v>
      </x:c>
      <x:c r="J369" s="27" t="n">
        <x:f>IF(AND(ISNUMBER(G369),F369&gt;0),G369/F369-1,"")</x:f>
        <x:v>-0.0004943787731203075</x:v>
      </x:c>
      <x:c r="K369" s="19" t="str">
        <x:v>Balanced/EXP001/results/seed1011245401_Fixed_rank_25.json</x:v>
      </x:c>
    </x:row>
    <x:row r="370" ht="15" hidden="0" customHeight="1">
      <x:c r="A370" s="3" t="str">
        <x:v>EXP001</x:v>
      </x:c>
      <x:c r="B370" s="3" t="str">
        <x:v>Balanced</x:v>
      </x:c>
      <x:c r="C370" s="18" t="n">
        <x:v>1011245401</x:v>
      </x:c>
      <x:c r="D370" s="3" t="str">
        <x:v>Relative cutoff 1e-6</x:v>
      </x:c>
      <x:c r="E370" s="18" t="n">
        <x:v>800</x:v>
      </x:c>
      <x:c r="F370" s="21" t="n">
        <x:v>450.5811021685787</x:v>
      </x:c>
      <x:c r="G370" s="21" t="n">
        <x:f>F366</x:f>
        <x:v>418.0424905523072</x:v>
      </x:c>
      <x:c r="H370" s="21" t="n">
        <x:f>F371</x:f>
        <x:v>454.2756710201523</x:v>
      </x:c>
      <x:c r="I370" s="27" t="n">
        <x:f>IF(AND(ISNUMBER(G370),ISNUMBER(H370),H370&gt;0),G370/H370-1,"")</x:f>
        <x:v>-0.07976033668384097</x:v>
      </x:c>
      <x:c r="J370" s="27" t="n">
        <x:f>IF(AND(ISNUMBER(G370),F370&gt;0),G370/F370-1,"")</x:f>
        <x:v>-0.0722147721235269</x:v>
      </x:c>
      <x:c r="K370" s="19" t="str">
        <x:v>Balanced/EXP001/results/seed1011245401_Relative_cutoff_1e-6.json</x:v>
      </x:c>
    </x:row>
    <x:row r="371" ht="15" hidden="0" customHeight="1">
      <x:c r="A371" s="3" t="str">
        <x:v>EXP001</x:v>
      </x:c>
      <x:c r="B371" s="3" t="str">
        <x:v>Balanced</x:v>
      </x:c>
      <x:c r="C371" s="18" t="n">
        <x:v>1011245401</x:v>
      </x:c>
      <x:c r="D371" s="3" t="str">
        <x:v>Full</x:v>
      </x:c>
      <x:c r="E371" s="18" t="n">
        <x:v>800</x:v>
      </x:c>
      <x:c r="F371" s="21" t="n">
        <x:v>454.2756710201523</x:v>
      </x:c>
      <x:c r="G371" s="21" t="n">
        <x:f>F366</x:f>
        <x:v>418.0424905523072</x:v>
      </x:c>
      <x:c r="H371" s="21" t="n">
        <x:f>F371</x:f>
        <x:v>454.2756710201523</x:v>
      </x:c>
      <x:c r="I371" s="27" t="n">
        <x:f>IF(AND(ISNUMBER(G371),ISNUMBER(H371),H371&gt;0),G371/H371-1,"")</x:f>
        <x:v>-0.07976033668384097</x:v>
      </x:c>
      <x:c r="J371" s="27" t="n">
        <x:f>IF(AND(ISNUMBER(G371),F371&gt;0),G371/F371-1,"")</x:f>
        <x:v>-0.07976033668384097</x:v>
      </x:c>
      <x:c r="K371" s="19" t="str">
        <x:v>Balanced/EXP001/results/seed1011245401_Full.json</x:v>
      </x:c>
    </x:row>
    <x:row r="372" ht="15" hidden="0" customHeight="1">
      <x:c r="A372" s="3" t="str">
        <x:v>EXP001</x:v>
      </x:c>
      <x:c r="B372" s="3" t="str">
        <x:v>Balanced</x:v>
      </x:c>
      <x:c r="C372" s="18" t="n">
        <x:v>1011245401</x:v>
      </x:c>
      <x:c r="D372" s="3" t="str">
        <x:v>Relative cutoff 1e-2</x:v>
      </x:c>
      <x:c r="E372" s="18" t="n">
        <x:v>800</x:v>
      </x:c>
      <x:c r="F372" s="21" t="n">
        <x:v>545.039522656258</x:v>
      </x:c>
      <x:c r="G372" s="21" t="n">
        <x:f>F366</x:f>
        <x:v>418.0424905523072</x:v>
      </x:c>
      <x:c r="H372" s="21" t="n">
        <x:f>F371</x:f>
        <x:v>454.2756710201523</x:v>
      </x:c>
      <x:c r="I372" s="27" t="n">
        <x:f>IF(AND(ISNUMBER(G372),ISNUMBER(H372),H372&gt;0),G372/H372-1,"")</x:f>
        <x:v>-0.07976033668384097</x:v>
      </x:c>
      <x:c r="J372" s="27" t="n">
        <x:f>IF(AND(ISNUMBER(G372),F372&gt;0),G372/F372-1,"")</x:f>
        <x:v>-0.2330051800372731</x:v>
      </x:c>
      <x:c r="K372" s="19" t="str">
        <x:v>Balanced/EXP001/results/seed1011245401_Relative_cutoff_1e-2.json</x:v>
      </x:c>
    </x:row>
    <x:row r="373" ht="15" hidden="0" customHeight="1">
      <x:c r="A373" s="3" t="str">
        <x:v>EXP001</x:v>
      </x:c>
      <x:c r="B373" s="3" t="str">
        <x:v>Balanced</x:v>
      </x:c>
      <x:c r="C373" s="18" t="n">
        <x:v>1011245401</x:v>
      </x:c>
      <x:c r="D373" s="3" t="str">
        <x:v>Relative cutoff 1e-4</x:v>
      </x:c>
      <x:c r="E373" s="18" t="n">
        <x:v>800</x:v>
      </x:c>
      <x:c r="F373" s="21" t="n">
        <x:v>427.664000661812</x:v>
      </x:c>
      <x:c r="G373" s="21" t="n">
        <x:f>F366</x:f>
        <x:v>418.0424905523072</x:v>
      </x:c>
      <x:c r="H373" s="21" t="n">
        <x:f>F371</x:f>
        <x:v>454.2756710201523</x:v>
      </x:c>
      <x:c r="I373" s="27" t="n">
        <x:f>IF(AND(ISNUMBER(G373),ISNUMBER(H373),H373&gt;0),G373/H373-1,"")</x:f>
        <x:v>-0.07976033668384097</x:v>
      </x:c>
      <x:c r="J373" s="27" t="n">
        <x:f>IF(AND(ISNUMBER(G373),F373&gt;0),G373/F373-1,"")</x:f>
        <x:v>-0.022497825616875633</x:v>
      </x:c>
      <x:c r="K373" s="19" t="str">
        <x:v>Balanced/EXP001/results/seed1011245401_Relative_cutoff_1e-4.json</x:v>
      </x:c>
    </x:row>
    <x:row r="374" ht="15" hidden="0" customHeight="1">
      <x:c r="A374" s="3" t="str">
        <x:v>EXP001</x:v>
      </x:c>
      <x:c r="B374" s="3" t="str">
        <x:v>Balanced</x:v>
      </x:c>
      <x:c r="C374" s="18" t="n">
        <x:v>1107616411</x:v>
      </x:c>
      <x:c r="D374" s="3" t="str">
        <x:v>BBP</x:v>
      </x:c>
      <x:c r="E374" s="18" t="n">
        <x:v>800</x:v>
      </x:c>
      <x:c r="F374" s="21" t="n">
        <x:v>407.12618926327866</x:v>
      </x:c>
      <x:c r="G374" s="21" t="n">
        <x:f>F374</x:f>
        <x:v>407.12618926327866</x:v>
      </x:c>
      <x:c r="H374" s="21" t="n">
        <x:f>F379</x:f>
        <x:v>460.9309706744603</x:v>
      </x:c>
      <x:c r="I374" s="27" t="n">
        <x:f>IF(AND(ISNUMBER(G374),ISNUMBER(H374),H374&gt;0),G374/H374-1,"")</x:f>
        <x:v>-0.11673067082572353</x:v>
      </x:c>
      <x:c r="J374" s="27" t="n">
        <x:f>IF(AND(ISNUMBER(G374),F374&gt;0),G374/F374-1,"")</x:f>
        <x:v>0</x:v>
      </x:c>
      <x:c r="K374" s="19" t="str">
        <x:v>Balanced/EXP001/results/seed1107616411_BBP.json</x:v>
      </x:c>
    </x:row>
    <x:row r="375" ht="15" hidden="0" customHeight="1">
      <x:c r="A375" s="3" t="str">
        <x:v>EXP001</x:v>
      </x:c>
      <x:c r="B375" s="3" t="str">
        <x:v>Balanced</x:v>
      </x:c>
      <x:c r="C375" s="18" t="n">
        <x:v>1107616411</x:v>
      </x:c>
      <x:c r="D375" s="3" t="str">
        <x:v>Relative cutoff 1e-5</x:v>
      </x:c>
      <x:c r="E375" s="18" t="n">
        <x:v>800</x:v>
      </x:c>
      <x:c r="F375" s="21" t="n">
        <x:v>431.4664987477341</x:v>
      </x:c>
      <x:c r="G375" s="21" t="n">
        <x:f>F374</x:f>
        <x:v>407.12618926327866</x:v>
      </x:c>
      <x:c r="H375" s="21" t="n">
        <x:f>F379</x:f>
        <x:v>460.9309706744603</x:v>
      </x:c>
      <x:c r="I375" s="27" t="n">
        <x:f>IF(AND(ISNUMBER(G375),ISNUMBER(H375),H375&gt;0),G375/H375-1,"")</x:f>
        <x:v>-0.11673067082572353</x:v>
      </x:c>
      <x:c r="J375" s="27" t="n">
        <x:f>IF(AND(ISNUMBER(G375),F375&gt;0),G375/F375-1,"")</x:f>
        <x:v>-0.05641297656967448</x:v>
      </x:c>
      <x:c r="K375" s="19" t="str">
        <x:v>Balanced/EXP001/results/seed1107616411_Relative_cutoff_1e-5.json</x:v>
      </x:c>
    </x:row>
    <x:row r="376" ht="15" hidden="0" customHeight="1">
      <x:c r="A376" s="3" t="str">
        <x:v>EXP001</x:v>
      </x:c>
      <x:c r="B376" s="3" t="str">
        <x:v>Balanced</x:v>
      </x:c>
      <x:c r="C376" s="18" t="n">
        <x:v>1107616411</x:v>
      </x:c>
      <x:c r="D376" s="3" t="str">
        <x:v>Fixed rank 10</x:v>
      </x:c>
      <x:c r="E376" s="18" t="n">
        <x:v>800</x:v>
      </x:c>
      <x:c r="F376" s="21" t="n">
        <x:v>402.41635597605614</x:v>
      </x:c>
      <x:c r="G376" s="21" t="n">
        <x:f>F374</x:f>
        <x:v>407.12618926327866</x:v>
      </x:c>
      <x:c r="H376" s="21" t="n">
        <x:f>F379</x:f>
        <x:v>460.9309706744603</x:v>
      </x:c>
      <x:c r="I376" s="27" t="n">
        <x:f>IF(AND(ISNUMBER(G376),ISNUMBER(H376),H376&gt;0),G376/H376-1,"")</x:f>
        <x:v>-0.11673067082572353</x:v>
      </x:c>
      <x:c r="J376" s="27" t="n">
        <x:f>IF(AND(ISNUMBER(G376),F376&gt;0),G376/F376-1,"")</x:f>
        <x:v>0.011703881358894774</x:v>
      </x:c>
      <x:c r="K376" s="19" t="str">
        <x:v>Balanced/EXP001/results/seed1107616411_Fixed_rank_10.json</x:v>
      </x:c>
    </x:row>
    <x:row r="377" ht="15" hidden="0" customHeight="1">
      <x:c r="A377" s="3" t="str">
        <x:v>EXP001</x:v>
      </x:c>
      <x:c r="B377" s="3" t="str">
        <x:v>Balanced</x:v>
      </x:c>
      <x:c r="C377" s="18" t="n">
        <x:v>1107616411</x:v>
      </x:c>
      <x:c r="D377" s="3" t="str">
        <x:v>Fixed rank 25</x:v>
      </x:c>
      <x:c r="E377" s="18" t="n">
        <x:v>800</x:v>
      </x:c>
      <x:c r="F377" s="21" t="n">
        <x:v>493.4816814720832</x:v>
      </x:c>
      <x:c r="G377" s="21" t="n">
        <x:f>F374</x:f>
        <x:v>407.12618926327866</x:v>
      </x:c>
      <x:c r="H377" s="21" t="n">
        <x:f>F379</x:f>
        <x:v>460.9309706744603</x:v>
      </x:c>
      <x:c r="I377" s="27" t="n">
        <x:f>IF(AND(ISNUMBER(G377),ISNUMBER(H377),H377&gt;0),G377/H377-1,"")</x:f>
        <x:v>-0.11673067082572353</x:v>
      </x:c>
      <x:c r="J377" s="27" t="n">
        <x:f>IF(AND(ISNUMBER(G377),F377&gt;0),G377/F377-1,"")</x:f>
        <x:v>-0.17499229546110273</x:v>
      </x:c>
      <x:c r="K377" s="19" t="str">
        <x:v>Balanced/EXP001/results/seed1107616411_Fixed_rank_25.json</x:v>
      </x:c>
    </x:row>
    <x:row r="378" ht="15" hidden="0" customHeight="1">
      <x:c r="A378" s="3" t="str">
        <x:v>EXP001</x:v>
      </x:c>
      <x:c r="B378" s="3" t="str">
        <x:v>Balanced</x:v>
      </x:c>
      <x:c r="C378" s="18" t="n">
        <x:v>1107616411</x:v>
      </x:c>
      <x:c r="D378" s="3" t="str">
        <x:v>Relative cutoff 1e-6</x:v>
      </x:c>
      <x:c r="E378" s="18" t="n">
        <x:v>800</x:v>
      </x:c>
      <x:c r="F378" s="21" t="n">
        <x:v>486.2914280392123</x:v>
      </x:c>
      <x:c r="G378" s="21" t="n">
        <x:f>F374</x:f>
        <x:v>407.12618926327866</x:v>
      </x:c>
      <x:c r="H378" s="21" t="n">
        <x:f>F379</x:f>
        <x:v>460.9309706744603</x:v>
      </x:c>
      <x:c r="I378" s="27" t="n">
        <x:f>IF(AND(ISNUMBER(G378),ISNUMBER(H378),H378&gt;0),G378/H378-1,"")</x:f>
        <x:v>-0.11673067082572353</x:v>
      </x:c>
      <x:c r="J378" s="27" t="n">
        <x:f>IF(AND(ISNUMBER(G378),F378&gt;0),G378/F378-1,"")</x:f>
        <x:v>-0.1627938191202295</x:v>
      </x:c>
      <x:c r="K378" s="19" t="str">
        <x:v>Balanced/EXP001/results/seed1107616411_Relative_cutoff_1e-6.json</x:v>
      </x:c>
    </x:row>
    <x:row r="379" ht="15" hidden="0" customHeight="1">
      <x:c r="A379" s="3" t="str">
        <x:v>EXP001</x:v>
      </x:c>
      <x:c r="B379" s="3" t="str">
        <x:v>Balanced</x:v>
      </x:c>
      <x:c r="C379" s="18" t="n">
        <x:v>1107616411</x:v>
      </x:c>
      <x:c r="D379" s="3" t="str">
        <x:v>Full</x:v>
      </x:c>
      <x:c r="E379" s="18" t="n">
        <x:v>800</x:v>
      </x:c>
      <x:c r="F379" s="21" t="n">
        <x:v>460.9309706744603</x:v>
      </x:c>
      <x:c r="G379" s="21" t="n">
        <x:f>F374</x:f>
        <x:v>407.12618926327866</x:v>
      </x:c>
      <x:c r="H379" s="21" t="n">
        <x:f>F379</x:f>
        <x:v>460.9309706744603</x:v>
      </x:c>
      <x:c r="I379" s="27" t="n">
        <x:f>IF(AND(ISNUMBER(G379),ISNUMBER(H379),H379&gt;0),G379/H379-1,"")</x:f>
        <x:v>-0.11673067082572353</x:v>
      </x:c>
      <x:c r="J379" s="27" t="n">
        <x:f>IF(AND(ISNUMBER(G379),F379&gt;0),G379/F379-1,"")</x:f>
        <x:v>-0.11673067082572353</x:v>
      </x:c>
      <x:c r="K379" s="19" t="str">
        <x:v>Balanced/EXP001/results/seed1107616411_Full.json</x:v>
      </x:c>
    </x:row>
    <x:row r="380" ht="15" hidden="0" customHeight="1">
      <x:c r="A380" s="3" t="str">
        <x:v>EXP001</x:v>
      </x:c>
      <x:c r="B380" s="3" t="str">
        <x:v>Balanced</x:v>
      </x:c>
      <x:c r="C380" s="18" t="n">
        <x:v>1107616411</x:v>
      </x:c>
      <x:c r="D380" s="3" t="str">
        <x:v>Relative cutoff 1e-2</x:v>
      </x:c>
      <x:c r="E380" s="18" t="n">
        <x:v>800</x:v>
      </x:c>
      <x:c r="F380" s="21" t="n">
        <x:v>493.6533270155849</x:v>
      </x:c>
      <x:c r="G380" s="21" t="n">
        <x:f>F374</x:f>
        <x:v>407.12618926327866</x:v>
      </x:c>
      <x:c r="H380" s="21" t="n">
        <x:f>F379</x:f>
        <x:v>460.9309706744603</x:v>
      </x:c>
      <x:c r="I380" s="27" t="n">
        <x:f>IF(AND(ISNUMBER(G380),ISNUMBER(H380),H380&gt;0),G380/H380-1,"")</x:f>
        <x:v>-0.11673067082572353</x:v>
      </x:c>
      <x:c r="J380" s="27" t="n">
        <x:f>IF(AND(ISNUMBER(G380),F380&gt;0),G380/F380-1,"")</x:f>
        <x:v>-0.17527915445321118</x:v>
      </x:c>
      <x:c r="K380" s="19" t="str">
        <x:v>Balanced/EXP001/results/seed1107616411_Relative_cutoff_1e-2.json</x:v>
      </x:c>
    </x:row>
    <x:row r="381" ht="15" hidden="0" customHeight="1">
      <x:c r="A381" s="3" t="str">
        <x:v>EXP001</x:v>
      </x:c>
      <x:c r="B381" s="3" t="str">
        <x:v>Balanced</x:v>
      </x:c>
      <x:c r="C381" s="18" t="n">
        <x:v>1107616411</x:v>
      </x:c>
      <x:c r="D381" s="3" t="str">
        <x:v>Relative cutoff 1e-4</x:v>
      </x:c>
      <x:c r="E381" s="18" t="n">
        <x:v>800</x:v>
      </x:c>
      <x:c r="F381" s="21" t="n">
        <x:v>531.6882476533278</x:v>
      </x:c>
      <x:c r="G381" s="21" t="n">
        <x:f>F374</x:f>
        <x:v>407.12618926327866</x:v>
      </x:c>
      <x:c r="H381" s="21" t="n">
        <x:f>F379</x:f>
        <x:v>460.9309706744603</x:v>
      </x:c>
      <x:c r="I381" s="27" t="n">
        <x:f>IF(AND(ISNUMBER(G381),ISNUMBER(H381),H381&gt;0),G381/H381-1,"")</x:f>
        <x:v>-0.11673067082572353</x:v>
      </x:c>
      <x:c r="J381" s="27" t="n">
        <x:f>IF(AND(ISNUMBER(G381),F381&gt;0),G381/F381-1,"")</x:f>
        <x:v>-0.2342764936780516</x:v>
      </x:c>
      <x:c r="K381" s="19" t="str">
        <x:v>Balanced/EXP001/results/seed1107616411_Relative_cutoff_1e-4.json</x:v>
      </x:c>
    </x:row>
    <x:row r="382" ht="15" hidden="0" customHeight="1">
      <x:c r="A382" s="3" t="str">
        <x:v>EXP001</x:v>
      </x:c>
      <x:c r="B382" s="3" t="str">
        <x:v>Balanced</x:v>
      </x:c>
      <x:c r="C382" s="18" t="n">
        <x:v>1135955073</x:v>
      </x:c>
      <x:c r="D382" s="3" t="str">
        <x:v>BBP</x:v>
      </x:c>
      <x:c r="E382" s="18" t="n">
        <x:v>800</x:v>
      </x:c>
      <x:c r="F382" s="21" t="n">
        <x:v>731.2721912847072</x:v>
      </x:c>
      <x:c r="G382" s="21" t="n">
        <x:f>F382</x:f>
        <x:v>731.2721912847072</x:v>
      </x:c>
      <x:c r="H382" s="21" t="n">
        <x:f>F387</x:f>
        <x:v>867.9523540980282</x:v>
      </x:c>
      <x:c r="I382" s="27" t="n">
        <x:f>IF(AND(ISNUMBER(G382),ISNUMBER(H382),H382&gt;0),G382/H382-1,"")</x:f>
        <x:v>-0.15747426937433484</x:v>
      </x:c>
      <x:c r="J382" s="27" t="n">
        <x:f>IF(AND(ISNUMBER(G382),F382&gt;0),G382/F382-1,"")</x:f>
        <x:v>0</x:v>
      </x:c>
      <x:c r="K382" s="19" t="str">
        <x:v>Balanced/EXP001/results/seed1135955073_BBP.json</x:v>
      </x:c>
    </x:row>
    <x:row r="383" ht="15" hidden="0" customHeight="1">
      <x:c r="A383" s="3" t="str">
        <x:v>EXP001</x:v>
      </x:c>
      <x:c r="B383" s="3" t="str">
        <x:v>Balanced</x:v>
      </x:c>
      <x:c r="C383" s="18" t="n">
        <x:v>1135955073</x:v>
      </x:c>
      <x:c r="D383" s="3" t="str">
        <x:v>Relative cutoff 1e-5</x:v>
      </x:c>
      <x:c r="E383" s="18" t="n">
        <x:v>800</x:v>
      </x:c>
      <x:c r="F383" s="21" t="n">
        <x:v>738.7354424267153</x:v>
      </x:c>
      <x:c r="G383" s="21" t="n">
        <x:f>F382</x:f>
        <x:v>731.2721912847072</x:v>
      </x:c>
      <x:c r="H383" s="21" t="n">
        <x:f>F387</x:f>
        <x:v>867.9523540980282</x:v>
      </x:c>
      <x:c r="I383" s="27" t="n">
        <x:f>IF(AND(ISNUMBER(G383),ISNUMBER(H383),H383&gt;0),G383/H383-1,"")</x:f>
        <x:v>-0.15747426937433484</x:v>
      </x:c>
      <x:c r="J383" s="27" t="n">
        <x:f>IF(AND(ISNUMBER(G383),F383&gt;0),G383/F383-1,"")</x:f>
        <x:v>-0.010102738698297142</x:v>
      </x:c>
      <x:c r="K383" s="19" t="str">
        <x:v>Balanced/EXP001/results/seed1135955073_Relative_cutoff_1e-5.json</x:v>
      </x:c>
    </x:row>
    <x:row r="384" ht="15" hidden="0" customHeight="1">
      <x:c r="A384" s="3" t="str">
        <x:v>EXP001</x:v>
      </x:c>
      <x:c r="B384" s="3" t="str">
        <x:v>Balanced</x:v>
      </x:c>
      <x:c r="C384" s="18" t="n">
        <x:v>1135955073</x:v>
      </x:c>
      <x:c r="D384" s="3" t="str">
        <x:v>Fixed rank 10</x:v>
      </x:c>
      <x:c r="E384" s="18" t="n">
        <x:v>800</x:v>
      </x:c>
      <x:c r="F384" s="21" t="n">
        <x:v>773.918687186124</x:v>
      </x:c>
      <x:c r="G384" s="21" t="n">
        <x:f>F382</x:f>
        <x:v>731.2721912847072</x:v>
      </x:c>
      <x:c r="H384" s="21" t="n">
        <x:f>F387</x:f>
        <x:v>867.9523540980282</x:v>
      </x:c>
      <x:c r="I384" s="27" t="n">
        <x:f>IF(AND(ISNUMBER(G384),ISNUMBER(H384),H384&gt;0),G384/H384-1,"")</x:f>
        <x:v>-0.15747426937433484</x:v>
      </x:c>
      <x:c r="J384" s="27" t="n">
        <x:f>IF(AND(ISNUMBER(G384),F384&gt;0),G384/F384-1,"")</x:f>
        <x:v>-0.055104620947291405</x:v>
      </x:c>
      <x:c r="K384" s="19" t="str">
        <x:v>Balanced/EXP001/results/seed1135955073_Fixed_rank_10.json</x:v>
      </x:c>
    </x:row>
    <x:row r="385" ht="15" hidden="0" customHeight="1">
      <x:c r="A385" s="3" t="str">
        <x:v>EXP001</x:v>
      </x:c>
      <x:c r="B385" s="3" t="str">
        <x:v>Balanced</x:v>
      </x:c>
      <x:c r="C385" s="18" t="n">
        <x:v>1135955073</x:v>
      </x:c>
      <x:c r="D385" s="3" t="str">
        <x:v>Fixed rank 25</x:v>
      </x:c>
      <x:c r="E385" s="18" t="n">
        <x:v>800</x:v>
      </x:c>
      <x:c r="F385" s="21" t="n">
        <x:v>750.1823172528154</x:v>
      </x:c>
      <x:c r="G385" s="21" t="n">
        <x:f>F382</x:f>
        <x:v>731.2721912847072</x:v>
      </x:c>
      <x:c r="H385" s="21" t="n">
        <x:f>F387</x:f>
        <x:v>867.9523540980282</x:v>
      </x:c>
      <x:c r="I385" s="27" t="n">
        <x:f>IF(AND(ISNUMBER(G385),ISNUMBER(H385),H385&gt;0),G385/H385-1,"")</x:f>
        <x:v>-0.15747426937433484</x:v>
      </x:c>
      <x:c r="J385" s="27" t="n">
        <x:f>IF(AND(ISNUMBER(G385),F385&gt;0),G385/F385-1,"")</x:f>
        <x:v>-0.02520737363866099</x:v>
      </x:c>
      <x:c r="K385" s="19" t="str">
        <x:v>Balanced/EXP001/results/seed1135955073_Fixed_rank_25.json</x:v>
      </x:c>
    </x:row>
    <x:row r="386" ht="15" hidden="0" customHeight="1">
      <x:c r="A386" s="3" t="str">
        <x:v>EXP001</x:v>
      </x:c>
      <x:c r="B386" s="3" t="str">
        <x:v>Balanced</x:v>
      </x:c>
      <x:c r="C386" s="18" t="n">
        <x:v>1135955073</x:v>
      </x:c>
      <x:c r="D386" s="3" t="str">
        <x:v>Relative cutoff 1e-6</x:v>
      </x:c>
      <x:c r="E386" s="18" t="n">
        <x:v>800</x:v>
      </x:c>
      <x:c r="F386" s="21" t="n">
        <x:v>729.0292097049878</x:v>
      </x:c>
      <x:c r="G386" s="21" t="n">
        <x:f>F382</x:f>
        <x:v>731.2721912847072</x:v>
      </x:c>
      <x:c r="H386" s="21" t="n">
        <x:f>F387</x:f>
        <x:v>867.9523540980282</x:v>
      </x:c>
      <x:c r="I386" s="27" t="n">
        <x:f>IF(AND(ISNUMBER(G386),ISNUMBER(H386),H386&gt;0),G386/H386-1,"")</x:f>
        <x:v>-0.15747426937433484</x:v>
      </x:c>
      <x:c r="J386" s="27" t="n">
        <x:f>IF(AND(ISNUMBER(G386),F386&gt;0),G386/F386-1,"")</x:f>
        <x:v>0.003076669013889033</x:v>
      </x:c>
      <x:c r="K386" s="19" t="str">
        <x:v>Balanced/EXP001/results/seed1135955073_Relative_cutoff_1e-6.json</x:v>
      </x:c>
    </x:row>
    <x:row r="387" ht="15" hidden="0" customHeight="1">
      <x:c r="A387" s="3" t="str">
        <x:v>EXP001</x:v>
      </x:c>
      <x:c r="B387" s="3" t="str">
        <x:v>Balanced</x:v>
      </x:c>
      <x:c r="C387" s="18" t="n">
        <x:v>1135955073</x:v>
      </x:c>
      <x:c r="D387" s="3" t="str">
        <x:v>Full</x:v>
      </x:c>
      <x:c r="E387" s="18" t="n">
        <x:v>800</x:v>
      </x:c>
      <x:c r="F387" s="21" t="n">
        <x:v>867.9523540980282</x:v>
      </x:c>
      <x:c r="G387" s="21" t="n">
        <x:f>F382</x:f>
        <x:v>731.2721912847072</x:v>
      </x:c>
      <x:c r="H387" s="21" t="n">
        <x:f>F387</x:f>
        <x:v>867.9523540980282</x:v>
      </x:c>
      <x:c r="I387" s="27" t="n">
        <x:f>IF(AND(ISNUMBER(G387),ISNUMBER(H387),H387&gt;0),G387/H387-1,"")</x:f>
        <x:v>-0.15747426937433484</x:v>
      </x:c>
      <x:c r="J387" s="27" t="n">
        <x:f>IF(AND(ISNUMBER(G387),F387&gt;0),G387/F387-1,"")</x:f>
        <x:v>-0.15747426937433484</x:v>
      </x:c>
      <x:c r="K387" s="19" t="str">
        <x:v>Balanced/EXP001/results/seed1135955073_Full.json</x:v>
      </x:c>
    </x:row>
    <x:row r="388" ht="15" hidden="0" customHeight="1">
      <x:c r="A388" s="3" t="str">
        <x:v>EXP001</x:v>
      </x:c>
      <x:c r="B388" s="3" t="str">
        <x:v>Balanced</x:v>
      </x:c>
      <x:c r="C388" s="18" t="n">
        <x:v>1135955073</x:v>
      </x:c>
      <x:c r="D388" s="3" t="str">
        <x:v>Relative cutoff 1e-2</x:v>
      </x:c>
      <x:c r="E388" s="18" t="n">
        <x:v>800</x:v>
      </x:c>
      <x:c r="F388" s="21" t="n">
        <x:v>965.3608724233835</x:v>
      </x:c>
      <x:c r="G388" s="21" t="n">
        <x:f>F382</x:f>
        <x:v>731.2721912847072</x:v>
      </x:c>
      <x:c r="H388" s="21" t="n">
        <x:f>F387</x:f>
        <x:v>867.9523540980282</x:v>
      </x:c>
      <x:c r="I388" s="27" t="n">
        <x:f>IF(AND(ISNUMBER(G388),ISNUMBER(H388),H388&gt;0),G388/H388-1,"")</x:f>
        <x:v>-0.15747426937433484</x:v>
      </x:c>
      <x:c r="J388" s="27" t="n">
        <x:f>IF(AND(ISNUMBER(G388),F388&gt;0),G388/F388-1,"")</x:f>
        <x:v>-0.24248826301715987</x:v>
      </x:c>
      <x:c r="K388" s="19" t="str">
        <x:v>Balanced/EXP001/results/seed1135955073_Relative_cutoff_1e-2.json</x:v>
      </x:c>
    </x:row>
    <x:row r="389" ht="15" hidden="0" customHeight="1">
      <x:c r="A389" s="3" t="str">
        <x:v>EXP001</x:v>
      </x:c>
      <x:c r="B389" s="3" t="str">
        <x:v>Balanced</x:v>
      </x:c>
      <x:c r="C389" s="18" t="n">
        <x:v>1135955073</x:v>
      </x:c>
      <x:c r="D389" s="3" t="str">
        <x:v>Relative cutoff 1e-4</x:v>
      </x:c>
      <x:c r="E389" s="18" t="n">
        <x:v>800</x:v>
      </x:c>
      <x:c r="F389" s="21" t="n">
        <x:v>749.9291405618279</x:v>
      </x:c>
      <x:c r="G389" s="21" t="n">
        <x:f>F382</x:f>
        <x:v>731.2721912847072</x:v>
      </x:c>
      <x:c r="H389" s="21" t="n">
        <x:f>F387</x:f>
        <x:v>867.9523540980282</x:v>
      </x:c>
      <x:c r="I389" s="27" t="n">
        <x:f>IF(AND(ISNUMBER(G389),ISNUMBER(H389),H389&gt;0),G389/H389-1,"")</x:f>
        <x:v>-0.15747426937433484</x:v>
      </x:c>
      <x:c r="J389" s="27" t="n">
        <x:f>IF(AND(ISNUMBER(G389),F389&gt;0),G389/F389-1,"")</x:f>
        <x:v>-0.02487828285102156</x:v>
      </x:c>
      <x:c r="K389" s="19" t="str">
        <x:v>Balanced/EXP001/results/seed1135955073_Relative_cutoff_1e-4.json</x:v>
      </x:c>
    </x:row>
    <x:row r="390" ht="15" hidden="0" customHeight="1">
      <x:c r="A390" s="3" t="str">
        <x:v>EXP001</x:v>
      </x:c>
      <x:c r="B390" s="3" t="str">
        <x:v>Balanced</x:v>
      </x:c>
      <x:c r="C390" s="18" t="n">
        <x:v>1192868589</x:v>
      </x:c>
      <x:c r="D390" s="3" t="str">
        <x:v>BBP</x:v>
      </x:c>
      <x:c r="E390" s="18" t="n">
        <x:v>800</x:v>
      </x:c>
      <x:c r="F390" s="21" t="n">
        <x:v>579.5249035326696</x:v>
      </x:c>
      <x:c r="G390" s="21" t="n">
        <x:f>F390</x:f>
        <x:v>579.5249035326696</x:v>
      </x:c>
      <x:c r="H390" s="21" t="n">
        <x:f>F395</x:f>
        <x:v>645.9269170113604</x:v>
      </x:c>
      <x:c r="I390" s="27" t="n">
        <x:f>IF(AND(ISNUMBER(G390),ISNUMBER(H390),H390&gt;0),G390/H390-1,"")</x:f>
        <x:v>-0.10280112460079283</x:v>
      </x:c>
      <x:c r="J390" s="27" t="n">
        <x:f>IF(AND(ISNUMBER(G390),F390&gt;0),G390/F390-1,"")</x:f>
        <x:v>0</x:v>
      </x:c>
      <x:c r="K390" s="19" t="str">
        <x:v>Balanced/EXP001/results/seed1192868589_BBP.json</x:v>
      </x:c>
    </x:row>
    <x:row r="391" ht="15" hidden="0" customHeight="1">
      <x:c r="A391" s="3" t="str">
        <x:v>EXP001</x:v>
      </x:c>
      <x:c r="B391" s="3" t="str">
        <x:v>Balanced</x:v>
      </x:c>
      <x:c r="C391" s="18" t="n">
        <x:v>1192868589</x:v>
      </x:c>
      <x:c r="D391" s="3" t="str">
        <x:v>Relative cutoff 1e-5</x:v>
      </x:c>
      <x:c r="E391" s="18" t="n">
        <x:v>800</x:v>
      </x:c>
      <x:c r="F391" s="21" t="n">
        <x:v>595.7346615341056</x:v>
      </x:c>
      <x:c r="G391" s="21" t="n">
        <x:f>F390</x:f>
        <x:v>579.5249035326696</x:v>
      </x:c>
      <x:c r="H391" s="21" t="n">
        <x:f>F395</x:f>
        <x:v>645.9269170113604</x:v>
      </x:c>
      <x:c r="I391" s="27" t="n">
        <x:f>IF(AND(ISNUMBER(G391),ISNUMBER(H391),H391&gt;0),G391/H391-1,"")</x:f>
        <x:v>-0.10280112460079283</x:v>
      </x:c>
      <x:c r="J391" s="27" t="n">
        <x:f>IF(AND(ISNUMBER(G391),F391&gt;0),G391/F391-1,"")</x:f>
        <x:v>-0.02720969426169284</x:v>
      </x:c>
      <x:c r="K391" s="19" t="str">
        <x:v>Balanced/EXP001/results/seed1192868589_Relative_cutoff_1e-5.json</x:v>
      </x:c>
    </x:row>
    <x:row r="392" ht="15" hidden="0" customHeight="1">
      <x:c r="A392" s="3" t="str">
        <x:v>EXP001</x:v>
      </x:c>
      <x:c r="B392" s="3" t="str">
        <x:v>Balanced</x:v>
      </x:c>
      <x:c r="C392" s="18" t="n">
        <x:v>1192868589</x:v>
      </x:c>
      <x:c r="D392" s="3" t="str">
        <x:v>Fixed rank 10</x:v>
      </x:c>
      <x:c r="E392" s="18" t="n">
        <x:v>800</x:v>
      </x:c>
      <x:c r="F392" s="21" t="n">
        <x:v>579.0287423686771</x:v>
      </x:c>
      <x:c r="G392" s="21" t="n">
        <x:f>F390</x:f>
        <x:v>579.5249035326696</x:v>
      </x:c>
      <x:c r="H392" s="21" t="n">
        <x:f>F395</x:f>
        <x:v>645.9269170113604</x:v>
      </x:c>
      <x:c r="I392" s="27" t="n">
        <x:f>IF(AND(ISNUMBER(G392),ISNUMBER(H392),H392&gt;0),G392/H392-1,"")</x:f>
        <x:v>-0.10280112460079283</x:v>
      </x:c>
      <x:c r="J392" s="27" t="n">
        <x:f>IF(AND(ISNUMBER(G392),F392&gt;0),G392/F392-1,"")</x:f>
        <x:v>0.0008568852073953526</x:v>
      </x:c>
      <x:c r="K392" s="19" t="str">
        <x:v>Balanced/EXP001/results/seed1192868589_Fixed_rank_10.json</x:v>
      </x:c>
    </x:row>
    <x:row r="393" ht="15" hidden="0" customHeight="1">
      <x:c r="A393" s="3" t="str">
        <x:v>EXP001</x:v>
      </x:c>
      <x:c r="B393" s="3" t="str">
        <x:v>Balanced</x:v>
      </x:c>
      <x:c r="C393" s="18" t="n">
        <x:v>1192868589</x:v>
      </x:c>
      <x:c r="D393" s="3" t="str">
        <x:v>Fixed rank 25</x:v>
      </x:c>
      <x:c r="E393" s="18" t="n">
        <x:v>800</x:v>
      </x:c>
      <x:c r="F393" s="21" t="n">
        <x:v>579.1097348357797</x:v>
      </x:c>
      <x:c r="G393" s="21" t="n">
        <x:f>F390</x:f>
        <x:v>579.5249035326696</x:v>
      </x:c>
      <x:c r="H393" s="21" t="n">
        <x:f>F395</x:f>
        <x:v>645.9269170113604</x:v>
      </x:c>
      <x:c r="I393" s="27" t="n">
        <x:f>IF(AND(ISNUMBER(G393),ISNUMBER(H393),H393&gt;0),G393/H393-1,"")</x:f>
        <x:v>-0.10280112460079283</x:v>
      </x:c>
      <x:c r="J393" s="27" t="n">
        <x:f>IF(AND(ISNUMBER(G393),F393&gt;0),G393/F393-1,"")</x:f>
        <x:v>0.0007169085095894978</x:v>
      </x:c>
      <x:c r="K393" s="19" t="str">
        <x:v>Balanced/EXP001/results/seed1192868589_Fixed_rank_25.json</x:v>
      </x:c>
    </x:row>
    <x:row r="394" ht="15" hidden="0" customHeight="1">
      <x:c r="A394" s="3" t="str">
        <x:v>EXP001</x:v>
      </x:c>
      <x:c r="B394" s="3" t="str">
        <x:v>Balanced</x:v>
      </x:c>
      <x:c r="C394" s="18" t="n">
        <x:v>1192868589</x:v>
      </x:c>
      <x:c r="D394" s="3" t="str">
        <x:v>Relative cutoff 1e-6</x:v>
      </x:c>
      <x:c r="E394" s="18" t="n">
        <x:v>800</x:v>
      </x:c>
      <x:c r="F394" s="21" t="n">
        <x:v>592.3066187946292</x:v>
      </x:c>
      <x:c r="G394" s="21" t="n">
        <x:f>F390</x:f>
        <x:v>579.5249035326696</x:v>
      </x:c>
      <x:c r="H394" s="21" t="n">
        <x:f>F395</x:f>
        <x:v>645.9269170113604</x:v>
      </x:c>
      <x:c r="I394" s="27" t="n">
        <x:f>IF(AND(ISNUMBER(G394),ISNUMBER(H394),H394&gt;0),G394/H394-1,"")</x:f>
        <x:v>-0.10280112460079283</x:v>
      </x:c>
      <x:c r="J394" s="27" t="n">
        <x:f>IF(AND(ISNUMBER(G394),F394&gt;0),G394/F394-1,"")</x:f>
        <x:v>-0.021579558384762</x:v>
      </x:c>
      <x:c r="K394" s="19" t="str">
        <x:v>Balanced/EXP001/results/seed1192868589_Relative_cutoff_1e-6.json</x:v>
      </x:c>
    </x:row>
    <x:row r="395" ht="15" hidden="0" customHeight="1">
      <x:c r="A395" s="3" t="str">
        <x:v>EXP001</x:v>
      </x:c>
      <x:c r="B395" s="3" t="str">
        <x:v>Balanced</x:v>
      </x:c>
      <x:c r="C395" s="18" t="n">
        <x:v>1192868589</x:v>
      </x:c>
      <x:c r="D395" s="3" t="str">
        <x:v>Full</x:v>
      </x:c>
      <x:c r="E395" s="18" t="n">
        <x:v>800</x:v>
      </x:c>
      <x:c r="F395" s="21" t="n">
        <x:v>645.9269170113604</x:v>
      </x:c>
      <x:c r="G395" s="21" t="n">
        <x:f>F390</x:f>
        <x:v>579.5249035326696</x:v>
      </x:c>
      <x:c r="H395" s="21" t="n">
        <x:f>F395</x:f>
        <x:v>645.9269170113604</x:v>
      </x:c>
      <x:c r="I395" s="27" t="n">
        <x:f>IF(AND(ISNUMBER(G395),ISNUMBER(H395),H395&gt;0),G395/H395-1,"")</x:f>
        <x:v>-0.10280112460079283</x:v>
      </x:c>
      <x:c r="J395" s="27" t="n">
        <x:f>IF(AND(ISNUMBER(G395),F395&gt;0),G395/F395-1,"")</x:f>
        <x:v>-0.10280112460079283</x:v>
      </x:c>
      <x:c r="K395" s="19" t="str">
        <x:v>Balanced/EXP001/results/seed1192868589_Full.json</x:v>
      </x:c>
    </x:row>
    <x:row r="396" ht="15" hidden="0" customHeight="1">
      <x:c r="A396" s="3" t="str">
        <x:v>EXP001</x:v>
      </x:c>
      <x:c r="B396" s="3" t="str">
        <x:v>Balanced</x:v>
      </x:c>
      <x:c r="C396" s="18" t="n">
        <x:v>1192868589</x:v>
      </x:c>
      <x:c r="D396" s="3" t="str">
        <x:v>Relative cutoff 1e-2</x:v>
      </x:c>
      <x:c r="E396" s="18" t="n">
        <x:v>800</x:v>
      </x:c>
      <x:c r="F396" s="21" t="n">
        <x:v>821.9262359612861</x:v>
      </x:c>
      <x:c r="G396" s="21" t="n">
        <x:f>F390</x:f>
        <x:v>579.5249035326696</x:v>
      </x:c>
      <x:c r="H396" s="21" t="n">
        <x:f>F395</x:f>
        <x:v>645.9269170113604</x:v>
      </x:c>
      <x:c r="I396" s="27" t="n">
        <x:f>IF(AND(ISNUMBER(G396),ISNUMBER(H396),H396&gt;0),G396/H396-1,"")</x:f>
        <x:v>-0.10280112460079283</x:v>
      </x:c>
      <x:c r="J396" s="27" t="n">
        <x:f>IF(AND(ISNUMBER(G396),F396&gt;0),G396/F396-1,"")</x:f>
        <x:v>-0.29491859709906376</x:v>
      </x:c>
      <x:c r="K396" s="19" t="str">
        <x:v>Balanced/EXP001/results/seed1192868589_Relative_cutoff_1e-2.json</x:v>
      </x:c>
    </x:row>
    <x:row r="397" ht="15" hidden="0" customHeight="1">
      <x:c r="A397" s="3" t="str">
        <x:v>EXP001</x:v>
      </x:c>
      <x:c r="B397" s="3" t="str">
        <x:v>Balanced</x:v>
      </x:c>
      <x:c r="C397" s="18" t="n">
        <x:v>1192868589</x:v>
      </x:c>
      <x:c r="D397" s="3" t="str">
        <x:v>Relative cutoff 1e-4</x:v>
      </x:c>
      <x:c r="E397" s="18" t="n">
        <x:v>800</x:v>
      </x:c>
      <x:c r="F397" s="21" t="n">
        <x:v>600.9765518149607</x:v>
      </x:c>
      <x:c r="G397" s="21" t="n">
        <x:f>F390</x:f>
        <x:v>579.5249035326696</x:v>
      </x:c>
      <x:c r="H397" s="21" t="n">
        <x:f>F395</x:f>
        <x:v>645.9269170113604</x:v>
      </x:c>
      <x:c r="I397" s="27" t="n">
        <x:f>IF(AND(ISNUMBER(G397),ISNUMBER(H397),H397&gt;0),G397/H397-1,"")</x:f>
        <x:v>-0.10280112460079283</x:v>
      </x:c>
      <x:c r="J397" s="27" t="n">
        <x:f>IF(AND(ISNUMBER(G397),F397&gt;0),G397/F397-1,"")</x:f>
        <x:v>-0.035694651010104717</x:v>
      </x:c>
      <x:c r="K397" s="19" t="str">
        <x:v>Balanced/EXP001/results/seed1192868589_Relative_cutoff_1e-4.json</x:v>
      </x:c>
    </x:row>
    <x:row r="398" ht="15" hidden="0" customHeight="1">
      <x:c r="A398" s="3" t="str">
        <x:v>EXP001</x:v>
      </x:c>
      <x:c r="B398" s="3" t="str">
        <x:v>Balanced</x:v>
      </x:c>
      <x:c r="C398" s="18" t="n">
        <x:v>1258145485</x:v>
      </x:c>
      <x:c r="D398" s="3" t="str">
        <x:v>BBP</x:v>
      </x:c>
      <x:c r="E398" s="18" t="n">
        <x:v>800</x:v>
      </x:c>
      <x:c r="F398" s="21" t="n">
        <x:v>851.289377330638</x:v>
      </x:c>
      <x:c r="G398" s="21" t="n">
        <x:f>F398</x:f>
        <x:v>851.289377330638</x:v>
      </x:c>
      <x:c r="H398" s="21" t="n">
        <x:f>F403</x:f>
        <x:v>979.3751189479219</x:v>
      </x:c>
      <x:c r="I398" s="27" t="n">
        <x:f>IF(AND(ISNUMBER(G398),ISNUMBER(H398),H398&gt;0),G398/H398-1,"")</x:f>
        <x:v>-0.13078312807750103</x:v>
      </x:c>
      <x:c r="J398" s="27" t="n">
        <x:f>IF(AND(ISNUMBER(G398),F398&gt;0),G398/F398-1,"")</x:f>
        <x:v>0</x:v>
      </x:c>
      <x:c r="K398" s="19" t="str">
        <x:v>Balanced/EXP001/results/seed1258145485_BBP.json</x:v>
      </x:c>
    </x:row>
    <x:row r="399" ht="15" hidden="0" customHeight="1">
      <x:c r="A399" s="3" t="str">
        <x:v>EXP001</x:v>
      </x:c>
      <x:c r="B399" s="3" t="str">
        <x:v>Balanced</x:v>
      </x:c>
      <x:c r="C399" s="18" t="n">
        <x:v>1258145485</x:v>
      </x:c>
      <x:c r="D399" s="3" t="str">
        <x:v>Relative cutoff 1e-5</x:v>
      </x:c>
      <x:c r="E399" s="18" t="n">
        <x:v>800</x:v>
      </x:c>
      <x:c r="F399" s="21" t="n">
        <x:v>1070.7531702463048</x:v>
      </x:c>
      <x:c r="G399" s="21" t="n">
        <x:f>F398</x:f>
        <x:v>851.289377330638</x:v>
      </x:c>
      <x:c r="H399" s="21" t="n">
        <x:f>F403</x:f>
        <x:v>979.3751189479219</x:v>
      </x:c>
      <x:c r="I399" s="27" t="n">
        <x:f>IF(AND(ISNUMBER(G399),ISNUMBER(H399),H399&gt;0),G399/H399-1,"")</x:f>
        <x:v>-0.13078312807750103</x:v>
      </x:c>
      <x:c r="J399" s="27" t="n">
        <x:f>IF(AND(ISNUMBER(G399),F399&gt;0),G399/F399-1,"")</x:f>
        <x:v>-0.204962076241328</x:v>
      </x:c>
      <x:c r="K399" s="19" t="str">
        <x:v>Balanced/EXP001/results/seed1258145485_Relative_cutoff_1e-5.json</x:v>
      </x:c>
    </x:row>
    <x:row r="400" ht="15" hidden="0" customHeight="1">
      <x:c r="A400" s="3" t="str">
        <x:v>EXP001</x:v>
      </x:c>
      <x:c r="B400" s="3" t="str">
        <x:v>Balanced</x:v>
      </x:c>
      <x:c r="C400" s="18" t="n">
        <x:v>1258145485</x:v>
      </x:c>
      <x:c r="D400" s="3" t="str">
        <x:v>Fixed rank 10</x:v>
      </x:c>
      <x:c r="E400" s="18" t="n">
        <x:v>800</x:v>
      </x:c>
      <x:c r="F400" s="21" t="n">
        <x:v>1046.548865976043</x:v>
      </x:c>
      <x:c r="G400" s="21" t="n">
        <x:f>F398</x:f>
        <x:v>851.289377330638</x:v>
      </x:c>
      <x:c r="H400" s="21" t="n">
        <x:f>F403</x:f>
        <x:v>979.3751189479219</x:v>
      </x:c>
      <x:c r="I400" s="27" t="n">
        <x:f>IF(AND(ISNUMBER(G400),ISNUMBER(H400),H400&gt;0),G400/H400-1,"")</x:f>
        <x:v>-0.13078312807750103</x:v>
      </x:c>
      <x:c r="J400" s="27" t="n">
        <x:f>IF(AND(ISNUMBER(G400),F400&gt;0),G400/F400-1,"")</x:f>
        <x:v>-0.18657465025610653</x:v>
      </x:c>
      <x:c r="K400" s="19" t="str">
        <x:v>Balanced/EXP001/results/seed1258145485_Fixed_rank_10.json</x:v>
      </x:c>
    </x:row>
    <x:row r="401" ht="15" hidden="0" customHeight="1">
      <x:c r="A401" s="3" t="str">
        <x:v>EXP001</x:v>
      </x:c>
      <x:c r="B401" s="3" t="str">
        <x:v>Balanced</x:v>
      </x:c>
      <x:c r="C401" s="18" t="n">
        <x:v>1258145485</x:v>
      </x:c>
      <x:c r="D401" s="3" t="str">
        <x:v>Fixed rank 25</x:v>
      </x:c>
      <x:c r="E401" s="18" t="n">
        <x:v>800</x:v>
      </x:c>
      <x:c r="F401" s="21" t="n">
        <x:v>828.8977899038705</x:v>
      </x:c>
      <x:c r="G401" s="21" t="n">
        <x:f>F398</x:f>
        <x:v>851.289377330638</x:v>
      </x:c>
      <x:c r="H401" s="21" t="n">
        <x:f>F403</x:f>
        <x:v>979.3751189479219</x:v>
      </x:c>
      <x:c r="I401" s="27" t="n">
        <x:f>IF(AND(ISNUMBER(G401),ISNUMBER(H401),H401&gt;0),G401/H401-1,"")</x:f>
        <x:v>-0.13078312807750103</x:v>
      </x:c>
      <x:c r="J401" s="27" t="n">
        <x:f>IF(AND(ISNUMBER(G401),F401&gt;0),G401/F401-1,"")</x:f>
        <x:v>0.02701368938305926</x:v>
      </x:c>
      <x:c r="K401" s="19" t="str">
        <x:v>Balanced/EXP001/results/seed1258145485_Fixed_rank_25.json</x:v>
      </x:c>
    </x:row>
    <x:row r="402" ht="15" hidden="0" customHeight="1">
      <x:c r="A402" s="3" t="str">
        <x:v>EXP001</x:v>
      </x:c>
      <x:c r="B402" s="3" t="str">
        <x:v>Balanced</x:v>
      </x:c>
      <x:c r="C402" s="18" t="n">
        <x:v>1258145485</x:v>
      </x:c>
      <x:c r="D402" s="3" t="str">
        <x:v>Relative cutoff 1e-6</x:v>
      </x:c>
      <x:c r="E402" s="18" t="n">
        <x:v>800</x:v>
      </x:c>
      <x:c r="F402" s="21" t="n">
        <x:v>1063.0970449889076</x:v>
      </x:c>
      <x:c r="G402" s="21" t="n">
        <x:f>F398</x:f>
        <x:v>851.289377330638</x:v>
      </x:c>
      <x:c r="H402" s="21" t="n">
        <x:f>F403</x:f>
        <x:v>979.3751189479219</x:v>
      </x:c>
      <x:c r="I402" s="27" t="n">
        <x:f>IF(AND(ISNUMBER(G402),ISNUMBER(H402),H402&gt;0),G402/H402-1,"")</x:f>
        <x:v>-0.13078312807750103</x:v>
      </x:c>
      <x:c r="J402" s="27" t="n">
        <x:f>IF(AND(ISNUMBER(G402),F402&gt;0),G402/F402-1,"")</x:f>
        <x:v>-0.1992364372158325</x:v>
      </x:c>
      <x:c r="K402" s="19" t="str">
        <x:v>Balanced/EXP001/results/seed1258145485_Relative_cutoff_1e-6.json</x:v>
      </x:c>
    </x:row>
    <x:row r="403" ht="15" hidden="0" customHeight="1">
      <x:c r="A403" s="3" t="str">
        <x:v>EXP001</x:v>
      </x:c>
      <x:c r="B403" s="3" t="str">
        <x:v>Balanced</x:v>
      </x:c>
      <x:c r="C403" s="18" t="n">
        <x:v>1258145485</x:v>
      </x:c>
      <x:c r="D403" s="3" t="str">
        <x:v>Full</x:v>
      </x:c>
      <x:c r="E403" s="18" t="n">
        <x:v>800</x:v>
      </x:c>
      <x:c r="F403" s="21" t="n">
        <x:v>979.3751189479219</x:v>
      </x:c>
      <x:c r="G403" s="21" t="n">
        <x:f>F398</x:f>
        <x:v>851.289377330638</x:v>
      </x:c>
      <x:c r="H403" s="21" t="n">
        <x:f>F403</x:f>
        <x:v>979.3751189479219</x:v>
      </x:c>
      <x:c r="I403" s="27" t="n">
        <x:f>IF(AND(ISNUMBER(G403),ISNUMBER(H403),H403&gt;0),G403/H403-1,"")</x:f>
        <x:v>-0.13078312807750103</x:v>
      </x:c>
      <x:c r="J403" s="27" t="n">
        <x:f>IF(AND(ISNUMBER(G403),F403&gt;0),G403/F403-1,"")</x:f>
        <x:v>-0.13078312807750103</x:v>
      </x:c>
      <x:c r="K403" s="19" t="str">
        <x:v>Balanced/EXP001/results/seed1258145485_Full.json</x:v>
      </x:c>
    </x:row>
    <x:row r="404" ht="15" hidden="0" customHeight="1">
      <x:c r="A404" s="3" t="str">
        <x:v>EXP001</x:v>
      </x:c>
      <x:c r="B404" s="3" t="str">
        <x:v>Balanced</x:v>
      </x:c>
      <x:c r="C404" s="18" t="n">
        <x:v>1258145485</x:v>
      </x:c>
      <x:c r="D404" s="3" t="str">
        <x:v>Relative cutoff 1e-2</x:v>
      </x:c>
      <x:c r="E404" s="18" t="n">
        <x:v>800</x:v>
      </x:c>
      <x:c r="F404" s="21" t="n">
        <x:v>895.221164109762</x:v>
      </x:c>
      <x:c r="G404" s="21" t="n">
        <x:f>F398</x:f>
        <x:v>851.289377330638</x:v>
      </x:c>
      <x:c r="H404" s="21" t="n">
        <x:f>F403</x:f>
        <x:v>979.3751189479219</x:v>
      </x:c>
      <x:c r="I404" s="27" t="n">
        <x:f>IF(AND(ISNUMBER(G404),ISNUMBER(H404),H404&gt;0),G404/H404-1,"")</x:f>
        <x:v>-0.13078312807750103</x:v>
      </x:c>
      <x:c r="J404" s="27" t="n">
        <x:f>IF(AND(ISNUMBER(G404),F404&gt;0),G404/F404-1,"")</x:f>
        <x:v>-0.049073668653501046</x:v>
      </x:c>
      <x:c r="K404" s="19" t="str">
        <x:v>Balanced/EXP001/results/seed1258145485_Relative_cutoff_1e-2.json</x:v>
      </x:c>
    </x:row>
    <x:row r="405" ht="15" hidden="0" customHeight="1">
      <x:c r="A405" s="3" t="str">
        <x:v>EXP001</x:v>
      </x:c>
      <x:c r="B405" s="3" t="str">
        <x:v>Balanced</x:v>
      </x:c>
      <x:c r="C405" s="18" t="n">
        <x:v>1258145485</x:v>
      </x:c>
      <x:c r="D405" s="3" t="str">
        <x:v>Relative cutoff 1e-4</x:v>
      </x:c>
      <x:c r="E405" s="18" t="n">
        <x:v>800</x:v>
      </x:c>
      <x:c r="F405" s="21" t="n">
        <x:v>1013.5825267585834</x:v>
      </x:c>
      <x:c r="G405" s="21" t="n">
        <x:f>F398</x:f>
        <x:v>851.289377330638</x:v>
      </x:c>
      <x:c r="H405" s="21" t="n">
        <x:f>F403</x:f>
        <x:v>979.3751189479219</x:v>
      </x:c>
      <x:c r="I405" s="27" t="n">
        <x:f>IF(AND(ISNUMBER(G405),ISNUMBER(H405),H405&gt;0),G405/H405-1,"")</x:f>
        <x:v>-0.13078312807750103</x:v>
      </x:c>
      <x:c r="J405" s="27" t="n">
        <x:f>IF(AND(ISNUMBER(G405),F405&gt;0),G405/F405-1,"")</x:f>
        <x:v>-0.16011833781996587</x:v>
      </x:c>
      <x:c r="K405" s="19" t="str">
        <x:v>Balanced/EXP001/results/seed1258145485_Relative_cutoff_1e-4.json</x:v>
      </x:c>
    </x:row>
    <x:row r="406" ht="15" hidden="0" customHeight="1">
      <x:c r="A406" s="3" t="str">
        <x:v>EXP001</x:v>
      </x:c>
      <x:c r="B406" s="3" t="str">
        <x:v>Balanced</x:v>
      </x:c>
      <x:c r="C406" s="18" t="n">
        <x:v>1317353170</x:v>
      </x:c>
      <x:c r="D406" s="3" t="str">
        <x:v>BBP</x:v>
      </x:c>
      <x:c r="E406" s="18" t="n">
        <x:v>800</x:v>
      </x:c>
      <x:c r="F406" s="21" t="n">
        <x:v>514.9165340789782</x:v>
      </x:c>
      <x:c r="G406" s="21" t="n">
        <x:f>F406</x:f>
        <x:v>514.9165340789782</x:v>
      </x:c>
      <x:c r="H406" s="21" t="n">
        <x:f>F411</x:f>
        <x:v>532.2953272634142</x:v>
      </x:c>
      <x:c r="I406" s="27" t="n">
        <x:f>IF(AND(ISNUMBER(G406),ISNUMBER(H406),H406&gt;0),G406/H406-1,"")</x:f>
        <x:v>-0.032648780281018364</x:v>
      </x:c>
      <x:c r="J406" s="27" t="n">
        <x:f>IF(AND(ISNUMBER(G406),F406&gt;0),G406/F406-1,"")</x:f>
        <x:v>0</x:v>
      </x:c>
      <x:c r="K406" s="19" t="str">
        <x:v>Balanced/EXP001/results/seed1317353170_BBP.json</x:v>
      </x:c>
    </x:row>
    <x:row r="407" ht="15" hidden="0" customHeight="1">
      <x:c r="A407" s="3" t="str">
        <x:v>EXP001</x:v>
      </x:c>
      <x:c r="B407" s="3" t="str">
        <x:v>Balanced</x:v>
      </x:c>
      <x:c r="C407" s="18" t="n">
        <x:v>1317353170</x:v>
      </x:c>
      <x:c r="D407" s="3" t="str">
        <x:v>Relative cutoff 1e-5</x:v>
      </x:c>
      <x:c r="E407" s="18" t="n">
        <x:v>800</x:v>
      </x:c>
      <x:c r="F407" s="21" t="n">
        <x:v>554.1058504596683</x:v>
      </x:c>
      <x:c r="G407" s="21" t="n">
        <x:f>F406</x:f>
        <x:v>514.9165340789782</x:v>
      </x:c>
      <x:c r="H407" s="21" t="n">
        <x:f>F411</x:f>
        <x:v>532.2953272634142</x:v>
      </x:c>
      <x:c r="I407" s="27" t="n">
        <x:f>IF(AND(ISNUMBER(G407),ISNUMBER(H407),H407&gt;0),G407/H407-1,"")</x:f>
        <x:v>-0.032648780281018364</x:v>
      </x:c>
      <x:c r="J407" s="27" t="n">
        <x:f>IF(AND(ISNUMBER(G407),F407&gt;0),G407/F407-1,"")</x:f>
        <x:v>-0.07072532504065776</x:v>
      </x:c>
      <x:c r="K407" s="19" t="str">
        <x:v>Balanced/EXP001/results/seed1317353170_Relative_cutoff_1e-5.json</x:v>
      </x:c>
    </x:row>
    <x:row r="408" ht="15" hidden="0" customHeight="1">
      <x:c r="A408" s="3" t="str">
        <x:v>EXP001</x:v>
      </x:c>
      <x:c r="B408" s="3" t="str">
        <x:v>Balanced</x:v>
      </x:c>
      <x:c r="C408" s="18" t="n">
        <x:v>1317353170</x:v>
      </x:c>
      <x:c r="D408" s="3" t="str">
        <x:v>Fixed rank 10</x:v>
      </x:c>
      <x:c r="E408" s="18" t="n">
        <x:v>800</x:v>
      </x:c>
      <x:c r="F408" s="21" t="n">
        <x:v>519.7419072484321</x:v>
      </x:c>
      <x:c r="G408" s="21" t="n">
        <x:f>F406</x:f>
        <x:v>514.9165340789782</x:v>
      </x:c>
      <x:c r="H408" s="21" t="n">
        <x:f>F411</x:f>
        <x:v>532.2953272634142</x:v>
      </x:c>
      <x:c r="I408" s="27" t="n">
        <x:f>IF(AND(ISNUMBER(G408),ISNUMBER(H408),H408&gt;0),G408/H408-1,"")</x:f>
        <x:v>-0.032648780281018364</x:v>
      </x:c>
      <x:c r="J408" s="27" t="n">
        <x:f>IF(AND(ISNUMBER(G408),F408&gt;0),G408/F408-1,"")</x:f>
        <x:v>-0.00928417182097152</x:v>
      </x:c>
      <x:c r="K408" s="19" t="str">
        <x:v>Balanced/EXP001/results/seed1317353170_Fixed_rank_10.json</x:v>
      </x:c>
    </x:row>
    <x:row r="409" ht="15" hidden="0" customHeight="1">
      <x:c r="A409" s="3" t="str">
        <x:v>EXP001</x:v>
      </x:c>
      <x:c r="B409" s="3" t="str">
        <x:v>Balanced</x:v>
      </x:c>
      <x:c r="C409" s="18" t="n">
        <x:v>1317353170</x:v>
      </x:c>
      <x:c r="D409" s="3" t="str">
        <x:v>Fixed rank 25</x:v>
      </x:c>
      <x:c r="E409" s="18" t="n">
        <x:v>800</x:v>
      </x:c>
      <x:c r="F409" s="21" t="n">
        <x:v>548.137804434084</x:v>
      </x:c>
      <x:c r="G409" s="21" t="n">
        <x:f>F406</x:f>
        <x:v>514.9165340789782</x:v>
      </x:c>
      <x:c r="H409" s="21" t="n">
        <x:f>F411</x:f>
        <x:v>532.2953272634142</x:v>
      </x:c>
      <x:c r="I409" s="27" t="n">
        <x:f>IF(AND(ISNUMBER(G409),ISNUMBER(H409),H409&gt;0),G409/H409-1,"")</x:f>
        <x:v>-0.032648780281018364</x:v>
      </x:c>
      <x:c r="J409" s="27" t="n">
        <x:f>IF(AND(ISNUMBER(G409),F409&gt;0),G409/F409-1,"")</x:f>
        <x:v>-0.06060751527511332</x:v>
      </x:c>
      <x:c r="K409" s="19" t="str">
        <x:v>Balanced/EXP001/results/seed1317353170_Fixed_rank_25.json</x:v>
      </x:c>
    </x:row>
    <x:row r="410" ht="15" hidden="0" customHeight="1">
      <x:c r="A410" s="3" t="str">
        <x:v>EXP001</x:v>
      </x:c>
      <x:c r="B410" s="3" t="str">
        <x:v>Balanced</x:v>
      </x:c>
      <x:c r="C410" s="18" t="n">
        <x:v>1317353170</x:v>
      </x:c>
      <x:c r="D410" s="3" t="str">
        <x:v>Relative cutoff 1e-6</x:v>
      </x:c>
      <x:c r="E410" s="18" t="n">
        <x:v>800</x:v>
      </x:c>
      <x:c r="F410" s="21" t="n">
        <x:v>554.3991107875554</x:v>
      </x:c>
      <x:c r="G410" s="21" t="n">
        <x:f>F406</x:f>
        <x:v>514.9165340789782</x:v>
      </x:c>
      <x:c r="H410" s="21" t="n">
        <x:f>F411</x:f>
        <x:v>532.2953272634142</x:v>
      </x:c>
      <x:c r="I410" s="27" t="n">
        <x:f>IF(AND(ISNUMBER(G410),ISNUMBER(H410),H410&gt;0),G410/H410-1,"")</x:f>
        <x:v>-0.032648780281018364</x:v>
      </x:c>
      <x:c r="J410" s="27" t="n">
        <x:f>IF(AND(ISNUMBER(G410),F410&gt;0),G410/F410-1,"")</x:f>
        <x:v>-0.0712168831809451</x:v>
      </x:c>
      <x:c r="K410" s="19" t="str">
        <x:v>Balanced/EXP001/results/seed1317353170_Relative_cutoff_1e-6.json</x:v>
      </x:c>
    </x:row>
    <x:row r="411" ht="15" hidden="0" customHeight="1">
      <x:c r="A411" s="3" t="str">
        <x:v>EXP001</x:v>
      </x:c>
      <x:c r="B411" s="3" t="str">
        <x:v>Balanced</x:v>
      </x:c>
      <x:c r="C411" s="18" t="n">
        <x:v>1317353170</x:v>
      </x:c>
      <x:c r="D411" s="3" t="str">
        <x:v>Full</x:v>
      </x:c>
      <x:c r="E411" s="18" t="n">
        <x:v>800</x:v>
      </x:c>
      <x:c r="F411" s="21" t="n">
        <x:v>532.2953272634142</x:v>
      </x:c>
      <x:c r="G411" s="21" t="n">
        <x:f>F406</x:f>
        <x:v>514.9165340789782</x:v>
      </x:c>
      <x:c r="H411" s="21" t="n">
        <x:f>F411</x:f>
        <x:v>532.2953272634142</x:v>
      </x:c>
      <x:c r="I411" s="27" t="n">
        <x:f>IF(AND(ISNUMBER(G411),ISNUMBER(H411),H411&gt;0),G411/H411-1,"")</x:f>
        <x:v>-0.032648780281018364</x:v>
      </x:c>
      <x:c r="J411" s="27" t="n">
        <x:f>IF(AND(ISNUMBER(G411),F411&gt;0),G411/F411-1,"")</x:f>
        <x:v>-0.032648780281018364</x:v>
      </x:c>
      <x:c r="K411" s="19" t="str">
        <x:v>Balanced/EXP001/results/seed1317353170_Full.json</x:v>
      </x:c>
    </x:row>
    <x:row r="412" ht="15" hidden="0" customHeight="1">
      <x:c r="A412" s="3" t="str">
        <x:v>EXP001</x:v>
      </x:c>
      <x:c r="B412" s="3" t="str">
        <x:v>Balanced</x:v>
      </x:c>
      <x:c r="C412" s="18" t="n">
        <x:v>1317353170</x:v>
      </x:c>
      <x:c r="D412" s="3" t="str">
        <x:v>Relative cutoff 1e-2</x:v>
      </x:c>
      <x:c r="E412" s="18" t="n">
        <x:v>800</x:v>
      </x:c>
      <x:c r="F412" s="21" t="n">
        <x:v>569.140993386338</x:v>
      </x:c>
      <x:c r="G412" s="21" t="n">
        <x:f>F406</x:f>
        <x:v>514.9165340789782</x:v>
      </x:c>
      <x:c r="H412" s="21" t="n">
        <x:f>F411</x:f>
        <x:v>532.2953272634142</x:v>
      </x:c>
      <x:c r="I412" s="27" t="n">
        <x:f>IF(AND(ISNUMBER(G412),ISNUMBER(H412),H412&gt;0),G412/H412-1,"")</x:f>
        <x:v>-0.032648780281018364</x:v>
      </x:c>
      <x:c r="J412" s="27" t="n">
        <x:f>IF(AND(ISNUMBER(G412),F412&gt;0),G412/F412-1,"")</x:f>
        <x:v>-0.09527421137727066</x:v>
      </x:c>
      <x:c r="K412" s="19" t="str">
        <x:v>Balanced/EXP001/results/seed1317353170_Relative_cutoff_1e-2.json</x:v>
      </x:c>
    </x:row>
    <x:row r="413" ht="15" hidden="0" customHeight="1">
      <x:c r="A413" s="3" t="str">
        <x:v>EXP001</x:v>
      </x:c>
      <x:c r="B413" s="3" t="str">
        <x:v>Balanced</x:v>
      </x:c>
      <x:c r="C413" s="18" t="n">
        <x:v>1317353170</x:v>
      </x:c>
      <x:c r="D413" s="3" t="str">
        <x:v>Relative cutoff 1e-4</x:v>
      </x:c>
      <x:c r="E413" s="18" t="n">
        <x:v>800</x:v>
      </x:c>
      <x:c r="F413" s="21" t="n">
        <x:v>539.9212235397353</x:v>
      </x:c>
      <x:c r="G413" s="21" t="n">
        <x:f>F406</x:f>
        <x:v>514.9165340789782</x:v>
      </x:c>
      <x:c r="H413" s="21" t="n">
        <x:f>F411</x:f>
        <x:v>532.2953272634142</x:v>
      </x:c>
      <x:c r="I413" s="27" t="n">
        <x:f>IF(AND(ISNUMBER(G413),ISNUMBER(H413),H413&gt;0),G413/H413-1,"")</x:f>
        <x:v>-0.032648780281018364</x:v>
      </x:c>
      <x:c r="J413" s="27" t="n">
        <x:f>IF(AND(ISNUMBER(G413),F413&gt;0),G413/F413-1,"")</x:f>
        <x:v>-0.04631173654709431</x:v>
      </x:c>
      <x:c r="K413" s="19" t="str">
        <x:v>Balanced/EXP001/results/seed1317353170_Relative_cutoff_1e-4.json</x:v>
      </x:c>
    </x:row>
    <x:row r="414" ht="15" hidden="0" customHeight="1">
      <x:c r="A414" s="3" t="str">
        <x:v>EXP001</x:v>
      </x:c>
      <x:c r="B414" s="3" t="str">
        <x:v>Balanced</x:v>
      </x:c>
      <x:c r="C414" s="18" t="n">
        <x:v>1352005525</x:v>
      </x:c>
      <x:c r="D414" s="3" t="str">
        <x:v>BBP</x:v>
      </x:c>
      <x:c r="E414" s="18" t="n">
        <x:v>800</x:v>
      </x:c>
      <x:c r="F414" s="21" t="n">
        <x:v>679.2291952501497</x:v>
      </x:c>
      <x:c r="G414" s="21" t="n">
        <x:f>F414</x:f>
        <x:v>679.2291952501497</x:v>
      </x:c>
      <x:c r="H414" s="21" t="n">
        <x:f>F419</x:f>
        <x:v>745.1449385790544</x:v>
      </x:c>
      <x:c r="I414" s="27" t="n">
        <x:f>IF(AND(ISNUMBER(G414),ISNUMBER(H414),H414&gt;0),G414/H414-1,"")</x:f>
        <x:v>-0.08846029801209143</x:v>
      </x:c>
      <x:c r="J414" s="27" t="n">
        <x:f>IF(AND(ISNUMBER(G414),F414&gt;0),G414/F414-1,"")</x:f>
        <x:v>0</x:v>
      </x:c>
      <x:c r="K414" s="19" t="str">
        <x:v>Balanced/EXP001/results/seed1352005525_BBP.json</x:v>
      </x:c>
    </x:row>
    <x:row r="415" ht="15" hidden="0" customHeight="1">
      <x:c r="A415" s="3" t="str">
        <x:v>EXP001</x:v>
      </x:c>
      <x:c r="B415" s="3" t="str">
        <x:v>Balanced</x:v>
      </x:c>
      <x:c r="C415" s="18" t="n">
        <x:v>1352005525</x:v>
      </x:c>
      <x:c r="D415" s="3" t="str">
        <x:v>Relative cutoff 1e-5</x:v>
      </x:c>
      <x:c r="E415" s="18" t="n">
        <x:v>800</x:v>
      </x:c>
      <x:c r="F415" s="21" t="n">
        <x:v>587.1270529479182</x:v>
      </x:c>
      <x:c r="G415" s="21" t="n">
        <x:f>F414</x:f>
        <x:v>679.2291952501497</x:v>
      </x:c>
      <x:c r="H415" s="21" t="n">
        <x:f>F419</x:f>
        <x:v>745.1449385790544</x:v>
      </x:c>
      <x:c r="I415" s="27" t="n">
        <x:f>IF(AND(ISNUMBER(G415),ISNUMBER(H415),H415&gt;0),G415/H415-1,"")</x:f>
        <x:v>-0.08846029801209143</x:v>
      </x:c>
      <x:c r="J415" s="27" t="n">
        <x:f>IF(AND(ISNUMBER(G415),F415&gt;0),G415/F415-1,"")</x:f>
        <x:v>0.15686918502527525</x:v>
      </x:c>
      <x:c r="K415" s="19" t="str">
        <x:v>Balanced/EXP001/results/seed1352005525_Relative_cutoff_1e-5.json</x:v>
      </x:c>
    </x:row>
    <x:row r="416" ht="15" hidden="0" customHeight="1">
      <x:c r="A416" s="3" t="str">
        <x:v>EXP001</x:v>
      </x:c>
      <x:c r="B416" s="3" t="str">
        <x:v>Balanced</x:v>
      </x:c>
      <x:c r="C416" s="18" t="n">
        <x:v>1352005525</x:v>
      </x:c>
      <x:c r="D416" s="3" t="str">
        <x:v>Fixed rank 10</x:v>
      </x:c>
      <x:c r="E416" s="18" t="n">
        <x:v>800</x:v>
      </x:c>
      <x:c r="F416" s="21" t="n">
        <x:v>872.3835839141478</x:v>
      </x:c>
      <x:c r="G416" s="21" t="n">
        <x:f>F414</x:f>
        <x:v>679.2291952501497</x:v>
      </x:c>
      <x:c r="H416" s="21" t="n">
        <x:f>F419</x:f>
        <x:v>745.1449385790544</x:v>
      </x:c>
      <x:c r="I416" s="27" t="n">
        <x:f>IF(AND(ISNUMBER(G416),ISNUMBER(H416),H416&gt;0),G416/H416-1,"")</x:f>
        <x:v>-0.08846029801209143</x:v>
      </x:c>
      <x:c r="J416" s="27" t="n">
        <x:f>IF(AND(ISNUMBER(G416),F416&gt;0),G416/F416-1,"")</x:f>
        <x:v>-0.22140993047733304</x:v>
      </x:c>
      <x:c r="K416" s="19" t="str">
        <x:v>Balanced/EXP001/results/seed1352005525_Fixed_rank_10.json</x:v>
      </x:c>
    </x:row>
    <x:row r="417" ht="15" hidden="0" customHeight="1">
      <x:c r="A417" s="3" t="str">
        <x:v>EXP001</x:v>
      </x:c>
      <x:c r="B417" s="3" t="str">
        <x:v>Balanced</x:v>
      </x:c>
      <x:c r="C417" s="18" t="n">
        <x:v>1352005525</x:v>
      </x:c>
      <x:c r="D417" s="3" t="str">
        <x:v>Fixed rank 25</x:v>
      </x:c>
      <x:c r="E417" s="18" t="n">
        <x:v>800</x:v>
      </x:c>
      <x:c r="F417" s="21" t="n">
        <x:v>678.3904553342188</x:v>
      </x:c>
      <x:c r="G417" s="21" t="n">
        <x:f>F414</x:f>
        <x:v>679.2291952501497</x:v>
      </x:c>
      <x:c r="H417" s="21" t="n">
        <x:f>F419</x:f>
        <x:v>745.1449385790544</x:v>
      </x:c>
      <x:c r="I417" s="27" t="n">
        <x:f>IF(AND(ISNUMBER(G417),ISNUMBER(H417),H417&gt;0),G417/H417-1,"")</x:f>
        <x:v>-0.08846029801209143</x:v>
      </x:c>
      <x:c r="J417" s="27" t="n">
        <x:f>IF(AND(ISNUMBER(G417),F417&gt;0),G417/F417-1,"")</x:f>
        <x:v>0.0012363675068478575</x:v>
      </x:c>
      <x:c r="K417" s="19" t="str">
        <x:v>Balanced/EXP001/results/seed1352005525_Fixed_rank_25.json</x:v>
      </x:c>
    </x:row>
    <x:row r="418" ht="15" hidden="0" customHeight="1">
      <x:c r="A418" s="3" t="str">
        <x:v>EXP001</x:v>
      </x:c>
      <x:c r="B418" s="3" t="str">
        <x:v>Balanced</x:v>
      </x:c>
      <x:c r="C418" s="18" t="n">
        <x:v>1352005525</x:v>
      </x:c>
      <x:c r="D418" s="3" t="str">
        <x:v>Relative cutoff 1e-6</x:v>
      </x:c>
      <x:c r="E418" s="18" t="n">
        <x:v>800</x:v>
      </x:c>
      <x:c r="F418" s="21" t="n">
        <x:v>709.8316167645607</x:v>
      </x:c>
      <x:c r="G418" s="21" t="n">
        <x:f>F414</x:f>
        <x:v>679.2291952501497</x:v>
      </x:c>
      <x:c r="H418" s="21" t="n">
        <x:f>F419</x:f>
        <x:v>745.1449385790544</x:v>
      </x:c>
      <x:c r="I418" s="27" t="n">
        <x:f>IF(AND(ISNUMBER(G418),ISNUMBER(H418),H418&gt;0),G418/H418-1,"")</x:f>
        <x:v>-0.08846029801209143</x:v>
      </x:c>
      <x:c r="J418" s="27" t="n">
        <x:f>IF(AND(ISNUMBER(G418),F418&gt;0),G418/F418-1,"")</x:f>
        <x:v>-0.043112226606498605</x:v>
      </x:c>
      <x:c r="K418" s="19" t="str">
        <x:v>Balanced/EXP001/results/seed1352005525_Relative_cutoff_1e-6.json</x:v>
      </x:c>
    </x:row>
    <x:row r="419" ht="15" hidden="0" customHeight="1">
      <x:c r="A419" s="3" t="str">
        <x:v>EXP001</x:v>
      </x:c>
      <x:c r="B419" s="3" t="str">
        <x:v>Balanced</x:v>
      </x:c>
      <x:c r="C419" s="18" t="n">
        <x:v>1352005525</x:v>
      </x:c>
      <x:c r="D419" s="3" t="str">
        <x:v>Full</x:v>
      </x:c>
      <x:c r="E419" s="18" t="n">
        <x:v>800</x:v>
      </x:c>
      <x:c r="F419" s="21" t="n">
        <x:v>745.1449385790544</x:v>
      </x:c>
      <x:c r="G419" s="21" t="n">
        <x:f>F414</x:f>
        <x:v>679.2291952501497</x:v>
      </x:c>
      <x:c r="H419" s="21" t="n">
        <x:f>F419</x:f>
        <x:v>745.1449385790544</x:v>
      </x:c>
      <x:c r="I419" s="27" t="n">
        <x:f>IF(AND(ISNUMBER(G419),ISNUMBER(H419),H419&gt;0),G419/H419-1,"")</x:f>
        <x:v>-0.08846029801209143</x:v>
      </x:c>
      <x:c r="J419" s="27" t="n">
        <x:f>IF(AND(ISNUMBER(G419),F419&gt;0),G419/F419-1,"")</x:f>
        <x:v>-0.08846029801209143</x:v>
      </x:c>
      <x:c r="K419" s="19" t="str">
        <x:v>Balanced/EXP001/results/seed1352005525_Full.json</x:v>
      </x:c>
    </x:row>
    <x:row r="420" ht="15" hidden="0" customHeight="1">
      <x:c r="A420" s="3" t="str">
        <x:v>EXP001</x:v>
      </x:c>
      <x:c r="B420" s="3" t="str">
        <x:v>Balanced</x:v>
      </x:c>
      <x:c r="C420" s="18" t="n">
        <x:v>1352005525</x:v>
      </x:c>
      <x:c r="D420" s="3" t="str">
        <x:v>Relative cutoff 1e-2</x:v>
      </x:c>
      <x:c r="E420" s="18" t="n">
        <x:v>800</x:v>
      </x:c>
      <x:c r="F420" s="21" t="n">
        <x:v>736.8395773132232</x:v>
      </x:c>
      <x:c r="G420" s="21" t="n">
        <x:f>F414</x:f>
        <x:v>679.2291952501497</x:v>
      </x:c>
      <x:c r="H420" s="21" t="n">
        <x:f>F419</x:f>
        <x:v>745.1449385790544</x:v>
      </x:c>
      <x:c r="I420" s="27" t="n">
        <x:f>IF(AND(ISNUMBER(G420),ISNUMBER(H420),H420&gt;0),G420/H420-1,"")</x:f>
        <x:v>-0.08846029801209143</x:v>
      </x:c>
      <x:c r="J420" s="27" t="n">
        <x:f>IF(AND(ISNUMBER(G420),F420&gt;0),G420/F420-1,"")</x:f>
        <x:v>-0.07818578675312382</x:v>
      </x:c>
      <x:c r="K420" s="19" t="str">
        <x:v>Balanced/EXP001/results/seed1352005525_Relative_cutoff_1e-2.json</x:v>
      </x:c>
    </x:row>
    <x:row r="421" ht="15" hidden="0" customHeight="1">
      <x:c r="A421" s="3" t="str">
        <x:v>EXP001</x:v>
      </x:c>
      <x:c r="B421" s="3" t="str">
        <x:v>Balanced</x:v>
      </x:c>
      <x:c r="C421" s="18" t="n">
        <x:v>1352005525</x:v>
      </x:c>
      <x:c r="D421" s="3" t="str">
        <x:v>Relative cutoff 1e-4</x:v>
      </x:c>
      <x:c r="E421" s="18" t="n">
        <x:v>800</x:v>
      </x:c>
      <x:c r="F421" s="21" t="n">
        <x:v>765.7992039616294</x:v>
      </x:c>
      <x:c r="G421" s="21" t="n">
        <x:f>F414</x:f>
        <x:v>679.2291952501497</x:v>
      </x:c>
      <x:c r="H421" s="21" t="n">
        <x:f>F419</x:f>
        <x:v>745.1449385790544</x:v>
      </x:c>
      <x:c r="I421" s="27" t="n">
        <x:f>IF(AND(ISNUMBER(G421),ISNUMBER(H421),H421&gt;0),G421/H421-1,"")</x:f>
        <x:v>-0.08846029801209143</x:v>
      </x:c>
      <x:c r="J421" s="27" t="n">
        <x:f>IF(AND(ISNUMBER(G421),F421&gt;0),G421/F421-1,"")</x:f>
        <x:v>-0.11304531039420784</x:v>
      </x:c>
      <x:c r="K421" s="19" t="str">
        <x:v>Balanced/EXP001/results/seed1352005525_Relative_cutoff_1e-4.json</x:v>
      </x:c>
    </x:row>
    <x:row r="422" ht="15" hidden="0" customHeight="1">
      <x:c r="A422" s="3" t="str">
        <x:v>EXP001</x:v>
      </x:c>
      <x:c r="B422" s="3" t="str">
        <x:v>Balanced</x:v>
      </x:c>
      <x:c r="C422" s="18" t="n">
        <x:v>1356822772</x:v>
      </x:c>
      <x:c r="D422" s="3" t="str">
        <x:v>BBP</x:v>
      </x:c>
      <x:c r="E422" s="18" t="n">
        <x:v>800</x:v>
      </x:c>
      <x:c r="F422" s="21" t="n">
        <x:v>892.6459972417678</x:v>
      </x:c>
      <x:c r="G422" s="21" t="n">
        <x:f>F422</x:f>
        <x:v>892.6459972417678</x:v>
      </x:c>
      <x:c r="H422" s="21" t="n">
        <x:f>F427</x:f>
        <x:v>892.3832023855414</x:v>
      </x:c>
      <x:c r="I422" s="27" t="n">
        <x:f>IF(AND(ISNUMBER(G422),ISNUMBER(H422),H422&gt;0),G422/H422-1,"")</x:f>
        <x:v>0.00029448655636254983</x:v>
      </x:c>
      <x:c r="J422" s="27" t="n">
        <x:f>IF(AND(ISNUMBER(G422),F422&gt;0),G422/F422-1,"")</x:f>
        <x:v>0</x:v>
      </x:c>
      <x:c r="K422" s="19" t="str">
        <x:v>Balanced/EXP001/results/seed1356822772_BBP.json</x:v>
      </x:c>
    </x:row>
    <x:row r="423" ht="15" hidden="0" customHeight="1">
      <x:c r="A423" s="3" t="str">
        <x:v>EXP001</x:v>
      </x:c>
      <x:c r="B423" s="3" t="str">
        <x:v>Balanced</x:v>
      </x:c>
      <x:c r="C423" s="18" t="n">
        <x:v>1356822772</x:v>
      </x:c>
      <x:c r="D423" s="3" t="str">
        <x:v>Relative cutoff 1e-5</x:v>
      </x:c>
      <x:c r="E423" s="18" t="n">
        <x:v>800</x:v>
      </x:c>
      <x:c r="F423" s="21" t="n">
        <x:v>821.7785166311324</x:v>
      </x:c>
      <x:c r="G423" s="21" t="n">
        <x:f>F422</x:f>
        <x:v>892.6459972417678</x:v>
      </x:c>
      <x:c r="H423" s="21" t="n">
        <x:f>F427</x:f>
        <x:v>892.3832023855414</x:v>
      </x:c>
      <x:c r="I423" s="27" t="n">
        <x:f>IF(AND(ISNUMBER(G423),ISNUMBER(H423),H423&gt;0),G423/H423-1,"")</x:f>
        <x:v>0.00029448655636254983</x:v>
      </x:c>
      <x:c r="J423" s="27" t="n">
        <x:f>IF(AND(ISNUMBER(G423),F423&gt;0),G423/F423-1,"")</x:f>
        <x:v>0.08623671606937999</x:v>
      </x:c>
      <x:c r="K423" s="19" t="str">
        <x:v>Balanced/EXP001/results/seed1356822772_Relative_cutoff_1e-5.json</x:v>
      </x:c>
    </x:row>
    <x:row r="424" ht="15" hidden="0" customHeight="1">
      <x:c r="A424" s="3" t="str">
        <x:v>EXP001</x:v>
      </x:c>
      <x:c r="B424" s="3" t="str">
        <x:v>Balanced</x:v>
      </x:c>
      <x:c r="C424" s="18" t="n">
        <x:v>1356822772</x:v>
      </x:c>
      <x:c r="D424" s="3" t="str">
        <x:v>Fixed rank 10</x:v>
      </x:c>
      <x:c r="E424" s="18" t="n">
        <x:v>800</x:v>
      </x:c>
      <x:c r="F424" s="21" t="n">
        <x:v>804.3873905036688</x:v>
      </x:c>
      <x:c r="G424" s="21" t="n">
        <x:f>F422</x:f>
        <x:v>892.6459972417678</x:v>
      </x:c>
      <x:c r="H424" s="21" t="n">
        <x:f>F427</x:f>
        <x:v>892.3832023855414</x:v>
      </x:c>
      <x:c r="I424" s="27" t="n">
        <x:f>IF(AND(ISNUMBER(G424),ISNUMBER(H424),H424&gt;0),G424/H424-1,"")</x:f>
        <x:v>0.00029448655636254983</x:v>
      </x:c>
      <x:c r="J424" s="27" t="n">
        <x:f>IF(AND(ISNUMBER(G424),F424&gt;0),G424/F424-1,"")</x:f>
        <x:v>0.10972151948184528</x:v>
      </x:c>
      <x:c r="K424" s="19" t="str">
        <x:v>Balanced/EXP001/results/seed1356822772_Fixed_rank_10.json</x:v>
      </x:c>
    </x:row>
    <x:row r="425" ht="15" hidden="0" customHeight="1">
      <x:c r="A425" s="3" t="str">
        <x:v>EXP001</x:v>
      </x:c>
      <x:c r="B425" s="3" t="str">
        <x:v>Balanced</x:v>
      </x:c>
      <x:c r="C425" s="18" t="n">
        <x:v>1356822772</x:v>
      </x:c>
      <x:c r="D425" s="3" t="str">
        <x:v>Fixed rank 25</x:v>
      </x:c>
      <x:c r="E425" s="18" t="n">
        <x:v>800</x:v>
      </x:c>
      <x:c r="F425" s="21" t="n">
        <x:v>874.0280204467415</x:v>
      </x:c>
      <x:c r="G425" s="21" t="n">
        <x:f>F422</x:f>
        <x:v>892.6459972417678</x:v>
      </x:c>
      <x:c r="H425" s="21" t="n">
        <x:f>F427</x:f>
        <x:v>892.3832023855414</x:v>
      </x:c>
      <x:c r="I425" s="27" t="n">
        <x:f>IF(AND(ISNUMBER(G425),ISNUMBER(H425),H425&gt;0),G425/H425-1,"")</x:f>
        <x:v>0.00029448655636254983</x:v>
      </x:c>
      <x:c r="J425" s="27" t="n">
        <x:f>IF(AND(ISNUMBER(G425),F425&gt;0),G425/F425-1,"")</x:f>
        <x:v>0.021301350024808263</x:v>
      </x:c>
      <x:c r="K425" s="19" t="str">
        <x:v>Balanced/EXP001/results/seed1356822772_Fixed_rank_25.json</x:v>
      </x:c>
    </x:row>
    <x:row r="426" ht="15" hidden="0" customHeight="1">
      <x:c r="A426" s="3" t="str">
        <x:v>EXP001</x:v>
      </x:c>
      <x:c r="B426" s="3" t="str">
        <x:v>Balanced</x:v>
      </x:c>
      <x:c r="C426" s="18" t="n">
        <x:v>1356822772</x:v>
      </x:c>
      <x:c r="D426" s="3" t="str">
        <x:v>Relative cutoff 1e-6</x:v>
      </x:c>
      <x:c r="E426" s="18" t="n">
        <x:v>800</x:v>
      </x:c>
      <x:c r="F426" s="21" t="n">
        <x:v>882.9202334046983</x:v>
      </x:c>
      <x:c r="G426" s="21" t="n">
        <x:f>F422</x:f>
        <x:v>892.6459972417678</x:v>
      </x:c>
      <x:c r="H426" s="21" t="n">
        <x:f>F427</x:f>
        <x:v>892.3832023855414</x:v>
      </x:c>
      <x:c r="I426" s="27" t="n">
        <x:f>IF(AND(ISNUMBER(G426),ISNUMBER(H426),H426&gt;0),G426/H426-1,"")</x:f>
        <x:v>0.00029448655636254983</x:v>
      </x:c>
      <x:c r="J426" s="27" t="n">
        <x:f>IF(AND(ISNUMBER(G426),F426&gt;0),G426/F426-1,"")</x:f>
        <x:v>0.011015450172169317</x:v>
      </x:c>
      <x:c r="K426" s="19" t="str">
        <x:v>Balanced/EXP001/results/seed1356822772_Relative_cutoff_1e-6.json</x:v>
      </x:c>
    </x:row>
    <x:row r="427" ht="15" hidden="0" customHeight="1">
      <x:c r="A427" s="3" t="str">
        <x:v>EXP001</x:v>
      </x:c>
      <x:c r="B427" s="3" t="str">
        <x:v>Balanced</x:v>
      </x:c>
      <x:c r="C427" s="18" t="n">
        <x:v>1356822772</x:v>
      </x:c>
      <x:c r="D427" s="3" t="str">
        <x:v>Full</x:v>
      </x:c>
      <x:c r="E427" s="18" t="n">
        <x:v>800</x:v>
      </x:c>
      <x:c r="F427" s="21" t="n">
        <x:v>892.3832023855414</x:v>
      </x:c>
      <x:c r="G427" s="21" t="n">
        <x:f>F422</x:f>
        <x:v>892.6459972417678</x:v>
      </x:c>
      <x:c r="H427" s="21" t="n">
        <x:f>F427</x:f>
        <x:v>892.3832023855414</x:v>
      </x:c>
      <x:c r="I427" s="27" t="n">
        <x:f>IF(AND(ISNUMBER(G427),ISNUMBER(H427),H427&gt;0),G427/H427-1,"")</x:f>
        <x:v>0.00029448655636254983</x:v>
      </x:c>
      <x:c r="J427" s="27" t="n">
        <x:f>IF(AND(ISNUMBER(G427),F427&gt;0),G427/F427-1,"")</x:f>
        <x:v>0.00029448655636254983</x:v>
      </x:c>
      <x:c r="K427" s="19" t="str">
        <x:v>Balanced/EXP001/results/seed1356822772_Full.json</x:v>
      </x:c>
    </x:row>
    <x:row r="428" ht="15" hidden="0" customHeight="1">
      <x:c r="A428" s="3" t="str">
        <x:v>EXP001</x:v>
      </x:c>
      <x:c r="B428" s="3" t="str">
        <x:v>Balanced</x:v>
      </x:c>
      <x:c r="C428" s="18" t="n">
        <x:v>1356822772</x:v>
      </x:c>
      <x:c r="D428" s="3" t="str">
        <x:v>Relative cutoff 1e-2</x:v>
      </x:c>
      <x:c r="E428" s="18" t="n">
        <x:v>800</x:v>
      </x:c>
      <x:c r="F428" s="21" t="n">
        <x:v>957.0781662038651</x:v>
      </x:c>
      <x:c r="G428" s="21" t="n">
        <x:f>F422</x:f>
        <x:v>892.6459972417678</x:v>
      </x:c>
      <x:c r="H428" s="21" t="n">
        <x:f>F427</x:f>
        <x:v>892.3832023855414</x:v>
      </x:c>
      <x:c r="I428" s="27" t="n">
        <x:f>IF(AND(ISNUMBER(G428),ISNUMBER(H428),H428&gt;0),G428/H428-1,"")</x:f>
        <x:v>0.00029448655636254983</x:v>
      </x:c>
      <x:c r="J428" s="27" t="n">
        <x:f>IF(AND(ISNUMBER(G428),F428&gt;0),G428/F428-1,"")</x:f>
        <x:v>-0.06732174156439041</x:v>
      </x:c>
      <x:c r="K428" s="19" t="str">
        <x:v>Balanced/EXP001/results/seed1356822772_Relative_cutoff_1e-2.json</x:v>
      </x:c>
    </x:row>
    <x:row r="429" ht="15" hidden="0" customHeight="1">
      <x:c r="A429" s="3" t="str">
        <x:v>EXP001</x:v>
      </x:c>
      <x:c r="B429" s="3" t="str">
        <x:v>Balanced</x:v>
      </x:c>
      <x:c r="C429" s="18" t="n">
        <x:v>1356822772</x:v>
      </x:c>
      <x:c r="D429" s="3" t="str">
        <x:v>Relative cutoff 1e-4</x:v>
      </x:c>
      <x:c r="E429" s="18" t="n">
        <x:v>800</x:v>
      </x:c>
      <x:c r="F429" s="21" t="n">
        <x:v>904.2467914188665</x:v>
      </x:c>
      <x:c r="G429" s="21" t="n">
        <x:f>F422</x:f>
        <x:v>892.6459972417678</x:v>
      </x:c>
      <x:c r="H429" s="21" t="n">
        <x:f>F427</x:f>
        <x:v>892.3832023855414</x:v>
      </x:c>
      <x:c r="I429" s="27" t="n">
        <x:f>IF(AND(ISNUMBER(G429),ISNUMBER(H429),H429&gt;0),G429/H429-1,"")</x:f>
        <x:v>0.00029448655636254983</x:v>
      </x:c>
      <x:c r="J429" s="27" t="n">
        <x:f>IF(AND(ISNUMBER(G429),F429&gt;0),G429/F429-1,"")</x:f>
        <x:v>-0.012829234548784818</x:v>
      </x:c>
      <x:c r="K429" s="19" t="str">
        <x:v>Balanced/EXP001/results/seed1356822772_Relative_cutoff_1e-4.json</x:v>
      </x:c>
    </x:row>
    <x:row r="430" ht="15" hidden="0" customHeight="1">
      <x:c r="A430" s="3" t="str">
        <x:v>EXP001</x:v>
      </x:c>
      <x:c r="B430" s="3" t="str">
        <x:v>Balanced</x:v>
      </x:c>
      <x:c r="C430" s="18" t="n">
        <x:v>1373151461</x:v>
      </x:c>
      <x:c r="D430" s="3" t="str">
        <x:v>BBP</x:v>
      </x:c>
      <x:c r="E430" s="18" t="n">
        <x:v>800</x:v>
      </x:c>
      <x:c r="F430" s="21" t="n">
        <x:v>633.4395200255555</x:v>
      </x:c>
      <x:c r="G430" s="21" t="n">
        <x:f>F430</x:f>
        <x:v>633.4395200255555</x:v>
      </x:c>
      <x:c r="H430" s="21" t="n">
        <x:f>F435</x:f>
        <x:v>693.5594413057227</x:v>
      </x:c>
      <x:c r="I430" s="27" t="n">
        <x:f>IF(AND(ISNUMBER(G430),ISNUMBER(H430),H430&gt;0),G430/H430-1,"")</x:f>
        <x:v>-0.086683156049297</x:v>
      </x:c>
      <x:c r="J430" s="27" t="n">
        <x:f>IF(AND(ISNUMBER(G430),F430&gt;0),G430/F430-1,"")</x:f>
        <x:v>0</x:v>
      </x:c>
      <x:c r="K430" s="19" t="str">
        <x:v>Balanced/EXP001/results/seed1373151461_BBP.json</x:v>
      </x:c>
    </x:row>
    <x:row r="431" ht="15" hidden="0" customHeight="1">
      <x:c r="A431" s="3" t="str">
        <x:v>EXP001</x:v>
      </x:c>
      <x:c r="B431" s="3" t="str">
        <x:v>Balanced</x:v>
      </x:c>
      <x:c r="C431" s="18" t="n">
        <x:v>1373151461</x:v>
      </x:c>
      <x:c r="D431" s="3" t="str">
        <x:v>Relative cutoff 1e-5</x:v>
      </x:c>
      <x:c r="E431" s="18" t="n">
        <x:v>800</x:v>
      </x:c>
      <x:c r="F431" s="21" t="n">
        <x:v>647.1095315558755</x:v>
      </x:c>
      <x:c r="G431" s="21" t="n">
        <x:f>F430</x:f>
        <x:v>633.4395200255555</x:v>
      </x:c>
      <x:c r="H431" s="21" t="n">
        <x:f>F435</x:f>
        <x:v>693.5594413057227</x:v>
      </x:c>
      <x:c r="I431" s="27" t="n">
        <x:f>IF(AND(ISNUMBER(G431),ISNUMBER(H431),H431&gt;0),G431/H431-1,"")</x:f>
        <x:v>-0.086683156049297</x:v>
      </x:c>
      <x:c r="J431" s="27" t="n">
        <x:f>IF(AND(ISNUMBER(G431),F431&gt;0),G431/F431-1,"")</x:f>
        <x:v>-0.021124725975605108</x:v>
      </x:c>
      <x:c r="K431" s="19" t="str">
        <x:v>Balanced/EXP001/results/seed1373151461_Relative_cutoff_1e-5.json</x:v>
      </x:c>
    </x:row>
    <x:row r="432" ht="15" hidden="0" customHeight="1">
      <x:c r="A432" s="3" t="str">
        <x:v>EXP001</x:v>
      </x:c>
      <x:c r="B432" s="3" t="str">
        <x:v>Balanced</x:v>
      </x:c>
      <x:c r="C432" s="18" t="n">
        <x:v>1373151461</x:v>
      </x:c>
      <x:c r="D432" s="3" t="str">
        <x:v>Fixed rank 10</x:v>
      </x:c>
      <x:c r="E432" s="18" t="n">
        <x:v>800</x:v>
      </x:c>
      <x:c r="F432" s="21" t="n">
        <x:v>782.5823732819428</x:v>
      </x:c>
      <x:c r="G432" s="21" t="n">
        <x:f>F430</x:f>
        <x:v>633.4395200255555</x:v>
      </x:c>
      <x:c r="H432" s="21" t="n">
        <x:f>F435</x:f>
        <x:v>693.5594413057227</x:v>
      </x:c>
      <x:c r="I432" s="27" t="n">
        <x:f>IF(AND(ISNUMBER(G432),ISNUMBER(H432),H432&gt;0),G432/H432-1,"")</x:f>
        <x:v>-0.086683156049297</x:v>
      </x:c>
      <x:c r="J432" s="27" t="n">
        <x:f>IF(AND(ISNUMBER(G432),F432&gt;0),G432/F432-1,"")</x:f>
        <x:v>-0.19057783352686797</x:v>
      </x:c>
      <x:c r="K432" s="19" t="str">
        <x:v>Balanced/EXP001/results/seed1373151461_Fixed_rank_10.json</x:v>
      </x:c>
    </x:row>
    <x:row r="433" ht="15" hidden="0" customHeight="1">
      <x:c r="A433" s="3" t="str">
        <x:v>EXP001</x:v>
      </x:c>
      <x:c r="B433" s="3" t="str">
        <x:v>Balanced</x:v>
      </x:c>
      <x:c r="C433" s="18" t="n">
        <x:v>1373151461</x:v>
      </x:c>
      <x:c r="D433" s="3" t="str">
        <x:v>Fixed rank 25</x:v>
      </x:c>
      <x:c r="E433" s="18" t="n">
        <x:v>800</x:v>
      </x:c>
      <x:c r="F433" s="21" t="n">
        <x:v>676.3132379391682</x:v>
      </x:c>
      <x:c r="G433" s="21" t="n">
        <x:f>F430</x:f>
        <x:v>633.4395200255555</x:v>
      </x:c>
      <x:c r="H433" s="21" t="n">
        <x:f>F435</x:f>
        <x:v>693.5594413057227</x:v>
      </x:c>
      <x:c r="I433" s="27" t="n">
        <x:f>IF(AND(ISNUMBER(G433),ISNUMBER(H433),H433&gt;0),G433/H433-1,"")</x:f>
        <x:v>-0.086683156049297</x:v>
      </x:c>
      <x:c r="J433" s="27" t="n">
        <x:f>IF(AND(ISNUMBER(G433),F433&gt;0),G433/F433-1,"")</x:f>
        <x:v>-0.0633932851059601</x:v>
      </x:c>
      <x:c r="K433" s="19" t="str">
        <x:v>Balanced/EXP001/results/seed1373151461_Fixed_rank_25.json</x:v>
      </x:c>
    </x:row>
    <x:row r="434" ht="15" hidden="0" customHeight="1">
      <x:c r="A434" s="3" t="str">
        <x:v>EXP001</x:v>
      </x:c>
      <x:c r="B434" s="3" t="str">
        <x:v>Balanced</x:v>
      </x:c>
      <x:c r="C434" s="18" t="n">
        <x:v>1373151461</x:v>
      </x:c>
      <x:c r="D434" s="3" t="str">
        <x:v>Relative cutoff 1e-6</x:v>
      </x:c>
      <x:c r="E434" s="18" t="n">
        <x:v>800</x:v>
      </x:c>
      <x:c r="F434" s="21" t="n">
        <x:v>626.7083541840028</x:v>
      </x:c>
      <x:c r="G434" s="21" t="n">
        <x:f>F430</x:f>
        <x:v>633.4395200255555</x:v>
      </x:c>
      <x:c r="H434" s="21" t="n">
        <x:f>F435</x:f>
        <x:v>693.5594413057227</x:v>
      </x:c>
      <x:c r="I434" s="27" t="n">
        <x:f>IF(AND(ISNUMBER(G434),ISNUMBER(H434),H434&gt;0),G434/H434-1,"")</x:f>
        <x:v>-0.086683156049297</x:v>
      </x:c>
      <x:c r="J434" s="27" t="n">
        <x:f>IF(AND(ISNUMBER(G434),F434&gt;0),G434/F434-1,"")</x:f>
        <x:v>0.010740507600727422</x:v>
      </x:c>
      <x:c r="K434" s="19" t="str">
        <x:v>Balanced/EXP001/results/seed1373151461_Relative_cutoff_1e-6.json</x:v>
      </x:c>
    </x:row>
    <x:row r="435" ht="15" hidden="0" customHeight="1">
      <x:c r="A435" s="3" t="str">
        <x:v>EXP001</x:v>
      </x:c>
      <x:c r="B435" s="3" t="str">
        <x:v>Balanced</x:v>
      </x:c>
      <x:c r="C435" s="18" t="n">
        <x:v>1373151461</x:v>
      </x:c>
      <x:c r="D435" s="3" t="str">
        <x:v>Full</x:v>
      </x:c>
      <x:c r="E435" s="18" t="n">
        <x:v>800</x:v>
      </x:c>
      <x:c r="F435" s="21" t="n">
        <x:v>693.5594413057227</x:v>
      </x:c>
      <x:c r="G435" s="21" t="n">
        <x:f>F430</x:f>
        <x:v>633.4395200255555</x:v>
      </x:c>
      <x:c r="H435" s="21" t="n">
        <x:f>F435</x:f>
        <x:v>693.5594413057227</x:v>
      </x:c>
      <x:c r="I435" s="27" t="n">
        <x:f>IF(AND(ISNUMBER(G435),ISNUMBER(H435),H435&gt;0),G435/H435-1,"")</x:f>
        <x:v>-0.086683156049297</x:v>
      </x:c>
      <x:c r="J435" s="27" t="n">
        <x:f>IF(AND(ISNUMBER(G435),F435&gt;0),G435/F435-1,"")</x:f>
        <x:v>-0.086683156049297</x:v>
      </x:c>
      <x:c r="K435" s="19" t="str">
        <x:v>Balanced/EXP001/results/seed1373151461_Full.json</x:v>
      </x:c>
    </x:row>
    <x:row r="436" ht="15" hidden="0" customHeight="1">
      <x:c r="A436" s="3" t="str">
        <x:v>EXP001</x:v>
      </x:c>
      <x:c r="B436" s="3" t="str">
        <x:v>Balanced</x:v>
      </x:c>
      <x:c r="C436" s="18" t="n">
        <x:v>1373151461</x:v>
      </x:c>
      <x:c r="D436" s="3" t="str">
        <x:v>Relative cutoff 1e-2</x:v>
      </x:c>
      <x:c r="E436" s="18" t="n">
        <x:v>800</x:v>
      </x:c>
      <x:c r="F436" s="21" t="n">
        <x:v>698.1782427342717</x:v>
      </x:c>
      <x:c r="G436" s="21" t="n">
        <x:f>F430</x:f>
        <x:v>633.4395200255555</x:v>
      </x:c>
      <x:c r="H436" s="21" t="n">
        <x:f>F435</x:f>
        <x:v>693.5594413057227</x:v>
      </x:c>
      <x:c r="I436" s="27" t="n">
        <x:f>IF(AND(ISNUMBER(G436),ISNUMBER(H436),H436&gt;0),G436/H436-1,"")</x:f>
        <x:v>-0.086683156049297</x:v>
      </x:c>
      <x:c r="J436" s="27" t="n">
        <x:f>IF(AND(ISNUMBER(G436),F436&gt;0),G436/F436-1,"")</x:f>
        <x:v>-0.09272520789989158</x:v>
      </x:c>
      <x:c r="K436" s="19" t="str">
        <x:v>Balanced/EXP001/results/seed1373151461_Relative_cutoff_1e-2.json</x:v>
      </x:c>
    </x:row>
    <x:row r="437" ht="15" hidden="0" customHeight="1">
      <x:c r="A437" s="3" t="str">
        <x:v>EXP001</x:v>
      </x:c>
      <x:c r="B437" s="3" t="str">
        <x:v>Balanced</x:v>
      </x:c>
      <x:c r="C437" s="18" t="n">
        <x:v>1373151461</x:v>
      </x:c>
      <x:c r="D437" s="3" t="str">
        <x:v>Relative cutoff 1e-4</x:v>
      </x:c>
      <x:c r="E437" s="18" t="n">
        <x:v>800</x:v>
      </x:c>
      <x:c r="F437" s="21" t="n">
        <x:v>754.6782854449204</x:v>
      </x:c>
      <x:c r="G437" s="21" t="n">
        <x:f>F430</x:f>
        <x:v>633.4395200255555</x:v>
      </x:c>
      <x:c r="H437" s="21" t="n">
        <x:f>F435</x:f>
        <x:v>693.5594413057227</x:v>
      </x:c>
      <x:c r="I437" s="27" t="n">
        <x:f>IF(AND(ISNUMBER(G437),ISNUMBER(H437),H437&gt;0),G437/H437-1,"")</x:f>
        <x:v>-0.086683156049297</x:v>
      </x:c>
      <x:c r="J437" s="27" t="n">
        <x:f>IF(AND(ISNUMBER(G437),F437&gt;0),G437/F437-1,"")</x:f>
        <x:v>-0.16064960097253722</x:v>
      </x:c>
      <x:c r="K437" s="19" t="str">
        <x:v>Balanced/EXP001/results/seed1373151461_Relative_cutoff_1e-4.json</x:v>
      </x:c>
    </x:row>
    <x:row r="438" ht="15" hidden="0" customHeight="1">
      <x:c r="A438" s="3" t="str">
        <x:v>EXP001</x:v>
      </x:c>
      <x:c r="B438" s="3" t="str">
        <x:v>Balanced</x:v>
      </x:c>
      <x:c r="C438" s="18" t="n">
        <x:v>1446157167</x:v>
      </x:c>
      <x:c r="D438" s="3" t="str">
        <x:v>BBP</x:v>
      </x:c>
      <x:c r="E438" s="18" t="n">
        <x:v>800</x:v>
      </x:c>
      <x:c r="F438" s="21" t="n">
        <x:v>425.9396999817141</x:v>
      </x:c>
      <x:c r="G438" s="21" t="n">
        <x:f>F438</x:f>
        <x:v>425.9396999817141</x:v>
      </x:c>
      <x:c r="H438" s="21" t="n">
        <x:f>F443</x:f>
        <x:v>420.0142323981279</x:v>
      </x:c>
      <x:c r="I438" s="27" t="n">
        <x:f>IF(AND(ISNUMBER(G438),ISNUMBER(H438),H438&gt;0),G438/H438-1,"")</x:f>
        <x:v>0.014107778085885148</x:v>
      </x:c>
      <x:c r="J438" s="27" t="n">
        <x:f>IF(AND(ISNUMBER(G438),F438&gt;0),G438/F438-1,"")</x:f>
        <x:v>0</x:v>
      </x:c>
      <x:c r="K438" s="19" t="str">
        <x:v>Balanced/EXP001/results/seed1446157167_BBP.json</x:v>
      </x:c>
    </x:row>
    <x:row r="439" ht="15" hidden="0" customHeight="1">
      <x:c r="A439" s="3" t="str">
        <x:v>EXP001</x:v>
      </x:c>
      <x:c r="B439" s="3" t="str">
        <x:v>Balanced</x:v>
      </x:c>
      <x:c r="C439" s="18" t="n">
        <x:v>1446157167</x:v>
      </x:c>
      <x:c r="D439" s="3" t="str">
        <x:v>Relative cutoff 1e-5</x:v>
      </x:c>
      <x:c r="E439" s="18" t="n">
        <x:v>800</x:v>
      </x:c>
      <x:c r="F439" s="21" t="n">
        <x:v>424.3667761354212</x:v>
      </x:c>
      <x:c r="G439" s="21" t="n">
        <x:f>F438</x:f>
        <x:v>425.9396999817141</x:v>
      </x:c>
      <x:c r="H439" s="21" t="n">
        <x:f>F443</x:f>
        <x:v>420.0142323981279</x:v>
      </x:c>
      <x:c r="I439" s="27" t="n">
        <x:f>IF(AND(ISNUMBER(G439),ISNUMBER(H439),H439&gt;0),G439/H439-1,"")</x:f>
        <x:v>0.014107778085885148</x:v>
      </x:c>
      <x:c r="J439" s="27" t="n">
        <x:f>IF(AND(ISNUMBER(G439),F439&gt;0),G439/F439-1,"")</x:f>
        <x:v>0.0037065197719223786</x:v>
      </x:c>
      <x:c r="K439" s="19" t="str">
        <x:v>Balanced/EXP001/results/seed1446157167_Relative_cutoff_1e-5.json</x:v>
      </x:c>
    </x:row>
    <x:row r="440" ht="15" hidden="0" customHeight="1">
      <x:c r="A440" s="3" t="str">
        <x:v>EXP001</x:v>
      </x:c>
      <x:c r="B440" s="3" t="str">
        <x:v>Balanced</x:v>
      </x:c>
      <x:c r="C440" s="18" t="n">
        <x:v>1446157167</x:v>
      </x:c>
      <x:c r="D440" s="3" t="str">
        <x:v>Fixed rank 10</x:v>
      </x:c>
      <x:c r="E440" s="18" t="n">
        <x:v>800</x:v>
      </x:c>
      <x:c r="F440" s="21" t="n">
        <x:v>418.2955514617698</x:v>
      </x:c>
      <x:c r="G440" s="21" t="n">
        <x:f>F438</x:f>
        <x:v>425.9396999817141</x:v>
      </x:c>
      <x:c r="H440" s="21" t="n">
        <x:f>F443</x:f>
        <x:v>420.0142323981279</x:v>
      </x:c>
      <x:c r="I440" s="27" t="n">
        <x:f>IF(AND(ISNUMBER(G440),ISNUMBER(H440),H440&gt;0),G440/H440-1,"")</x:f>
        <x:v>0.014107778085885148</x:v>
      </x:c>
      <x:c r="J440" s="27" t="n">
        <x:f>IF(AND(ISNUMBER(G440),F440&gt;0),G440/F440-1,"")</x:f>
        <x:v>0.018274515454996365</x:v>
      </x:c>
      <x:c r="K440" s="19" t="str">
        <x:v>Balanced/EXP001/results/seed1446157167_Fixed_rank_10.json</x:v>
      </x:c>
    </x:row>
    <x:row r="441" ht="15" hidden="0" customHeight="1">
      <x:c r="A441" s="3" t="str">
        <x:v>EXP001</x:v>
      </x:c>
      <x:c r="B441" s="3" t="str">
        <x:v>Balanced</x:v>
      </x:c>
      <x:c r="C441" s="18" t="n">
        <x:v>1446157167</x:v>
      </x:c>
      <x:c r="D441" s="3" t="str">
        <x:v>Fixed rank 25</x:v>
      </x:c>
      <x:c r="E441" s="18" t="n">
        <x:v>800</x:v>
      </x:c>
      <x:c r="F441" s="21" t="n">
        <x:v>411.23305586530677</x:v>
      </x:c>
      <x:c r="G441" s="21" t="n">
        <x:f>F438</x:f>
        <x:v>425.9396999817141</x:v>
      </x:c>
      <x:c r="H441" s="21" t="n">
        <x:f>F443</x:f>
        <x:v>420.0142323981279</x:v>
      </x:c>
      <x:c r="I441" s="27" t="n">
        <x:f>IF(AND(ISNUMBER(G441),ISNUMBER(H441),H441&gt;0),G441/H441-1,"")</x:f>
        <x:v>0.014107778085885148</x:v>
      </x:c>
      <x:c r="J441" s="27" t="n">
        <x:f>IF(AND(ISNUMBER(G441),F441&gt;0),G441/F441-1,"")</x:f>
        <x:v>0.03576231021959542</x:v>
      </x:c>
      <x:c r="K441" s="19" t="str">
        <x:v>Balanced/EXP001/results/seed1446157167_Fixed_rank_25.json</x:v>
      </x:c>
    </x:row>
    <x:row r="442" ht="15" hidden="0" customHeight="1">
      <x:c r="A442" s="3" t="str">
        <x:v>EXP001</x:v>
      </x:c>
      <x:c r="B442" s="3" t="str">
        <x:v>Balanced</x:v>
      </x:c>
      <x:c r="C442" s="18" t="n">
        <x:v>1446157167</x:v>
      </x:c>
      <x:c r="D442" s="3" t="str">
        <x:v>Relative cutoff 1e-6</x:v>
      </x:c>
      <x:c r="E442" s="18" t="n">
        <x:v>800</x:v>
      </x:c>
      <x:c r="F442" s="21" t="n">
        <x:v>412.6264458530024</x:v>
      </x:c>
      <x:c r="G442" s="21" t="n">
        <x:f>F438</x:f>
        <x:v>425.9396999817141</x:v>
      </x:c>
      <x:c r="H442" s="21" t="n">
        <x:f>F443</x:f>
        <x:v>420.0142323981279</x:v>
      </x:c>
      <x:c r="I442" s="27" t="n">
        <x:f>IF(AND(ISNUMBER(G442),ISNUMBER(H442),H442&gt;0),G442/H442-1,"")</x:f>
        <x:v>0.014107778085885148</x:v>
      </x:c>
      <x:c r="J442" s="27" t="n">
        <x:f>IF(AND(ISNUMBER(G442),F442&gt;0),G442/F442-1,"")</x:f>
        <x:v>0.03226466520145088</x:v>
      </x:c>
      <x:c r="K442" s="19" t="str">
        <x:v>Balanced/EXP001/results/seed1446157167_Relative_cutoff_1e-6.json</x:v>
      </x:c>
    </x:row>
    <x:row r="443" ht="15" hidden="0" customHeight="1">
      <x:c r="A443" s="3" t="str">
        <x:v>EXP001</x:v>
      </x:c>
      <x:c r="B443" s="3" t="str">
        <x:v>Balanced</x:v>
      </x:c>
      <x:c r="C443" s="18" t="n">
        <x:v>1446157167</x:v>
      </x:c>
      <x:c r="D443" s="3" t="str">
        <x:v>Full</x:v>
      </x:c>
      <x:c r="E443" s="18" t="n">
        <x:v>800</x:v>
      </x:c>
      <x:c r="F443" s="21" t="n">
        <x:v>420.0142323981279</x:v>
      </x:c>
      <x:c r="G443" s="21" t="n">
        <x:f>F438</x:f>
        <x:v>425.9396999817141</x:v>
      </x:c>
      <x:c r="H443" s="21" t="n">
        <x:f>F443</x:f>
        <x:v>420.0142323981279</x:v>
      </x:c>
      <x:c r="I443" s="27" t="n">
        <x:f>IF(AND(ISNUMBER(G443),ISNUMBER(H443),H443&gt;0),G443/H443-1,"")</x:f>
        <x:v>0.014107778085885148</x:v>
      </x:c>
      <x:c r="J443" s="27" t="n">
        <x:f>IF(AND(ISNUMBER(G443),F443&gt;0),G443/F443-1,"")</x:f>
        <x:v>0.014107778085885148</x:v>
      </x:c>
      <x:c r="K443" s="19" t="str">
        <x:v>Balanced/EXP001/results/seed1446157167_Full.json</x:v>
      </x:c>
    </x:row>
    <x:row r="444" ht="15" hidden="0" customHeight="1">
      <x:c r="A444" s="3" t="str">
        <x:v>EXP001</x:v>
      </x:c>
      <x:c r="B444" s="3" t="str">
        <x:v>Balanced</x:v>
      </x:c>
      <x:c r="C444" s="18" t="n">
        <x:v>1446157167</x:v>
      </x:c>
      <x:c r="D444" s="3" t="str">
        <x:v>Relative cutoff 1e-2</x:v>
      </x:c>
      <x:c r="E444" s="18" t="n">
        <x:v>800</x:v>
      </x:c>
      <x:c r="F444" s="21" t="n">
        <x:v>509.63843161032935</x:v>
      </x:c>
      <x:c r="G444" s="21" t="n">
        <x:f>F438</x:f>
        <x:v>425.9396999817141</x:v>
      </x:c>
      <x:c r="H444" s="21" t="n">
        <x:f>F443</x:f>
        <x:v>420.0142323981279</x:v>
      </x:c>
      <x:c r="I444" s="27" t="n">
        <x:f>IF(AND(ISNUMBER(G444),ISNUMBER(H444),H444&gt;0),G444/H444-1,"")</x:f>
        <x:v>0.014107778085885148</x:v>
      </x:c>
      <x:c r="J444" s="27" t="n">
        <x:f>IF(AND(ISNUMBER(G444),F444&gt;0),G444/F444-1,"")</x:f>
        <x:v>-0.16423159329673842</x:v>
      </x:c>
      <x:c r="K444" s="19" t="str">
        <x:v>Balanced/EXP001/results/seed1446157167_Relative_cutoff_1e-2.json</x:v>
      </x:c>
    </x:row>
    <x:row r="445" ht="15" hidden="0" customHeight="1">
      <x:c r="A445" s="3" t="str">
        <x:v>EXP001</x:v>
      </x:c>
      <x:c r="B445" s="3" t="str">
        <x:v>Balanced</x:v>
      </x:c>
      <x:c r="C445" s="18" t="n">
        <x:v>1446157167</x:v>
      </x:c>
      <x:c r="D445" s="3" t="str">
        <x:v>Relative cutoff 1e-4</x:v>
      </x:c>
      <x:c r="E445" s="18" t="n">
        <x:v>800</x:v>
      </x:c>
      <x:c r="F445" s="21" t="n">
        <x:v>438.64999982178756</x:v>
      </x:c>
      <x:c r="G445" s="21" t="n">
        <x:f>F438</x:f>
        <x:v>425.9396999817141</x:v>
      </x:c>
      <x:c r="H445" s="21" t="n">
        <x:f>F443</x:f>
        <x:v>420.0142323981279</x:v>
      </x:c>
      <x:c r="I445" s="27" t="n">
        <x:f>IF(AND(ISNUMBER(G445),ISNUMBER(H445),H445&gt;0),G445/H445-1,"")</x:f>
        <x:v>0.014107778085885148</x:v>
      </x:c>
      <x:c r="J445" s="27" t="n">
        <x:f>IF(AND(ISNUMBER(G445),F445&gt;0),G445/F445-1,"")</x:f>
        <x:v>-0.028975948581414168</x:v>
      </x:c>
      <x:c r="K445" s="19" t="str">
        <x:v>Balanced/EXP001/results/seed1446157167_Relative_cutoff_1e-4.json</x:v>
      </x:c>
    </x:row>
    <x:row r="446" ht="15" hidden="0" customHeight="1">
      <x:c r="A446" s="3" t="str">
        <x:v>EXP001</x:v>
      </x:c>
      <x:c r="B446" s="3" t="str">
        <x:v>Balanced</x:v>
      </x:c>
      <x:c r="C446" s="18" t="n">
        <x:v>1461547831</x:v>
      </x:c>
      <x:c r="D446" s="3" t="str">
        <x:v>BBP</x:v>
      </x:c>
      <x:c r="E446" s="18" t="n">
        <x:v>800</x:v>
      </x:c>
      <x:c r="F446" s="21" t="n">
        <x:v>363.23124095488447</x:v>
      </x:c>
      <x:c r="G446" s="21" t="n">
        <x:f>F446</x:f>
        <x:v>363.23124095488447</x:v>
      </x:c>
      <x:c r="H446" s="21" t="n">
        <x:f>F451</x:f>
        <x:v>365.76530513763646</x:v>
      </x:c>
      <x:c r="I446" s="27" t="n">
        <x:f>IF(AND(ISNUMBER(G446),ISNUMBER(H446),H446&gt;0),G446/H446-1,"")</x:f>
        <x:v>-0.0069281152344354835</x:v>
      </x:c>
      <x:c r="J446" s="27" t="n">
        <x:f>IF(AND(ISNUMBER(G446),F446&gt;0),G446/F446-1,"")</x:f>
        <x:v>0</x:v>
      </x:c>
      <x:c r="K446" s="19" t="str">
        <x:v>Balanced/EXP001/results/seed1461547831_BBP.json</x:v>
      </x:c>
    </x:row>
    <x:row r="447" ht="15" hidden="0" customHeight="1">
      <x:c r="A447" s="3" t="str">
        <x:v>EXP001</x:v>
      </x:c>
      <x:c r="B447" s="3" t="str">
        <x:v>Balanced</x:v>
      </x:c>
      <x:c r="C447" s="18" t="n">
        <x:v>1461547831</x:v>
      </x:c>
      <x:c r="D447" s="3" t="str">
        <x:v>Relative cutoff 1e-5</x:v>
      </x:c>
      <x:c r="E447" s="18" t="n">
        <x:v>800</x:v>
      </x:c>
      <x:c r="F447" s="21" t="n">
        <x:v>373.63334393764916</x:v>
      </x:c>
      <x:c r="G447" s="21" t="n">
        <x:f>F446</x:f>
        <x:v>363.23124095488447</x:v>
      </x:c>
      <x:c r="H447" s="21" t="n">
        <x:f>F451</x:f>
        <x:v>365.76530513763646</x:v>
      </x:c>
      <x:c r="I447" s="27" t="n">
        <x:f>IF(AND(ISNUMBER(G447),ISNUMBER(H447),H447&gt;0),G447/H447-1,"")</x:f>
        <x:v>-0.0069281152344354835</x:v>
      </x:c>
      <x:c r="J447" s="27" t="n">
        <x:f>IF(AND(ISNUMBER(G447),F447&gt;0),G447/F447-1,"")</x:f>
        <x:v>-0.02784040330324633</x:v>
      </x:c>
      <x:c r="K447" s="19" t="str">
        <x:v>Balanced/EXP001/results/seed1461547831_Relative_cutoff_1e-5.json</x:v>
      </x:c>
    </x:row>
    <x:row r="448" ht="15" hidden="0" customHeight="1">
      <x:c r="A448" s="3" t="str">
        <x:v>EXP001</x:v>
      </x:c>
      <x:c r="B448" s="3" t="str">
        <x:v>Balanced</x:v>
      </x:c>
      <x:c r="C448" s="18" t="n">
        <x:v>1461547831</x:v>
      </x:c>
      <x:c r="D448" s="3" t="str">
        <x:v>Fixed rank 10</x:v>
      </x:c>
      <x:c r="E448" s="18" t="n">
        <x:v>800</x:v>
      </x:c>
      <x:c r="F448" s="21" t="n">
        <x:v>373.6843958587546</x:v>
      </x:c>
      <x:c r="G448" s="21" t="n">
        <x:f>F446</x:f>
        <x:v>363.23124095488447</x:v>
      </x:c>
      <x:c r="H448" s="21" t="n">
        <x:f>F451</x:f>
        <x:v>365.76530513763646</x:v>
      </x:c>
      <x:c r="I448" s="27" t="n">
        <x:f>IF(AND(ISNUMBER(G448),ISNUMBER(H448),H448&gt;0),G448/H448-1,"")</x:f>
        <x:v>-0.0069281152344354835</x:v>
      </x:c>
      <x:c r="J448" s="27" t="n">
        <x:f>IF(AND(ISNUMBER(G448),F448&gt;0),G448/F448-1,"")</x:f>
        <x:v>-0.027973217559293606</x:v>
      </x:c>
      <x:c r="K448" s="19" t="str">
        <x:v>Balanced/EXP001/results/seed1461547831_Fixed_rank_10.json</x:v>
      </x:c>
    </x:row>
    <x:row r="449" ht="15" hidden="0" customHeight="1">
      <x:c r="A449" s="3" t="str">
        <x:v>EXP001</x:v>
      </x:c>
      <x:c r="B449" s="3" t="str">
        <x:v>Balanced</x:v>
      </x:c>
      <x:c r="C449" s="18" t="n">
        <x:v>1461547831</x:v>
      </x:c>
      <x:c r="D449" s="3" t="str">
        <x:v>Fixed rank 25</x:v>
      </x:c>
      <x:c r="E449" s="18" t="n">
        <x:v>800</x:v>
      </x:c>
      <x:c r="F449" s="21" t="n">
        <x:v>369.3285812257583</x:v>
      </x:c>
      <x:c r="G449" s="21" t="n">
        <x:f>F446</x:f>
        <x:v>363.23124095488447</x:v>
      </x:c>
      <x:c r="H449" s="21" t="n">
        <x:f>F451</x:f>
        <x:v>365.76530513763646</x:v>
      </x:c>
      <x:c r="I449" s="27" t="n">
        <x:f>IF(AND(ISNUMBER(G449),ISNUMBER(H449),H449&gt;0),G449/H449-1,"")</x:f>
        <x:v>-0.0069281152344354835</x:v>
      </x:c>
      <x:c r="J449" s="27" t="n">
        <x:f>IF(AND(ISNUMBER(G449),F449&gt;0),G449/F449-1,"")</x:f>
        <x:v>-0.016509256474647738</x:v>
      </x:c>
      <x:c r="K449" s="19" t="str">
        <x:v>Balanced/EXP001/results/seed1461547831_Fixed_rank_25.json</x:v>
      </x:c>
    </x:row>
    <x:row r="450" ht="15" hidden="0" customHeight="1">
      <x:c r="A450" s="3" t="str">
        <x:v>EXP001</x:v>
      </x:c>
      <x:c r="B450" s="3" t="str">
        <x:v>Balanced</x:v>
      </x:c>
      <x:c r="C450" s="18" t="n">
        <x:v>1461547831</x:v>
      </x:c>
      <x:c r="D450" s="3" t="str">
        <x:v>Relative cutoff 1e-6</x:v>
      </x:c>
      <x:c r="E450" s="18" t="n">
        <x:v>800</x:v>
      </x:c>
      <x:c r="F450" s="21" t="n">
        <x:v>372.0352651388674</x:v>
      </x:c>
      <x:c r="G450" s="21" t="n">
        <x:f>F446</x:f>
        <x:v>363.23124095488447</x:v>
      </x:c>
      <x:c r="H450" s="21" t="n">
        <x:f>F451</x:f>
        <x:v>365.76530513763646</x:v>
      </x:c>
      <x:c r="I450" s="27" t="n">
        <x:f>IF(AND(ISNUMBER(G450),ISNUMBER(H450),H450&gt;0),G450/H450-1,"")</x:f>
        <x:v>-0.0069281152344354835</x:v>
      </x:c>
      <x:c r="J450" s="27" t="n">
        <x:f>IF(AND(ISNUMBER(G450),F450&gt;0),G450/F450-1,"")</x:f>
        <x:v>-0.02366448831321588</x:v>
      </x:c>
      <x:c r="K450" s="19" t="str">
        <x:v>Balanced/EXP001/results/seed1461547831_Relative_cutoff_1e-6.json</x:v>
      </x:c>
    </x:row>
    <x:row r="451" ht="15" hidden="0" customHeight="1">
      <x:c r="A451" s="3" t="str">
        <x:v>EXP001</x:v>
      </x:c>
      <x:c r="B451" s="3" t="str">
        <x:v>Balanced</x:v>
      </x:c>
      <x:c r="C451" s="18" t="n">
        <x:v>1461547831</x:v>
      </x:c>
      <x:c r="D451" s="3" t="str">
        <x:v>Full</x:v>
      </x:c>
      <x:c r="E451" s="18" t="n">
        <x:v>800</x:v>
      </x:c>
      <x:c r="F451" s="21" t="n">
        <x:v>365.76530513763646</x:v>
      </x:c>
      <x:c r="G451" s="21" t="n">
        <x:f>F446</x:f>
        <x:v>363.23124095488447</x:v>
      </x:c>
      <x:c r="H451" s="21" t="n">
        <x:f>F451</x:f>
        <x:v>365.76530513763646</x:v>
      </x:c>
      <x:c r="I451" s="27" t="n">
        <x:f>IF(AND(ISNUMBER(G451),ISNUMBER(H451),H451&gt;0),G451/H451-1,"")</x:f>
        <x:v>-0.0069281152344354835</x:v>
      </x:c>
      <x:c r="J451" s="27" t="n">
        <x:f>IF(AND(ISNUMBER(G451),F451&gt;0),G451/F451-1,"")</x:f>
        <x:v>-0.0069281152344354835</x:v>
      </x:c>
      <x:c r="K451" s="19" t="str">
        <x:v>Balanced/EXP001/results/seed1461547831_Full.json</x:v>
      </x:c>
    </x:row>
    <x:row r="452" ht="15" hidden="0" customHeight="1">
      <x:c r="A452" s="3" t="str">
        <x:v>EXP001</x:v>
      </x:c>
      <x:c r="B452" s="3" t="str">
        <x:v>Balanced</x:v>
      </x:c>
      <x:c r="C452" s="18" t="n">
        <x:v>1461547831</x:v>
      </x:c>
      <x:c r="D452" s="3" t="str">
        <x:v>Relative cutoff 1e-2</x:v>
      </x:c>
      <x:c r="E452" s="18" t="n">
        <x:v>800</x:v>
      </x:c>
      <x:c r="F452" s="21" t="n">
        <x:v>489.5047113240793</x:v>
      </x:c>
      <x:c r="G452" s="21" t="n">
        <x:f>F446</x:f>
        <x:v>363.23124095488447</x:v>
      </x:c>
      <x:c r="H452" s="21" t="n">
        <x:f>F451</x:f>
        <x:v>365.76530513763646</x:v>
      </x:c>
      <x:c r="I452" s="27" t="n">
        <x:f>IF(AND(ISNUMBER(G452),ISNUMBER(H452),H452&gt;0),G452/H452-1,"")</x:f>
        <x:v>-0.0069281152344354835</x:v>
      </x:c>
      <x:c r="J452" s="27" t="n">
        <x:f>IF(AND(ISNUMBER(G452),F452&gt;0),G452/F452-1,"")</x:f>
        <x:v>-0.25796170587946554</x:v>
      </x:c>
      <x:c r="K452" s="19" t="str">
        <x:v>Balanced/EXP001/results/seed1461547831_Relative_cutoff_1e-2.json</x:v>
      </x:c>
    </x:row>
    <x:row r="453" ht="15" hidden="0" customHeight="1">
      <x:c r="A453" s="3" t="str">
        <x:v>EXP001</x:v>
      </x:c>
      <x:c r="B453" s="3" t="str">
        <x:v>Balanced</x:v>
      </x:c>
      <x:c r="C453" s="18" t="n">
        <x:v>1461547831</x:v>
      </x:c>
      <x:c r="D453" s="3" t="str">
        <x:v>Relative cutoff 1e-4</x:v>
      </x:c>
      <x:c r="E453" s="18" t="n">
        <x:v>800</x:v>
      </x:c>
      <x:c r="F453" s="21" t="n">
        <x:v>368.8006055777119</x:v>
      </x:c>
      <x:c r="G453" s="21" t="n">
        <x:f>F446</x:f>
        <x:v>363.23124095488447</x:v>
      </x:c>
      <x:c r="H453" s="21" t="n">
        <x:f>F451</x:f>
        <x:v>365.76530513763646</x:v>
      </x:c>
      <x:c r="I453" s="27" t="n">
        <x:f>IF(AND(ISNUMBER(G453),ISNUMBER(H453),H453&gt;0),G453/H453-1,"")</x:f>
        <x:v>-0.0069281152344354835</x:v>
      </x:c>
      <x:c r="J453" s="27" t="n">
        <x:f>IF(AND(ISNUMBER(G453),F453&gt;0),G453/F453-1,"")</x:f>
        <x:v>-0.015101289256570616</x:v>
      </x:c>
      <x:c r="K453" s="19" t="str">
        <x:v>Balanced/EXP001/results/seed1461547831_Relative_cutoff_1e-4.json</x:v>
      </x:c>
    </x:row>
    <x:row r="454" ht="15" hidden="0" customHeight="1">
      <x:c r="A454" s="3" t="str">
        <x:v>EXP001</x:v>
      </x:c>
      <x:c r="B454" s="3" t="str">
        <x:v>Balanced</x:v>
      </x:c>
      <x:c r="C454" s="18" t="n">
        <x:v>1469207545</x:v>
      </x:c>
      <x:c r="D454" s="3" t="str">
        <x:v>BBP</x:v>
      </x:c>
      <x:c r="E454" s="18" t="n">
        <x:v>800</x:v>
      </x:c>
      <x:c r="F454" s="21" t="n">
        <x:v>356.4356581938235</x:v>
      </x:c>
      <x:c r="G454" s="21" t="n">
        <x:f>F454</x:f>
        <x:v>356.4356581938235</x:v>
      </x:c>
      <x:c r="H454" s="21" t="n">
        <x:f>F459</x:f>
        <x:v>371.2785777896946</x:v>
      </x:c>
      <x:c r="I454" s="27" t="n">
        <x:f>IF(AND(ISNUMBER(G454),ISNUMBER(H454),H454&gt;0),G454/H454-1,"")</x:f>
        <x:v>-0.039977850820896776</x:v>
      </x:c>
      <x:c r="J454" s="27" t="n">
        <x:f>IF(AND(ISNUMBER(G454),F454&gt;0),G454/F454-1,"")</x:f>
        <x:v>0</x:v>
      </x:c>
      <x:c r="K454" s="19" t="str">
        <x:v>Balanced/EXP001/results/seed1469207545_BBP.json</x:v>
      </x:c>
    </x:row>
    <x:row r="455" ht="15" hidden="0" customHeight="1">
      <x:c r="A455" s="3" t="str">
        <x:v>EXP001</x:v>
      </x:c>
      <x:c r="B455" s="3" t="str">
        <x:v>Balanced</x:v>
      </x:c>
      <x:c r="C455" s="18" t="n">
        <x:v>1469207545</x:v>
      </x:c>
      <x:c r="D455" s="3" t="str">
        <x:v>Relative cutoff 1e-5</x:v>
      </x:c>
      <x:c r="E455" s="18" t="n">
        <x:v>800</x:v>
      </x:c>
      <x:c r="F455" s="21" t="n">
        <x:v>363.8858159275992</x:v>
      </x:c>
      <x:c r="G455" s="21" t="n">
        <x:f>F454</x:f>
        <x:v>356.4356581938235</x:v>
      </x:c>
      <x:c r="H455" s="21" t="n">
        <x:f>F459</x:f>
        <x:v>371.2785777896946</x:v>
      </x:c>
      <x:c r="I455" s="27" t="n">
        <x:f>IF(AND(ISNUMBER(G455),ISNUMBER(H455),H455&gt;0),G455/H455-1,"")</x:f>
        <x:v>-0.039977850820896776</x:v>
      </x:c>
      <x:c r="J455" s="27" t="n">
        <x:f>IF(AND(ISNUMBER(G455),F455&gt;0),G455/F455-1,"")</x:f>
        <x:v>-0.02047388880708123</x:v>
      </x:c>
      <x:c r="K455" s="19" t="str">
        <x:v>Balanced/EXP001/results/seed1469207545_Relative_cutoff_1e-5.json</x:v>
      </x:c>
    </x:row>
    <x:row r="456" ht="15" hidden="0" customHeight="1">
      <x:c r="A456" s="3" t="str">
        <x:v>EXP001</x:v>
      </x:c>
      <x:c r="B456" s="3" t="str">
        <x:v>Balanced</x:v>
      </x:c>
      <x:c r="C456" s="18" t="n">
        <x:v>1469207545</x:v>
      </x:c>
      <x:c r="D456" s="3" t="str">
        <x:v>Fixed rank 10</x:v>
      </x:c>
      <x:c r="E456" s="18" t="n">
        <x:v>800</x:v>
      </x:c>
      <x:c r="F456" s="21" t="n">
        <x:v>388.48693849833825</x:v>
      </x:c>
      <x:c r="G456" s="21" t="n">
        <x:f>F454</x:f>
        <x:v>356.4356581938235</x:v>
      </x:c>
      <x:c r="H456" s="21" t="n">
        <x:f>F459</x:f>
        <x:v>371.2785777896946</x:v>
      </x:c>
      <x:c r="I456" s="27" t="n">
        <x:f>IF(AND(ISNUMBER(G456),ISNUMBER(H456),H456&gt;0),G456/H456-1,"")</x:f>
        <x:v>-0.039977850820896776</x:v>
      </x:c>
      <x:c r="J456" s="27" t="n">
        <x:f>IF(AND(ISNUMBER(G456),F456&gt;0),G456/F456-1,"")</x:f>
        <x:v>-0.08250285177773575</x:v>
      </x:c>
      <x:c r="K456" s="19" t="str">
        <x:v>Balanced/EXP001/results/seed1469207545_Fixed_rank_10.json</x:v>
      </x:c>
    </x:row>
    <x:row r="457" ht="15" hidden="0" customHeight="1">
      <x:c r="A457" s="3" t="str">
        <x:v>EXP001</x:v>
      </x:c>
      <x:c r="B457" s="3" t="str">
        <x:v>Balanced</x:v>
      </x:c>
      <x:c r="C457" s="18" t="n">
        <x:v>1469207545</x:v>
      </x:c>
      <x:c r="D457" s="3" t="str">
        <x:v>Fixed rank 25</x:v>
      </x:c>
      <x:c r="E457" s="18" t="n">
        <x:v>800</x:v>
      </x:c>
      <x:c r="F457" s="21" t="n">
        <x:v>352.4674818168008</x:v>
      </x:c>
      <x:c r="G457" s="21" t="n">
        <x:f>F454</x:f>
        <x:v>356.4356581938235</x:v>
      </x:c>
      <x:c r="H457" s="21" t="n">
        <x:f>F459</x:f>
        <x:v>371.2785777896946</x:v>
      </x:c>
      <x:c r="I457" s="27" t="n">
        <x:f>IF(AND(ISNUMBER(G457),ISNUMBER(H457),H457&gt;0),G457/H457-1,"")</x:f>
        <x:v>-0.039977850820896776</x:v>
      </x:c>
      <x:c r="J457" s="27" t="n">
        <x:f>IF(AND(ISNUMBER(G457),F457&gt;0),G457/F457-1,"")</x:f>
        <x:v>0.011258276526868949</x:v>
      </x:c>
      <x:c r="K457" s="19" t="str">
        <x:v>Balanced/EXP001/results/seed1469207545_Fixed_rank_25.json</x:v>
      </x:c>
    </x:row>
    <x:row r="458" ht="15" hidden="0" customHeight="1">
      <x:c r="A458" s="3" t="str">
        <x:v>EXP001</x:v>
      </x:c>
      <x:c r="B458" s="3" t="str">
        <x:v>Balanced</x:v>
      </x:c>
      <x:c r="C458" s="18" t="n">
        <x:v>1469207545</x:v>
      </x:c>
      <x:c r="D458" s="3" t="str">
        <x:v>Relative cutoff 1e-6</x:v>
      </x:c>
      <x:c r="E458" s="18" t="n">
        <x:v>800</x:v>
      </x:c>
      <x:c r="F458" s="21" t="n">
        <x:v>372.2580010683548</x:v>
      </x:c>
      <x:c r="G458" s="21" t="n">
        <x:f>F454</x:f>
        <x:v>356.4356581938235</x:v>
      </x:c>
      <x:c r="H458" s="21" t="n">
        <x:f>F459</x:f>
        <x:v>371.2785777896946</x:v>
      </x:c>
      <x:c r="I458" s="27" t="n">
        <x:f>IF(AND(ISNUMBER(G458),ISNUMBER(H458),H458&gt;0),G458/H458-1,"")</x:f>
        <x:v>-0.039977850820896776</x:v>
      </x:c>
      <x:c r="J458" s="27" t="n">
        <x:f>IF(AND(ISNUMBER(G458),F458&gt;0),G458/F458-1,"")</x:f>
        <x:v>-0.04250370127471348</x:v>
      </x:c>
      <x:c r="K458" s="19" t="str">
        <x:v>Balanced/EXP001/results/seed1469207545_Relative_cutoff_1e-6.json</x:v>
      </x:c>
    </x:row>
    <x:row r="459" ht="15" hidden="0" customHeight="1">
      <x:c r="A459" s="3" t="str">
        <x:v>EXP001</x:v>
      </x:c>
      <x:c r="B459" s="3" t="str">
        <x:v>Balanced</x:v>
      </x:c>
      <x:c r="C459" s="18" t="n">
        <x:v>1469207545</x:v>
      </x:c>
      <x:c r="D459" s="3" t="str">
        <x:v>Full</x:v>
      </x:c>
      <x:c r="E459" s="18" t="n">
        <x:v>800</x:v>
      </x:c>
      <x:c r="F459" s="21" t="n">
        <x:v>371.2785777896946</x:v>
      </x:c>
      <x:c r="G459" s="21" t="n">
        <x:f>F454</x:f>
        <x:v>356.4356581938235</x:v>
      </x:c>
      <x:c r="H459" s="21" t="n">
        <x:f>F459</x:f>
        <x:v>371.2785777896946</x:v>
      </x:c>
      <x:c r="I459" s="27" t="n">
        <x:f>IF(AND(ISNUMBER(G459),ISNUMBER(H459),H459&gt;0),G459/H459-1,"")</x:f>
        <x:v>-0.039977850820896776</x:v>
      </x:c>
      <x:c r="J459" s="27" t="n">
        <x:f>IF(AND(ISNUMBER(G459),F459&gt;0),G459/F459-1,"")</x:f>
        <x:v>-0.039977850820896776</x:v>
      </x:c>
      <x:c r="K459" s="19" t="str">
        <x:v>Balanced/EXP001/results/seed1469207545_Full.json</x:v>
      </x:c>
    </x:row>
    <x:row r="460" ht="15" hidden="0" customHeight="1">
      <x:c r="A460" s="3" t="str">
        <x:v>EXP001</x:v>
      </x:c>
      <x:c r="B460" s="3" t="str">
        <x:v>Balanced</x:v>
      </x:c>
      <x:c r="C460" s="18" t="n">
        <x:v>1469207545</x:v>
      </x:c>
      <x:c r="D460" s="3" t="str">
        <x:v>Relative cutoff 1e-2</x:v>
      </x:c>
      <x:c r="E460" s="18" t="n">
        <x:v>800</x:v>
      </x:c>
      <x:c r="F460" s="21" t="n">
        <x:v>488.2809214284076</x:v>
      </x:c>
      <x:c r="G460" s="21" t="n">
        <x:f>F454</x:f>
        <x:v>356.4356581938235</x:v>
      </x:c>
      <x:c r="H460" s="21" t="n">
        <x:f>F459</x:f>
        <x:v>371.2785777896946</x:v>
      </x:c>
      <x:c r="I460" s="27" t="n">
        <x:f>IF(AND(ISNUMBER(G460),ISNUMBER(H460),H460&gt;0),G460/H460-1,"")</x:f>
        <x:v>-0.039977850820896776</x:v>
      </x:c>
      <x:c r="J460" s="27" t="n">
        <x:f>IF(AND(ISNUMBER(G460),F460&gt;0),G460/F460-1,"")</x:f>
        <x:v>-0.27001928080435034</x:v>
      </x:c>
      <x:c r="K460" s="19" t="str">
        <x:v>Balanced/EXP001/results/seed1469207545_Relative_cutoff_1e-2.json</x:v>
      </x:c>
    </x:row>
    <x:row r="461" ht="15" hidden="0" customHeight="1">
      <x:c r="A461" s="3" t="str">
        <x:v>EXP001</x:v>
      </x:c>
      <x:c r="B461" s="3" t="str">
        <x:v>Balanced</x:v>
      </x:c>
      <x:c r="C461" s="18" t="n">
        <x:v>1469207545</x:v>
      </x:c>
      <x:c r="D461" s="3" t="str">
        <x:v>Relative cutoff 1e-4</x:v>
      </x:c>
      <x:c r="E461" s="18" t="n">
        <x:v>800</x:v>
      </x:c>
      <x:c r="F461" s="21" t="n">
        <x:v>364.454902276814</x:v>
      </x:c>
      <x:c r="G461" s="21" t="n">
        <x:f>F454</x:f>
        <x:v>356.4356581938235</x:v>
      </x:c>
      <x:c r="H461" s="21" t="n">
        <x:f>F459</x:f>
        <x:v>371.2785777896946</x:v>
      </x:c>
      <x:c r="I461" s="27" t="n">
        <x:f>IF(AND(ISNUMBER(G461),ISNUMBER(H461),H461&gt;0),G461/H461-1,"")</x:f>
        <x:v>-0.039977850820896776</x:v>
      </x:c>
      <x:c r="J461" s="27" t="n">
        <x:f>IF(AND(ISNUMBER(G461),F461&gt;0),G461/F461-1,"")</x:f>
        <x:v>-0.02200339200513657</x:v>
      </x:c>
      <x:c r="K461" s="19" t="str">
        <x:v>Balanced/EXP001/results/seed1469207545_Relative_cutoff_1e-4.json</x:v>
      </x:c>
    </x:row>
    <x:row r="462" ht="15" hidden="0" customHeight="1">
      <x:c r="A462" s="3" t="str">
        <x:v>EXP001</x:v>
      </x:c>
      <x:c r="B462" s="3" t="str">
        <x:v>Balanced</x:v>
      </x:c>
      <x:c r="C462" s="18" t="n">
        <x:v>1539090968</x:v>
      </x:c>
      <x:c r="D462" s="3" t="str">
        <x:v>BBP</x:v>
      </x:c>
      <x:c r="E462" s="18" t="n">
        <x:v>800</x:v>
      </x:c>
      <x:c r="F462" s="21" t="n">
        <x:v>481.3866884951535</x:v>
      </x:c>
      <x:c r="G462" s="21" t="n">
        <x:f>F462</x:f>
        <x:v>481.3866884951535</x:v>
      </x:c>
      <x:c r="H462" s="21" t="n">
        <x:f>F467</x:f>
        <x:v>566.5910753094631</x:v>
      </x:c>
      <x:c r="I462" s="27" t="n">
        <x:f>IF(AND(ISNUMBER(G462),ISNUMBER(H462),H462&gt;0),G462/H462-1,"")</x:f>
        <x:v>-0.15038074288016678</x:v>
      </x:c>
      <x:c r="J462" s="27" t="n">
        <x:f>IF(AND(ISNUMBER(G462),F462&gt;0),G462/F462-1,"")</x:f>
        <x:v>0</x:v>
      </x:c>
      <x:c r="K462" s="19" t="str">
        <x:v>Balanced/EXP001/results/seed1539090968_BBP.json</x:v>
      </x:c>
    </x:row>
    <x:row r="463" ht="15" hidden="0" customHeight="1">
      <x:c r="A463" s="3" t="str">
        <x:v>EXP001</x:v>
      </x:c>
      <x:c r="B463" s="3" t="str">
        <x:v>Balanced</x:v>
      </x:c>
      <x:c r="C463" s="18" t="n">
        <x:v>1539090968</x:v>
      </x:c>
      <x:c r="D463" s="3" t="str">
        <x:v>Relative cutoff 1e-5</x:v>
      </x:c>
      <x:c r="E463" s="18" t="n">
        <x:v>800</x:v>
      </x:c>
      <x:c r="F463" s="21" t="n">
        <x:v>612.7617230307061</x:v>
      </x:c>
      <x:c r="G463" s="21" t="n">
        <x:f>F462</x:f>
        <x:v>481.3866884951535</x:v>
      </x:c>
      <x:c r="H463" s="21" t="n">
        <x:f>F467</x:f>
        <x:v>566.5910753094631</x:v>
      </x:c>
      <x:c r="I463" s="27" t="n">
        <x:f>IF(AND(ISNUMBER(G463),ISNUMBER(H463),H463&gt;0),G463/H463-1,"")</x:f>
        <x:v>-0.15038074288016678</x:v>
      </x:c>
      <x:c r="J463" s="27" t="n">
        <x:f>IF(AND(ISNUMBER(G463),F463&gt;0),G463/F463-1,"")</x:f>
        <x:v>-0.21439823931197033</x:v>
      </x:c>
      <x:c r="K463" s="19" t="str">
        <x:v>Balanced/EXP001/results/seed1539090968_Relative_cutoff_1e-5.json</x:v>
      </x:c>
    </x:row>
    <x:row r="464" ht="15" hidden="0" customHeight="1">
      <x:c r="A464" s="3" t="str">
        <x:v>EXP001</x:v>
      </x:c>
      <x:c r="B464" s="3" t="str">
        <x:v>Balanced</x:v>
      </x:c>
      <x:c r="C464" s="18" t="n">
        <x:v>1539090968</x:v>
      </x:c>
      <x:c r="D464" s="3" t="str">
        <x:v>Fixed rank 10</x:v>
      </x:c>
      <x:c r="E464" s="18" t="n">
        <x:v>800</x:v>
      </x:c>
      <x:c r="F464" s="21" t="n">
        <x:v>620.0815506801437</x:v>
      </x:c>
      <x:c r="G464" s="21" t="n">
        <x:f>F462</x:f>
        <x:v>481.3866884951535</x:v>
      </x:c>
      <x:c r="H464" s="21" t="n">
        <x:f>F467</x:f>
        <x:v>566.5910753094631</x:v>
      </x:c>
      <x:c r="I464" s="27" t="n">
        <x:f>IF(AND(ISNUMBER(G464),ISNUMBER(H464),H464&gt;0),G464/H464-1,"")</x:f>
        <x:v>-0.15038074288016678</x:v>
      </x:c>
      <x:c r="J464" s="27" t="n">
        <x:f>IF(AND(ISNUMBER(G464),F464&gt;0),G464/F464-1,"")</x:f>
        <x:v>-0.2236719702962635</x:v>
      </x:c>
      <x:c r="K464" s="19" t="str">
        <x:v>Balanced/EXP001/results/seed1539090968_Fixed_rank_10.json</x:v>
      </x:c>
    </x:row>
    <x:row r="465" ht="15" hidden="0" customHeight="1">
      <x:c r="A465" s="3" t="str">
        <x:v>EXP001</x:v>
      </x:c>
      <x:c r="B465" s="3" t="str">
        <x:v>Balanced</x:v>
      </x:c>
      <x:c r="C465" s="18" t="n">
        <x:v>1539090968</x:v>
      </x:c>
      <x:c r="D465" s="3" t="str">
        <x:v>Fixed rank 25</x:v>
      </x:c>
      <x:c r="E465" s="18" t="n">
        <x:v>800</x:v>
      </x:c>
      <x:c r="F465" s="21" t="n">
        <x:v>589.8048824399598</x:v>
      </x:c>
      <x:c r="G465" s="21" t="n">
        <x:f>F462</x:f>
        <x:v>481.3866884951535</x:v>
      </x:c>
      <x:c r="H465" s="21" t="n">
        <x:f>F467</x:f>
        <x:v>566.5910753094631</x:v>
      </x:c>
      <x:c r="I465" s="27" t="n">
        <x:f>IF(AND(ISNUMBER(G465),ISNUMBER(H465),H465&gt;0),G465/H465-1,"")</x:f>
        <x:v>-0.15038074288016678</x:v>
      </x:c>
      <x:c r="J465" s="27" t="n">
        <x:f>IF(AND(ISNUMBER(G465),F465&gt;0),G465/F465-1,"")</x:f>
        <x:v>-0.1838204415946707</x:v>
      </x:c>
      <x:c r="K465" s="19" t="str">
        <x:v>Balanced/EXP001/results/seed1539090968_Fixed_rank_25.json</x:v>
      </x:c>
    </x:row>
    <x:row r="466" ht="15" hidden="0" customHeight="1">
      <x:c r="A466" s="3" t="str">
        <x:v>EXP001</x:v>
      </x:c>
      <x:c r="B466" s="3" t="str">
        <x:v>Balanced</x:v>
      </x:c>
      <x:c r="C466" s="18" t="n">
        <x:v>1539090968</x:v>
      </x:c>
      <x:c r="D466" s="3" t="str">
        <x:v>Relative cutoff 1e-6</x:v>
      </x:c>
      <x:c r="E466" s="18" t="n">
        <x:v>800</x:v>
      </x:c>
      <x:c r="F466" s="21" t="n">
        <x:v>574.3361569487341</x:v>
      </x:c>
      <x:c r="G466" s="21" t="n">
        <x:f>F462</x:f>
        <x:v>481.3866884951535</x:v>
      </x:c>
      <x:c r="H466" s="21" t="n">
        <x:f>F467</x:f>
        <x:v>566.5910753094631</x:v>
      </x:c>
      <x:c r="I466" s="27" t="n">
        <x:f>IF(AND(ISNUMBER(G466),ISNUMBER(H466),H466&gt;0),G466/H466-1,"")</x:f>
        <x:v>-0.15038074288016678</x:v>
      </x:c>
      <x:c r="J466" s="27" t="n">
        <x:f>IF(AND(ISNUMBER(G466),F466&gt;0),G466/F466-1,"")</x:f>
        <x:v>-0.16183809312544706</x:v>
      </x:c>
      <x:c r="K466" s="19" t="str">
        <x:v>Balanced/EXP001/results/seed1539090968_Relative_cutoff_1e-6.json</x:v>
      </x:c>
    </x:row>
    <x:row r="467" ht="15" hidden="0" customHeight="1">
      <x:c r="A467" s="3" t="str">
        <x:v>EXP001</x:v>
      </x:c>
      <x:c r="B467" s="3" t="str">
        <x:v>Balanced</x:v>
      </x:c>
      <x:c r="C467" s="18" t="n">
        <x:v>1539090968</x:v>
      </x:c>
      <x:c r="D467" s="3" t="str">
        <x:v>Full</x:v>
      </x:c>
      <x:c r="E467" s="18" t="n">
        <x:v>800</x:v>
      </x:c>
      <x:c r="F467" s="21" t="n">
        <x:v>566.5910753094631</x:v>
      </x:c>
      <x:c r="G467" s="21" t="n">
        <x:f>F462</x:f>
        <x:v>481.3866884951535</x:v>
      </x:c>
      <x:c r="H467" s="21" t="n">
        <x:f>F467</x:f>
        <x:v>566.5910753094631</x:v>
      </x:c>
      <x:c r="I467" s="27" t="n">
        <x:f>IF(AND(ISNUMBER(G467),ISNUMBER(H467),H467&gt;0),G467/H467-1,"")</x:f>
        <x:v>-0.15038074288016678</x:v>
      </x:c>
      <x:c r="J467" s="27" t="n">
        <x:f>IF(AND(ISNUMBER(G467),F467&gt;0),G467/F467-1,"")</x:f>
        <x:v>-0.15038074288016678</x:v>
      </x:c>
      <x:c r="K467" s="19" t="str">
        <x:v>Balanced/EXP001/results/seed1539090968_Full.json</x:v>
      </x:c>
    </x:row>
    <x:row r="468" ht="15" hidden="0" customHeight="1">
      <x:c r="A468" s="3" t="str">
        <x:v>EXP001</x:v>
      </x:c>
      <x:c r="B468" s="3" t="str">
        <x:v>Balanced</x:v>
      </x:c>
      <x:c r="C468" s="18" t="n">
        <x:v>1539090968</x:v>
      </x:c>
      <x:c r="D468" s="3" t="str">
        <x:v>Relative cutoff 1e-2</x:v>
      </x:c>
      <x:c r="E468" s="18" t="n">
        <x:v>800</x:v>
      </x:c>
      <x:c r="F468" s="21" t="n">
        <x:v>897.6422733611548</x:v>
      </x:c>
      <x:c r="G468" s="21" t="n">
        <x:f>F462</x:f>
        <x:v>481.3866884951535</x:v>
      </x:c>
      <x:c r="H468" s="21" t="n">
        <x:f>F467</x:f>
        <x:v>566.5910753094631</x:v>
      </x:c>
      <x:c r="I468" s="27" t="n">
        <x:f>IF(AND(ISNUMBER(G468),ISNUMBER(H468),H468&gt;0),G468/H468-1,"")</x:f>
        <x:v>-0.15038074288016678</x:v>
      </x:c>
      <x:c r="J468" s="27" t="n">
        <x:f>IF(AND(ISNUMBER(G468),F468&gt;0),G468/F468-1,"")</x:f>
        <x:v>-0.46372101361421314</x:v>
      </x:c>
      <x:c r="K468" s="19" t="str">
        <x:v>Balanced/EXP001/results/seed1539090968_Relative_cutoff_1e-2.json</x:v>
      </x:c>
    </x:row>
    <x:row r="469" ht="15" hidden="0" customHeight="1">
      <x:c r="A469" s="3" t="str">
        <x:v>EXP001</x:v>
      </x:c>
      <x:c r="B469" s="3" t="str">
        <x:v>Balanced</x:v>
      </x:c>
      <x:c r="C469" s="18" t="n">
        <x:v>1539090968</x:v>
      </x:c>
      <x:c r="D469" s="3" t="str">
        <x:v>Relative cutoff 1e-4</x:v>
      </x:c>
      <x:c r="E469" s="18" t="n">
        <x:v>800</x:v>
      </x:c>
      <x:c r="F469" s="21" t="n">
        <x:v>689.285723227211</x:v>
      </x:c>
      <x:c r="G469" s="21" t="n">
        <x:f>F462</x:f>
        <x:v>481.3866884951535</x:v>
      </x:c>
      <x:c r="H469" s="21" t="n">
        <x:f>F467</x:f>
        <x:v>566.5910753094631</x:v>
      </x:c>
      <x:c r="I469" s="27" t="n">
        <x:f>IF(AND(ISNUMBER(G469),ISNUMBER(H469),H469&gt;0),G469/H469-1,"")</x:f>
        <x:v>-0.15038074288016678</x:v>
      </x:c>
      <x:c r="J469" s="27" t="n">
        <x:f>IF(AND(ISNUMBER(G469),F469&gt;0),G469/F469-1,"")</x:f>
        <x:v>-0.3016151760095678</x:v>
      </x:c>
      <x:c r="K469" s="19" t="str">
        <x:v>Balanced/EXP001/results/seed1539090968_Relative_cutoff_1e-4.json</x:v>
      </x:c>
    </x:row>
    <x:row r="470" ht="15" hidden="0" customHeight="1">
      <x:c r="A470" s="3" t="str">
        <x:v>EXP001</x:v>
      </x:c>
      <x:c r="B470" s="3" t="str">
        <x:v>Balanced</x:v>
      </x:c>
      <x:c r="C470" s="18" t="n">
        <x:v>1583714685</x:v>
      </x:c>
      <x:c r="D470" s="3" t="str">
        <x:v>BBP</x:v>
      </x:c>
      <x:c r="E470" s="18" t="n">
        <x:v>800</x:v>
      </x:c>
      <x:c r="F470" s="21" t="n">
        <x:v>467.63956719534883</x:v>
      </x:c>
      <x:c r="G470" s="21" t="n">
        <x:f>F470</x:f>
        <x:v>467.63956719534883</x:v>
      </x:c>
      <x:c r="H470" s="21" t="n">
        <x:f>F475</x:f>
        <x:v>458.1197409546095</x:v>
      </x:c>
      <x:c r="I470" s="27" t="n">
        <x:f>IF(AND(ISNUMBER(G470),ISNUMBER(H470),H470&gt;0),G470/H470-1,"")</x:f>
        <x:v>0.020780213969610495</x:v>
      </x:c>
      <x:c r="J470" s="27" t="n">
        <x:f>IF(AND(ISNUMBER(G470),F470&gt;0),G470/F470-1,"")</x:f>
        <x:v>0</x:v>
      </x:c>
      <x:c r="K470" s="19" t="str">
        <x:v>Balanced/EXP001/results/seed1583714685_BBP.json</x:v>
      </x:c>
    </x:row>
    <x:row r="471" ht="15" hidden="0" customHeight="1">
      <x:c r="A471" s="3" t="str">
        <x:v>EXP001</x:v>
      </x:c>
      <x:c r="B471" s="3" t="str">
        <x:v>Balanced</x:v>
      </x:c>
      <x:c r="C471" s="18" t="n">
        <x:v>1583714685</x:v>
      </x:c>
      <x:c r="D471" s="3" t="str">
        <x:v>Relative cutoff 1e-5</x:v>
      </x:c>
      <x:c r="E471" s="18" t="n">
        <x:v>800</x:v>
      </x:c>
      <x:c r="F471" s="21" t="n">
        <x:v>418.9056749488297</x:v>
      </x:c>
      <x:c r="G471" s="21" t="n">
        <x:f>F470</x:f>
        <x:v>467.63956719534883</x:v>
      </x:c>
      <x:c r="H471" s="21" t="n">
        <x:f>F475</x:f>
        <x:v>458.1197409546095</x:v>
      </x:c>
      <x:c r="I471" s="27" t="n">
        <x:f>IF(AND(ISNUMBER(G471),ISNUMBER(H471),H471&gt;0),G471/H471-1,"")</x:f>
        <x:v>0.020780213969610495</x:v>
      </x:c>
      <x:c r="J471" s="27" t="n">
        <x:f>IF(AND(ISNUMBER(G471),F471&gt;0),G471/F471-1,"")</x:f>
        <x:v>0.11633619490228231</x:v>
      </x:c>
      <x:c r="K471" s="19" t="str">
        <x:v>Balanced/EXP001/results/seed1583714685_Relative_cutoff_1e-5.json</x:v>
      </x:c>
    </x:row>
    <x:row r="472" ht="15" hidden="0" customHeight="1">
      <x:c r="A472" s="3" t="str">
        <x:v>EXP001</x:v>
      </x:c>
      <x:c r="B472" s="3" t="str">
        <x:v>Balanced</x:v>
      </x:c>
      <x:c r="C472" s="18" t="n">
        <x:v>1583714685</x:v>
      </x:c>
      <x:c r="D472" s="3" t="str">
        <x:v>Fixed rank 10</x:v>
      </x:c>
      <x:c r="E472" s="18" t="n">
        <x:v>800</x:v>
      </x:c>
      <x:c r="F472" s="21" t="n">
        <x:v>503.7385535681259</x:v>
      </x:c>
      <x:c r="G472" s="21" t="n">
        <x:f>F470</x:f>
        <x:v>467.63956719534883</x:v>
      </x:c>
      <x:c r="H472" s="21" t="n">
        <x:f>F475</x:f>
        <x:v>458.1197409546095</x:v>
      </x:c>
      <x:c r="I472" s="27" t="n">
        <x:f>IF(AND(ISNUMBER(G472),ISNUMBER(H472),H472&gt;0),G472/H472-1,"")</x:f>
        <x:v>0.020780213969610495</x:v>
      </x:c>
      <x:c r="J472" s="27" t="n">
        <x:f>IF(AND(ISNUMBER(G472),F472&gt;0),G472/F472-1,"")</x:f>
        <x:v>-0.07166214719337538</x:v>
      </x:c>
      <x:c r="K472" s="19" t="str">
        <x:v>Balanced/EXP001/results/seed1583714685_Fixed_rank_10.json</x:v>
      </x:c>
    </x:row>
    <x:row r="473" ht="15" hidden="0" customHeight="1">
      <x:c r="A473" s="3" t="str">
        <x:v>EXP001</x:v>
      </x:c>
      <x:c r="B473" s="3" t="str">
        <x:v>Balanced</x:v>
      </x:c>
      <x:c r="C473" s="18" t="n">
        <x:v>1583714685</x:v>
      </x:c>
      <x:c r="D473" s="3" t="str">
        <x:v>Fixed rank 25</x:v>
      </x:c>
      <x:c r="E473" s="18" t="n">
        <x:v>800</x:v>
      </x:c>
      <x:c r="F473" s="21" t="n">
        <x:v>453.8861766266038</x:v>
      </x:c>
      <x:c r="G473" s="21" t="n">
        <x:f>F470</x:f>
        <x:v>467.63956719534883</x:v>
      </x:c>
      <x:c r="H473" s="21" t="n">
        <x:f>F475</x:f>
        <x:v>458.1197409546095</x:v>
      </x:c>
      <x:c r="I473" s="27" t="n">
        <x:f>IF(AND(ISNUMBER(G473),ISNUMBER(H473),H473&gt;0),G473/H473-1,"")</x:f>
        <x:v>0.020780213969610495</x:v>
      </x:c>
      <x:c r="J473" s="27" t="n">
        <x:f>IF(AND(ISNUMBER(G473),F473&gt;0),G473/F473-1,"")</x:f>
        <x:v>0.030301408760592174</x:v>
      </x:c>
      <x:c r="K473" s="19" t="str">
        <x:v>Balanced/EXP001/results/seed1583714685_Fixed_rank_25.json</x:v>
      </x:c>
    </x:row>
    <x:row r="474" ht="15" hidden="0" customHeight="1">
      <x:c r="A474" s="3" t="str">
        <x:v>EXP001</x:v>
      </x:c>
      <x:c r="B474" s="3" t="str">
        <x:v>Balanced</x:v>
      </x:c>
      <x:c r="C474" s="18" t="n">
        <x:v>1583714685</x:v>
      </x:c>
      <x:c r="D474" s="3" t="str">
        <x:v>Relative cutoff 1e-6</x:v>
      </x:c>
      <x:c r="E474" s="18" t="n">
        <x:v>800</x:v>
      </x:c>
      <x:c r="F474" s="21" t="n">
        <x:v>463.44060415915504</x:v>
      </x:c>
      <x:c r="G474" s="21" t="n">
        <x:f>F470</x:f>
        <x:v>467.63956719534883</x:v>
      </x:c>
      <x:c r="H474" s="21" t="n">
        <x:f>F475</x:f>
        <x:v>458.1197409546095</x:v>
      </x:c>
      <x:c r="I474" s="27" t="n">
        <x:f>IF(AND(ISNUMBER(G474),ISNUMBER(H474),H474&gt;0),G474/H474-1,"")</x:f>
        <x:v>0.020780213969610495</x:v>
      </x:c>
      <x:c r="J474" s="27" t="n">
        <x:f>IF(AND(ISNUMBER(G474),F474&gt;0),G474/F474-1,"")</x:f>
        <x:v>0.0090604124854623</x:v>
      </x:c>
      <x:c r="K474" s="19" t="str">
        <x:v>Balanced/EXP001/results/seed1583714685_Relative_cutoff_1e-6.json</x:v>
      </x:c>
    </x:row>
    <x:row r="475" ht="15" hidden="0" customHeight="1">
      <x:c r="A475" s="3" t="str">
        <x:v>EXP001</x:v>
      </x:c>
      <x:c r="B475" s="3" t="str">
        <x:v>Balanced</x:v>
      </x:c>
      <x:c r="C475" s="18" t="n">
        <x:v>1583714685</x:v>
      </x:c>
      <x:c r="D475" s="3" t="str">
        <x:v>Full</x:v>
      </x:c>
      <x:c r="E475" s="18" t="n">
        <x:v>800</x:v>
      </x:c>
      <x:c r="F475" s="21" t="n">
        <x:v>458.1197409546095</x:v>
      </x:c>
      <x:c r="G475" s="21" t="n">
        <x:f>F470</x:f>
        <x:v>467.63956719534883</x:v>
      </x:c>
      <x:c r="H475" s="21" t="n">
        <x:f>F475</x:f>
        <x:v>458.1197409546095</x:v>
      </x:c>
      <x:c r="I475" s="27" t="n">
        <x:f>IF(AND(ISNUMBER(G475),ISNUMBER(H475),H475&gt;0),G475/H475-1,"")</x:f>
        <x:v>0.020780213969610495</x:v>
      </x:c>
      <x:c r="J475" s="27" t="n">
        <x:f>IF(AND(ISNUMBER(G475),F475&gt;0),G475/F475-1,"")</x:f>
        <x:v>0.020780213969610495</x:v>
      </x:c>
      <x:c r="K475" s="19" t="str">
        <x:v>Balanced/EXP001/results/seed1583714685_Full.json</x:v>
      </x:c>
    </x:row>
    <x:row r="476" ht="15" hidden="0" customHeight="1">
      <x:c r="A476" s="3" t="str">
        <x:v>EXP001</x:v>
      </x:c>
      <x:c r="B476" s="3" t="str">
        <x:v>Balanced</x:v>
      </x:c>
      <x:c r="C476" s="18" t="n">
        <x:v>1583714685</x:v>
      </x:c>
      <x:c r="D476" s="3" t="str">
        <x:v>Relative cutoff 1e-2</x:v>
      </x:c>
      <x:c r="E476" s="18" t="n">
        <x:v>800</x:v>
      </x:c>
      <x:c r="F476" s="21" t="n">
        <x:v>493.3519468895682</x:v>
      </x:c>
      <x:c r="G476" s="21" t="n">
        <x:f>F470</x:f>
        <x:v>467.63956719534883</x:v>
      </x:c>
      <x:c r="H476" s="21" t="n">
        <x:f>F475</x:f>
        <x:v>458.1197409546095</x:v>
      </x:c>
      <x:c r="I476" s="27" t="n">
        <x:f>IF(AND(ISNUMBER(G476),ISNUMBER(H476),H476&gt;0),G476/H476-1,"")</x:f>
        <x:v>0.020780213969610495</x:v>
      </x:c>
      <x:c r="J476" s="27" t="n">
        <x:f>IF(AND(ISNUMBER(G476),F476&gt;0),G476/F476-1,"")</x:f>
        <x:v>-0.05211772215824417</x:v>
      </x:c>
      <x:c r="K476" s="19" t="str">
        <x:v>Balanced/EXP001/results/seed1583714685_Relative_cutoff_1e-2.json</x:v>
      </x:c>
    </x:row>
    <x:row r="477" ht="15" hidden="0" customHeight="1">
      <x:c r="A477" s="3" t="str">
        <x:v>EXP001</x:v>
      </x:c>
      <x:c r="B477" s="3" t="str">
        <x:v>Balanced</x:v>
      </x:c>
      <x:c r="C477" s="18" t="n">
        <x:v>1583714685</x:v>
      </x:c>
      <x:c r="D477" s="3" t="str">
        <x:v>Relative cutoff 1e-4</x:v>
      </x:c>
      <x:c r="E477" s="18" t="n">
        <x:v>800</x:v>
      </x:c>
      <x:c r="F477" s="21" t="n">
        <x:v>502.0651856530728</x:v>
      </x:c>
      <x:c r="G477" s="21" t="n">
        <x:f>F470</x:f>
        <x:v>467.63956719534883</x:v>
      </x:c>
      <x:c r="H477" s="21" t="n">
        <x:f>F475</x:f>
        <x:v>458.1197409546095</x:v>
      </x:c>
      <x:c r="I477" s="27" t="n">
        <x:f>IF(AND(ISNUMBER(G477),ISNUMBER(H477),H477&gt;0),G477/H477-1,"")</x:f>
        <x:v>0.020780213969610495</x:v>
      </x:c>
      <x:c r="J477" s="27" t="n">
        <x:f>IF(AND(ISNUMBER(G477),F477&gt;0),G477/F477-1,"")</x:f>
        <x:v>-0.06856802551036079</x:v>
      </x:c>
      <x:c r="K477" s="19" t="str">
        <x:v>Balanced/EXP001/results/seed1583714685_Relative_cutoff_1e-4.json</x:v>
      </x:c>
    </x:row>
    <x:row r="478" ht="15" hidden="0" customHeight="1">
      <x:c r="A478" s="3" t="str">
        <x:v>EXP001</x:v>
      </x:c>
      <x:c r="B478" s="3" t="str">
        <x:v>Balanced</x:v>
      </x:c>
      <x:c r="C478" s="18" t="n">
        <x:v>1604682005</x:v>
      </x:c>
      <x:c r="D478" s="3" t="str">
        <x:v>BBP</x:v>
      </x:c>
      <x:c r="E478" s="18" t="n">
        <x:v>800</x:v>
      </x:c>
      <x:c r="F478" s="21" t="n">
        <x:v>762.4593953223665</x:v>
      </x:c>
      <x:c r="G478" s="21" t="n">
        <x:f>F478</x:f>
        <x:v>762.4593953223665</x:v>
      </x:c>
      <x:c r="H478" s="21" t="n">
        <x:f>F483</x:f>
        <x:v>718.2915399063845</x:v>
      </x:c>
      <x:c r="I478" s="27" t="n">
        <x:f>IF(AND(ISNUMBER(G478),ISNUMBER(H478),H478&gt;0),G478/H478-1,"")</x:f>
        <x:v>0.06149015122987311</x:v>
      </x:c>
      <x:c r="J478" s="27" t="n">
        <x:f>IF(AND(ISNUMBER(G478),F478&gt;0),G478/F478-1,"")</x:f>
        <x:v>0</x:v>
      </x:c>
      <x:c r="K478" s="19" t="str">
        <x:v>Balanced/EXP001/results/seed1604682005_BBP.json</x:v>
      </x:c>
    </x:row>
    <x:row r="479" ht="15" hidden="0" customHeight="1">
      <x:c r="A479" s="3" t="str">
        <x:v>EXP001</x:v>
      </x:c>
      <x:c r="B479" s="3" t="str">
        <x:v>Balanced</x:v>
      </x:c>
      <x:c r="C479" s="18" t="n">
        <x:v>1604682005</x:v>
      </x:c>
      <x:c r="D479" s="3" t="str">
        <x:v>Relative cutoff 1e-5</x:v>
      </x:c>
      <x:c r="E479" s="18" t="n">
        <x:v>800</x:v>
      </x:c>
      <x:c r="F479" s="21" t="n">
        <x:v>756.2584018118988</x:v>
      </x:c>
      <x:c r="G479" s="21" t="n">
        <x:f>F478</x:f>
        <x:v>762.4593953223665</x:v>
      </x:c>
      <x:c r="H479" s="21" t="n">
        <x:f>F483</x:f>
        <x:v>718.2915399063845</x:v>
      </x:c>
      <x:c r="I479" s="27" t="n">
        <x:f>IF(AND(ISNUMBER(G479),ISNUMBER(H479),H479&gt;0),G479/H479-1,"")</x:f>
        <x:v>0.06149015122987311</x:v>
      </x:c>
      <x:c r="J479" s="27" t="n">
        <x:f>IF(AND(ISNUMBER(G479),F479&gt;0),G479/F479-1,"")</x:f>
        <x:v>0.008199569744429924</x:v>
      </x:c>
      <x:c r="K479" s="19" t="str">
        <x:v>Balanced/EXP001/results/seed1604682005_Relative_cutoff_1e-5.json</x:v>
      </x:c>
    </x:row>
    <x:row r="480" ht="15" hidden="0" customHeight="1">
      <x:c r="A480" s="3" t="str">
        <x:v>EXP001</x:v>
      </x:c>
      <x:c r="B480" s="3" t="str">
        <x:v>Balanced</x:v>
      </x:c>
      <x:c r="C480" s="18" t="n">
        <x:v>1604682005</x:v>
      </x:c>
      <x:c r="D480" s="3" t="str">
        <x:v>Fixed rank 10</x:v>
      </x:c>
      <x:c r="E480" s="18" t="n">
        <x:v>800</x:v>
      </x:c>
      <x:c r="F480" s="21" t="n">
        <x:v>803.4629763541436</x:v>
      </x:c>
      <x:c r="G480" s="21" t="n">
        <x:f>F478</x:f>
        <x:v>762.4593953223665</x:v>
      </x:c>
      <x:c r="H480" s="21" t="n">
        <x:f>F483</x:f>
        <x:v>718.2915399063845</x:v>
      </x:c>
      <x:c r="I480" s="27" t="n">
        <x:f>IF(AND(ISNUMBER(G480),ISNUMBER(H480),H480&gt;0),G480/H480-1,"")</x:f>
        <x:v>0.06149015122987311</x:v>
      </x:c>
      <x:c r="J480" s="27" t="n">
        <x:f>IF(AND(ISNUMBER(G480),F480&gt;0),G480/F480-1,"")</x:f>
        <x:v>-0.05103356624823985</x:v>
      </x:c>
      <x:c r="K480" s="19" t="str">
        <x:v>Balanced/EXP001/results/seed1604682005_Fixed_rank_10.json</x:v>
      </x:c>
    </x:row>
    <x:row r="481" ht="15" hidden="0" customHeight="1">
      <x:c r="A481" s="3" t="str">
        <x:v>EXP001</x:v>
      </x:c>
      <x:c r="B481" s="3" t="str">
        <x:v>Balanced</x:v>
      </x:c>
      <x:c r="C481" s="18" t="n">
        <x:v>1604682005</x:v>
      </x:c>
      <x:c r="D481" s="3" t="str">
        <x:v>Fixed rank 25</x:v>
      </x:c>
      <x:c r="E481" s="18" t="n">
        <x:v>800</x:v>
      </x:c>
      <x:c r="F481" s="21" t="n">
        <x:v>755.0351744868432</x:v>
      </x:c>
      <x:c r="G481" s="21" t="n">
        <x:f>F478</x:f>
        <x:v>762.4593953223665</x:v>
      </x:c>
      <x:c r="H481" s="21" t="n">
        <x:f>F483</x:f>
        <x:v>718.2915399063845</x:v>
      </x:c>
      <x:c r="I481" s="27" t="n">
        <x:f>IF(AND(ISNUMBER(G481),ISNUMBER(H481),H481&gt;0),G481/H481-1,"")</x:f>
        <x:v>0.06149015122987311</x:v>
      </x:c>
      <x:c r="J481" s="27" t="n">
        <x:f>IF(AND(ISNUMBER(G481),F481&gt;0),G481/F481-1,"")</x:f>
        <x:v>0.00983294697570769</x:v>
      </x:c>
      <x:c r="K481" s="19" t="str">
        <x:v>Balanced/EXP001/results/seed1604682005_Fixed_rank_25.json</x:v>
      </x:c>
    </x:row>
    <x:row r="482" ht="15" hidden="0" customHeight="1">
      <x:c r="A482" s="3" t="str">
        <x:v>EXP001</x:v>
      </x:c>
      <x:c r="B482" s="3" t="str">
        <x:v>Balanced</x:v>
      </x:c>
      <x:c r="C482" s="18" t="n">
        <x:v>1604682005</x:v>
      </x:c>
      <x:c r="D482" s="3" t="str">
        <x:v>Relative cutoff 1e-6</x:v>
      </x:c>
      <x:c r="E482" s="18" t="n">
        <x:v>800</x:v>
      </x:c>
      <x:c r="F482" s="21" t="n">
        <x:v>797.1037716848406</x:v>
      </x:c>
      <x:c r="G482" s="21" t="n">
        <x:f>F478</x:f>
        <x:v>762.4593953223665</x:v>
      </x:c>
      <x:c r="H482" s="21" t="n">
        <x:f>F483</x:f>
        <x:v>718.2915399063845</x:v>
      </x:c>
      <x:c r="I482" s="27" t="n">
        <x:f>IF(AND(ISNUMBER(G482),ISNUMBER(H482),H482&gt;0),G482/H482-1,"")</x:f>
        <x:v>0.06149015122987311</x:v>
      </x:c>
      <x:c r="J482" s="27" t="n">
        <x:f>IF(AND(ISNUMBER(G482),F482&gt;0),G482/F482-1,"")</x:f>
        <x:v>-0.043462818259216274</x:v>
      </x:c>
      <x:c r="K482" s="19" t="str">
        <x:v>Balanced/EXP001/results/seed1604682005_Relative_cutoff_1e-6.json</x:v>
      </x:c>
    </x:row>
    <x:row r="483" ht="15" hidden="0" customHeight="1">
      <x:c r="A483" s="3" t="str">
        <x:v>EXP001</x:v>
      </x:c>
      <x:c r="B483" s="3" t="str">
        <x:v>Balanced</x:v>
      </x:c>
      <x:c r="C483" s="18" t="n">
        <x:v>1604682005</x:v>
      </x:c>
      <x:c r="D483" s="3" t="str">
        <x:v>Full</x:v>
      </x:c>
      <x:c r="E483" s="18" t="n">
        <x:v>800</x:v>
      </x:c>
      <x:c r="F483" s="21" t="n">
        <x:v>718.2915399063845</x:v>
      </x:c>
      <x:c r="G483" s="21" t="n">
        <x:f>F478</x:f>
        <x:v>762.4593953223665</x:v>
      </x:c>
      <x:c r="H483" s="21" t="n">
        <x:f>F483</x:f>
        <x:v>718.2915399063845</x:v>
      </x:c>
      <x:c r="I483" s="27" t="n">
        <x:f>IF(AND(ISNUMBER(G483),ISNUMBER(H483),H483&gt;0),G483/H483-1,"")</x:f>
        <x:v>0.06149015122987311</x:v>
      </x:c>
      <x:c r="J483" s="27" t="n">
        <x:f>IF(AND(ISNUMBER(G483),F483&gt;0),G483/F483-1,"")</x:f>
        <x:v>0.06149015122987311</x:v>
      </x:c>
      <x:c r="K483" s="19" t="str">
        <x:v>Balanced/EXP001/results/seed1604682005_Full.json</x:v>
      </x:c>
    </x:row>
    <x:row r="484" ht="15" hidden="0" customHeight="1">
      <x:c r="A484" s="3" t="str">
        <x:v>EXP001</x:v>
      </x:c>
      <x:c r="B484" s="3" t="str">
        <x:v>Balanced</x:v>
      </x:c>
      <x:c r="C484" s="18" t="n">
        <x:v>1604682005</x:v>
      </x:c>
      <x:c r="D484" s="3" t="str">
        <x:v>Relative cutoff 1e-2</x:v>
      </x:c>
      <x:c r="E484" s="18" t="n">
        <x:v>800</x:v>
      </x:c>
      <x:c r="F484" s="21" t="n">
        <x:v>725.6994337926959</x:v>
      </x:c>
      <x:c r="G484" s="21" t="n">
        <x:f>F478</x:f>
        <x:v>762.4593953223665</x:v>
      </x:c>
      <x:c r="H484" s="21" t="n">
        <x:f>F483</x:f>
        <x:v>718.2915399063845</x:v>
      </x:c>
      <x:c r="I484" s="27" t="n">
        <x:f>IF(AND(ISNUMBER(G484),ISNUMBER(H484),H484&gt;0),G484/H484-1,"")</x:f>
        <x:v>0.06149015122987311</x:v>
      </x:c>
      <x:c r="J484" s="27" t="n">
        <x:f>IF(AND(ISNUMBER(G484),F484&gt;0),G484/F484-1,"")</x:f>
        <x:v>0.05065452695415984</x:v>
      </x:c>
      <x:c r="K484" s="19" t="str">
        <x:v>Balanced/EXP001/results/seed1604682005_Relative_cutoff_1e-2.json</x:v>
      </x:c>
    </x:row>
    <x:row r="485" ht="15" hidden="0" customHeight="1">
      <x:c r="A485" s="3" t="str">
        <x:v>EXP001</x:v>
      </x:c>
      <x:c r="B485" s="3" t="str">
        <x:v>Balanced</x:v>
      </x:c>
      <x:c r="C485" s="18" t="n">
        <x:v>1604682005</x:v>
      </x:c>
      <x:c r="D485" s="3" t="str">
        <x:v>Relative cutoff 1e-4</x:v>
      </x:c>
      <x:c r="E485" s="18" t="n">
        <x:v>800</x:v>
      </x:c>
      <x:c r="F485" s="21" t="n">
        <x:v>820.701774117478</x:v>
      </x:c>
      <x:c r="G485" s="21" t="n">
        <x:f>F478</x:f>
        <x:v>762.4593953223665</x:v>
      </x:c>
      <x:c r="H485" s="21" t="n">
        <x:f>F483</x:f>
        <x:v>718.2915399063845</x:v>
      </x:c>
      <x:c r="I485" s="27" t="n">
        <x:f>IF(AND(ISNUMBER(G485),ISNUMBER(H485),H485&gt;0),G485/H485-1,"")</x:f>
        <x:v>0.06149015122987311</x:v>
      </x:c>
      <x:c r="J485" s="27" t="n">
        <x:f>IF(AND(ISNUMBER(G485),F485&gt;0),G485/F485-1,"")</x:f>
        <x:v>-0.07096655646655692</x:v>
      </x:c>
      <x:c r="K485" s="19" t="str">
        <x:v>Balanced/EXP001/results/seed1604682005_Relative_cutoff_1e-4.json</x:v>
      </x:c>
    </x:row>
    <x:row r="486" ht="15" hidden="0" customHeight="1">
      <x:c r="A486" s="3" t="str">
        <x:v>EXP001</x:v>
      </x:c>
      <x:c r="B486" s="3" t="str">
        <x:v>Balanced</x:v>
      </x:c>
      <x:c r="C486" s="18" t="n">
        <x:v>1698458911</x:v>
      </x:c>
      <x:c r="D486" s="3" t="str">
        <x:v>BBP</x:v>
      </x:c>
      <x:c r="E486" s="18" t="n">
        <x:v>800</x:v>
      </x:c>
      <x:c r="F486" s="21" t="n">
        <x:v>766.8376228840216</x:v>
      </x:c>
      <x:c r="G486" s="21" t="n">
        <x:f>F486</x:f>
        <x:v>766.8376228840216</x:v>
      </x:c>
      <x:c r="H486" s="21" t="n">
        <x:f>F491</x:f>
        <x:v>728.4698963728512</x:v>
      </x:c>
      <x:c r="I486" s="27" t="n">
        <x:f>IF(AND(ISNUMBER(G486),ISNUMBER(H486),H486&gt;0),G486/H486-1,"")</x:f>
        <x:v>0.05266892523933864</x:v>
      </x:c>
      <x:c r="J486" s="27" t="n">
        <x:f>IF(AND(ISNUMBER(G486),F486&gt;0),G486/F486-1,"")</x:f>
        <x:v>0</x:v>
      </x:c>
      <x:c r="K486" s="19" t="str">
        <x:v>Balanced/EXP001/results/seed1698458911_BBP.json</x:v>
      </x:c>
    </x:row>
    <x:row r="487" ht="15" hidden="0" customHeight="1">
      <x:c r="A487" s="3" t="str">
        <x:v>EXP001</x:v>
      </x:c>
      <x:c r="B487" s="3" t="str">
        <x:v>Balanced</x:v>
      </x:c>
      <x:c r="C487" s="18" t="n">
        <x:v>1698458911</x:v>
      </x:c>
      <x:c r="D487" s="3" t="str">
        <x:v>Relative cutoff 1e-5</x:v>
      </x:c>
      <x:c r="E487" s="18" t="n">
        <x:v>800</x:v>
      </x:c>
      <x:c r="F487" s="21" t="n">
        <x:v>635.0131430815775</x:v>
      </x:c>
      <x:c r="G487" s="21" t="n">
        <x:f>F486</x:f>
        <x:v>766.8376228840216</x:v>
      </x:c>
      <x:c r="H487" s="21" t="n">
        <x:f>F491</x:f>
        <x:v>728.4698963728512</x:v>
      </x:c>
      <x:c r="I487" s="27" t="n">
        <x:f>IF(AND(ISNUMBER(G487),ISNUMBER(H487),H487&gt;0),G487/H487-1,"")</x:f>
        <x:v>0.05266892523933864</x:v>
      </x:c>
      <x:c r="J487" s="27" t="n">
        <x:f>IF(AND(ISNUMBER(G487),F487&gt;0),G487/F487-1,"")</x:f>
        <x:v>0.20759330927030772</x:v>
      </x:c>
      <x:c r="K487" s="19" t="str">
        <x:v>Balanced/EXP001/results/seed1698458911_Relative_cutoff_1e-5.json</x:v>
      </x:c>
    </x:row>
    <x:row r="488" ht="15" hidden="0" customHeight="1">
      <x:c r="A488" s="3" t="str">
        <x:v>EXP001</x:v>
      </x:c>
      <x:c r="B488" s="3" t="str">
        <x:v>Balanced</x:v>
      </x:c>
      <x:c r="C488" s="18" t="n">
        <x:v>1698458911</x:v>
      </x:c>
      <x:c r="D488" s="3" t="str">
        <x:v>Fixed rank 10</x:v>
      </x:c>
      <x:c r="E488" s="18" t="n">
        <x:v>800</x:v>
      </x:c>
      <x:c r="F488" s="21" t="n">
        <x:v>537.8314232623301</x:v>
      </x:c>
      <x:c r="G488" s="21" t="n">
        <x:f>F486</x:f>
        <x:v>766.8376228840216</x:v>
      </x:c>
      <x:c r="H488" s="21" t="n">
        <x:f>F491</x:f>
        <x:v>728.4698963728512</x:v>
      </x:c>
      <x:c r="I488" s="27" t="n">
        <x:f>IF(AND(ISNUMBER(G488),ISNUMBER(H488),H488&gt;0),G488/H488-1,"")</x:f>
        <x:v>0.05266892523933864</x:v>
      </x:c>
      <x:c r="J488" s="27" t="n">
        <x:f>IF(AND(ISNUMBER(G488),F488&gt;0),G488/F488-1,"")</x:f>
        <x:v>0.42579549969878294</x:v>
      </x:c>
      <x:c r="K488" s="19" t="str">
        <x:v>Balanced/EXP001/results/seed1698458911_Fixed_rank_10.json</x:v>
      </x:c>
    </x:row>
    <x:row r="489" ht="15" hidden="0" customHeight="1">
      <x:c r="A489" s="3" t="str">
        <x:v>EXP001</x:v>
      </x:c>
      <x:c r="B489" s="3" t="str">
        <x:v>Balanced</x:v>
      </x:c>
      <x:c r="C489" s="18" t="n">
        <x:v>1698458911</x:v>
      </x:c>
      <x:c r="D489" s="3" t="str">
        <x:v>Fixed rank 25</x:v>
      </x:c>
      <x:c r="E489" s="18" t="n">
        <x:v>800</x:v>
      </x:c>
      <x:c r="F489" s="21" t="n">
        <x:v>746.0480102689701</x:v>
      </x:c>
      <x:c r="G489" s="21" t="n">
        <x:f>F486</x:f>
        <x:v>766.8376228840216</x:v>
      </x:c>
      <x:c r="H489" s="21" t="n">
        <x:f>F491</x:f>
        <x:v>728.4698963728512</x:v>
      </x:c>
      <x:c r="I489" s="27" t="n">
        <x:f>IF(AND(ISNUMBER(G489),ISNUMBER(H489),H489&gt;0),G489/H489-1,"")</x:f>
        <x:v>0.05266892523933864</x:v>
      </x:c>
      <x:c r="J489" s="27" t="n">
        <x:f>IF(AND(ISNUMBER(G489),F489&gt;0),G489/F489-1,"")</x:f>
        <x:v>0.0278663200342244</x:v>
      </x:c>
      <x:c r="K489" s="19" t="str">
        <x:v>Balanced/EXP001/results/seed1698458911_Fixed_rank_25.json</x:v>
      </x:c>
    </x:row>
    <x:row r="490" ht="15" hidden="0" customHeight="1">
      <x:c r="A490" s="3" t="str">
        <x:v>EXP001</x:v>
      </x:c>
      <x:c r="B490" s="3" t="str">
        <x:v>Balanced</x:v>
      </x:c>
      <x:c r="C490" s="18" t="n">
        <x:v>1698458911</x:v>
      </x:c>
      <x:c r="D490" s="3" t="str">
        <x:v>Relative cutoff 1e-6</x:v>
      </x:c>
      <x:c r="E490" s="18" t="n">
        <x:v>800</x:v>
      </x:c>
      <x:c r="F490" s="21" t="n">
        <x:v>674.8615802081979</x:v>
      </x:c>
      <x:c r="G490" s="21" t="n">
        <x:f>F486</x:f>
        <x:v>766.8376228840216</x:v>
      </x:c>
      <x:c r="H490" s="21" t="n">
        <x:f>F491</x:f>
        <x:v>728.4698963728512</x:v>
      </x:c>
      <x:c r="I490" s="27" t="n">
        <x:f>IF(AND(ISNUMBER(G490),ISNUMBER(H490),H490&gt;0),G490/H490-1,"")</x:f>
        <x:v>0.05266892523933864</x:v>
      </x:c>
      <x:c r="J490" s="27" t="n">
        <x:f>IF(AND(ISNUMBER(G490),F490&gt;0),G490/F490-1,"")</x:f>
        <x:v>0.13628875220226444</x:v>
      </x:c>
      <x:c r="K490" s="19" t="str">
        <x:v>Balanced/EXP001/results/seed1698458911_Relative_cutoff_1e-6.json</x:v>
      </x:c>
    </x:row>
    <x:row r="491" ht="15" hidden="0" customHeight="1">
      <x:c r="A491" s="3" t="str">
        <x:v>EXP001</x:v>
      </x:c>
      <x:c r="B491" s="3" t="str">
        <x:v>Balanced</x:v>
      </x:c>
      <x:c r="C491" s="18" t="n">
        <x:v>1698458911</x:v>
      </x:c>
      <x:c r="D491" s="3" t="str">
        <x:v>Full</x:v>
      </x:c>
      <x:c r="E491" s="18" t="n">
        <x:v>800</x:v>
      </x:c>
      <x:c r="F491" s="21" t="n">
        <x:v>728.4698963728512</x:v>
      </x:c>
      <x:c r="G491" s="21" t="n">
        <x:f>F486</x:f>
        <x:v>766.8376228840216</x:v>
      </x:c>
      <x:c r="H491" s="21" t="n">
        <x:f>F491</x:f>
        <x:v>728.4698963728512</x:v>
      </x:c>
      <x:c r="I491" s="27" t="n">
        <x:f>IF(AND(ISNUMBER(G491),ISNUMBER(H491),H491&gt;0),G491/H491-1,"")</x:f>
        <x:v>0.05266892523933864</x:v>
      </x:c>
      <x:c r="J491" s="27" t="n">
        <x:f>IF(AND(ISNUMBER(G491),F491&gt;0),G491/F491-1,"")</x:f>
        <x:v>0.05266892523933864</x:v>
      </x:c>
      <x:c r="K491" s="19" t="str">
        <x:v>Balanced/EXP001/results/seed1698458911_Full.json</x:v>
      </x:c>
    </x:row>
    <x:row r="492" ht="15" hidden="0" customHeight="1">
      <x:c r="A492" s="3" t="str">
        <x:v>EXP001</x:v>
      </x:c>
      <x:c r="B492" s="3" t="str">
        <x:v>Balanced</x:v>
      </x:c>
      <x:c r="C492" s="18" t="n">
        <x:v>1698458911</x:v>
      </x:c>
      <x:c r="D492" s="3" t="str">
        <x:v>Relative cutoff 1e-2</x:v>
      </x:c>
      <x:c r="E492" s="18" t="n">
        <x:v>800</x:v>
      </x:c>
      <x:c r="F492" s="21" t="n">
        <x:v>730.076424895528</x:v>
      </x:c>
      <x:c r="G492" s="21" t="n">
        <x:f>F486</x:f>
        <x:v>766.8376228840216</x:v>
      </x:c>
      <x:c r="H492" s="21" t="n">
        <x:f>F491</x:f>
        <x:v>728.4698963728512</x:v>
      </x:c>
      <x:c r="I492" s="27" t="n">
        <x:f>IF(AND(ISNUMBER(G492),ISNUMBER(H492),H492&gt;0),G492/H492-1,"")</x:f>
        <x:v>0.05266892523933864</x:v>
      </x:c>
      <x:c r="J492" s="27" t="n">
        <x:f>IF(AND(ISNUMBER(G492),F492&gt;0),G492/F492-1,"")</x:f>
        <x:v>0.05035253397444528</x:v>
      </x:c>
      <x:c r="K492" s="19" t="str">
        <x:v>Balanced/EXP001/results/seed1698458911_Relative_cutoff_1e-2.json</x:v>
      </x:c>
    </x:row>
    <x:row r="493" ht="15" hidden="0" customHeight="1">
      <x:c r="A493" s="3" t="str">
        <x:v>EXP001</x:v>
      </x:c>
      <x:c r="B493" s="3" t="str">
        <x:v>Balanced</x:v>
      </x:c>
      <x:c r="C493" s="18" t="n">
        <x:v>1698458911</x:v>
      </x:c>
      <x:c r="D493" s="3" t="str">
        <x:v>Relative cutoff 1e-4</x:v>
      </x:c>
      <x:c r="E493" s="18" t="n">
        <x:v>800</x:v>
      </x:c>
      <x:c r="F493" s="21" t="n">
        <x:v>604.8306384542435</x:v>
      </x:c>
      <x:c r="G493" s="21" t="n">
        <x:f>F486</x:f>
        <x:v>766.8376228840216</x:v>
      </x:c>
      <x:c r="H493" s="21" t="n">
        <x:f>F491</x:f>
        <x:v>728.4698963728512</x:v>
      </x:c>
      <x:c r="I493" s="27" t="n">
        <x:f>IF(AND(ISNUMBER(G493),ISNUMBER(H493),H493&gt;0),G493/H493-1,"")</x:f>
        <x:v>0.05266892523933864</x:v>
      </x:c>
      <x:c r="J493" s="27" t="n">
        <x:f>IF(AND(ISNUMBER(G493),F493&gt;0),G493/F493-1,"")</x:f>
        <x:v>0.26785512196243366</x:v>
      </x:c>
      <x:c r="K493" s="19" t="str">
        <x:v>Balanced/EXP001/results/seed1698458911_Relative_cutoff_1e-4.json</x:v>
      </x:c>
    </x:row>
    <x:row r="494" ht="15" hidden="0" customHeight="1">
      <x:c r="A494" s="3" t="str">
        <x:v>EXP001</x:v>
      </x:c>
      <x:c r="B494" s="3" t="str">
        <x:v>Balanced</x:v>
      </x:c>
      <x:c r="C494" s="18" t="n">
        <x:v>1706141618</x:v>
      </x:c>
      <x:c r="D494" s="3" t="str">
        <x:v>BBP</x:v>
      </x:c>
      <x:c r="E494" s="18" t="n">
        <x:v>800</x:v>
      </x:c>
      <x:c r="F494" s="21" t="n">
        <x:v>451.74377103764476</x:v>
      </x:c>
      <x:c r="G494" s="21" t="n">
        <x:f>F494</x:f>
        <x:v>451.74377103764476</x:v>
      </x:c>
      <x:c r="H494" s="21" t="n">
        <x:f>F499</x:f>
        <x:v>441.2948599336656</x:v>
      </x:c>
      <x:c r="I494" s="27" t="n">
        <x:f>IF(AND(ISNUMBER(G494),ISNUMBER(H494),H494&gt;0),G494/H494-1,"")</x:f>
        <x:v>0.02367784457210731</x:v>
      </x:c>
      <x:c r="J494" s="27" t="n">
        <x:f>IF(AND(ISNUMBER(G494),F494&gt;0),G494/F494-1,"")</x:f>
        <x:v>0</x:v>
      </x:c>
      <x:c r="K494" s="19" t="str">
        <x:v>Balanced/EXP001/results/seed1706141618_BBP.json</x:v>
      </x:c>
    </x:row>
    <x:row r="495" ht="15" hidden="0" customHeight="1">
      <x:c r="A495" s="3" t="str">
        <x:v>EXP001</x:v>
      </x:c>
      <x:c r="B495" s="3" t="str">
        <x:v>Balanced</x:v>
      </x:c>
      <x:c r="C495" s="18" t="n">
        <x:v>1706141618</x:v>
      </x:c>
      <x:c r="D495" s="3" t="str">
        <x:v>Relative cutoff 1e-5</x:v>
      </x:c>
      <x:c r="E495" s="18" t="n">
        <x:v>800</x:v>
      </x:c>
      <x:c r="F495" s="21" t="n">
        <x:v>400.4991916243891</x:v>
      </x:c>
      <x:c r="G495" s="21" t="n">
        <x:f>F494</x:f>
        <x:v>451.74377103764476</x:v>
      </x:c>
      <x:c r="H495" s="21" t="n">
        <x:f>F499</x:f>
        <x:v>441.2948599336656</x:v>
      </x:c>
      <x:c r="I495" s="27" t="n">
        <x:f>IF(AND(ISNUMBER(G495),ISNUMBER(H495),H495&gt;0),G495/H495-1,"")</x:f>
        <x:v>0.02367784457210731</x:v>
      </x:c>
      <x:c r="J495" s="27" t="n">
        <x:f>IF(AND(ISNUMBER(G495),F495&gt;0),G495/F495-1,"")</x:f>
        <x:v>0.1279517674066013</x:v>
      </x:c>
      <x:c r="K495" s="19" t="str">
        <x:v>Balanced/EXP001/results/seed1706141618_Relative_cutoff_1e-5.json</x:v>
      </x:c>
    </x:row>
    <x:row r="496" ht="15" hidden="0" customHeight="1">
      <x:c r="A496" s="3" t="str">
        <x:v>EXP001</x:v>
      </x:c>
      <x:c r="B496" s="3" t="str">
        <x:v>Balanced</x:v>
      </x:c>
      <x:c r="C496" s="18" t="n">
        <x:v>1706141618</x:v>
      </x:c>
      <x:c r="D496" s="3" t="str">
        <x:v>Fixed rank 10</x:v>
      </x:c>
      <x:c r="E496" s="18" t="n">
        <x:v>800</x:v>
      </x:c>
      <x:c r="F496" s="21" t="n">
        <x:v>484.4132233703554</x:v>
      </x:c>
      <x:c r="G496" s="21" t="n">
        <x:f>F494</x:f>
        <x:v>451.74377103764476</x:v>
      </x:c>
      <x:c r="H496" s="21" t="n">
        <x:f>F499</x:f>
        <x:v>441.2948599336656</x:v>
      </x:c>
      <x:c r="I496" s="27" t="n">
        <x:f>IF(AND(ISNUMBER(G496),ISNUMBER(H496),H496&gt;0),G496/H496-1,"")</x:f>
        <x:v>0.02367784457210731</x:v>
      </x:c>
      <x:c r="J496" s="27" t="n">
        <x:f>IF(AND(ISNUMBER(G496),F496&gt;0),G496/F496-1,"")</x:f>
        <x:v>-0.06744128928894533</x:v>
      </x:c>
      <x:c r="K496" s="19" t="str">
        <x:v>Balanced/EXP001/results/seed1706141618_Fixed_rank_10.json</x:v>
      </x:c>
    </x:row>
    <x:row r="497" ht="15" hidden="0" customHeight="1">
      <x:c r="A497" s="3" t="str">
        <x:v>EXP001</x:v>
      </x:c>
      <x:c r="B497" s="3" t="str">
        <x:v>Balanced</x:v>
      </x:c>
      <x:c r="C497" s="18" t="n">
        <x:v>1706141618</x:v>
      </x:c>
      <x:c r="D497" s="3" t="str">
        <x:v>Fixed rank 25</x:v>
      </x:c>
      <x:c r="E497" s="18" t="n">
        <x:v>800</x:v>
      </x:c>
      <x:c r="F497" s="21" t="n">
        <x:v>452.2251728693492</x:v>
      </x:c>
      <x:c r="G497" s="21" t="n">
        <x:f>F494</x:f>
        <x:v>451.74377103764476</x:v>
      </x:c>
      <x:c r="H497" s="21" t="n">
        <x:f>F499</x:f>
        <x:v>441.2948599336656</x:v>
      </x:c>
      <x:c r="I497" s="27" t="n">
        <x:f>IF(AND(ISNUMBER(G497),ISNUMBER(H497),H497&gt;0),G497/H497-1,"")</x:f>
        <x:v>0.02367784457210731</x:v>
      </x:c>
      <x:c r="J497" s="27" t="n">
        <x:f>IF(AND(ISNUMBER(G497),F497&gt;0),G497/F497-1,"")</x:f>
        <x:v>-0.0010645179892352363</x:v>
      </x:c>
      <x:c r="K497" s="19" t="str">
        <x:v>Balanced/EXP001/results/seed1706141618_Fixed_rank_25.json</x:v>
      </x:c>
    </x:row>
    <x:row r="498" ht="15" hidden="0" customHeight="1">
      <x:c r="A498" s="3" t="str">
        <x:v>EXP001</x:v>
      </x:c>
      <x:c r="B498" s="3" t="str">
        <x:v>Balanced</x:v>
      </x:c>
      <x:c r="C498" s="18" t="n">
        <x:v>1706141618</x:v>
      </x:c>
      <x:c r="D498" s="3" t="str">
        <x:v>Relative cutoff 1e-6</x:v>
      </x:c>
      <x:c r="E498" s="18" t="n">
        <x:v>800</x:v>
      </x:c>
      <x:c r="F498" s="21" t="n">
        <x:v>455.55860976702644</x:v>
      </x:c>
      <x:c r="G498" s="21" t="n">
        <x:f>F494</x:f>
        <x:v>451.74377103764476</x:v>
      </x:c>
      <x:c r="H498" s="21" t="n">
        <x:f>F499</x:f>
        <x:v>441.2948599336656</x:v>
      </x:c>
      <x:c r="I498" s="27" t="n">
        <x:f>IF(AND(ISNUMBER(G498),ISNUMBER(H498),H498&gt;0),G498/H498-1,"")</x:f>
        <x:v>0.02367784457210731</x:v>
      </x:c>
      <x:c r="J498" s="27" t="n">
        <x:f>IF(AND(ISNUMBER(G498),F498&gt;0),G498/F498-1,"")</x:f>
        <x:v>-0.008373980092995281</x:v>
      </x:c>
      <x:c r="K498" s="19" t="str">
        <x:v>Balanced/EXP001/results/seed1706141618_Relative_cutoff_1e-6.json</x:v>
      </x:c>
    </x:row>
    <x:row r="499" ht="15" hidden="0" customHeight="1">
      <x:c r="A499" s="3" t="str">
        <x:v>EXP001</x:v>
      </x:c>
      <x:c r="B499" s="3" t="str">
        <x:v>Balanced</x:v>
      </x:c>
      <x:c r="C499" s="18" t="n">
        <x:v>1706141618</x:v>
      </x:c>
      <x:c r="D499" s="3" t="str">
        <x:v>Full</x:v>
      </x:c>
      <x:c r="E499" s="18" t="n">
        <x:v>800</x:v>
      </x:c>
      <x:c r="F499" s="21" t="n">
        <x:v>441.2948599336656</x:v>
      </x:c>
      <x:c r="G499" s="21" t="n">
        <x:f>F494</x:f>
        <x:v>451.74377103764476</x:v>
      </x:c>
      <x:c r="H499" s="21" t="n">
        <x:f>F499</x:f>
        <x:v>441.2948599336656</x:v>
      </x:c>
      <x:c r="I499" s="27" t="n">
        <x:f>IF(AND(ISNUMBER(G499),ISNUMBER(H499),H499&gt;0),G499/H499-1,"")</x:f>
        <x:v>0.02367784457210731</x:v>
      </x:c>
      <x:c r="J499" s="27" t="n">
        <x:f>IF(AND(ISNUMBER(G499),F499&gt;0),G499/F499-1,"")</x:f>
        <x:v>0.02367784457210731</x:v>
      </x:c>
      <x:c r="K499" s="19" t="str">
        <x:v>Balanced/EXP001/results/seed1706141618_Full.json</x:v>
      </x:c>
    </x:row>
    <x:row r="500" ht="15" hidden="0" customHeight="1">
      <x:c r="A500" s="3" t="str">
        <x:v>EXP001</x:v>
      </x:c>
      <x:c r="B500" s="3" t="str">
        <x:v>Balanced</x:v>
      </x:c>
      <x:c r="C500" s="18" t="n">
        <x:v>1706141618</x:v>
      </x:c>
      <x:c r="D500" s="3" t="str">
        <x:v>Relative cutoff 1e-2</x:v>
      </x:c>
      <x:c r="E500" s="18" t="n">
        <x:v>800</x:v>
      </x:c>
      <x:c r="F500" s="21" t="n">
        <x:v>667.5030645472418</x:v>
      </x:c>
      <x:c r="G500" s="21" t="n">
        <x:f>F494</x:f>
        <x:v>451.74377103764476</x:v>
      </x:c>
      <x:c r="H500" s="21" t="n">
        <x:f>F499</x:f>
        <x:v>441.2948599336656</x:v>
      </x:c>
      <x:c r="I500" s="27" t="n">
        <x:f>IF(AND(ISNUMBER(G500),ISNUMBER(H500),H500&gt;0),G500/H500-1,"")</x:f>
        <x:v>0.02367784457210731</x:v>
      </x:c>
      <x:c r="J500" s="27" t="n">
        <x:f>IF(AND(ISNUMBER(G500),F500&gt;0),G500/F500-1,"")</x:f>
        <x:v>-0.3232334126524852</x:v>
      </x:c>
      <x:c r="K500" s="19" t="str">
        <x:v>Balanced/EXP001/results/seed1706141618_Relative_cutoff_1e-2.json</x:v>
      </x:c>
    </x:row>
    <x:row r="501" ht="15" hidden="0" customHeight="1">
      <x:c r="A501" s="3" t="str">
        <x:v>EXP001</x:v>
      </x:c>
      <x:c r="B501" s="3" t="str">
        <x:v>Balanced</x:v>
      </x:c>
      <x:c r="C501" s="18" t="n">
        <x:v>1706141618</x:v>
      </x:c>
      <x:c r="D501" s="3" t="str">
        <x:v>Relative cutoff 1e-4</x:v>
      </x:c>
      <x:c r="E501" s="18" t="n">
        <x:v>800</x:v>
      </x:c>
      <x:c r="F501" s="21" t="n">
        <x:v>484.8240416401007</x:v>
      </x:c>
      <x:c r="G501" s="21" t="n">
        <x:f>F494</x:f>
        <x:v>451.74377103764476</x:v>
      </x:c>
      <x:c r="H501" s="21" t="n">
        <x:f>F499</x:f>
        <x:v>441.2948599336656</x:v>
      </x:c>
      <x:c r="I501" s="27" t="n">
        <x:f>IF(AND(ISNUMBER(G501),ISNUMBER(H501),H501&gt;0),G501/H501-1,"")</x:f>
        <x:v>0.02367784457210731</x:v>
      </x:c>
      <x:c r="J501" s="27" t="n">
        <x:f>IF(AND(ISNUMBER(G501),F501&gt;0),G501/F501-1,"")</x:f>
        <x:v>-0.06823149794830596</x:v>
      </x:c>
      <x:c r="K501" s="19" t="str">
        <x:v>Balanced/EXP001/results/seed1706141618_Relative_cutoff_1e-4.json</x:v>
      </x:c>
    </x:row>
    <x:row r="502" ht="15" hidden="0" customHeight="1">
      <x:c r="A502" s="3" t="str">
        <x:v>EXP001</x:v>
      </x:c>
      <x:c r="B502" s="3" t="str">
        <x:v>Balanced</x:v>
      </x:c>
      <x:c r="C502" s="18" t="n">
        <x:v>1774119025</x:v>
      </x:c>
      <x:c r="D502" s="3" t="str">
        <x:v>BBP</x:v>
      </x:c>
      <x:c r="E502" s="18" t="n">
        <x:v>800</x:v>
      </x:c>
      <x:c r="F502" s="21" t="n">
        <x:v>615.4200288021576</x:v>
      </x:c>
      <x:c r="G502" s="21" t="n">
        <x:f>F502</x:f>
        <x:v>615.4200288021576</x:v>
      </x:c>
      <x:c r="H502" s="21" t="n">
        <x:f>F507</x:f>
        <x:v>658.3695430249787</x:v>
      </x:c>
      <x:c r="I502" s="27" t="n">
        <x:f>IF(AND(ISNUMBER(G502),ISNUMBER(H502),H502&gt;0),G502/H502-1,"")</x:f>
        <x:v>-0.06523618031521183</x:v>
      </x:c>
      <x:c r="J502" s="27" t="n">
        <x:f>IF(AND(ISNUMBER(G502),F502&gt;0),G502/F502-1,"")</x:f>
        <x:v>0</x:v>
      </x:c>
      <x:c r="K502" s="19" t="str">
        <x:v>Balanced/EXP001/results/seed1774119025_BBP.json</x:v>
      </x:c>
    </x:row>
    <x:row r="503" ht="15" hidden="0" customHeight="1">
      <x:c r="A503" s="3" t="str">
        <x:v>EXP001</x:v>
      </x:c>
      <x:c r="B503" s="3" t="str">
        <x:v>Balanced</x:v>
      </x:c>
      <x:c r="C503" s="18" t="n">
        <x:v>1774119025</x:v>
      </x:c>
      <x:c r="D503" s="3" t="str">
        <x:v>Relative cutoff 1e-5</x:v>
      </x:c>
      <x:c r="E503" s="18" t="n">
        <x:v>800</x:v>
      </x:c>
      <x:c r="F503" s="21" t="n">
        <x:v>565.0084073757007</x:v>
      </x:c>
      <x:c r="G503" s="21" t="n">
        <x:f>F502</x:f>
        <x:v>615.4200288021576</x:v>
      </x:c>
      <x:c r="H503" s="21" t="n">
        <x:f>F507</x:f>
        <x:v>658.3695430249787</x:v>
      </x:c>
      <x:c r="I503" s="27" t="n">
        <x:f>IF(AND(ISNUMBER(G503),ISNUMBER(H503),H503&gt;0),G503/H503-1,"")</x:f>
        <x:v>-0.06523618031521183</x:v>
      </x:c>
      <x:c r="J503" s="27" t="n">
        <x:f>IF(AND(ISNUMBER(G503),F503&gt;0),G503/F503-1,"")</x:f>
        <x:v>0.08922278105666459</x:v>
      </x:c>
      <x:c r="K503" s="19" t="str">
        <x:v>Balanced/EXP001/results/seed1774119025_Relative_cutoff_1e-5.json</x:v>
      </x:c>
    </x:row>
    <x:row r="504" ht="15" hidden="0" customHeight="1">
      <x:c r="A504" s="3" t="str">
        <x:v>EXP001</x:v>
      </x:c>
      <x:c r="B504" s="3" t="str">
        <x:v>Balanced</x:v>
      </x:c>
      <x:c r="C504" s="18" t="n">
        <x:v>1774119025</x:v>
      </x:c>
      <x:c r="D504" s="3" t="str">
        <x:v>Fixed rank 10</x:v>
      </x:c>
      <x:c r="E504" s="18" t="n">
        <x:v>800</x:v>
      </x:c>
      <x:c r="F504" s="21" t="n">
        <x:v>614.3035979777137</x:v>
      </x:c>
      <x:c r="G504" s="21" t="n">
        <x:f>F502</x:f>
        <x:v>615.4200288021576</x:v>
      </x:c>
      <x:c r="H504" s="21" t="n">
        <x:f>F507</x:f>
        <x:v>658.3695430249787</x:v>
      </x:c>
      <x:c r="I504" s="27" t="n">
        <x:f>IF(AND(ISNUMBER(G504),ISNUMBER(H504),H504&gt;0),G504/H504-1,"")</x:f>
        <x:v>-0.06523618031521183</x:v>
      </x:c>
      <x:c r="J504" s="27" t="n">
        <x:f>IF(AND(ISNUMBER(G504),F504&gt;0),G504/F504-1,"")</x:f>
        <x:v>0.0018173926184368305</x:v>
      </x:c>
      <x:c r="K504" s="19" t="str">
        <x:v>Balanced/EXP001/results/seed1774119025_Fixed_rank_10.json</x:v>
      </x:c>
    </x:row>
    <x:row r="505" ht="15" hidden="0" customHeight="1">
      <x:c r="A505" s="3" t="str">
        <x:v>EXP001</x:v>
      </x:c>
      <x:c r="B505" s="3" t="str">
        <x:v>Balanced</x:v>
      </x:c>
      <x:c r="C505" s="18" t="n">
        <x:v>1774119025</x:v>
      </x:c>
      <x:c r="D505" s="3" t="str">
        <x:v>Fixed rank 25</x:v>
      </x:c>
      <x:c r="E505" s="18" t="n">
        <x:v>800</x:v>
      </x:c>
      <x:c r="F505" s="21" t="n">
        <x:v>642.7743142173931</x:v>
      </x:c>
      <x:c r="G505" s="21" t="n">
        <x:f>F502</x:f>
        <x:v>615.4200288021576</x:v>
      </x:c>
      <x:c r="H505" s="21" t="n">
        <x:f>F507</x:f>
        <x:v>658.3695430249787</x:v>
      </x:c>
      <x:c r="I505" s="27" t="n">
        <x:f>IF(AND(ISNUMBER(G505),ISNUMBER(H505),H505&gt;0),G505/H505-1,"")</x:f>
        <x:v>-0.06523618031521183</x:v>
      </x:c>
      <x:c r="J505" s="27" t="n">
        <x:f>IF(AND(ISNUMBER(G505),F505&gt;0),G505/F505-1,"")</x:f>
        <x:v>-0.042556593831134304</x:v>
      </x:c>
      <x:c r="K505" s="19" t="str">
        <x:v>Balanced/EXP001/results/seed1774119025_Fixed_rank_25.json</x:v>
      </x:c>
    </x:row>
    <x:row r="506" ht="15" hidden="0" customHeight="1">
      <x:c r="A506" s="3" t="str">
        <x:v>EXP001</x:v>
      </x:c>
      <x:c r="B506" s="3" t="str">
        <x:v>Balanced</x:v>
      </x:c>
      <x:c r="C506" s="18" t="n">
        <x:v>1774119025</x:v>
      </x:c>
      <x:c r="D506" s="3" t="str">
        <x:v>Relative cutoff 1e-6</x:v>
      </x:c>
      <x:c r="E506" s="18" t="n">
        <x:v>800</x:v>
      </x:c>
      <x:c r="F506" s="21" t="n">
        <x:v>559.3877400998228</x:v>
      </x:c>
      <x:c r="G506" s="21" t="n">
        <x:f>F502</x:f>
        <x:v>615.4200288021576</x:v>
      </x:c>
      <x:c r="H506" s="21" t="n">
        <x:f>F507</x:f>
        <x:v>658.3695430249787</x:v>
      </x:c>
      <x:c r="I506" s="27" t="n">
        <x:f>IF(AND(ISNUMBER(G506),ISNUMBER(H506),H506&gt;0),G506/H506-1,"")</x:f>
        <x:v>-0.06523618031521183</x:v>
      </x:c>
      <x:c r="J506" s="27" t="n">
        <x:f>IF(AND(ISNUMBER(G506),F506&gt;0),G506/F506-1,"")</x:f>
        <x:v>0.1001671732961753</x:v>
      </x:c>
      <x:c r="K506" s="19" t="str">
        <x:v>Balanced/EXP001/results/seed1774119025_Relative_cutoff_1e-6.json</x:v>
      </x:c>
    </x:row>
    <x:row r="507" ht="15" hidden="0" customHeight="1">
      <x:c r="A507" s="3" t="str">
        <x:v>EXP001</x:v>
      </x:c>
      <x:c r="B507" s="3" t="str">
        <x:v>Balanced</x:v>
      </x:c>
      <x:c r="C507" s="18" t="n">
        <x:v>1774119025</x:v>
      </x:c>
      <x:c r="D507" s="3" t="str">
        <x:v>Full</x:v>
      </x:c>
      <x:c r="E507" s="18" t="n">
        <x:v>800</x:v>
      </x:c>
      <x:c r="F507" s="21" t="n">
        <x:v>658.3695430249787</x:v>
      </x:c>
      <x:c r="G507" s="21" t="n">
        <x:f>F502</x:f>
        <x:v>615.4200288021576</x:v>
      </x:c>
      <x:c r="H507" s="21" t="n">
        <x:f>F507</x:f>
        <x:v>658.3695430249787</x:v>
      </x:c>
      <x:c r="I507" s="27" t="n">
        <x:f>IF(AND(ISNUMBER(G507),ISNUMBER(H507),H507&gt;0),G507/H507-1,"")</x:f>
        <x:v>-0.06523618031521183</x:v>
      </x:c>
      <x:c r="J507" s="27" t="n">
        <x:f>IF(AND(ISNUMBER(G507),F507&gt;0),G507/F507-1,"")</x:f>
        <x:v>-0.06523618031521183</x:v>
      </x:c>
      <x:c r="K507" s="19" t="str">
        <x:v>Balanced/EXP001/results/seed1774119025_Full.json</x:v>
      </x:c>
    </x:row>
    <x:row r="508" ht="15" hidden="0" customHeight="1">
      <x:c r="A508" s="3" t="str">
        <x:v>EXP001</x:v>
      </x:c>
      <x:c r="B508" s="3" t="str">
        <x:v>Balanced</x:v>
      </x:c>
      <x:c r="C508" s="18" t="n">
        <x:v>1774119025</x:v>
      </x:c>
      <x:c r="D508" s="3" t="str">
        <x:v>Relative cutoff 1e-2</x:v>
      </x:c>
      <x:c r="E508" s="18" t="n">
        <x:v>800</x:v>
      </x:c>
      <x:c r="F508" s="21" t="n">
        <x:v>692.6433862812094</x:v>
      </x:c>
      <x:c r="G508" s="21" t="n">
        <x:f>F502</x:f>
        <x:v>615.4200288021576</x:v>
      </x:c>
      <x:c r="H508" s="21" t="n">
        <x:f>F507</x:f>
        <x:v>658.3695430249787</x:v>
      </x:c>
      <x:c r="I508" s="27" t="n">
        <x:f>IF(AND(ISNUMBER(G508),ISNUMBER(H508),H508&gt;0),G508/H508-1,"")</x:f>
        <x:v>-0.06523618031521183</x:v>
      </x:c>
      <x:c r="J508" s="27" t="n">
        <x:f>IF(AND(ISNUMBER(G508),F508&gt;0),G508/F508-1,"")</x:f>
        <x:v>-0.11149078877900309</x:v>
      </x:c>
      <x:c r="K508" s="19" t="str">
        <x:v>Balanced/EXP001/results/seed1774119025_Relative_cutoff_1e-2.json</x:v>
      </x:c>
    </x:row>
    <x:row r="509" ht="15" hidden="0" customHeight="1">
      <x:c r="A509" s="3" t="str">
        <x:v>EXP001</x:v>
      </x:c>
      <x:c r="B509" s="3" t="str">
        <x:v>Balanced</x:v>
      </x:c>
      <x:c r="C509" s="18" t="n">
        <x:v>1774119025</x:v>
      </x:c>
      <x:c r="D509" s="3" t="str">
        <x:v>Relative cutoff 1e-4</x:v>
      </x:c>
      <x:c r="E509" s="18" t="n">
        <x:v>800</x:v>
      </x:c>
      <x:c r="F509" s="21" t="n">
        <x:v>564.7363121975607</x:v>
      </x:c>
      <x:c r="G509" s="21" t="n">
        <x:f>F502</x:f>
        <x:v>615.4200288021576</x:v>
      </x:c>
      <x:c r="H509" s="21" t="n">
        <x:f>F507</x:f>
        <x:v>658.3695430249787</x:v>
      </x:c>
      <x:c r="I509" s="27" t="n">
        <x:f>IF(AND(ISNUMBER(G509),ISNUMBER(H509),H509&gt;0),G509/H509-1,"")</x:f>
        <x:v>-0.06523618031521183</x:v>
      </x:c>
      <x:c r="J509" s="27" t="n">
        <x:f>IF(AND(ISNUMBER(G509),F509&gt;0),G509/F509-1,"")</x:f>
        <x:v>0.08974757866617633</x:v>
      </x:c>
      <x:c r="K509" s="19" t="str">
        <x:v>Balanced/EXP001/results/seed1774119025_Relative_cutoff_1e-4.json</x:v>
      </x:c>
    </x:row>
    <x:row r="510" ht="15" hidden="0" customHeight="1">
      <x:c r="A510" s="3" t="str">
        <x:v>EXP001</x:v>
      </x:c>
      <x:c r="B510" s="3" t="str">
        <x:v>Balanced</x:v>
      </x:c>
      <x:c r="C510" s="18" t="n">
        <x:v>1858567448</x:v>
      </x:c>
      <x:c r="D510" s="3" t="str">
        <x:v>BBP</x:v>
      </x:c>
      <x:c r="E510" s="18" t="n">
        <x:v>800</x:v>
      </x:c>
      <x:c r="F510" s="21" t="n">
        <x:v>657.8618521380971</x:v>
      </x:c>
      <x:c r="G510" s="21" t="n">
        <x:f>F510</x:f>
        <x:v>657.8618521380971</x:v>
      </x:c>
      <x:c r="H510" s="21" t="n">
        <x:f>F515</x:f>
        <x:v>652.2869294997045</x:v>
      </x:c>
      <x:c r="I510" s="27" t="n">
        <x:f>IF(AND(ISNUMBER(G510),ISNUMBER(H510),H510&gt;0),G510/H510-1,"")</x:f>
        <x:v>0.008546733632496029</x:v>
      </x:c>
      <x:c r="J510" s="27" t="n">
        <x:f>IF(AND(ISNUMBER(G510),F510&gt;0),G510/F510-1,"")</x:f>
        <x:v>0</x:v>
      </x:c>
      <x:c r="K510" s="19" t="str">
        <x:v>Balanced/EXP001/results/seed1858567448_BBP.json</x:v>
      </x:c>
    </x:row>
    <x:row r="511" ht="15" hidden="0" customHeight="1">
      <x:c r="A511" s="3" t="str">
        <x:v>EXP001</x:v>
      </x:c>
      <x:c r="B511" s="3" t="str">
        <x:v>Balanced</x:v>
      </x:c>
      <x:c r="C511" s="18" t="n">
        <x:v>1858567448</x:v>
      </x:c>
      <x:c r="D511" s="3" t="str">
        <x:v>Relative cutoff 1e-5</x:v>
      </x:c>
      <x:c r="E511" s="18" t="n">
        <x:v>800</x:v>
      </x:c>
      <x:c r="F511" s="21" t="n">
        <x:v>497.49690161201926</x:v>
      </x:c>
      <x:c r="G511" s="21" t="n">
        <x:f>F510</x:f>
        <x:v>657.8618521380971</x:v>
      </x:c>
      <x:c r="H511" s="21" t="n">
        <x:f>F515</x:f>
        <x:v>652.2869294997045</x:v>
      </x:c>
      <x:c r="I511" s="27" t="n">
        <x:f>IF(AND(ISNUMBER(G511),ISNUMBER(H511),H511&gt;0),G511/H511-1,"")</x:f>
        <x:v>0.008546733632496029</x:v>
      </x:c>
      <x:c r="J511" s="27" t="n">
        <x:f>IF(AND(ISNUMBER(G511),F511&gt;0),G511/F511-1,"")</x:f>
        <x:v>0.3223436166264628</x:v>
      </x:c>
      <x:c r="K511" s="19" t="str">
        <x:v>Balanced/EXP001/results/seed1858567448_Relative_cutoff_1e-5.json</x:v>
      </x:c>
    </x:row>
    <x:row r="512" ht="15" hidden="0" customHeight="1">
      <x:c r="A512" s="3" t="str">
        <x:v>EXP001</x:v>
      </x:c>
      <x:c r="B512" s="3" t="str">
        <x:v>Balanced</x:v>
      </x:c>
      <x:c r="C512" s="18" t="n">
        <x:v>1858567448</x:v>
      </x:c>
      <x:c r="D512" s="3" t="str">
        <x:v>Fixed rank 10</x:v>
      </x:c>
      <x:c r="E512" s="18" t="n">
        <x:v>800</x:v>
      </x:c>
      <x:c r="F512" s="21" t="n">
        <x:v>667.9246083542349</x:v>
      </x:c>
      <x:c r="G512" s="21" t="n">
        <x:f>F510</x:f>
        <x:v>657.8618521380971</x:v>
      </x:c>
      <x:c r="H512" s="21" t="n">
        <x:f>F515</x:f>
        <x:v>652.2869294997045</x:v>
      </x:c>
      <x:c r="I512" s="27" t="n">
        <x:f>IF(AND(ISNUMBER(G512),ISNUMBER(H512),H512&gt;0),G512/H512-1,"")</x:f>
        <x:v>0.008546733632496029</x:v>
      </x:c>
      <x:c r="J512" s="27" t="n">
        <x:f>IF(AND(ISNUMBER(G512),F512&gt;0),G512/F512-1,"")</x:f>
        <x:v>-0.015065706653528466</x:v>
      </x:c>
      <x:c r="K512" s="19" t="str">
        <x:v>Balanced/EXP001/results/seed1858567448_Fixed_rank_10.json</x:v>
      </x:c>
    </x:row>
    <x:row r="513" ht="15" hidden="0" customHeight="1">
      <x:c r="A513" s="3" t="str">
        <x:v>EXP001</x:v>
      </x:c>
      <x:c r="B513" s="3" t="str">
        <x:v>Balanced</x:v>
      </x:c>
      <x:c r="C513" s="18" t="n">
        <x:v>1858567448</x:v>
      </x:c>
      <x:c r="D513" s="3" t="str">
        <x:v>Fixed rank 25</x:v>
      </x:c>
      <x:c r="E513" s="18" t="n">
        <x:v>800</x:v>
      </x:c>
      <x:c r="F513" s="21" t="n">
        <x:v>656.0541971287594</x:v>
      </x:c>
      <x:c r="G513" s="21" t="n">
        <x:f>F510</x:f>
        <x:v>657.8618521380971</x:v>
      </x:c>
      <x:c r="H513" s="21" t="n">
        <x:f>F515</x:f>
        <x:v>652.2869294997045</x:v>
      </x:c>
      <x:c r="I513" s="27" t="n">
        <x:f>IF(AND(ISNUMBER(G513),ISNUMBER(H513),H513&gt;0),G513/H513-1,"")</x:f>
        <x:v>0.008546733632496029</x:v>
      </x:c>
      <x:c r="J513" s="27" t="n">
        <x:f>IF(AND(ISNUMBER(G513),F513&gt;0),G513/F513-1,"")</x:f>
        <x:v>0.0027553440207364055</x:v>
      </x:c>
      <x:c r="K513" s="19" t="str">
        <x:v>Balanced/EXP001/results/seed1858567448_Fixed_rank_25.json</x:v>
      </x:c>
    </x:row>
    <x:row r="514" ht="15" hidden="0" customHeight="1">
      <x:c r="A514" s="3" t="str">
        <x:v>EXP001</x:v>
      </x:c>
      <x:c r="B514" s="3" t="str">
        <x:v>Balanced</x:v>
      </x:c>
      <x:c r="C514" s="18" t="n">
        <x:v>1858567448</x:v>
      </x:c>
      <x:c r="D514" s="3" t="str">
        <x:v>Relative cutoff 1e-6</x:v>
      </x:c>
      <x:c r="E514" s="18" t="n">
        <x:v>800</x:v>
      </x:c>
      <x:c r="F514" s="21" t="n">
        <x:v>657.8079358670583</x:v>
      </x:c>
      <x:c r="G514" s="21" t="n">
        <x:f>F510</x:f>
        <x:v>657.8618521380971</x:v>
      </x:c>
      <x:c r="H514" s="21" t="n">
        <x:f>F515</x:f>
        <x:v>652.2869294997045</x:v>
      </x:c>
      <x:c r="I514" s="27" t="n">
        <x:f>IF(AND(ISNUMBER(G514),ISNUMBER(H514),H514&gt;0),G514/H514-1,"")</x:f>
        <x:v>0.008546733632496029</x:v>
      </x:c>
      <x:c r="J514" s="27" t="n">
        <x:f>IF(AND(ISNUMBER(G514),F514&gt;0),G514/F514-1,"")</x:f>
        <x:v>0.00008196354604295131</x:v>
      </x:c>
      <x:c r="K514" s="19" t="str">
        <x:v>Balanced/EXP001/results/seed1858567448_Relative_cutoff_1e-6.json</x:v>
      </x:c>
    </x:row>
    <x:row r="515" ht="15" hidden="0" customHeight="1">
      <x:c r="A515" s="3" t="str">
        <x:v>EXP001</x:v>
      </x:c>
      <x:c r="B515" s="3" t="str">
        <x:v>Balanced</x:v>
      </x:c>
      <x:c r="C515" s="18" t="n">
        <x:v>1858567448</x:v>
      </x:c>
      <x:c r="D515" s="3" t="str">
        <x:v>Full</x:v>
      </x:c>
      <x:c r="E515" s="18" t="n">
        <x:v>800</x:v>
      </x:c>
      <x:c r="F515" s="21" t="n">
        <x:v>652.2869294997045</x:v>
      </x:c>
      <x:c r="G515" s="21" t="n">
        <x:f>F510</x:f>
        <x:v>657.8618521380971</x:v>
      </x:c>
      <x:c r="H515" s="21" t="n">
        <x:f>F515</x:f>
        <x:v>652.2869294997045</x:v>
      </x:c>
      <x:c r="I515" s="27" t="n">
        <x:f>IF(AND(ISNUMBER(G515),ISNUMBER(H515),H515&gt;0),G515/H515-1,"")</x:f>
        <x:v>0.008546733632496029</x:v>
      </x:c>
      <x:c r="J515" s="27" t="n">
        <x:f>IF(AND(ISNUMBER(G515),F515&gt;0),G515/F515-1,"")</x:f>
        <x:v>0.008546733632496029</x:v>
      </x:c>
      <x:c r="K515" s="19" t="str">
        <x:v>Balanced/EXP001/results/seed1858567448_Full.json</x:v>
      </x:c>
    </x:row>
    <x:row r="516" ht="15" hidden="0" customHeight="1">
      <x:c r="A516" s="3" t="str">
        <x:v>EXP001</x:v>
      </x:c>
      <x:c r="B516" s="3" t="str">
        <x:v>Balanced</x:v>
      </x:c>
      <x:c r="C516" s="18" t="n">
        <x:v>1858567448</x:v>
      </x:c>
      <x:c r="D516" s="3" t="str">
        <x:v>Relative cutoff 1e-2</x:v>
      </x:c>
      <x:c r="E516" s="18" t="n">
        <x:v>800</x:v>
      </x:c>
      <x:c r="F516" s="21" t="n">
        <x:v>627.1334892427028</x:v>
      </x:c>
      <x:c r="G516" s="21" t="n">
        <x:f>F510</x:f>
        <x:v>657.8618521380971</x:v>
      </x:c>
      <x:c r="H516" s="21" t="n">
        <x:f>F515</x:f>
        <x:v>652.2869294997045</x:v>
      </x:c>
      <x:c r="I516" s="27" t="n">
        <x:f>IF(AND(ISNUMBER(G516),ISNUMBER(H516),H516&gt;0),G516/H516-1,"")</x:f>
        <x:v>0.008546733632496029</x:v>
      </x:c>
      <x:c r="J516" s="27" t="n">
        <x:f>IF(AND(ISNUMBER(G516),F516&gt;0),G516/F516-1,"")</x:f>
        <x:v>0.04899812148845761</x:v>
      </x:c>
      <x:c r="K516" s="19" t="str">
        <x:v>Balanced/EXP001/results/seed1858567448_Relative_cutoff_1e-2.json</x:v>
      </x:c>
    </x:row>
    <x:row r="517" ht="15" hidden="0" customHeight="1">
      <x:c r="A517" s="3" t="str">
        <x:v>EXP001</x:v>
      </x:c>
      <x:c r="B517" s="3" t="str">
        <x:v>Balanced</x:v>
      </x:c>
      <x:c r="C517" s="18" t="n">
        <x:v>1858567448</x:v>
      </x:c>
      <x:c r="D517" s="3" t="str">
        <x:v>Relative cutoff 1e-4</x:v>
      </x:c>
      <x:c r="E517" s="18" t="n">
        <x:v>800</x:v>
      </x:c>
      <x:c r="F517" s="21" t="n">
        <x:v>586.7210638239401</x:v>
      </x:c>
      <x:c r="G517" s="21" t="n">
        <x:f>F510</x:f>
        <x:v>657.8618521380971</x:v>
      </x:c>
      <x:c r="H517" s="21" t="n">
        <x:f>F515</x:f>
        <x:v>652.2869294997045</x:v>
      </x:c>
      <x:c r="I517" s="27" t="n">
        <x:f>IF(AND(ISNUMBER(G517),ISNUMBER(H517),H517&gt;0),G517/H517-1,"")</x:f>
        <x:v>0.008546733632496029</x:v>
      </x:c>
      <x:c r="J517" s="27" t="n">
        <x:f>IF(AND(ISNUMBER(G517),F517&gt;0),G517/F517-1,"")</x:f>
        <x:v>0.12125146462357894</x:v>
      </x:c>
      <x:c r="K517" s="19" t="str">
        <x:v>Balanced/EXP001/results/seed1858567448_Relative_cutoff_1e-4.json</x:v>
      </x:c>
    </x:row>
    <x:row r="518" ht="15" hidden="0" customHeight="1">
      <x:c r="A518" s="3" t="str">
        <x:v>EXP001</x:v>
      </x:c>
      <x:c r="B518" s="3" t="str">
        <x:v>Balanced</x:v>
      </x:c>
      <x:c r="C518" s="18" t="n">
        <x:v>1966030676</x:v>
      </x:c>
      <x:c r="D518" s="3" t="str">
        <x:v>BBP</x:v>
      </x:c>
      <x:c r="E518" s="18" t="n">
        <x:v>800</x:v>
      </x:c>
      <x:c r="F518" s="21" t="n">
        <x:v>499.5777766485588</x:v>
      </x:c>
      <x:c r="G518" s="21" t="n">
        <x:f>F518</x:f>
        <x:v>499.5777766485588</x:v>
      </x:c>
      <x:c r="H518" s="21" t="n">
        <x:f>F523</x:f>
        <x:v>567.3565677612452</x:v>
      </x:c>
      <x:c r="I518" s="27" t="n">
        <x:f>IF(AND(ISNUMBER(G518),ISNUMBER(H518),H518&gt;0),G518/H518-1,"")</x:f>
        <x:v>-0.11946418701053796</x:v>
      </x:c>
      <x:c r="J518" s="27" t="n">
        <x:f>IF(AND(ISNUMBER(G518),F518&gt;0),G518/F518-1,"")</x:f>
        <x:v>0</x:v>
      </x:c>
      <x:c r="K518" s="19" t="str">
        <x:v>Balanced/EXP001/results/seed1966030676_BBP.json</x:v>
      </x:c>
    </x:row>
    <x:row r="519" ht="15" hidden="0" customHeight="1">
      <x:c r="A519" s="3" t="str">
        <x:v>EXP001</x:v>
      </x:c>
      <x:c r="B519" s="3" t="str">
        <x:v>Balanced</x:v>
      </x:c>
      <x:c r="C519" s="18" t="n">
        <x:v>1966030676</x:v>
      </x:c>
      <x:c r="D519" s="3" t="str">
        <x:v>Relative cutoff 1e-5</x:v>
      </x:c>
      <x:c r="E519" s="18" t="n">
        <x:v>800</x:v>
      </x:c>
      <x:c r="F519" s="21" t="n">
        <x:v>565.0727581746335</x:v>
      </x:c>
      <x:c r="G519" s="21" t="n">
        <x:f>F518</x:f>
        <x:v>499.5777766485588</x:v>
      </x:c>
      <x:c r="H519" s="21" t="n">
        <x:f>F523</x:f>
        <x:v>567.3565677612452</x:v>
      </x:c>
      <x:c r="I519" s="27" t="n">
        <x:f>IF(AND(ISNUMBER(G519),ISNUMBER(H519),H519&gt;0),G519/H519-1,"")</x:f>
        <x:v>-0.11946418701053796</x:v>
      </x:c>
      <x:c r="J519" s="27" t="n">
        <x:f>IF(AND(ISNUMBER(G519),F519&gt;0),G519/F519-1,"")</x:f>
        <x:v>-0.11590539550631407</x:v>
      </x:c>
      <x:c r="K519" s="19" t="str">
        <x:v>Balanced/EXP001/results/seed1966030676_Relative_cutoff_1e-5.json</x:v>
      </x:c>
    </x:row>
    <x:row r="520" ht="15" hidden="0" customHeight="1">
      <x:c r="A520" s="3" t="str">
        <x:v>EXP001</x:v>
      </x:c>
      <x:c r="B520" s="3" t="str">
        <x:v>Balanced</x:v>
      </x:c>
      <x:c r="C520" s="18" t="n">
        <x:v>1966030676</x:v>
      </x:c>
      <x:c r="D520" s="3" t="str">
        <x:v>Fixed rank 10</x:v>
      </x:c>
      <x:c r="E520" s="18" t="n">
        <x:v>800</x:v>
      </x:c>
      <x:c r="F520" s="21" t="n">
        <x:v>534.6095061604782</x:v>
      </x:c>
      <x:c r="G520" s="21" t="n">
        <x:f>F518</x:f>
        <x:v>499.5777766485588</x:v>
      </x:c>
      <x:c r="H520" s="21" t="n">
        <x:f>F523</x:f>
        <x:v>567.3565677612452</x:v>
      </x:c>
      <x:c r="I520" s="27" t="n">
        <x:f>IF(AND(ISNUMBER(G520),ISNUMBER(H520),H520&gt;0),G520/H520-1,"")</x:f>
        <x:v>-0.11946418701053796</x:v>
      </x:c>
      <x:c r="J520" s="27" t="n">
        <x:f>IF(AND(ISNUMBER(G520),F520&gt;0),G520/F520-1,"")</x:f>
        <x:v>-0.06552769658645685</x:v>
      </x:c>
      <x:c r="K520" s="19" t="str">
        <x:v>Balanced/EXP001/results/seed1966030676_Fixed_rank_10.json</x:v>
      </x:c>
    </x:row>
    <x:row r="521" ht="15" hidden="0" customHeight="1">
      <x:c r="A521" s="3" t="str">
        <x:v>EXP001</x:v>
      </x:c>
      <x:c r="B521" s="3" t="str">
        <x:v>Balanced</x:v>
      </x:c>
      <x:c r="C521" s="18" t="n">
        <x:v>1966030676</x:v>
      </x:c>
      <x:c r="D521" s="3" t="str">
        <x:v>Fixed rank 25</x:v>
      </x:c>
      <x:c r="E521" s="18" t="n">
        <x:v>800</x:v>
      </x:c>
      <x:c r="F521" s="21" t="n">
        <x:v>538.4245590010645</x:v>
      </x:c>
      <x:c r="G521" s="21" t="n">
        <x:f>F518</x:f>
        <x:v>499.5777766485588</x:v>
      </x:c>
      <x:c r="H521" s="21" t="n">
        <x:f>F523</x:f>
        <x:v>567.3565677612452</x:v>
      </x:c>
      <x:c r="I521" s="27" t="n">
        <x:f>IF(AND(ISNUMBER(G521),ISNUMBER(H521),H521&gt;0),G521/H521-1,"")</x:f>
        <x:v>-0.11946418701053796</x:v>
      </x:c>
      <x:c r="J521" s="27" t="n">
        <x:f>IF(AND(ISNUMBER(G521),F521&gt;0),G521/F521-1,"")</x:f>
        <x:v>-0.07214897928240471</x:v>
      </x:c>
      <x:c r="K521" s="19" t="str">
        <x:v>Balanced/EXP001/results/seed1966030676_Fixed_rank_25.json</x:v>
      </x:c>
    </x:row>
    <x:row r="522" ht="15" hidden="0" customHeight="1">
      <x:c r="A522" s="3" t="str">
        <x:v>EXP001</x:v>
      </x:c>
      <x:c r="B522" s="3" t="str">
        <x:v>Balanced</x:v>
      </x:c>
      <x:c r="C522" s="18" t="n">
        <x:v>1966030676</x:v>
      </x:c>
      <x:c r="D522" s="3" t="str">
        <x:v>Relative cutoff 1e-6</x:v>
      </x:c>
      <x:c r="E522" s="18" t="n">
        <x:v>800</x:v>
      </x:c>
      <x:c r="F522" s="21" t="n">
        <x:v>508.39562745809656</x:v>
      </x:c>
      <x:c r="G522" s="21" t="n">
        <x:f>F518</x:f>
        <x:v>499.5777766485588</x:v>
      </x:c>
      <x:c r="H522" s="21" t="n">
        <x:f>F523</x:f>
        <x:v>567.3565677612452</x:v>
      </x:c>
      <x:c r="I522" s="27" t="n">
        <x:f>IF(AND(ISNUMBER(G522),ISNUMBER(H522),H522&gt;0),G522/H522-1,"")</x:f>
        <x:v>-0.11946418701053796</x:v>
      </x:c>
      <x:c r="J522" s="27" t="n">
        <x:f>IF(AND(ISNUMBER(G522),F522&gt;0),G522/F522-1,"")</x:f>
        <x:v>-0.01734446626464059</x:v>
      </x:c>
      <x:c r="K522" s="19" t="str">
        <x:v>Balanced/EXP001/results/seed1966030676_Relative_cutoff_1e-6.json</x:v>
      </x:c>
    </x:row>
    <x:row r="523" ht="15" hidden="0" customHeight="1">
      <x:c r="A523" s="3" t="str">
        <x:v>EXP001</x:v>
      </x:c>
      <x:c r="B523" s="3" t="str">
        <x:v>Balanced</x:v>
      </x:c>
      <x:c r="C523" s="18" t="n">
        <x:v>1966030676</x:v>
      </x:c>
      <x:c r="D523" s="3" t="str">
        <x:v>Full</x:v>
      </x:c>
      <x:c r="E523" s="18" t="n">
        <x:v>800</x:v>
      </x:c>
      <x:c r="F523" s="21" t="n">
        <x:v>567.3565677612452</x:v>
      </x:c>
      <x:c r="G523" s="21" t="n">
        <x:f>F518</x:f>
        <x:v>499.5777766485588</x:v>
      </x:c>
      <x:c r="H523" s="21" t="n">
        <x:f>F523</x:f>
        <x:v>567.3565677612452</x:v>
      </x:c>
      <x:c r="I523" s="27" t="n">
        <x:f>IF(AND(ISNUMBER(G523),ISNUMBER(H523),H523&gt;0),G523/H523-1,"")</x:f>
        <x:v>-0.11946418701053796</x:v>
      </x:c>
      <x:c r="J523" s="27" t="n">
        <x:f>IF(AND(ISNUMBER(G523),F523&gt;0),G523/F523-1,"")</x:f>
        <x:v>-0.11946418701053796</x:v>
      </x:c>
      <x:c r="K523" s="19" t="str">
        <x:v>Balanced/EXP001/results/seed1966030676_Full.json</x:v>
      </x:c>
    </x:row>
    <x:row r="524" ht="15" hidden="0" customHeight="1">
      <x:c r="A524" s="3" t="str">
        <x:v>EXP001</x:v>
      </x:c>
      <x:c r="B524" s="3" t="str">
        <x:v>Balanced</x:v>
      </x:c>
      <x:c r="C524" s="18" t="n">
        <x:v>1966030676</x:v>
      </x:c>
      <x:c r="D524" s="3" t="str">
        <x:v>Relative cutoff 1e-2</x:v>
      </x:c>
      <x:c r="E524" s="18" t="n">
        <x:v>800</x:v>
      </x:c>
      <x:c r="F524" s="21" t="n">
        <x:v>597.9500306762131</x:v>
      </x:c>
      <x:c r="G524" s="21" t="n">
        <x:f>F518</x:f>
        <x:v>499.5777766485588</x:v>
      </x:c>
      <x:c r="H524" s="21" t="n">
        <x:f>F523</x:f>
        <x:v>567.3565677612452</x:v>
      </x:c>
      <x:c r="I524" s="27" t="n">
        <x:f>IF(AND(ISNUMBER(G524),ISNUMBER(H524),H524&gt;0),G524/H524-1,"")</x:f>
        <x:v>-0.11946418701053796</x:v>
      </x:c>
      <x:c r="J524" s="27" t="n">
        <x:f>IF(AND(ISNUMBER(G524),F524&gt;0),G524/F524-1,"")</x:f>
        <x:v>-0.16451584410223463</x:v>
      </x:c>
      <x:c r="K524" s="19" t="str">
        <x:v>Balanced/EXP001/results/seed1966030676_Relative_cutoff_1e-2.json</x:v>
      </x:c>
    </x:row>
    <x:row r="525" ht="15" hidden="0" customHeight="1">
      <x:c r="A525" s="3" t="str">
        <x:v>EXP001</x:v>
      </x:c>
      <x:c r="B525" s="3" t="str">
        <x:v>Balanced</x:v>
      </x:c>
      <x:c r="C525" s="18" t="n">
        <x:v>1966030676</x:v>
      </x:c>
      <x:c r="D525" s="3" t="str">
        <x:v>Relative cutoff 1e-4</x:v>
      </x:c>
      <x:c r="E525" s="18" t="n">
        <x:v>800</x:v>
      </x:c>
      <x:c r="F525" s="21" t="n">
        <x:v>542.8522231096174</x:v>
      </x:c>
      <x:c r="G525" s="21" t="n">
        <x:f>F518</x:f>
        <x:v>499.5777766485588</x:v>
      </x:c>
      <x:c r="H525" s="21" t="n">
        <x:f>F523</x:f>
        <x:v>567.3565677612452</x:v>
      </x:c>
      <x:c r="I525" s="27" t="n">
        <x:f>IF(AND(ISNUMBER(G525),ISNUMBER(H525),H525&gt;0),G525/H525-1,"")</x:f>
        <x:v>-0.11946418701053796</x:v>
      </x:c>
      <x:c r="J525" s="27" t="n">
        <x:f>IF(AND(ISNUMBER(G525),F525&gt;0),G525/F525-1,"")</x:f>
        <x:v>-0.0797168080351035</x:v>
      </x:c>
      <x:c r="K525" s="19" t="str">
        <x:v>Balanced/EXP001/results/seed1966030676_Relative_cutoff_1e-4.json</x:v>
      </x:c>
    </x:row>
    <x:row r="526" ht="15" hidden="0" customHeight="1">
      <x:c r="A526" s="3" t="str">
        <x:v>EXP018</x:v>
      </x:c>
      <x:c r="B526" s="3" t="str">
        <x:v>Balanced</x:v>
      </x:c>
      <x:c r="C526" s="18" t="n">
        <x:v>8300</x:v>
      </x:c>
      <x:c r="D526" s="3" t="str">
        <x:v>BBP</x:v>
      </x:c>
      <x:c r="E526" s="18" t="n">
        <x:v>800</x:v>
      </x:c>
      <x:c r="F526" s="21" t="n">
        <x:v>495.2642741620613</x:v>
      </x:c>
      <x:c r="G526" s="21" t="n">
        <x:f>F526</x:f>
        <x:v>495.2642741620613</x:v>
      </x:c>
      <x:c r="H526" s="21" t="str">
        <x:f>""</x:f>
      </x:c>
      <x:c r="I526" s="27" t="str">
        <x:f>IF(AND(ISNUMBER(G526),ISNUMBER(H526),H526&gt;0),G526/H526-1,"")</x:f>
      </x:c>
      <x:c r="J526" s="27" t="n">
        <x:f>IF(AND(ISNUMBER(G526),F526&gt;0),G526/F526-1,"")</x:f>
        <x:v>0</x:v>
      </x:c>
      <x:c r="K526" s="19" t="str">
        <x:v>Balanced/EXP018/results/seed8300_BBP.json</x:v>
      </x:c>
    </x:row>
    <x:row r="527" ht="15" hidden="0" customHeight="1">
      <x:c r="A527" s="3" t="str">
        <x:v>EXP018</x:v>
      </x:c>
      <x:c r="B527" s="3" t="str">
        <x:v>Balanced</x:v>
      </x:c>
      <x:c r="C527" s="18" t="n">
        <x:v>8300</x:v>
      </x:c>
      <x:c r="D527" s="3" t="str">
        <x:v>BBP + physical compression</x:v>
      </x:c>
      <x:c r="E527" s="18" t="n">
        <x:v>800</x:v>
      </x:c>
      <x:c r="F527" s="21" t="n">
        <x:v>489.5382899309948</x:v>
      </x:c>
      <x:c r="G527" s="21" t="n">
        <x:f>F526</x:f>
        <x:v>495.2642741620613</x:v>
      </x:c>
      <x:c r="H527" s="21" t="str">
        <x:f>""</x:f>
      </x:c>
      <x:c r="I527" s="27" t="str">
        <x:f>IF(AND(ISNUMBER(G527),ISNUMBER(H527),H527&gt;0),G527/H527-1,"")</x:f>
      </x:c>
      <x:c r="J527" s="27" t="n">
        <x:f>IF(AND(ISNUMBER(G527),F527&gt;0),G527/F527-1,"")</x:f>
        <x:v>0.011696703503772277</x:v>
      </x:c>
      <x:c r="K527" s="19" t="str">
        <x:v>Balanced/EXP018/results/seed8300_BBP_physical_compression.json</x:v>
      </x:c>
    </x:row>
    <x:row r="528" ht="15" hidden="0" customHeight="1">
      <x:c r="A528" s="3" t="str">
        <x:v>EXP018</x:v>
      </x:c>
      <x:c r="B528" s="3" t="str">
        <x:v>Balanced</x:v>
      </x:c>
      <x:c r="C528" s="18" t="n">
        <x:v>8301</x:v>
      </x:c>
      <x:c r="D528" s="3" t="str">
        <x:v>BBP</x:v>
      </x:c>
      <x:c r="E528" s="18" t="n">
        <x:v>800</x:v>
      </x:c>
      <x:c r="F528" s="21" t="n">
        <x:v>536.3747219806845</x:v>
      </x:c>
      <x:c r="G528" s="21" t="n">
        <x:f>F528</x:f>
        <x:v>536.3747219806845</x:v>
      </x:c>
      <x:c r="H528" s="21" t="str">
        <x:f>""</x:f>
      </x:c>
      <x:c r="I528" s="27" t="str">
        <x:f>IF(AND(ISNUMBER(G528),ISNUMBER(H528),H528&gt;0),G528/H528-1,"")</x:f>
      </x:c>
      <x:c r="J528" s="27" t="n">
        <x:f>IF(AND(ISNUMBER(G528),F528&gt;0),G528/F528-1,"")</x:f>
        <x:v>0</x:v>
      </x:c>
      <x:c r="K528" s="19" t="str">
        <x:v>Balanced/EXP018/results/seed8301_BBP.json</x:v>
      </x:c>
    </x:row>
    <x:row r="529" ht="15" hidden="0" customHeight="1">
      <x:c r="A529" s="3" t="str">
        <x:v>EXP018</x:v>
      </x:c>
      <x:c r="B529" s="3" t="str">
        <x:v>Balanced</x:v>
      </x:c>
      <x:c r="C529" s="18" t="n">
        <x:v>8301</x:v>
      </x:c>
      <x:c r="D529" s="3" t="str">
        <x:v>BBP + physical compression</x:v>
      </x:c>
      <x:c r="E529" s="18" t="n">
        <x:v>800</x:v>
      </x:c>
      <x:c r="F529" s="21" t="n">
        <x:v>540.3513681489887</x:v>
      </x:c>
      <x:c r="G529" s="21" t="n">
        <x:f>F528</x:f>
        <x:v>536.3747219806845</x:v>
      </x:c>
      <x:c r="H529" s="21" t="str">
        <x:f>""</x:f>
      </x:c>
      <x:c r="I529" s="27" t="str">
        <x:f>IF(AND(ISNUMBER(G529),ISNUMBER(H529),H529&gt;0),G529/H529-1,"")</x:f>
      </x:c>
      <x:c r="J529" s="27" t="n">
        <x:f>IF(AND(ISNUMBER(G529),F529&gt;0),G529/F529-1,"")</x:f>
        <x:v>-0.007359370962502609</x:v>
      </x:c>
      <x:c r="K529" s="19" t="str">
        <x:v>Balanced/EXP018/results/seed8301_BBP_physical_compression.json</x:v>
      </x:c>
    </x:row>
    <x:row r="530" ht="15" hidden="0" customHeight="1">
      <x:c r="A530" s="3" t="str">
        <x:v>EXP018</x:v>
      </x:c>
      <x:c r="B530" s="3" t="str">
        <x:v>Balanced</x:v>
      </x:c>
      <x:c r="C530" s="18" t="n">
        <x:v>8302</x:v>
      </x:c>
      <x:c r="D530" s="3" t="str">
        <x:v>BBP</x:v>
      </x:c>
      <x:c r="E530" s="18" t="n">
        <x:v>800</x:v>
      </x:c>
      <x:c r="F530" s="21" t="n">
        <x:v>466.8117759416501</x:v>
      </x:c>
      <x:c r="G530" s="21" t="n">
        <x:f>F530</x:f>
        <x:v>466.8117759416501</x:v>
      </x:c>
      <x:c r="H530" s="21" t="str">
        <x:f>""</x:f>
      </x:c>
      <x:c r="I530" s="27" t="str">
        <x:f>IF(AND(ISNUMBER(G530),ISNUMBER(H530),H530&gt;0),G530/H530-1,"")</x:f>
      </x:c>
      <x:c r="J530" s="27" t="n">
        <x:f>IF(AND(ISNUMBER(G530),F530&gt;0),G530/F530-1,"")</x:f>
        <x:v>0</x:v>
      </x:c>
      <x:c r="K530" s="19" t="str">
        <x:v>Balanced/EXP018/results/seed8302_BBP.json</x:v>
      </x:c>
    </x:row>
    <x:row r="531" ht="15" hidden="0" customHeight="1">
      <x:c r="A531" s="3" t="str">
        <x:v>EXP018</x:v>
      </x:c>
      <x:c r="B531" s="3" t="str">
        <x:v>Balanced</x:v>
      </x:c>
      <x:c r="C531" s="18" t="n">
        <x:v>8302</x:v>
      </x:c>
      <x:c r="D531" s="3" t="str">
        <x:v>BBP + physical compression</x:v>
      </x:c>
      <x:c r="E531" s="18" t="n">
        <x:v>800</x:v>
      </x:c>
      <x:c r="F531" s="21" t="n">
        <x:v>480.73019986186654</x:v>
      </x:c>
      <x:c r="G531" s="21" t="n">
        <x:f>F530</x:f>
        <x:v>466.8117759416501</x:v>
      </x:c>
      <x:c r="H531" s="21" t="str">
        <x:f>""</x:f>
      </x:c>
      <x:c r="I531" s="27" t="str">
        <x:f>IF(AND(ISNUMBER(G531),ISNUMBER(H531),H531&gt;0),G531/H531-1,"")</x:f>
      </x:c>
      <x:c r="J531" s="27" t="n">
        <x:f>IF(AND(ISNUMBER(G531),F531&gt;0),G531/F531-1,"")</x:f>
        <x:v>-0.0289526722561132</x:v>
      </x:c>
      <x:c r="K531" s="19" t="str">
        <x:v>Balanced/EXP018/results/seed8302_BBP_physical_compression.json</x:v>
      </x:c>
    </x:row>
    <x:row r="532" ht="15" hidden="0" customHeight="1">
      <x:c r="A532" s="3" t="str">
        <x:v>EXP018</x:v>
      </x:c>
      <x:c r="B532" s="3" t="str">
        <x:v>Balanced</x:v>
      </x:c>
      <x:c r="C532" s="18" t="n">
        <x:v>8303</x:v>
      </x:c>
      <x:c r="D532" s="3" t="str">
        <x:v>BBP</x:v>
      </x:c>
      <x:c r="E532" s="18" t="n">
        <x:v>800</x:v>
      </x:c>
      <x:c r="F532" s="21" t="n">
        <x:v>449.65486733091365</x:v>
      </x:c>
      <x:c r="G532" s="21" t="n">
        <x:f>F532</x:f>
        <x:v>449.65486733091365</x:v>
      </x:c>
      <x:c r="H532" s="21" t="str">
        <x:f>""</x:f>
      </x:c>
      <x:c r="I532" s="27" t="str">
        <x:f>IF(AND(ISNUMBER(G532),ISNUMBER(H532),H532&gt;0),G532/H532-1,"")</x:f>
      </x:c>
      <x:c r="J532" s="27" t="n">
        <x:f>IF(AND(ISNUMBER(G532),F532&gt;0),G532/F532-1,"")</x:f>
        <x:v>0</x:v>
      </x:c>
      <x:c r="K532" s="19" t="str">
        <x:v>Balanced/EXP018/results/seed8303_BBP.json</x:v>
      </x:c>
    </x:row>
    <x:row r="533" ht="15" hidden="0" customHeight="1">
      <x:c r="A533" s="3" t="str">
        <x:v>EXP018</x:v>
      </x:c>
      <x:c r="B533" s="3" t="str">
        <x:v>Balanced</x:v>
      </x:c>
      <x:c r="C533" s="18" t="n">
        <x:v>8303</x:v>
      </x:c>
      <x:c r="D533" s="3" t="str">
        <x:v>BBP + physical compression</x:v>
      </x:c>
      <x:c r="E533" s="18" t="n">
        <x:v>800</x:v>
      </x:c>
      <x:c r="F533" s="21" t="n">
        <x:v>429.9311457121676</x:v>
      </x:c>
      <x:c r="G533" s="21" t="n">
        <x:f>F532</x:f>
        <x:v>449.65486733091365</x:v>
      </x:c>
      <x:c r="H533" s="21" t="str">
        <x:f>""</x:f>
      </x:c>
      <x:c r="I533" s="27" t="str">
        <x:f>IF(AND(ISNUMBER(G533),ISNUMBER(H533),H533&gt;0),G533/H533-1,"")</x:f>
      </x:c>
      <x:c r="J533" s="27" t="n">
        <x:f>IF(AND(ISNUMBER(G533),F533&gt;0),G533/F533-1,"")</x:f>
        <x:v>0.04587646607010587</x:v>
      </x:c>
      <x:c r="K533" s="19" t="str">
        <x:v>Balanced/EXP018/results/seed8303_BBP_physical_compression.json</x:v>
      </x:c>
    </x:row>
    <x:row r="534" ht="15" hidden="0" customHeight="1">
      <x:c r="A534" s="3" t="str">
        <x:v>EXP018</x:v>
      </x:c>
      <x:c r="B534" s="3" t="str">
        <x:v>Balanced</x:v>
      </x:c>
      <x:c r="C534" s="18" t="n">
        <x:v>8304</x:v>
      </x:c>
      <x:c r="D534" s="3" t="str">
        <x:v>BBP</x:v>
      </x:c>
      <x:c r="E534" s="18" t="n">
        <x:v>800</x:v>
      </x:c>
      <x:c r="F534" s="21" t="n">
        <x:v>419.98693771661345</x:v>
      </x:c>
      <x:c r="G534" s="21" t="n">
        <x:f>F534</x:f>
        <x:v>419.98693771661345</x:v>
      </x:c>
      <x:c r="H534" s="21" t="str">
        <x:f>""</x:f>
      </x:c>
      <x:c r="I534" s="27" t="str">
        <x:f>IF(AND(ISNUMBER(G534),ISNUMBER(H534),H534&gt;0),G534/H534-1,"")</x:f>
      </x:c>
      <x:c r="J534" s="27" t="n">
        <x:f>IF(AND(ISNUMBER(G534),F534&gt;0),G534/F534-1,"")</x:f>
        <x:v>0</x:v>
      </x:c>
      <x:c r="K534" s="19" t="str">
        <x:v>Balanced/EXP018/results/seed8304_BBP.json</x:v>
      </x:c>
    </x:row>
    <x:row r="535" ht="15" hidden="0" customHeight="1">
      <x:c r="A535" s="3" t="str">
        <x:v>EXP018</x:v>
      </x:c>
      <x:c r="B535" s="3" t="str">
        <x:v>Balanced</x:v>
      </x:c>
      <x:c r="C535" s="18" t="n">
        <x:v>8304</x:v>
      </x:c>
      <x:c r="D535" s="3" t="str">
        <x:v>BBP + physical compression</x:v>
      </x:c>
      <x:c r="E535" s="18" t="n">
        <x:v>800</x:v>
      </x:c>
      <x:c r="F535" s="21" t="n">
        <x:v>416.6019229784461</x:v>
      </x:c>
      <x:c r="G535" s="21" t="n">
        <x:f>F534</x:f>
        <x:v>419.98693771661345</x:v>
      </x:c>
      <x:c r="H535" s="21" t="str">
        <x:f>""</x:f>
      </x:c>
      <x:c r="I535" s="27" t="str">
        <x:f>IF(AND(ISNUMBER(G535),ISNUMBER(H535),H535&gt;0),G535/H535-1,"")</x:f>
      </x:c>
      <x:c r="J535" s="27" t="n">
        <x:f>IF(AND(ISNUMBER(G535),F535&gt;0),G535/F535-1,"")</x:f>
        <x:v>0.00812529791981409</x:v>
      </x:c>
      <x:c r="K535" s="19" t="str">
        <x:v>Balanced/EXP018/results/seed8304_BBP_physical_compression.json</x:v>
      </x:c>
    </x:row>
    <x:row r="536" ht="15" hidden="0" customHeight="1">
      <x:c r="A536" s="3" t="str">
        <x:v>EXP020</x:v>
      </x:c>
      <x:c r="B536" s="3" t="str">
        <x:v>Exp. 1</x:v>
      </x:c>
      <x:c r="C536" s="18" t="n">
        <x:v>20284363</x:v>
      </x:c>
      <x:c r="D536" s="3" t="str">
        <x:v>BBP</x:v>
      </x:c>
      <x:c r="E536" s="18" t="n">
        <x:v>200</x:v>
      </x:c>
      <x:c r="F536" s="21" t="n">
        <x:v>300.8196252401276</x:v>
      </x:c>
      <x:c r="G536" s="21" t="n">
        <x:f>F536</x:f>
        <x:v>300.8196252401276</x:v>
      </x:c>
      <x:c r="H536" s="21" t="n">
        <x:f>F541</x:f>
        <x:v>299.7946679470471</x:v>
      </x:c>
      <x:c r="I536" s="27" t="n">
        <x:f>IF(AND(ISNUMBER(G536),ISNUMBER(H536),H536&gt;0),G536/H536-1,"")</x:f>
        <x:v>0.0034188643183659106</x:v>
      </x:c>
      <x:c r="J536" s="27" t="n">
        <x:f>IF(AND(ISNUMBER(G536),F536&gt;0),G536/F536-1,"")</x:f>
        <x:v>0</x:v>
      </x:c>
      <x:c r="K536" s="19" t="str">
        <x:v>Exp_1/EXP020/results/seed20284363_BBP.json</x:v>
      </x:c>
    </x:row>
    <x:row r="537" ht="15" hidden="0" customHeight="1">
      <x:c r="A537" s="3" t="str">
        <x:v>EXP020</x:v>
      </x:c>
      <x:c r="B537" s="3" t="str">
        <x:v>Exp. 1</x:v>
      </x:c>
      <x:c r="C537" s="18" t="n">
        <x:v>20284363</x:v>
      </x:c>
      <x:c r="D537" s="3" t="str">
        <x:v>Relative cutoff 1e-5</x:v>
      </x:c>
      <x:c r="E537" s="18" t="n">
        <x:v>200</x:v>
      </x:c>
      <x:c r="F537" s="21" t="n">
        <x:v>300.8196252401276</x:v>
      </x:c>
      <x:c r="G537" s="21" t="n">
        <x:f>F536</x:f>
        <x:v>300.8196252401276</x:v>
      </x:c>
      <x:c r="H537" s="21" t="n">
        <x:f>F541</x:f>
        <x:v>299.7946679470471</x:v>
      </x:c>
      <x:c r="I537" s="27" t="n">
        <x:f>IF(AND(ISNUMBER(G537),ISNUMBER(H537),H537&gt;0),G537/H537-1,"")</x:f>
        <x:v>0.0034188643183659106</x:v>
      </x:c>
      <x:c r="J537" s="27" t="n">
        <x:f>IF(AND(ISNUMBER(G537),F537&gt;0),G537/F537-1,"")</x:f>
        <x:v>0</x:v>
      </x:c>
      <x:c r="K537" s="19" t="str">
        <x:v>Exp_1/EXP020/results/seed20284363_Relative_cutoff_1e-5.json</x:v>
      </x:c>
    </x:row>
    <x:row r="538" ht="15" hidden="0" customHeight="1">
      <x:c r="A538" s="3" t="str">
        <x:v>EXP020</x:v>
      </x:c>
      <x:c r="B538" s="3" t="str">
        <x:v>Exp. 1</x:v>
      </x:c>
      <x:c r="C538" s="18" t="n">
        <x:v>20284363</x:v>
      </x:c>
      <x:c r="D538" s="3" t="str">
        <x:v>Fixed rank 10</x:v>
      </x:c>
      <x:c r="E538" s="18" t="n">
        <x:v>200</x:v>
      </x:c>
      <x:c r="F538" s="21" t="n">
        <x:v>299.7946679470471</x:v>
      </x:c>
      <x:c r="G538" s="21" t="n">
        <x:f>F536</x:f>
        <x:v>300.8196252401276</x:v>
      </x:c>
      <x:c r="H538" s="21" t="n">
        <x:f>F541</x:f>
        <x:v>299.7946679470471</x:v>
      </x:c>
      <x:c r="I538" s="27" t="n">
        <x:f>IF(AND(ISNUMBER(G538),ISNUMBER(H538),H538&gt;0),G538/H538-1,"")</x:f>
        <x:v>0.0034188643183659106</x:v>
      </x:c>
      <x:c r="J538" s="27" t="n">
        <x:f>IF(AND(ISNUMBER(G538),F538&gt;0),G538/F538-1,"")</x:f>
        <x:v>0.0034188643183659106</x:v>
      </x:c>
      <x:c r="K538" s="19" t="str">
        <x:v>Exp_1/EXP020/results/seed20284363_Fixed_rank_10.json</x:v>
      </x:c>
    </x:row>
    <x:row r="539" ht="15" hidden="0" customHeight="1">
      <x:c r="A539" s="3" t="str">
        <x:v>EXP020</x:v>
      </x:c>
      <x:c r="B539" s="3" t="str">
        <x:v>Exp. 1</x:v>
      </x:c>
      <x:c r="C539" s="18" t="n">
        <x:v>20284363</x:v>
      </x:c>
      <x:c r="D539" s="3" t="str">
        <x:v>Fixed rank 25</x:v>
      </x:c>
      <x:c r="E539" s="18" t="n">
        <x:v>200</x:v>
      </x:c>
      <x:c r="F539" s="21" t="n">
        <x:v>300.8196252401276</x:v>
      </x:c>
      <x:c r="G539" s="21" t="n">
        <x:f>F536</x:f>
        <x:v>300.8196252401276</x:v>
      </x:c>
      <x:c r="H539" s="21" t="n">
        <x:f>F541</x:f>
        <x:v>299.7946679470471</x:v>
      </x:c>
      <x:c r="I539" s="27" t="n">
        <x:f>IF(AND(ISNUMBER(G539),ISNUMBER(H539),H539&gt;0),G539/H539-1,"")</x:f>
        <x:v>0.0034188643183659106</x:v>
      </x:c>
      <x:c r="J539" s="27" t="n">
        <x:f>IF(AND(ISNUMBER(G539),F539&gt;0),G539/F539-1,"")</x:f>
        <x:v>0</x:v>
      </x:c>
      <x:c r="K539" s="19" t="str">
        <x:v>Exp_1/EXP020/results/seed20284363_Fixed_rank_25.json</x:v>
      </x:c>
    </x:row>
    <x:row r="540" ht="15" hidden="0" customHeight="1">
      <x:c r="A540" s="3" t="str">
        <x:v>EXP020</x:v>
      </x:c>
      <x:c r="B540" s="3" t="str">
        <x:v>Exp. 1</x:v>
      </x:c>
      <x:c r="C540" s="18" t="n">
        <x:v>20284363</x:v>
      </x:c>
      <x:c r="D540" s="3" t="str">
        <x:v>Relative cutoff 1e-6</x:v>
      </x:c>
      <x:c r="E540" s="18" t="n">
        <x:v>200</x:v>
      </x:c>
      <x:c r="F540" s="21" t="n">
        <x:v>300.8196252401276</x:v>
      </x:c>
      <x:c r="G540" s="21" t="n">
        <x:f>F536</x:f>
        <x:v>300.8196252401276</x:v>
      </x:c>
      <x:c r="H540" s="21" t="n">
        <x:f>F541</x:f>
        <x:v>299.7946679470471</x:v>
      </x:c>
      <x:c r="I540" s="27" t="n">
        <x:f>IF(AND(ISNUMBER(G540),ISNUMBER(H540),H540&gt;0),G540/H540-1,"")</x:f>
        <x:v>0.0034188643183659106</x:v>
      </x:c>
      <x:c r="J540" s="27" t="n">
        <x:f>IF(AND(ISNUMBER(G540),F540&gt;0),G540/F540-1,"")</x:f>
        <x:v>0</x:v>
      </x:c>
      <x:c r="K540" s="19" t="str">
        <x:v>Exp_1/EXP020/results/seed20284363_Relative_cutoff_1e-6.json</x:v>
      </x:c>
    </x:row>
    <x:row r="541" ht="15" hidden="0" customHeight="1">
      <x:c r="A541" s="3" t="str">
        <x:v>EXP020</x:v>
      </x:c>
      <x:c r="B541" s="3" t="str">
        <x:v>Exp. 1</x:v>
      </x:c>
      <x:c r="C541" s="18" t="n">
        <x:v>20284363</x:v>
      </x:c>
      <x:c r="D541" s="3" t="str">
        <x:v>Full</x:v>
      </x:c>
      <x:c r="E541" s="18" t="n">
        <x:v>200</x:v>
      </x:c>
      <x:c r="F541" s="21" t="n">
        <x:v>299.7946679470471</x:v>
      </x:c>
      <x:c r="G541" s="21" t="n">
        <x:f>F536</x:f>
        <x:v>300.8196252401276</x:v>
      </x:c>
      <x:c r="H541" s="21" t="n">
        <x:f>F541</x:f>
        <x:v>299.7946679470471</x:v>
      </x:c>
      <x:c r="I541" s="27" t="n">
        <x:f>IF(AND(ISNUMBER(G541),ISNUMBER(H541),H541&gt;0),G541/H541-1,"")</x:f>
        <x:v>0.0034188643183659106</x:v>
      </x:c>
      <x:c r="J541" s="27" t="n">
        <x:f>IF(AND(ISNUMBER(G541),F541&gt;0),G541/F541-1,"")</x:f>
        <x:v>0.0034188643183659106</x:v>
      </x:c>
      <x:c r="K541" s="19" t="str">
        <x:v>Exp_1/EXP020/results/seed20284363_Full.json</x:v>
      </x:c>
    </x:row>
    <x:row r="542" ht="15" hidden="0" customHeight="1">
      <x:c r="A542" s="3" t="str">
        <x:v>EXP020</x:v>
      </x:c>
      <x:c r="B542" s="3" t="str">
        <x:v>Exp. 1</x:v>
      </x:c>
      <x:c r="C542" s="18" t="n">
        <x:v>20284363</x:v>
      </x:c>
      <x:c r="D542" s="3" t="str">
        <x:v>Relative cutoff 1e-2</x:v>
      </x:c>
      <x:c r="E542" s="18" t="n">
        <x:v>200</x:v>
      </x:c>
      <x:c r="F542" s="21" t="n">
        <x:v>309.3428274640086</x:v>
      </x:c>
      <x:c r="G542" s="21" t="n">
        <x:f>F536</x:f>
        <x:v>300.8196252401276</x:v>
      </x:c>
      <x:c r="H542" s="21" t="n">
        <x:f>F541</x:f>
        <x:v>299.7946679470471</x:v>
      </x:c>
      <x:c r="I542" s="27" t="n">
        <x:f>IF(AND(ISNUMBER(G542),ISNUMBER(H542),H542&gt;0),G542/H542-1,"")</x:f>
        <x:v>0.0034188643183659106</x:v>
      </x:c>
      <x:c r="J542" s="27" t="n">
        <x:f>IF(AND(ISNUMBER(G542),F542&gt;0),G542/F542-1,"")</x:f>
        <x:v>-0.027552609814018303</x:v>
      </x:c>
      <x:c r="K542" s="19" t="str">
        <x:v>Exp_1/EXP020/results/seed20284363_Relative_cutoff_1e-2.json</x:v>
      </x:c>
    </x:row>
    <x:row r="543" ht="15" hidden="0" customHeight="1">
      <x:c r="A543" s="3" t="str">
        <x:v>EXP020</x:v>
      </x:c>
      <x:c r="B543" s="3" t="str">
        <x:v>Exp. 1</x:v>
      </x:c>
      <x:c r="C543" s="18" t="n">
        <x:v>20284363</x:v>
      </x:c>
      <x:c r="D543" s="3" t="str">
        <x:v>Relative cutoff 1e-4</x:v>
      </x:c>
      <x:c r="E543" s="18" t="n">
        <x:v>200</x:v>
      </x:c>
      <x:c r="F543" s="21" t="n">
        <x:v>300.6449099652558</x:v>
      </x:c>
      <x:c r="G543" s="21" t="n">
        <x:f>F536</x:f>
        <x:v>300.8196252401276</x:v>
      </x:c>
      <x:c r="H543" s="21" t="n">
        <x:f>F541</x:f>
        <x:v>299.7946679470471</x:v>
      </x:c>
      <x:c r="I543" s="27" t="n">
        <x:f>IF(AND(ISNUMBER(G543),ISNUMBER(H543),H543&gt;0),G543/H543-1,"")</x:f>
        <x:v>0.0034188643183659106</x:v>
      </x:c>
      <x:c r="J543" s="27" t="n">
        <x:f>IF(AND(ISNUMBER(G543),F543&gt;0),G543/F543-1,"")</x:f>
        <x:v>0.0005811349837654411</x:v>
      </x:c>
      <x:c r="K543" s="19" t="str">
        <x:v>Exp_1/EXP020/results/seed20284363_Relative_cutoff_1e-4.json</x:v>
      </x:c>
    </x:row>
    <x:row r="544" ht="15" hidden="0" customHeight="1">
      <x:c r="A544" s="3" t="str">
        <x:v>EXP020</x:v>
      </x:c>
      <x:c r="B544" s="3" t="str">
        <x:v>Exp. 1</x:v>
      </x:c>
      <x:c r="C544" s="18" t="n">
        <x:v>151801615</x:v>
      </x:c>
      <x:c r="D544" s="3" t="str">
        <x:v>BBP</x:v>
      </x:c>
      <x:c r="E544" s="18" t="n">
        <x:v>200</x:v>
      </x:c>
      <x:c r="F544" s="21" t="n">
        <x:v>309.8859944001538</x:v>
      </x:c>
      <x:c r="G544" s="21" t="n">
        <x:f>F544</x:f>
        <x:v>309.8859944001538</x:v>
      </x:c>
      <x:c r="H544" s="21" t="n">
        <x:f>F549</x:f>
        <x:v>309.8859944001538</x:v>
      </x:c>
      <x:c r="I544" s="27" t="n">
        <x:f>IF(AND(ISNUMBER(G544),ISNUMBER(H544),H544&gt;0),G544/H544-1,"")</x:f>
        <x:v>0</x:v>
      </x:c>
      <x:c r="J544" s="27" t="n">
        <x:f>IF(AND(ISNUMBER(G544),F544&gt;0),G544/F544-1,"")</x:f>
        <x:v>0</x:v>
      </x:c>
      <x:c r="K544" s="19" t="str">
        <x:v>Exp_1/EXP020/results/seed151801615_BBP.json</x:v>
      </x:c>
    </x:row>
    <x:row r="545" ht="15" hidden="0" customHeight="1">
      <x:c r="A545" s="3" t="str">
        <x:v>EXP020</x:v>
      </x:c>
      <x:c r="B545" s="3" t="str">
        <x:v>Exp. 1</x:v>
      </x:c>
      <x:c r="C545" s="18" t="n">
        <x:v>151801615</x:v>
      </x:c>
      <x:c r="D545" s="3" t="str">
        <x:v>Relative cutoff 1e-5</x:v>
      </x:c>
      <x:c r="E545" s="18" t="n">
        <x:v>200</x:v>
      </x:c>
      <x:c r="F545" s="21" t="n">
        <x:v>309.8859944001538</x:v>
      </x:c>
      <x:c r="G545" s="21" t="n">
        <x:f>F544</x:f>
        <x:v>309.8859944001538</x:v>
      </x:c>
      <x:c r="H545" s="21" t="n">
        <x:f>F549</x:f>
        <x:v>309.8859944001538</x:v>
      </x:c>
      <x:c r="I545" s="27" t="n">
        <x:f>IF(AND(ISNUMBER(G545),ISNUMBER(H545),H545&gt;0),G545/H545-1,"")</x:f>
        <x:v>0</x:v>
      </x:c>
      <x:c r="J545" s="27" t="n">
        <x:f>IF(AND(ISNUMBER(G545),F545&gt;0),G545/F545-1,"")</x:f>
        <x:v>0</x:v>
      </x:c>
      <x:c r="K545" s="19" t="str">
        <x:v>Exp_1/EXP020/results/seed151801615_Relative_cutoff_1e-5.json</x:v>
      </x:c>
    </x:row>
    <x:row r="546" ht="15" hidden="0" customHeight="1">
      <x:c r="A546" s="3" t="str">
        <x:v>EXP020</x:v>
      </x:c>
      <x:c r="B546" s="3" t="str">
        <x:v>Exp. 1</x:v>
      </x:c>
      <x:c r="C546" s="18" t="n">
        <x:v>151801615</x:v>
      </x:c>
      <x:c r="D546" s="3" t="str">
        <x:v>Fixed rank 10</x:v>
      </x:c>
      <x:c r="E546" s="18" t="n">
        <x:v>200</x:v>
      </x:c>
      <x:c r="F546" s="21" t="n">
        <x:v>303.8723014428246</x:v>
      </x:c>
      <x:c r="G546" s="21" t="n">
        <x:f>F544</x:f>
        <x:v>309.8859944001538</x:v>
      </x:c>
      <x:c r="H546" s="21" t="n">
        <x:f>F549</x:f>
        <x:v>309.8859944001538</x:v>
      </x:c>
      <x:c r="I546" s="27" t="n">
        <x:f>IF(AND(ISNUMBER(G546),ISNUMBER(H546),H546&gt;0),G546/H546-1,"")</x:f>
        <x:v>0</x:v>
      </x:c>
      <x:c r="J546" s="27" t="n">
        <x:f>IF(AND(ISNUMBER(G546),F546&gt;0),G546/F546-1,"")</x:f>
        <x:v>0.019790197819200328</x:v>
      </x:c>
      <x:c r="K546" s="19" t="str">
        <x:v>Exp_1/EXP020/results/seed151801615_Fixed_rank_10.json</x:v>
      </x:c>
    </x:row>
    <x:row r="547" ht="15" hidden="0" customHeight="1">
      <x:c r="A547" s="3" t="str">
        <x:v>EXP020</x:v>
      </x:c>
      <x:c r="B547" s="3" t="str">
        <x:v>Exp. 1</x:v>
      </x:c>
      <x:c r="C547" s="18" t="n">
        <x:v>151801615</x:v>
      </x:c>
      <x:c r="D547" s="3" t="str">
        <x:v>Fixed rank 25</x:v>
      </x:c>
      <x:c r="E547" s="18" t="n">
        <x:v>200</x:v>
      </x:c>
      <x:c r="F547" s="21" t="n">
        <x:v>309.8859944001538</x:v>
      </x:c>
      <x:c r="G547" s="21" t="n">
        <x:f>F544</x:f>
        <x:v>309.8859944001538</x:v>
      </x:c>
      <x:c r="H547" s="21" t="n">
        <x:f>F549</x:f>
        <x:v>309.8859944001538</x:v>
      </x:c>
      <x:c r="I547" s="27" t="n">
        <x:f>IF(AND(ISNUMBER(G547),ISNUMBER(H547),H547&gt;0),G547/H547-1,"")</x:f>
        <x:v>0</x:v>
      </x:c>
      <x:c r="J547" s="27" t="n">
        <x:f>IF(AND(ISNUMBER(G547),F547&gt;0),G547/F547-1,"")</x:f>
        <x:v>0</x:v>
      </x:c>
      <x:c r="K547" s="19" t="str">
        <x:v>Exp_1/EXP020/results/seed151801615_Fixed_rank_25.json</x:v>
      </x:c>
    </x:row>
    <x:row r="548" ht="15" hidden="0" customHeight="1">
      <x:c r="A548" s="3" t="str">
        <x:v>EXP020</x:v>
      </x:c>
      <x:c r="B548" s="3" t="str">
        <x:v>Exp. 1</x:v>
      </x:c>
      <x:c r="C548" s="18" t="n">
        <x:v>151801615</x:v>
      </x:c>
      <x:c r="D548" s="3" t="str">
        <x:v>Relative cutoff 1e-6</x:v>
      </x:c>
      <x:c r="E548" s="18" t="n">
        <x:v>200</x:v>
      </x:c>
      <x:c r="F548" s="21" t="n">
        <x:v>309.8859944001538</x:v>
      </x:c>
      <x:c r="G548" s="21" t="n">
        <x:f>F544</x:f>
        <x:v>309.8859944001538</x:v>
      </x:c>
      <x:c r="H548" s="21" t="n">
        <x:f>F549</x:f>
        <x:v>309.8859944001538</x:v>
      </x:c>
      <x:c r="I548" s="27" t="n">
        <x:f>IF(AND(ISNUMBER(G548),ISNUMBER(H548),H548&gt;0),G548/H548-1,"")</x:f>
        <x:v>0</x:v>
      </x:c>
      <x:c r="J548" s="27" t="n">
        <x:f>IF(AND(ISNUMBER(G548),F548&gt;0),G548/F548-1,"")</x:f>
        <x:v>0</x:v>
      </x:c>
      <x:c r="K548" s="19" t="str">
        <x:v>Exp_1/EXP020/results/seed151801615_Relative_cutoff_1e-6.json</x:v>
      </x:c>
    </x:row>
    <x:row r="549" ht="15" hidden="0" customHeight="1">
      <x:c r="A549" s="3" t="str">
        <x:v>EXP020</x:v>
      </x:c>
      <x:c r="B549" s="3" t="str">
        <x:v>Exp. 1</x:v>
      </x:c>
      <x:c r="C549" s="18" t="n">
        <x:v>151801615</x:v>
      </x:c>
      <x:c r="D549" s="3" t="str">
        <x:v>Full</x:v>
      </x:c>
      <x:c r="E549" s="18" t="n">
        <x:v>200</x:v>
      </x:c>
      <x:c r="F549" s="21" t="n">
        <x:v>309.8859944001538</x:v>
      </x:c>
      <x:c r="G549" s="21" t="n">
        <x:f>F544</x:f>
        <x:v>309.8859944001538</x:v>
      </x:c>
      <x:c r="H549" s="21" t="n">
        <x:f>F549</x:f>
        <x:v>309.8859944001538</x:v>
      </x:c>
      <x:c r="I549" s="27" t="n">
        <x:f>IF(AND(ISNUMBER(G549),ISNUMBER(H549),H549&gt;0),G549/H549-1,"")</x:f>
        <x:v>0</x:v>
      </x:c>
      <x:c r="J549" s="27" t="n">
        <x:f>IF(AND(ISNUMBER(G549),F549&gt;0),G549/F549-1,"")</x:f>
        <x:v>0</x:v>
      </x:c>
      <x:c r="K549" s="19" t="str">
        <x:v>Exp_1/EXP020/results/seed151801615_Full.json</x:v>
      </x:c>
    </x:row>
    <x:row r="550" ht="15" hidden="0" customHeight="1">
      <x:c r="A550" s="3" t="str">
        <x:v>EXP020</x:v>
      </x:c>
      <x:c r="B550" s="3" t="str">
        <x:v>Exp. 1</x:v>
      </x:c>
      <x:c r="C550" s="18" t="n">
        <x:v>151801615</x:v>
      </x:c>
      <x:c r="D550" s="3" t="str">
        <x:v>Relative cutoff 1e-2</x:v>
      </x:c>
      <x:c r="E550" s="18" t="n">
        <x:v>200</x:v>
      </x:c>
      <x:c r="F550" s="21" t="n">
        <x:v>307.4191966836635</x:v>
      </x:c>
      <x:c r="G550" s="21" t="n">
        <x:f>F544</x:f>
        <x:v>309.8859944001538</x:v>
      </x:c>
      <x:c r="H550" s="21" t="n">
        <x:f>F549</x:f>
        <x:v>309.8859944001538</x:v>
      </x:c>
      <x:c r="I550" s="27" t="n">
        <x:f>IF(AND(ISNUMBER(G550),ISNUMBER(H550),H550&gt;0),G550/H550-1,"")</x:f>
        <x:v>0</x:v>
      </x:c>
      <x:c r="J550" s="27" t="n">
        <x:f>IF(AND(ISNUMBER(G550),F550&gt;0),G550/F550-1,"")</x:f>
        <x:v>0.008024214958276099</x:v>
      </x:c>
      <x:c r="K550" s="19" t="str">
        <x:v>Exp_1/EXP020/results/seed151801615_Relative_cutoff_1e-2.json</x:v>
      </x:c>
    </x:row>
    <x:row r="551" ht="15" hidden="0" customHeight="1">
      <x:c r="A551" s="3" t="str">
        <x:v>EXP020</x:v>
      </x:c>
      <x:c r="B551" s="3" t="str">
        <x:v>Exp. 1</x:v>
      </x:c>
      <x:c r="C551" s="18" t="n">
        <x:v>151801615</x:v>
      </x:c>
      <x:c r="D551" s="3" t="str">
        <x:v>Relative cutoff 1e-4</x:v>
      </x:c>
      <x:c r="E551" s="18" t="n">
        <x:v>200</x:v>
      </x:c>
      <x:c r="F551" s="21" t="n">
        <x:v>303.8723014428246</x:v>
      </x:c>
      <x:c r="G551" s="21" t="n">
        <x:f>F544</x:f>
        <x:v>309.8859944001538</x:v>
      </x:c>
      <x:c r="H551" s="21" t="n">
        <x:f>F549</x:f>
        <x:v>309.8859944001538</x:v>
      </x:c>
      <x:c r="I551" s="27" t="n">
        <x:f>IF(AND(ISNUMBER(G551),ISNUMBER(H551),H551&gt;0),G551/H551-1,"")</x:f>
        <x:v>0</x:v>
      </x:c>
      <x:c r="J551" s="27" t="n">
        <x:f>IF(AND(ISNUMBER(G551),F551&gt;0),G551/F551-1,"")</x:f>
        <x:v>0.019790197819200328</x:v>
      </x:c>
      <x:c r="K551" s="19" t="str">
        <x:v>Exp_1/EXP020/results/seed151801615_Relative_cutoff_1e-4.json</x:v>
      </x:c>
    </x:row>
    <x:row r="552" ht="15" hidden="0" customHeight="1">
      <x:c r="A552" s="3" t="str">
        <x:v>EXP020</x:v>
      </x:c>
      <x:c r="B552" s="3" t="str">
        <x:v>Exp. 1</x:v>
      </x:c>
      <x:c r="C552" s="18" t="n">
        <x:v>159359747</x:v>
      </x:c>
      <x:c r="D552" s="3" t="str">
        <x:v>BBP</x:v>
      </x:c>
      <x:c r="E552" s="18" t="n">
        <x:v>200</x:v>
      </x:c>
      <x:c r="F552" s="21" t="n">
        <x:v>365.09588004168813</x:v>
      </x:c>
      <x:c r="G552" s="21" t="n">
        <x:f>F552</x:f>
        <x:v>365.09588004168813</x:v>
      </x:c>
      <x:c r="H552" s="21" t="n">
        <x:f>F557</x:f>
        <x:v>365.09588004168813</x:v>
      </x:c>
      <x:c r="I552" s="27" t="n">
        <x:f>IF(AND(ISNUMBER(G552),ISNUMBER(H552),H552&gt;0),G552/H552-1,"")</x:f>
        <x:v>0</x:v>
      </x:c>
      <x:c r="J552" s="27" t="n">
        <x:f>IF(AND(ISNUMBER(G552),F552&gt;0),G552/F552-1,"")</x:f>
        <x:v>0</x:v>
      </x:c>
      <x:c r="K552" s="19" t="str">
        <x:v>Exp_1/EXP020/results/seed159359747_BBP.json</x:v>
      </x:c>
    </x:row>
    <x:row r="553" ht="15" hidden="0" customHeight="1">
      <x:c r="A553" s="3" t="str">
        <x:v>EXP020</x:v>
      </x:c>
      <x:c r="B553" s="3" t="str">
        <x:v>Exp. 1</x:v>
      </x:c>
      <x:c r="C553" s="18" t="n">
        <x:v>159359747</x:v>
      </x:c>
      <x:c r="D553" s="3" t="str">
        <x:v>Relative cutoff 1e-5</x:v>
      </x:c>
      <x:c r="E553" s="18" t="n">
        <x:v>200</x:v>
      </x:c>
      <x:c r="F553" s="21" t="n">
        <x:v>365.09588004168813</x:v>
      </x:c>
      <x:c r="G553" s="21" t="n">
        <x:f>F552</x:f>
        <x:v>365.09588004168813</x:v>
      </x:c>
      <x:c r="H553" s="21" t="n">
        <x:f>F557</x:f>
        <x:v>365.09588004168813</x:v>
      </x:c>
      <x:c r="I553" s="27" t="n">
        <x:f>IF(AND(ISNUMBER(G553),ISNUMBER(H553),H553&gt;0),G553/H553-1,"")</x:f>
        <x:v>0</x:v>
      </x:c>
      <x:c r="J553" s="27" t="n">
        <x:f>IF(AND(ISNUMBER(G553),F553&gt;0),G553/F553-1,"")</x:f>
        <x:v>0</x:v>
      </x:c>
      <x:c r="K553" s="19" t="str">
        <x:v>Exp_1/EXP020/results/seed159359747_Relative_cutoff_1e-5.json</x:v>
      </x:c>
    </x:row>
    <x:row r="554" ht="15" hidden="0" customHeight="1">
      <x:c r="A554" s="3" t="str">
        <x:v>EXP020</x:v>
      </x:c>
      <x:c r="B554" s="3" t="str">
        <x:v>Exp. 1</x:v>
      </x:c>
      <x:c r="C554" s="18" t="n">
        <x:v>159359747</x:v>
      </x:c>
      <x:c r="D554" s="3" t="str">
        <x:v>Fixed rank 10</x:v>
      </x:c>
      <x:c r="E554" s="18" t="n">
        <x:v>200</x:v>
      </x:c>
      <x:c r="F554" s="21" t="n">
        <x:v>370.39057939184346</x:v>
      </x:c>
      <x:c r="G554" s="21" t="n">
        <x:f>F552</x:f>
        <x:v>365.09588004168813</x:v>
      </x:c>
      <x:c r="H554" s="21" t="n">
        <x:f>F557</x:f>
        <x:v>365.09588004168813</x:v>
      </x:c>
      <x:c r="I554" s="27" t="n">
        <x:f>IF(AND(ISNUMBER(G554),ISNUMBER(H554),H554&gt;0),G554/H554-1,"")</x:f>
        <x:v>0</x:v>
      </x:c>
      <x:c r="J554" s="27" t="n">
        <x:f>IF(AND(ISNUMBER(G554),F554&gt;0),G554/F554-1,"")</x:f>
        <x:v>-0.014294908252928229</x:v>
      </x:c>
      <x:c r="K554" s="19" t="str">
        <x:v>Exp_1/EXP020/results/seed159359747_Fixed_rank_10.json</x:v>
      </x:c>
    </x:row>
    <x:row r="555" ht="15" hidden="0" customHeight="1">
      <x:c r="A555" s="3" t="str">
        <x:v>EXP020</x:v>
      </x:c>
      <x:c r="B555" s="3" t="str">
        <x:v>Exp. 1</x:v>
      </x:c>
      <x:c r="C555" s="18" t="n">
        <x:v>159359747</x:v>
      </x:c>
      <x:c r="D555" s="3" t="str">
        <x:v>Fixed rank 25</x:v>
      </x:c>
      <x:c r="E555" s="18" t="n">
        <x:v>200</x:v>
      </x:c>
      <x:c r="F555" s="21" t="n">
        <x:v>365.09588004168813</x:v>
      </x:c>
      <x:c r="G555" s="21" t="n">
        <x:f>F552</x:f>
        <x:v>365.09588004168813</x:v>
      </x:c>
      <x:c r="H555" s="21" t="n">
        <x:f>F557</x:f>
        <x:v>365.09588004168813</x:v>
      </x:c>
      <x:c r="I555" s="27" t="n">
        <x:f>IF(AND(ISNUMBER(G555),ISNUMBER(H555),H555&gt;0),G555/H555-1,"")</x:f>
        <x:v>0</x:v>
      </x:c>
      <x:c r="J555" s="27" t="n">
        <x:f>IF(AND(ISNUMBER(G555),F555&gt;0),G555/F555-1,"")</x:f>
        <x:v>0</x:v>
      </x:c>
      <x:c r="K555" s="19" t="str">
        <x:v>Exp_1/EXP020/results/seed159359747_Fixed_rank_25.json</x:v>
      </x:c>
    </x:row>
    <x:row r="556" ht="15" hidden="0" customHeight="1">
      <x:c r="A556" s="3" t="str">
        <x:v>EXP020</x:v>
      </x:c>
      <x:c r="B556" s="3" t="str">
        <x:v>Exp. 1</x:v>
      </x:c>
      <x:c r="C556" s="18" t="n">
        <x:v>159359747</x:v>
      </x:c>
      <x:c r="D556" s="3" t="str">
        <x:v>Relative cutoff 1e-6</x:v>
      </x:c>
      <x:c r="E556" s="18" t="n">
        <x:v>200</x:v>
      </x:c>
      <x:c r="F556" s="21" t="n">
        <x:v>365.09588004168813</x:v>
      </x:c>
      <x:c r="G556" s="21" t="n">
        <x:f>F552</x:f>
        <x:v>365.09588004168813</x:v>
      </x:c>
      <x:c r="H556" s="21" t="n">
        <x:f>F557</x:f>
        <x:v>365.09588004168813</x:v>
      </x:c>
      <x:c r="I556" s="27" t="n">
        <x:f>IF(AND(ISNUMBER(G556),ISNUMBER(H556),H556&gt;0),G556/H556-1,"")</x:f>
        <x:v>0</x:v>
      </x:c>
      <x:c r="J556" s="27" t="n">
        <x:f>IF(AND(ISNUMBER(G556),F556&gt;0),G556/F556-1,"")</x:f>
        <x:v>0</x:v>
      </x:c>
      <x:c r="K556" s="19" t="str">
        <x:v>Exp_1/EXP020/results/seed159359747_Relative_cutoff_1e-6.json</x:v>
      </x:c>
    </x:row>
    <x:row r="557" ht="15" hidden="0" customHeight="1">
      <x:c r="A557" s="3" t="str">
        <x:v>EXP020</x:v>
      </x:c>
      <x:c r="B557" s="3" t="str">
        <x:v>Exp. 1</x:v>
      </x:c>
      <x:c r="C557" s="18" t="n">
        <x:v>159359747</x:v>
      </x:c>
      <x:c r="D557" s="3" t="str">
        <x:v>Full</x:v>
      </x:c>
      <x:c r="E557" s="18" t="n">
        <x:v>200</x:v>
      </x:c>
      <x:c r="F557" s="21" t="n">
        <x:v>365.09588004168813</x:v>
      </x:c>
      <x:c r="G557" s="21" t="n">
        <x:f>F552</x:f>
        <x:v>365.09588004168813</x:v>
      </x:c>
      <x:c r="H557" s="21" t="n">
        <x:f>F557</x:f>
        <x:v>365.09588004168813</x:v>
      </x:c>
      <x:c r="I557" s="27" t="n">
        <x:f>IF(AND(ISNUMBER(G557),ISNUMBER(H557),H557&gt;0),G557/H557-1,"")</x:f>
        <x:v>0</x:v>
      </x:c>
      <x:c r="J557" s="27" t="n">
        <x:f>IF(AND(ISNUMBER(G557),F557&gt;0),G557/F557-1,"")</x:f>
        <x:v>0</x:v>
      </x:c>
      <x:c r="K557" s="19" t="str">
        <x:v>Exp_1/EXP020/results/seed159359747_Full.json</x:v>
      </x:c>
    </x:row>
    <x:row r="558" ht="15" hidden="0" customHeight="1">
      <x:c r="A558" s="3" t="str">
        <x:v>EXP020</x:v>
      </x:c>
      <x:c r="B558" s="3" t="str">
        <x:v>Exp. 1</x:v>
      </x:c>
      <x:c r="C558" s="18" t="n">
        <x:v>159359747</x:v>
      </x:c>
      <x:c r="D558" s="3" t="str">
        <x:v>Relative cutoff 1e-2</x:v>
      </x:c>
      <x:c r="E558" s="18" t="n">
        <x:v>200</x:v>
      </x:c>
      <x:c r="F558" s="21" t="n">
        <x:v>405.95966896904736</x:v>
      </x:c>
      <x:c r="G558" s="21" t="n">
        <x:f>F552</x:f>
        <x:v>365.09588004168813</x:v>
      </x:c>
      <x:c r="H558" s="21" t="n">
        <x:f>F557</x:f>
        <x:v>365.09588004168813</x:v>
      </x:c>
      <x:c r="I558" s="27" t="n">
        <x:f>IF(AND(ISNUMBER(G558),ISNUMBER(H558),H558&gt;0),G558/H558-1,"")</x:f>
        <x:v>0</x:v>
      </x:c>
      <x:c r="J558" s="27" t="n">
        <x:f>IF(AND(ISNUMBER(G558),F558&gt;0),G558/F558-1,"")</x:f>
        <x:v>-0.10065972570904547</x:v>
      </x:c>
      <x:c r="K558" s="19" t="str">
        <x:v>Exp_1/EXP020/results/seed159359747_Relative_cutoff_1e-2.json</x:v>
      </x:c>
    </x:row>
    <x:row r="559" ht="15" hidden="0" customHeight="1">
      <x:c r="A559" s="3" t="str">
        <x:v>EXP020</x:v>
      </x:c>
      <x:c r="B559" s="3" t="str">
        <x:v>Exp. 1</x:v>
      </x:c>
      <x:c r="C559" s="18" t="n">
        <x:v>159359747</x:v>
      </x:c>
      <x:c r="D559" s="3" t="str">
        <x:v>Relative cutoff 1e-4</x:v>
      </x:c>
      <x:c r="E559" s="18" t="n">
        <x:v>200</x:v>
      </x:c>
      <x:c r="F559" s="21" t="n">
        <x:v>368.3798485284149</x:v>
      </x:c>
      <x:c r="G559" s="21" t="n">
        <x:f>F552</x:f>
        <x:v>365.09588004168813</x:v>
      </x:c>
      <x:c r="H559" s="21" t="n">
        <x:f>F557</x:f>
        <x:v>365.09588004168813</x:v>
      </x:c>
      <x:c r="I559" s="27" t="n">
        <x:f>IF(AND(ISNUMBER(G559),ISNUMBER(H559),H559&gt;0),G559/H559-1,"")</x:f>
        <x:v>0</x:v>
      </x:c>
      <x:c r="J559" s="27" t="n">
        <x:f>IF(AND(ISNUMBER(G559),F559&gt;0),G559/F559-1,"")</x:f>
        <x:v>-0.00891462575883406</x:v>
      </x:c>
      <x:c r="K559" s="19" t="str">
        <x:v>Exp_1/EXP020/results/seed159359747_Relative_cutoff_1e-4.json</x:v>
      </x:c>
    </x:row>
    <x:row r="560" ht="15" hidden="0" customHeight="1">
      <x:c r="A560" s="3" t="str">
        <x:v>EXP020</x:v>
      </x:c>
      <x:c r="B560" s="3" t="str">
        <x:v>Exp. 1</x:v>
      </x:c>
      <x:c r="C560" s="18" t="n">
        <x:v>254786210</x:v>
      </x:c>
      <x:c r="D560" s="3" t="str">
        <x:v>BBP</x:v>
      </x:c>
      <x:c r="E560" s="18" t="n">
        <x:v>200</x:v>
      </x:c>
      <x:c r="F560" s="21" t="n">
        <x:v>437.16088465882</x:v>
      </x:c>
      <x:c r="G560" s="21" t="n">
        <x:f>F560</x:f>
        <x:v>437.16088465882</x:v>
      </x:c>
      <x:c r="H560" s="21" t="n">
        <x:f>F565</x:f>
        <x:v>437.16088465882</x:v>
      </x:c>
      <x:c r="I560" s="27" t="n">
        <x:f>IF(AND(ISNUMBER(G560),ISNUMBER(H560),H560&gt;0),G560/H560-1,"")</x:f>
        <x:v>0</x:v>
      </x:c>
      <x:c r="J560" s="27" t="n">
        <x:f>IF(AND(ISNUMBER(G560),F560&gt;0),G560/F560-1,"")</x:f>
        <x:v>0</x:v>
      </x:c>
      <x:c r="K560" s="19" t="str">
        <x:v>Exp_1/EXP020/results/seed254786210_BBP.json</x:v>
      </x:c>
    </x:row>
    <x:row r="561" ht="15" hidden="0" customHeight="1">
      <x:c r="A561" s="3" t="str">
        <x:v>EXP020</x:v>
      </x:c>
      <x:c r="B561" s="3" t="str">
        <x:v>Exp. 1</x:v>
      </x:c>
      <x:c r="C561" s="18" t="n">
        <x:v>254786210</x:v>
      </x:c>
      <x:c r="D561" s="3" t="str">
        <x:v>Relative cutoff 1e-5</x:v>
      </x:c>
      <x:c r="E561" s="18" t="n">
        <x:v>200</x:v>
      </x:c>
      <x:c r="F561" s="21" t="n">
        <x:v>437.16088465882</x:v>
      </x:c>
      <x:c r="G561" s="21" t="n">
        <x:f>F560</x:f>
        <x:v>437.16088465882</x:v>
      </x:c>
      <x:c r="H561" s="21" t="n">
        <x:f>F565</x:f>
        <x:v>437.16088465882</x:v>
      </x:c>
      <x:c r="I561" s="27" t="n">
        <x:f>IF(AND(ISNUMBER(G561),ISNUMBER(H561),H561&gt;0),G561/H561-1,"")</x:f>
        <x:v>0</x:v>
      </x:c>
      <x:c r="J561" s="27" t="n">
        <x:f>IF(AND(ISNUMBER(G561),F561&gt;0),G561/F561-1,"")</x:f>
        <x:v>0</x:v>
      </x:c>
      <x:c r="K561" s="19" t="str">
        <x:v>Exp_1/EXP020/results/seed254786210_Relative_cutoff_1e-5.json</x:v>
      </x:c>
    </x:row>
    <x:row r="562" ht="15" hidden="0" customHeight="1">
      <x:c r="A562" s="3" t="str">
        <x:v>EXP020</x:v>
      </x:c>
      <x:c r="B562" s="3" t="str">
        <x:v>Exp. 1</x:v>
      </x:c>
      <x:c r="C562" s="18" t="n">
        <x:v>254786210</x:v>
      </x:c>
      <x:c r="D562" s="3" t="str">
        <x:v>Fixed rank 10</x:v>
      </x:c>
      <x:c r="E562" s="18" t="n">
        <x:v>200</x:v>
      </x:c>
      <x:c r="F562" s="21" t="n">
        <x:v>437.3021697599815</x:v>
      </x:c>
      <x:c r="G562" s="21" t="n">
        <x:f>F560</x:f>
        <x:v>437.16088465882</x:v>
      </x:c>
      <x:c r="H562" s="21" t="n">
        <x:f>F565</x:f>
        <x:v>437.16088465882</x:v>
      </x:c>
      <x:c r="I562" s="27" t="n">
        <x:f>IF(AND(ISNUMBER(G562),ISNUMBER(H562),H562&gt;0),G562/H562-1,"")</x:f>
        <x:v>0</x:v>
      </x:c>
      <x:c r="J562" s="27" t="n">
        <x:f>IF(AND(ISNUMBER(G562),F562&gt;0),G562/F562-1,"")</x:f>
        <x:v>-0.00032308346706588775</x:v>
      </x:c>
      <x:c r="K562" s="19" t="str">
        <x:v>Exp_1/EXP020/results/seed254786210_Fixed_rank_10.json</x:v>
      </x:c>
    </x:row>
    <x:row r="563" ht="15" hidden="0" customHeight="1">
      <x:c r="A563" s="3" t="str">
        <x:v>EXP020</x:v>
      </x:c>
      <x:c r="B563" s="3" t="str">
        <x:v>Exp. 1</x:v>
      </x:c>
      <x:c r="C563" s="18" t="n">
        <x:v>254786210</x:v>
      </x:c>
      <x:c r="D563" s="3" t="str">
        <x:v>Fixed rank 25</x:v>
      </x:c>
      <x:c r="E563" s="18" t="n">
        <x:v>200</x:v>
      </x:c>
      <x:c r="F563" s="21" t="n">
        <x:v>437.16088465882</x:v>
      </x:c>
      <x:c r="G563" s="21" t="n">
        <x:f>F560</x:f>
        <x:v>437.16088465882</x:v>
      </x:c>
      <x:c r="H563" s="21" t="n">
        <x:f>F565</x:f>
        <x:v>437.16088465882</x:v>
      </x:c>
      <x:c r="I563" s="27" t="n">
        <x:f>IF(AND(ISNUMBER(G563),ISNUMBER(H563),H563&gt;0),G563/H563-1,"")</x:f>
        <x:v>0</x:v>
      </x:c>
      <x:c r="J563" s="27" t="n">
        <x:f>IF(AND(ISNUMBER(G563),F563&gt;0),G563/F563-1,"")</x:f>
        <x:v>0</x:v>
      </x:c>
      <x:c r="K563" s="19" t="str">
        <x:v>Exp_1/EXP020/results/seed254786210_Fixed_rank_25.json</x:v>
      </x:c>
    </x:row>
    <x:row r="564" ht="15" hidden="0" customHeight="1">
      <x:c r="A564" s="3" t="str">
        <x:v>EXP020</x:v>
      </x:c>
      <x:c r="B564" s="3" t="str">
        <x:v>Exp. 1</x:v>
      </x:c>
      <x:c r="C564" s="18" t="n">
        <x:v>254786210</x:v>
      </x:c>
      <x:c r="D564" s="3" t="str">
        <x:v>Relative cutoff 1e-6</x:v>
      </x:c>
      <x:c r="E564" s="18" t="n">
        <x:v>200</x:v>
      </x:c>
      <x:c r="F564" s="21" t="n">
        <x:v>437.16088465882</x:v>
      </x:c>
      <x:c r="G564" s="21" t="n">
        <x:f>F560</x:f>
        <x:v>437.16088465882</x:v>
      </x:c>
      <x:c r="H564" s="21" t="n">
        <x:f>F565</x:f>
        <x:v>437.16088465882</x:v>
      </x:c>
      <x:c r="I564" s="27" t="n">
        <x:f>IF(AND(ISNUMBER(G564),ISNUMBER(H564),H564&gt;0),G564/H564-1,"")</x:f>
        <x:v>0</x:v>
      </x:c>
      <x:c r="J564" s="27" t="n">
        <x:f>IF(AND(ISNUMBER(G564),F564&gt;0),G564/F564-1,"")</x:f>
        <x:v>0</x:v>
      </x:c>
      <x:c r="K564" s="19" t="str">
        <x:v>Exp_1/EXP020/results/seed254786210_Relative_cutoff_1e-6.json</x:v>
      </x:c>
    </x:row>
    <x:row r="565" ht="15" hidden="0" customHeight="1">
      <x:c r="A565" s="3" t="str">
        <x:v>EXP020</x:v>
      </x:c>
      <x:c r="B565" s="3" t="str">
        <x:v>Exp. 1</x:v>
      </x:c>
      <x:c r="C565" s="18" t="n">
        <x:v>254786210</x:v>
      </x:c>
      <x:c r="D565" s="3" t="str">
        <x:v>Full</x:v>
      </x:c>
      <x:c r="E565" s="18" t="n">
        <x:v>200</x:v>
      </x:c>
      <x:c r="F565" s="21" t="n">
        <x:v>437.16088465882</x:v>
      </x:c>
      <x:c r="G565" s="21" t="n">
        <x:f>F560</x:f>
        <x:v>437.16088465882</x:v>
      </x:c>
      <x:c r="H565" s="21" t="n">
        <x:f>F565</x:f>
        <x:v>437.16088465882</x:v>
      </x:c>
      <x:c r="I565" s="27" t="n">
        <x:f>IF(AND(ISNUMBER(G565),ISNUMBER(H565),H565&gt;0),G565/H565-1,"")</x:f>
        <x:v>0</x:v>
      </x:c>
      <x:c r="J565" s="27" t="n">
        <x:f>IF(AND(ISNUMBER(G565),F565&gt;0),G565/F565-1,"")</x:f>
        <x:v>0</x:v>
      </x:c>
      <x:c r="K565" s="19" t="str">
        <x:v>Exp_1/EXP020/results/seed254786210_Full.json</x:v>
      </x:c>
    </x:row>
    <x:row r="566" ht="15" hidden="0" customHeight="1">
      <x:c r="A566" s="3" t="str">
        <x:v>EXP020</x:v>
      </x:c>
      <x:c r="B566" s="3" t="str">
        <x:v>Exp. 1</x:v>
      </x:c>
      <x:c r="C566" s="18" t="n">
        <x:v>254786210</x:v>
      </x:c>
      <x:c r="D566" s="3" t="str">
        <x:v>Relative cutoff 1e-2</x:v>
      </x:c>
      <x:c r="E566" s="18" t="n">
        <x:v>200</x:v>
      </x:c>
      <x:c r="F566" s="21" t="n">
        <x:v>437.49110831673727</x:v>
      </x:c>
      <x:c r="G566" s="21" t="n">
        <x:f>F560</x:f>
        <x:v>437.16088465882</x:v>
      </x:c>
      <x:c r="H566" s="21" t="n">
        <x:f>F565</x:f>
        <x:v>437.16088465882</x:v>
      </x:c>
      <x:c r="I566" s="27" t="n">
        <x:f>IF(AND(ISNUMBER(G566),ISNUMBER(H566),H566&gt;0),G566/H566-1,"")</x:f>
        <x:v>0</x:v>
      </x:c>
      <x:c r="J566" s="27" t="n">
        <x:f>IF(AND(ISNUMBER(G566),F566&gt;0),G566/F566-1,"")</x:f>
        <x:v>-0.0007548122730718365</x:v>
      </x:c>
      <x:c r="K566" s="19" t="str">
        <x:v>Exp_1/EXP020/results/seed254786210_Relative_cutoff_1e-2.json</x:v>
      </x:c>
    </x:row>
    <x:row r="567" ht="15" hidden="0" customHeight="1">
      <x:c r="A567" s="3" t="str">
        <x:v>EXP020</x:v>
      </x:c>
      <x:c r="B567" s="3" t="str">
        <x:v>Exp. 1</x:v>
      </x:c>
      <x:c r="C567" s="18" t="n">
        <x:v>254786210</x:v>
      </x:c>
      <x:c r="D567" s="3" t="str">
        <x:v>Relative cutoff 1e-4</x:v>
      </x:c>
      <x:c r="E567" s="18" t="n">
        <x:v>200</x:v>
      </x:c>
      <x:c r="F567" s="21" t="n">
        <x:v>437.16088465882</x:v>
      </x:c>
      <x:c r="G567" s="21" t="n">
        <x:f>F560</x:f>
        <x:v>437.16088465882</x:v>
      </x:c>
      <x:c r="H567" s="21" t="n">
        <x:f>F565</x:f>
        <x:v>437.16088465882</x:v>
      </x:c>
      <x:c r="I567" s="27" t="n">
        <x:f>IF(AND(ISNUMBER(G567),ISNUMBER(H567),H567&gt;0),G567/H567-1,"")</x:f>
        <x:v>0</x:v>
      </x:c>
      <x:c r="J567" s="27" t="n">
        <x:f>IF(AND(ISNUMBER(G567),F567&gt;0),G567/F567-1,"")</x:f>
        <x:v>0</x:v>
      </x:c>
      <x:c r="K567" s="19" t="str">
        <x:v>Exp_1/EXP020/results/seed254786210_Relative_cutoff_1e-4.json</x:v>
      </x:c>
    </x:row>
    <x:row r="568" ht="15" hidden="0" customHeight="1">
      <x:c r="A568" s="3" t="str">
        <x:v>EXP020</x:v>
      </x:c>
      <x:c r="B568" s="3" t="str">
        <x:v>Exp. 1</x:v>
      </x:c>
      <x:c r="C568" s="18" t="n">
        <x:v>280737676</x:v>
      </x:c>
      <x:c r="D568" s="3" t="str">
        <x:v>BBP</x:v>
      </x:c>
      <x:c r="E568" s="18" t="n">
        <x:v>200</x:v>
      </x:c>
      <x:c r="F568" s="21" t="n">
        <x:v>269.80629431922694</x:v>
      </x:c>
      <x:c r="G568" s="21" t="n">
        <x:f>F568</x:f>
        <x:v>269.80629431922694</x:v>
      </x:c>
      <x:c r="H568" s="21" t="n">
        <x:f>F573</x:f>
        <x:v>287.792971307061</x:v>
      </x:c>
      <x:c r="I568" s="27" t="n">
        <x:f>IF(AND(ISNUMBER(G568),ISNUMBER(H568),H568&gt;0),G568/H568-1,"")</x:f>
        <x:v>-0.0624986666844034</x:v>
      </x:c>
      <x:c r="J568" s="27" t="n">
        <x:f>IF(AND(ISNUMBER(G568),F568&gt;0),G568/F568-1,"")</x:f>
        <x:v>0</x:v>
      </x:c>
      <x:c r="K568" s="19" t="str">
        <x:v>Exp_1/EXP020/results/seed280737676_BBP.json</x:v>
      </x:c>
    </x:row>
    <x:row r="569" ht="15" hidden="0" customHeight="1">
      <x:c r="A569" s="3" t="str">
        <x:v>EXP020</x:v>
      </x:c>
      <x:c r="B569" s="3" t="str">
        <x:v>Exp. 1</x:v>
      </x:c>
      <x:c r="C569" s="18" t="n">
        <x:v>280737676</x:v>
      </x:c>
      <x:c r="D569" s="3" t="str">
        <x:v>Relative cutoff 1e-5</x:v>
      </x:c>
      <x:c r="E569" s="18" t="n">
        <x:v>200</x:v>
      </x:c>
      <x:c r="F569" s="21" t="n">
        <x:v>269.80629431922694</x:v>
      </x:c>
      <x:c r="G569" s="21" t="n">
        <x:f>F568</x:f>
        <x:v>269.80629431922694</x:v>
      </x:c>
      <x:c r="H569" s="21" t="n">
        <x:f>F573</x:f>
        <x:v>287.792971307061</x:v>
      </x:c>
      <x:c r="I569" s="27" t="n">
        <x:f>IF(AND(ISNUMBER(G569),ISNUMBER(H569),H569&gt;0),G569/H569-1,"")</x:f>
        <x:v>-0.0624986666844034</x:v>
      </x:c>
      <x:c r="J569" s="27" t="n">
        <x:f>IF(AND(ISNUMBER(G569),F569&gt;0),G569/F569-1,"")</x:f>
        <x:v>0</x:v>
      </x:c>
      <x:c r="K569" s="19" t="str">
        <x:v>Exp_1/EXP020/results/seed280737676_Relative_cutoff_1e-5.json</x:v>
      </x:c>
    </x:row>
    <x:row r="570" ht="15" hidden="0" customHeight="1">
      <x:c r="A570" s="3" t="str">
        <x:v>EXP020</x:v>
      </x:c>
      <x:c r="B570" s="3" t="str">
        <x:v>Exp. 1</x:v>
      </x:c>
      <x:c r="C570" s="18" t="n">
        <x:v>280737676</x:v>
      </x:c>
      <x:c r="D570" s="3" t="str">
        <x:v>Fixed rank 10</x:v>
      </x:c>
      <x:c r="E570" s="18" t="n">
        <x:v>200</x:v>
      </x:c>
      <x:c r="F570" s="21" t="n">
        <x:v>269.80629431922694</x:v>
      </x:c>
      <x:c r="G570" s="21" t="n">
        <x:f>F568</x:f>
        <x:v>269.80629431922694</x:v>
      </x:c>
      <x:c r="H570" s="21" t="n">
        <x:f>F573</x:f>
        <x:v>287.792971307061</x:v>
      </x:c>
      <x:c r="I570" s="27" t="n">
        <x:f>IF(AND(ISNUMBER(G570),ISNUMBER(H570),H570&gt;0),G570/H570-1,"")</x:f>
        <x:v>-0.0624986666844034</x:v>
      </x:c>
      <x:c r="J570" s="27" t="n">
        <x:f>IF(AND(ISNUMBER(G570),F570&gt;0),G570/F570-1,"")</x:f>
        <x:v>0</x:v>
      </x:c>
      <x:c r="K570" s="19" t="str">
        <x:v>Exp_1/EXP020/results/seed280737676_Fixed_rank_10.json</x:v>
      </x:c>
    </x:row>
    <x:row r="571" ht="15" hidden="0" customHeight="1">
      <x:c r="A571" s="3" t="str">
        <x:v>EXP020</x:v>
      </x:c>
      <x:c r="B571" s="3" t="str">
        <x:v>Exp. 1</x:v>
      </x:c>
      <x:c r="C571" s="18" t="n">
        <x:v>280737676</x:v>
      </x:c>
      <x:c r="D571" s="3" t="str">
        <x:v>Fixed rank 25</x:v>
      </x:c>
      <x:c r="E571" s="18" t="n">
        <x:v>200</x:v>
      </x:c>
      <x:c r="F571" s="21" t="n">
        <x:v>269.80629431922694</x:v>
      </x:c>
      <x:c r="G571" s="21" t="n">
        <x:f>F568</x:f>
        <x:v>269.80629431922694</x:v>
      </x:c>
      <x:c r="H571" s="21" t="n">
        <x:f>F573</x:f>
        <x:v>287.792971307061</x:v>
      </x:c>
      <x:c r="I571" s="27" t="n">
        <x:f>IF(AND(ISNUMBER(G571),ISNUMBER(H571),H571&gt;0),G571/H571-1,"")</x:f>
        <x:v>-0.0624986666844034</x:v>
      </x:c>
      <x:c r="J571" s="27" t="n">
        <x:f>IF(AND(ISNUMBER(G571),F571&gt;0),G571/F571-1,"")</x:f>
        <x:v>0</x:v>
      </x:c>
      <x:c r="K571" s="19" t="str">
        <x:v>Exp_1/EXP020/results/seed280737676_Fixed_rank_25.json</x:v>
      </x:c>
    </x:row>
    <x:row r="572" ht="15" hidden="0" customHeight="1">
      <x:c r="A572" s="3" t="str">
        <x:v>EXP020</x:v>
      </x:c>
      <x:c r="B572" s="3" t="str">
        <x:v>Exp. 1</x:v>
      </x:c>
      <x:c r="C572" s="18" t="n">
        <x:v>280737676</x:v>
      </x:c>
      <x:c r="D572" s="3" t="str">
        <x:v>Relative cutoff 1e-6</x:v>
      </x:c>
      <x:c r="E572" s="18" t="n">
        <x:v>200</x:v>
      </x:c>
      <x:c r="F572" s="21" t="n">
        <x:v>287.792971307061</x:v>
      </x:c>
      <x:c r="G572" s="21" t="n">
        <x:f>F568</x:f>
        <x:v>269.80629431922694</x:v>
      </x:c>
      <x:c r="H572" s="21" t="n">
        <x:f>F573</x:f>
        <x:v>287.792971307061</x:v>
      </x:c>
      <x:c r="I572" s="27" t="n">
        <x:f>IF(AND(ISNUMBER(G572),ISNUMBER(H572),H572&gt;0),G572/H572-1,"")</x:f>
        <x:v>-0.0624986666844034</x:v>
      </x:c>
      <x:c r="J572" s="27" t="n">
        <x:f>IF(AND(ISNUMBER(G572),F572&gt;0),G572/F572-1,"")</x:f>
        <x:v>-0.0624986666844034</x:v>
      </x:c>
      <x:c r="K572" s="19" t="str">
        <x:v>Exp_1/EXP020/results/seed280737676_Relative_cutoff_1e-6.json</x:v>
      </x:c>
    </x:row>
    <x:row r="573" ht="15" hidden="0" customHeight="1">
      <x:c r="A573" s="3" t="str">
        <x:v>EXP020</x:v>
      </x:c>
      <x:c r="B573" s="3" t="str">
        <x:v>Exp. 1</x:v>
      </x:c>
      <x:c r="C573" s="18" t="n">
        <x:v>280737676</x:v>
      </x:c>
      <x:c r="D573" s="3" t="str">
        <x:v>Full</x:v>
      </x:c>
      <x:c r="E573" s="18" t="n">
        <x:v>200</x:v>
      </x:c>
      <x:c r="F573" s="21" t="n">
        <x:v>287.792971307061</x:v>
      </x:c>
      <x:c r="G573" s="21" t="n">
        <x:f>F568</x:f>
        <x:v>269.80629431922694</x:v>
      </x:c>
      <x:c r="H573" s="21" t="n">
        <x:f>F573</x:f>
        <x:v>287.792971307061</x:v>
      </x:c>
      <x:c r="I573" s="27" t="n">
        <x:f>IF(AND(ISNUMBER(G573),ISNUMBER(H573),H573&gt;0),G573/H573-1,"")</x:f>
        <x:v>-0.0624986666844034</x:v>
      </x:c>
      <x:c r="J573" s="27" t="n">
        <x:f>IF(AND(ISNUMBER(G573),F573&gt;0),G573/F573-1,"")</x:f>
        <x:v>-0.0624986666844034</x:v>
      </x:c>
      <x:c r="K573" s="19" t="str">
        <x:v>Exp_1/EXP020/results/seed280737676_Full.json</x:v>
      </x:c>
    </x:row>
    <x:row r="574" ht="15" hidden="0" customHeight="1">
      <x:c r="A574" s="3" t="str">
        <x:v>EXP020</x:v>
      </x:c>
      <x:c r="B574" s="3" t="str">
        <x:v>Exp. 1</x:v>
      </x:c>
      <x:c r="C574" s="18" t="n">
        <x:v>280737676</x:v>
      </x:c>
      <x:c r="D574" s="3" t="str">
        <x:v>Relative cutoff 1e-2</x:v>
      </x:c>
      <x:c r="E574" s="18" t="n">
        <x:v>200</x:v>
      </x:c>
      <x:c r="F574" s="21" t="n">
        <x:v>282.6172009544709</x:v>
      </x:c>
      <x:c r="G574" s="21" t="n">
        <x:f>F568</x:f>
        <x:v>269.80629431922694</x:v>
      </x:c>
      <x:c r="H574" s="21" t="n">
        <x:f>F573</x:f>
        <x:v>287.792971307061</x:v>
      </x:c>
      <x:c r="I574" s="27" t="n">
        <x:f>IF(AND(ISNUMBER(G574),ISNUMBER(H574),H574&gt;0),G574/H574-1,"")</x:f>
        <x:v>-0.0624986666844034</x:v>
      </x:c>
      <x:c r="J574" s="27" t="n">
        <x:f>IF(AND(ISNUMBER(G574),F574&gt;0),G574/F574-1,"")</x:f>
        <x:v>-0.045329536178188135</x:v>
      </x:c>
      <x:c r="K574" s="19" t="str">
        <x:v>Exp_1/EXP020/results/seed280737676_Relative_cutoff_1e-2.json</x:v>
      </x:c>
    </x:row>
    <x:row r="575" ht="15" hidden="0" customHeight="1">
      <x:c r="A575" s="3" t="str">
        <x:v>EXP020</x:v>
      </x:c>
      <x:c r="B575" s="3" t="str">
        <x:v>Exp. 1</x:v>
      </x:c>
      <x:c r="C575" s="18" t="n">
        <x:v>280737676</x:v>
      </x:c>
      <x:c r="D575" s="3" t="str">
        <x:v>Relative cutoff 1e-4</x:v>
      </x:c>
      <x:c r="E575" s="18" t="n">
        <x:v>200</x:v>
      </x:c>
      <x:c r="F575" s="21" t="n">
        <x:v>269.80629431922694</x:v>
      </x:c>
      <x:c r="G575" s="21" t="n">
        <x:f>F568</x:f>
        <x:v>269.80629431922694</x:v>
      </x:c>
      <x:c r="H575" s="21" t="n">
        <x:f>F573</x:f>
        <x:v>287.792971307061</x:v>
      </x:c>
      <x:c r="I575" s="27" t="n">
        <x:f>IF(AND(ISNUMBER(G575),ISNUMBER(H575),H575&gt;0),G575/H575-1,"")</x:f>
        <x:v>-0.0624986666844034</x:v>
      </x:c>
      <x:c r="J575" s="27" t="n">
        <x:f>IF(AND(ISNUMBER(G575),F575&gt;0),G575/F575-1,"")</x:f>
        <x:v>0</x:v>
      </x:c>
      <x:c r="K575" s="19" t="str">
        <x:v>Exp_1/EXP020/results/seed280737676_Relative_cutoff_1e-4.json</x:v>
      </x:c>
    </x:row>
    <x:row r="576" ht="15" hidden="0" customHeight="1">
      <x:c r="A576" s="3" t="str">
        <x:v>EXP020</x:v>
      </x:c>
      <x:c r="B576" s="3" t="str">
        <x:v>Exp. 1</x:v>
      </x:c>
      <x:c r="C576" s="18" t="n">
        <x:v>304444453</x:v>
      </x:c>
      <x:c r="D576" s="3" t="str">
        <x:v>BBP</x:v>
      </x:c>
      <x:c r="E576" s="18" t="n">
        <x:v>200</x:v>
      </x:c>
      <x:c r="F576" s="21" t="n">
        <x:v>284.67473595721066</x:v>
      </x:c>
      <x:c r="G576" s="21" t="n">
        <x:f>F576</x:f>
        <x:v>284.67473595721066</x:v>
      </x:c>
      <x:c r="H576" s="21" t="n">
        <x:f>F581</x:f>
        <x:v>284.67473595721066</x:v>
      </x:c>
      <x:c r="I576" s="27" t="n">
        <x:f>IF(AND(ISNUMBER(G576),ISNUMBER(H576),H576&gt;0),G576/H576-1,"")</x:f>
        <x:v>0</x:v>
      </x:c>
      <x:c r="J576" s="27" t="n">
        <x:f>IF(AND(ISNUMBER(G576),F576&gt;0),G576/F576-1,"")</x:f>
        <x:v>0</x:v>
      </x:c>
      <x:c r="K576" s="19" t="str">
        <x:v>Exp_1/EXP020/results/seed304444453_BBP.json</x:v>
      </x:c>
    </x:row>
    <x:row r="577" ht="15" hidden="0" customHeight="1">
      <x:c r="A577" s="3" t="str">
        <x:v>EXP020</x:v>
      </x:c>
      <x:c r="B577" s="3" t="str">
        <x:v>Exp. 1</x:v>
      </x:c>
      <x:c r="C577" s="18" t="n">
        <x:v>304444453</x:v>
      </x:c>
      <x:c r="D577" s="3" t="str">
        <x:v>Relative cutoff 1e-5</x:v>
      </x:c>
      <x:c r="E577" s="18" t="n">
        <x:v>200</x:v>
      </x:c>
      <x:c r="F577" s="21" t="n">
        <x:v>284.67473595721066</x:v>
      </x:c>
      <x:c r="G577" s="21" t="n">
        <x:f>F576</x:f>
        <x:v>284.67473595721066</x:v>
      </x:c>
      <x:c r="H577" s="21" t="n">
        <x:f>F581</x:f>
        <x:v>284.67473595721066</x:v>
      </x:c>
      <x:c r="I577" s="27" t="n">
        <x:f>IF(AND(ISNUMBER(G577),ISNUMBER(H577),H577&gt;0),G577/H577-1,"")</x:f>
        <x:v>0</x:v>
      </x:c>
      <x:c r="J577" s="27" t="n">
        <x:f>IF(AND(ISNUMBER(G577),F577&gt;0),G577/F577-1,"")</x:f>
        <x:v>0</x:v>
      </x:c>
      <x:c r="K577" s="19" t="str">
        <x:v>Exp_1/EXP020/results/seed304444453_Relative_cutoff_1e-5.json</x:v>
      </x:c>
    </x:row>
    <x:row r="578" ht="15" hidden="0" customHeight="1">
      <x:c r="A578" s="3" t="str">
        <x:v>EXP020</x:v>
      </x:c>
      <x:c r="B578" s="3" t="str">
        <x:v>Exp. 1</x:v>
      </x:c>
      <x:c r="C578" s="18" t="n">
        <x:v>304444453</x:v>
      </x:c>
      <x:c r="D578" s="3" t="str">
        <x:v>Fixed rank 10</x:v>
      </x:c>
      <x:c r="E578" s="18" t="n">
        <x:v>200</x:v>
      </x:c>
      <x:c r="F578" s="21" t="n">
        <x:v>285.94011208109055</x:v>
      </x:c>
      <x:c r="G578" s="21" t="n">
        <x:f>F576</x:f>
        <x:v>284.67473595721066</x:v>
      </x:c>
      <x:c r="H578" s="21" t="n">
        <x:f>F581</x:f>
        <x:v>284.67473595721066</x:v>
      </x:c>
      <x:c r="I578" s="27" t="n">
        <x:f>IF(AND(ISNUMBER(G578),ISNUMBER(H578),H578&gt;0),G578/H578-1,"")</x:f>
        <x:v>0</x:v>
      </x:c>
      <x:c r="J578" s="27" t="n">
        <x:f>IF(AND(ISNUMBER(G578),F578&gt;0),G578/F578-1,"")</x:f>
        <x:v>-0.004425318695828961</x:v>
      </x:c>
      <x:c r="K578" s="19" t="str">
        <x:v>Exp_1/EXP020/results/seed304444453_Fixed_rank_10.json</x:v>
      </x:c>
    </x:row>
    <x:row r="579" ht="15" hidden="0" customHeight="1">
      <x:c r="A579" s="3" t="str">
        <x:v>EXP020</x:v>
      </x:c>
      <x:c r="B579" s="3" t="str">
        <x:v>Exp. 1</x:v>
      </x:c>
      <x:c r="C579" s="18" t="n">
        <x:v>304444453</x:v>
      </x:c>
      <x:c r="D579" s="3" t="str">
        <x:v>Fixed rank 25</x:v>
      </x:c>
      <x:c r="E579" s="18" t="n">
        <x:v>200</x:v>
      </x:c>
      <x:c r="F579" s="21" t="n">
        <x:v>284.67473595721066</x:v>
      </x:c>
      <x:c r="G579" s="21" t="n">
        <x:f>F576</x:f>
        <x:v>284.67473595721066</x:v>
      </x:c>
      <x:c r="H579" s="21" t="n">
        <x:f>F581</x:f>
        <x:v>284.67473595721066</x:v>
      </x:c>
      <x:c r="I579" s="27" t="n">
        <x:f>IF(AND(ISNUMBER(G579),ISNUMBER(H579),H579&gt;0),G579/H579-1,"")</x:f>
        <x:v>0</x:v>
      </x:c>
      <x:c r="J579" s="27" t="n">
        <x:f>IF(AND(ISNUMBER(G579),F579&gt;0),G579/F579-1,"")</x:f>
        <x:v>0</x:v>
      </x:c>
      <x:c r="K579" s="19" t="str">
        <x:v>Exp_1/EXP020/results/seed304444453_Fixed_rank_25.json</x:v>
      </x:c>
    </x:row>
    <x:row r="580" ht="15" hidden="0" customHeight="1">
      <x:c r="A580" s="3" t="str">
        <x:v>EXP020</x:v>
      </x:c>
      <x:c r="B580" s="3" t="str">
        <x:v>Exp. 1</x:v>
      </x:c>
      <x:c r="C580" s="18" t="n">
        <x:v>304444453</x:v>
      </x:c>
      <x:c r="D580" s="3" t="str">
        <x:v>Relative cutoff 1e-6</x:v>
      </x:c>
      <x:c r="E580" s="18" t="n">
        <x:v>200</x:v>
      </x:c>
      <x:c r="F580" s="21" t="n">
        <x:v>284.67473595721066</x:v>
      </x:c>
      <x:c r="G580" s="21" t="n">
        <x:f>F576</x:f>
        <x:v>284.67473595721066</x:v>
      </x:c>
      <x:c r="H580" s="21" t="n">
        <x:f>F581</x:f>
        <x:v>284.67473595721066</x:v>
      </x:c>
      <x:c r="I580" s="27" t="n">
        <x:f>IF(AND(ISNUMBER(G580),ISNUMBER(H580),H580&gt;0),G580/H580-1,"")</x:f>
        <x:v>0</x:v>
      </x:c>
      <x:c r="J580" s="27" t="n">
        <x:f>IF(AND(ISNUMBER(G580),F580&gt;0),G580/F580-1,"")</x:f>
        <x:v>0</x:v>
      </x:c>
      <x:c r="K580" s="19" t="str">
        <x:v>Exp_1/EXP020/results/seed304444453_Relative_cutoff_1e-6.json</x:v>
      </x:c>
    </x:row>
    <x:row r="581" ht="15" hidden="0" customHeight="1">
      <x:c r="A581" s="3" t="str">
        <x:v>EXP020</x:v>
      </x:c>
      <x:c r="B581" s="3" t="str">
        <x:v>Exp. 1</x:v>
      </x:c>
      <x:c r="C581" s="18" t="n">
        <x:v>304444453</x:v>
      </x:c>
      <x:c r="D581" s="3" t="str">
        <x:v>Full</x:v>
      </x:c>
      <x:c r="E581" s="18" t="n">
        <x:v>200</x:v>
      </x:c>
      <x:c r="F581" s="21" t="n">
        <x:v>284.67473595721066</x:v>
      </x:c>
      <x:c r="G581" s="21" t="n">
        <x:f>F576</x:f>
        <x:v>284.67473595721066</x:v>
      </x:c>
      <x:c r="H581" s="21" t="n">
        <x:f>F581</x:f>
        <x:v>284.67473595721066</x:v>
      </x:c>
      <x:c r="I581" s="27" t="n">
        <x:f>IF(AND(ISNUMBER(G581),ISNUMBER(H581),H581&gt;0),G581/H581-1,"")</x:f>
        <x:v>0</x:v>
      </x:c>
      <x:c r="J581" s="27" t="n">
        <x:f>IF(AND(ISNUMBER(G581),F581&gt;0),G581/F581-1,"")</x:f>
        <x:v>0</x:v>
      </x:c>
      <x:c r="K581" s="19" t="str">
        <x:v>Exp_1/EXP020/results/seed304444453_Full.json</x:v>
      </x:c>
    </x:row>
    <x:row r="582" ht="15" hidden="0" customHeight="1">
      <x:c r="A582" s="3" t="str">
        <x:v>EXP020</x:v>
      </x:c>
      <x:c r="B582" s="3" t="str">
        <x:v>Exp. 1</x:v>
      </x:c>
      <x:c r="C582" s="18" t="n">
        <x:v>304444453</x:v>
      </x:c>
      <x:c r="D582" s="3" t="str">
        <x:v>Relative cutoff 1e-2</x:v>
      </x:c>
      <x:c r="E582" s="18" t="n">
        <x:v>200</x:v>
      </x:c>
      <x:c r="F582" s="21" t="n">
        <x:v>287.7756537454694</x:v>
      </x:c>
      <x:c r="G582" s="21" t="n">
        <x:f>F576</x:f>
        <x:v>284.67473595721066</x:v>
      </x:c>
      <x:c r="H582" s="21" t="n">
        <x:f>F581</x:f>
        <x:v>284.67473595721066</x:v>
      </x:c>
      <x:c r="I582" s="27" t="n">
        <x:f>IF(AND(ISNUMBER(G582),ISNUMBER(H582),H582&gt;0),G582/H582-1,"")</x:f>
        <x:v>0</x:v>
      </x:c>
      <x:c r="J582" s="27" t="n">
        <x:f>IF(AND(ISNUMBER(G582),F582&gt;0),G582/F582-1,"")</x:f>
        <x:v>-0.010775469529473947</x:v>
      </x:c>
      <x:c r="K582" s="19" t="str">
        <x:v>Exp_1/EXP020/results/seed304444453_Relative_cutoff_1e-2.json</x:v>
      </x:c>
    </x:row>
    <x:row r="583" ht="15" hidden="0" customHeight="1">
      <x:c r="A583" s="3" t="str">
        <x:v>EXP020</x:v>
      </x:c>
      <x:c r="B583" s="3" t="str">
        <x:v>Exp. 1</x:v>
      </x:c>
      <x:c r="C583" s="18" t="n">
        <x:v>304444453</x:v>
      </x:c>
      <x:c r="D583" s="3" t="str">
        <x:v>Relative cutoff 1e-4</x:v>
      </x:c>
      <x:c r="E583" s="18" t="n">
        <x:v>200</x:v>
      </x:c>
      <x:c r="F583" s="21" t="n">
        <x:v>285.94011208109055</x:v>
      </x:c>
      <x:c r="G583" s="21" t="n">
        <x:f>F576</x:f>
        <x:v>284.67473595721066</x:v>
      </x:c>
      <x:c r="H583" s="21" t="n">
        <x:f>F581</x:f>
        <x:v>284.67473595721066</x:v>
      </x:c>
      <x:c r="I583" s="27" t="n">
        <x:f>IF(AND(ISNUMBER(G583),ISNUMBER(H583),H583&gt;0),G583/H583-1,"")</x:f>
        <x:v>0</x:v>
      </x:c>
      <x:c r="J583" s="27" t="n">
        <x:f>IF(AND(ISNUMBER(G583),F583&gt;0),G583/F583-1,"")</x:f>
        <x:v>-0.004425318695828961</x:v>
      </x:c>
      <x:c r="K583" s="19" t="str">
        <x:v>Exp_1/EXP020/results/seed304444453_Relative_cutoff_1e-4.json</x:v>
      </x:c>
    </x:row>
    <x:row r="584" ht="15" hidden="0" customHeight="1">
      <x:c r="A584" s="3" t="str">
        <x:v>EXP020</x:v>
      </x:c>
      <x:c r="B584" s="3" t="str">
        <x:v>Exp. 1</x:v>
      </x:c>
      <x:c r="C584" s="18" t="n">
        <x:v>319922324</x:v>
      </x:c>
      <x:c r="D584" s="3" t="str">
        <x:v>BBP</x:v>
      </x:c>
      <x:c r="E584" s="18" t="n">
        <x:v>200</x:v>
      </x:c>
      <x:c r="F584" s="21" t="n">
        <x:v>369.15374966385735</x:v>
      </x:c>
      <x:c r="G584" s="21" t="n">
        <x:f>F584</x:f>
        <x:v>369.15374966385735</x:v>
      </x:c>
      <x:c r="H584" s="21" t="n">
        <x:f>F589</x:f>
        <x:v>369.15374966385735</x:v>
      </x:c>
      <x:c r="I584" s="27" t="n">
        <x:f>IF(AND(ISNUMBER(G584),ISNUMBER(H584),H584&gt;0),G584/H584-1,"")</x:f>
        <x:v>0</x:v>
      </x:c>
      <x:c r="J584" s="27" t="n">
        <x:f>IF(AND(ISNUMBER(G584),F584&gt;0),G584/F584-1,"")</x:f>
        <x:v>0</x:v>
      </x:c>
      <x:c r="K584" s="19" t="str">
        <x:v>Exp_1/EXP020/results/seed319922324_BBP.json</x:v>
      </x:c>
    </x:row>
    <x:row r="585" ht="15" hidden="0" customHeight="1">
      <x:c r="A585" s="3" t="str">
        <x:v>EXP020</x:v>
      </x:c>
      <x:c r="B585" s="3" t="str">
        <x:v>Exp. 1</x:v>
      </x:c>
      <x:c r="C585" s="18" t="n">
        <x:v>319922324</x:v>
      </x:c>
      <x:c r="D585" s="3" t="str">
        <x:v>Relative cutoff 1e-5</x:v>
      </x:c>
      <x:c r="E585" s="18" t="n">
        <x:v>200</x:v>
      </x:c>
      <x:c r="F585" s="21" t="n">
        <x:v>369.15374966385735</x:v>
      </x:c>
      <x:c r="G585" s="21" t="n">
        <x:f>F584</x:f>
        <x:v>369.15374966385735</x:v>
      </x:c>
      <x:c r="H585" s="21" t="n">
        <x:f>F589</x:f>
        <x:v>369.15374966385735</x:v>
      </x:c>
      <x:c r="I585" s="27" t="n">
        <x:f>IF(AND(ISNUMBER(G585),ISNUMBER(H585),H585&gt;0),G585/H585-1,"")</x:f>
        <x:v>0</x:v>
      </x:c>
      <x:c r="J585" s="27" t="n">
        <x:f>IF(AND(ISNUMBER(G585),F585&gt;0),G585/F585-1,"")</x:f>
        <x:v>0</x:v>
      </x:c>
      <x:c r="K585" s="19" t="str">
        <x:v>Exp_1/EXP020/results/seed319922324_Relative_cutoff_1e-5.json</x:v>
      </x:c>
    </x:row>
    <x:row r="586" ht="15" hidden="0" customHeight="1">
      <x:c r="A586" s="3" t="str">
        <x:v>EXP020</x:v>
      </x:c>
      <x:c r="B586" s="3" t="str">
        <x:v>Exp. 1</x:v>
      </x:c>
      <x:c r="C586" s="18" t="n">
        <x:v>319922324</x:v>
      </x:c>
      <x:c r="D586" s="3" t="str">
        <x:v>Fixed rank 10</x:v>
      </x:c>
      <x:c r="E586" s="18" t="n">
        <x:v>200</x:v>
      </x:c>
      <x:c r="F586" s="21" t="n">
        <x:v>370.86828533374825</x:v>
      </x:c>
      <x:c r="G586" s="21" t="n">
        <x:f>F584</x:f>
        <x:v>369.15374966385735</x:v>
      </x:c>
      <x:c r="H586" s="21" t="n">
        <x:f>F589</x:f>
        <x:v>369.15374966385735</x:v>
      </x:c>
      <x:c r="I586" s="27" t="n">
        <x:f>IF(AND(ISNUMBER(G586),ISNUMBER(H586),H586&gt;0),G586/H586-1,"")</x:f>
        <x:v>0</x:v>
      </x:c>
      <x:c r="J586" s="27" t="n">
        <x:f>IF(AND(ISNUMBER(G586),F586&gt;0),G586/F586-1,"")</x:f>
        <x:v>-0.004623031242339759</x:v>
      </x:c>
      <x:c r="K586" s="19" t="str">
        <x:v>Exp_1/EXP020/results/seed319922324_Fixed_rank_10.json</x:v>
      </x:c>
    </x:row>
    <x:row r="587" ht="15" hidden="0" customHeight="1">
      <x:c r="A587" s="3" t="str">
        <x:v>EXP020</x:v>
      </x:c>
      <x:c r="B587" s="3" t="str">
        <x:v>Exp. 1</x:v>
      </x:c>
      <x:c r="C587" s="18" t="n">
        <x:v>319922324</x:v>
      </x:c>
      <x:c r="D587" s="3" t="str">
        <x:v>Fixed rank 25</x:v>
      </x:c>
      <x:c r="E587" s="18" t="n">
        <x:v>200</x:v>
      </x:c>
      <x:c r="F587" s="21" t="n">
        <x:v>369.15374966385735</x:v>
      </x:c>
      <x:c r="G587" s="21" t="n">
        <x:f>F584</x:f>
        <x:v>369.15374966385735</x:v>
      </x:c>
      <x:c r="H587" s="21" t="n">
        <x:f>F589</x:f>
        <x:v>369.15374966385735</x:v>
      </x:c>
      <x:c r="I587" s="27" t="n">
        <x:f>IF(AND(ISNUMBER(G587),ISNUMBER(H587),H587&gt;0),G587/H587-1,"")</x:f>
        <x:v>0</x:v>
      </x:c>
      <x:c r="J587" s="27" t="n">
        <x:f>IF(AND(ISNUMBER(G587),F587&gt;0),G587/F587-1,"")</x:f>
        <x:v>0</x:v>
      </x:c>
      <x:c r="K587" s="19" t="str">
        <x:v>Exp_1/EXP020/results/seed319922324_Fixed_rank_25.json</x:v>
      </x:c>
    </x:row>
    <x:row r="588" ht="15" hidden="0" customHeight="1">
      <x:c r="A588" s="3" t="str">
        <x:v>EXP020</x:v>
      </x:c>
      <x:c r="B588" s="3" t="str">
        <x:v>Exp. 1</x:v>
      </x:c>
      <x:c r="C588" s="18" t="n">
        <x:v>319922324</x:v>
      </x:c>
      <x:c r="D588" s="3" t="str">
        <x:v>Relative cutoff 1e-6</x:v>
      </x:c>
      <x:c r="E588" s="18" t="n">
        <x:v>200</x:v>
      </x:c>
      <x:c r="F588" s="21" t="n">
        <x:v>369.15374966385735</x:v>
      </x:c>
      <x:c r="G588" s="21" t="n">
        <x:f>F584</x:f>
        <x:v>369.15374966385735</x:v>
      </x:c>
      <x:c r="H588" s="21" t="n">
        <x:f>F589</x:f>
        <x:v>369.15374966385735</x:v>
      </x:c>
      <x:c r="I588" s="27" t="n">
        <x:f>IF(AND(ISNUMBER(G588),ISNUMBER(H588),H588&gt;0),G588/H588-1,"")</x:f>
        <x:v>0</x:v>
      </x:c>
      <x:c r="J588" s="27" t="n">
        <x:f>IF(AND(ISNUMBER(G588),F588&gt;0),G588/F588-1,"")</x:f>
        <x:v>0</x:v>
      </x:c>
      <x:c r="K588" s="19" t="str">
        <x:v>Exp_1/EXP020/results/seed319922324_Relative_cutoff_1e-6.json</x:v>
      </x:c>
    </x:row>
    <x:row r="589" ht="15" hidden="0" customHeight="1">
      <x:c r="A589" s="3" t="str">
        <x:v>EXP020</x:v>
      </x:c>
      <x:c r="B589" s="3" t="str">
        <x:v>Exp. 1</x:v>
      </x:c>
      <x:c r="C589" s="18" t="n">
        <x:v>319922324</x:v>
      </x:c>
      <x:c r="D589" s="3" t="str">
        <x:v>Full</x:v>
      </x:c>
      <x:c r="E589" s="18" t="n">
        <x:v>200</x:v>
      </x:c>
      <x:c r="F589" s="21" t="n">
        <x:v>369.15374966385735</x:v>
      </x:c>
      <x:c r="G589" s="21" t="n">
        <x:f>F584</x:f>
        <x:v>369.15374966385735</x:v>
      </x:c>
      <x:c r="H589" s="21" t="n">
        <x:f>F589</x:f>
        <x:v>369.15374966385735</x:v>
      </x:c>
      <x:c r="I589" s="27" t="n">
        <x:f>IF(AND(ISNUMBER(G589),ISNUMBER(H589),H589&gt;0),G589/H589-1,"")</x:f>
        <x:v>0</x:v>
      </x:c>
      <x:c r="J589" s="27" t="n">
        <x:f>IF(AND(ISNUMBER(G589),F589&gt;0),G589/F589-1,"")</x:f>
        <x:v>0</x:v>
      </x:c>
      <x:c r="K589" s="19" t="str">
        <x:v>Exp_1/EXP020/results/seed319922324_Full.json</x:v>
      </x:c>
    </x:row>
    <x:row r="590" ht="15" hidden="0" customHeight="1">
      <x:c r="A590" s="3" t="str">
        <x:v>EXP020</x:v>
      </x:c>
      <x:c r="B590" s="3" t="str">
        <x:v>Exp. 1</x:v>
      </x:c>
      <x:c r="C590" s="18" t="n">
        <x:v>319922324</x:v>
      </x:c>
      <x:c r="D590" s="3" t="str">
        <x:v>Relative cutoff 1e-2</x:v>
      </x:c>
      <x:c r="E590" s="18" t="n">
        <x:v>200</x:v>
      </x:c>
      <x:c r="F590" s="21" t="n">
        <x:v>378.14428511456657</x:v>
      </x:c>
      <x:c r="G590" s="21" t="n">
        <x:f>F584</x:f>
        <x:v>369.15374966385735</x:v>
      </x:c>
      <x:c r="H590" s="21" t="n">
        <x:f>F589</x:f>
        <x:v>369.15374966385735</x:v>
      </x:c>
      <x:c r="I590" s="27" t="n">
        <x:f>IF(AND(ISNUMBER(G590),ISNUMBER(H590),H590&gt;0),G590/H590-1,"")</x:f>
        <x:v>0</x:v>
      </x:c>
      <x:c r="J590" s="27" t="n">
        <x:f>IF(AND(ISNUMBER(G590),F590&gt;0),G590/F590-1,"")</x:f>
        <x:v>-0.023775410087145343</x:v>
      </x:c>
      <x:c r="K590" s="19" t="str">
        <x:v>Exp_1/EXP020/results/seed319922324_Relative_cutoff_1e-2.json</x:v>
      </x:c>
    </x:row>
    <x:row r="591" ht="15" hidden="0" customHeight="1">
      <x:c r="A591" s="3" t="str">
        <x:v>EXP020</x:v>
      </x:c>
      <x:c r="B591" s="3" t="str">
        <x:v>Exp. 1</x:v>
      </x:c>
      <x:c r="C591" s="18" t="n">
        <x:v>319922324</x:v>
      </x:c>
      <x:c r="D591" s="3" t="str">
        <x:v>Relative cutoff 1e-4</x:v>
      </x:c>
      <x:c r="E591" s="18" t="n">
        <x:v>200</x:v>
      </x:c>
      <x:c r="F591" s="21" t="n">
        <x:v>367.1996420737268</x:v>
      </x:c>
      <x:c r="G591" s="21" t="n">
        <x:f>F584</x:f>
        <x:v>369.15374966385735</x:v>
      </x:c>
      <x:c r="H591" s="21" t="n">
        <x:f>F589</x:f>
        <x:v>369.15374966385735</x:v>
      </x:c>
      <x:c r="I591" s="27" t="n">
        <x:f>IF(AND(ISNUMBER(G591),ISNUMBER(H591),H591&gt;0),G591/H591-1,"")</x:f>
        <x:v>0</x:v>
      </x:c>
      <x:c r="J591" s="27" t="n">
        <x:f>IF(AND(ISNUMBER(G591),F591&gt;0),G591/F591-1,"")</x:f>
        <x:v>0.005321648951221558</x:v>
      </x:c>
      <x:c r="K591" s="19" t="str">
        <x:v>Exp_1/EXP020/results/seed319922324_Relative_cutoff_1e-4.json</x:v>
      </x:c>
    </x:row>
    <x:row r="592" ht="15" hidden="0" customHeight="1">
      <x:c r="A592" s="3" t="str">
        <x:v>EXP020</x:v>
      </x:c>
      <x:c r="B592" s="3" t="str">
        <x:v>Exp. 1</x:v>
      </x:c>
      <x:c r="C592" s="18" t="n">
        <x:v>560889375</x:v>
      </x:c>
      <x:c r="D592" s="3" t="str">
        <x:v>BBP</x:v>
      </x:c>
      <x:c r="E592" s="18" t="n">
        <x:v>200</x:v>
      </x:c>
      <x:c r="F592" s="21" t="n">
        <x:v>331.56580583642074</x:v>
      </x:c>
      <x:c r="G592" s="21" t="n">
        <x:f>F592</x:f>
        <x:v>331.56580583642074</x:v>
      </x:c>
      <x:c r="H592" s="21" t="n">
        <x:f>F597</x:f>
        <x:v>331.56580583642074</x:v>
      </x:c>
      <x:c r="I592" s="27" t="n">
        <x:f>IF(AND(ISNUMBER(G592),ISNUMBER(H592),H592&gt;0),G592/H592-1,"")</x:f>
        <x:v>0</x:v>
      </x:c>
      <x:c r="J592" s="27" t="n">
        <x:f>IF(AND(ISNUMBER(G592),F592&gt;0),G592/F592-1,"")</x:f>
        <x:v>0</x:v>
      </x:c>
      <x:c r="K592" s="19" t="str">
        <x:v>Exp_1/EXP020/results/seed560889375_BBP.json</x:v>
      </x:c>
    </x:row>
    <x:row r="593" ht="15" hidden="0" customHeight="1">
      <x:c r="A593" s="3" t="str">
        <x:v>EXP020</x:v>
      </x:c>
      <x:c r="B593" s="3" t="str">
        <x:v>Exp. 1</x:v>
      </x:c>
      <x:c r="C593" s="18" t="n">
        <x:v>560889375</x:v>
      </x:c>
      <x:c r="D593" s="3" t="str">
        <x:v>Relative cutoff 1e-5</x:v>
      </x:c>
      <x:c r="E593" s="18" t="n">
        <x:v>200</x:v>
      </x:c>
      <x:c r="F593" s="21" t="n">
        <x:v>331.56580583642074</x:v>
      </x:c>
      <x:c r="G593" s="21" t="n">
        <x:f>F592</x:f>
        <x:v>331.56580583642074</x:v>
      </x:c>
      <x:c r="H593" s="21" t="n">
        <x:f>F597</x:f>
        <x:v>331.56580583642074</x:v>
      </x:c>
      <x:c r="I593" s="27" t="n">
        <x:f>IF(AND(ISNUMBER(G593),ISNUMBER(H593),H593&gt;0),G593/H593-1,"")</x:f>
        <x:v>0</x:v>
      </x:c>
      <x:c r="J593" s="27" t="n">
        <x:f>IF(AND(ISNUMBER(G593),F593&gt;0),G593/F593-1,"")</x:f>
        <x:v>0</x:v>
      </x:c>
      <x:c r="K593" s="19" t="str">
        <x:v>Exp_1/EXP020/results/seed560889375_Relative_cutoff_1e-5.json</x:v>
      </x:c>
    </x:row>
    <x:row r="594" ht="15" hidden="0" customHeight="1">
      <x:c r="A594" s="3" t="str">
        <x:v>EXP020</x:v>
      </x:c>
      <x:c r="B594" s="3" t="str">
        <x:v>Exp. 1</x:v>
      </x:c>
      <x:c r="C594" s="18" t="n">
        <x:v>560889375</x:v>
      </x:c>
      <x:c r="D594" s="3" t="str">
        <x:v>Fixed rank 10</x:v>
      </x:c>
      <x:c r="E594" s="18" t="n">
        <x:v>200</x:v>
      </x:c>
      <x:c r="F594" s="21" t="n">
        <x:v>334.27201595261477</x:v>
      </x:c>
      <x:c r="G594" s="21" t="n">
        <x:f>F592</x:f>
        <x:v>331.56580583642074</x:v>
      </x:c>
      <x:c r="H594" s="21" t="n">
        <x:f>F597</x:f>
        <x:v>331.56580583642074</x:v>
      </x:c>
      <x:c r="I594" s="27" t="n">
        <x:f>IF(AND(ISNUMBER(G594),ISNUMBER(H594),H594&gt;0),G594/H594-1,"")</x:f>
        <x:v>0</x:v>
      </x:c>
      <x:c r="J594" s="27" t="n">
        <x:f>IF(AND(ISNUMBER(G594),F594&gt;0),G594/F594-1,"")</x:f>
        <x:v>-0.008095832097945177</x:v>
      </x:c>
      <x:c r="K594" s="19" t="str">
        <x:v>Exp_1/EXP020/results/seed560889375_Fixed_rank_10.json</x:v>
      </x:c>
    </x:row>
    <x:row r="595" ht="15" hidden="0" customHeight="1">
      <x:c r="A595" s="3" t="str">
        <x:v>EXP020</x:v>
      </x:c>
      <x:c r="B595" s="3" t="str">
        <x:v>Exp. 1</x:v>
      </x:c>
      <x:c r="C595" s="18" t="n">
        <x:v>560889375</x:v>
      </x:c>
      <x:c r="D595" s="3" t="str">
        <x:v>Fixed rank 25</x:v>
      </x:c>
      <x:c r="E595" s="18" t="n">
        <x:v>200</x:v>
      </x:c>
      <x:c r="F595" s="21" t="n">
        <x:v>331.56580583642074</x:v>
      </x:c>
      <x:c r="G595" s="21" t="n">
        <x:f>F592</x:f>
        <x:v>331.56580583642074</x:v>
      </x:c>
      <x:c r="H595" s="21" t="n">
        <x:f>F597</x:f>
        <x:v>331.56580583642074</x:v>
      </x:c>
      <x:c r="I595" s="27" t="n">
        <x:f>IF(AND(ISNUMBER(G595),ISNUMBER(H595),H595&gt;0),G595/H595-1,"")</x:f>
        <x:v>0</x:v>
      </x:c>
      <x:c r="J595" s="27" t="n">
        <x:f>IF(AND(ISNUMBER(G595),F595&gt;0),G595/F595-1,"")</x:f>
        <x:v>0</x:v>
      </x:c>
      <x:c r="K595" s="19" t="str">
        <x:v>Exp_1/EXP020/results/seed560889375_Fixed_rank_25.json</x:v>
      </x:c>
    </x:row>
    <x:row r="596" ht="15" hidden="0" customHeight="1">
      <x:c r="A596" s="3" t="str">
        <x:v>EXP020</x:v>
      </x:c>
      <x:c r="B596" s="3" t="str">
        <x:v>Exp. 1</x:v>
      </x:c>
      <x:c r="C596" s="18" t="n">
        <x:v>560889375</x:v>
      </x:c>
      <x:c r="D596" s="3" t="str">
        <x:v>Relative cutoff 1e-6</x:v>
      </x:c>
      <x:c r="E596" s="18" t="n">
        <x:v>200</x:v>
      </x:c>
      <x:c r="F596" s="21" t="n">
        <x:v>331.56580583642074</x:v>
      </x:c>
      <x:c r="G596" s="21" t="n">
        <x:f>F592</x:f>
        <x:v>331.56580583642074</x:v>
      </x:c>
      <x:c r="H596" s="21" t="n">
        <x:f>F597</x:f>
        <x:v>331.56580583642074</x:v>
      </x:c>
      <x:c r="I596" s="27" t="n">
        <x:f>IF(AND(ISNUMBER(G596),ISNUMBER(H596),H596&gt;0),G596/H596-1,"")</x:f>
        <x:v>0</x:v>
      </x:c>
      <x:c r="J596" s="27" t="n">
        <x:f>IF(AND(ISNUMBER(G596),F596&gt;0),G596/F596-1,"")</x:f>
        <x:v>0</x:v>
      </x:c>
      <x:c r="K596" s="19" t="str">
        <x:v>Exp_1/EXP020/results/seed560889375_Relative_cutoff_1e-6.json</x:v>
      </x:c>
    </x:row>
    <x:row r="597" ht="15" hidden="0" customHeight="1">
      <x:c r="A597" s="3" t="str">
        <x:v>EXP020</x:v>
      </x:c>
      <x:c r="B597" s="3" t="str">
        <x:v>Exp. 1</x:v>
      </x:c>
      <x:c r="C597" s="18" t="n">
        <x:v>560889375</x:v>
      </x:c>
      <x:c r="D597" s="3" t="str">
        <x:v>Full</x:v>
      </x:c>
      <x:c r="E597" s="18" t="n">
        <x:v>200</x:v>
      </x:c>
      <x:c r="F597" s="21" t="n">
        <x:v>331.56580583642074</x:v>
      </x:c>
      <x:c r="G597" s="21" t="n">
        <x:f>F592</x:f>
        <x:v>331.56580583642074</x:v>
      </x:c>
      <x:c r="H597" s="21" t="n">
        <x:f>F597</x:f>
        <x:v>331.56580583642074</x:v>
      </x:c>
      <x:c r="I597" s="27" t="n">
        <x:f>IF(AND(ISNUMBER(G597),ISNUMBER(H597),H597&gt;0),G597/H597-1,"")</x:f>
        <x:v>0</x:v>
      </x:c>
      <x:c r="J597" s="27" t="n">
        <x:f>IF(AND(ISNUMBER(G597),F597&gt;0),G597/F597-1,"")</x:f>
        <x:v>0</x:v>
      </x:c>
      <x:c r="K597" s="19" t="str">
        <x:v>Exp_1/EXP020/results/seed560889375_Full.json</x:v>
      </x:c>
    </x:row>
    <x:row r="598" ht="15" hidden="0" customHeight="1">
      <x:c r="A598" s="3" t="str">
        <x:v>EXP020</x:v>
      </x:c>
      <x:c r="B598" s="3" t="str">
        <x:v>Exp. 1</x:v>
      </x:c>
      <x:c r="C598" s="18" t="n">
        <x:v>560889375</x:v>
      </x:c>
      <x:c r="D598" s="3" t="str">
        <x:v>Relative cutoff 1e-2</x:v>
      </x:c>
      <x:c r="E598" s="18" t="n">
        <x:v>200</x:v>
      </x:c>
      <x:c r="F598" s="21" t="n">
        <x:v>342.071604100713</x:v>
      </x:c>
      <x:c r="G598" s="21" t="n">
        <x:f>F592</x:f>
        <x:v>331.56580583642074</x:v>
      </x:c>
      <x:c r="H598" s="21" t="n">
        <x:f>F597</x:f>
        <x:v>331.56580583642074</x:v>
      </x:c>
      <x:c r="I598" s="27" t="n">
        <x:f>IF(AND(ISNUMBER(G598),ISNUMBER(H598),H598&gt;0),G598/H598-1,"")</x:f>
        <x:v>0</x:v>
      </x:c>
      <x:c r="J598" s="27" t="n">
        <x:f>IF(AND(ISNUMBER(G598),F598&gt;0),G598/F598-1,"")</x:f>
        <x:v>-0.030712278184888864</x:v>
      </x:c>
      <x:c r="K598" s="19" t="str">
        <x:v>Exp_1/EXP020/results/seed560889375_Relative_cutoff_1e-2.json</x:v>
      </x:c>
    </x:row>
    <x:row r="599" ht="15" hidden="0" customHeight="1">
      <x:c r="A599" s="3" t="str">
        <x:v>EXP020</x:v>
      </x:c>
      <x:c r="B599" s="3" t="str">
        <x:v>Exp. 1</x:v>
      </x:c>
      <x:c r="C599" s="18" t="n">
        <x:v>560889375</x:v>
      </x:c>
      <x:c r="D599" s="3" t="str">
        <x:v>Relative cutoff 1e-4</x:v>
      </x:c>
      <x:c r="E599" s="18" t="n">
        <x:v>200</x:v>
      </x:c>
      <x:c r="F599" s="21" t="n">
        <x:v>336.18316163916427</x:v>
      </x:c>
      <x:c r="G599" s="21" t="n">
        <x:f>F592</x:f>
        <x:v>331.56580583642074</x:v>
      </x:c>
      <x:c r="H599" s="21" t="n">
        <x:f>F597</x:f>
        <x:v>331.56580583642074</x:v>
      </x:c>
      <x:c r="I599" s="27" t="n">
        <x:f>IF(AND(ISNUMBER(G599),ISNUMBER(H599),H599&gt;0),G599/H599-1,"")</x:f>
        <x:v>0</x:v>
      </x:c>
      <x:c r="J599" s="27" t="n">
        <x:f>IF(AND(ISNUMBER(G599),F599&gt;0),G599/F599-1,"")</x:f>
        <x:v>-0.013734643282638515</x:v>
      </x:c>
      <x:c r="K599" s="19" t="str">
        <x:v>Exp_1/EXP020/results/seed560889375_Relative_cutoff_1e-4.json</x:v>
      </x:c>
    </x:row>
    <x:row r="600" ht="15" hidden="0" customHeight="1">
      <x:c r="A600" s="3" t="str">
        <x:v>EXP020</x:v>
      </x:c>
      <x:c r="B600" s="3" t="str">
        <x:v>Exp. 1</x:v>
      </x:c>
      <x:c r="C600" s="18" t="n">
        <x:v>666829030</x:v>
      </x:c>
      <x:c r="D600" s="3" t="str">
        <x:v>BBP</x:v>
      </x:c>
      <x:c r="E600" s="18" t="n">
        <x:v>200</x:v>
      </x:c>
      <x:c r="F600" s="21" t="n">
        <x:v>285.35065352150605</x:v>
      </x:c>
      <x:c r="G600" s="21" t="n">
        <x:f>F600</x:f>
        <x:v>285.35065352150605</x:v>
      </x:c>
      <x:c r="H600" s="21" t="n">
        <x:f>F605</x:f>
        <x:v>292.8414018759205</x:v>
      </x:c>
      <x:c r="I600" s="27" t="n">
        <x:f>IF(AND(ISNUMBER(G600),ISNUMBER(H600),H600&gt;0),G600/H600-1,"")</x:f>
        <x:v>-0.025579540005030932</x:v>
      </x:c>
      <x:c r="J600" s="27" t="n">
        <x:f>IF(AND(ISNUMBER(G600),F600&gt;0),G600/F600-1,"")</x:f>
        <x:v>0</x:v>
      </x:c>
      <x:c r="K600" s="19" t="str">
        <x:v>Exp_1/EXP020/results/seed666829030_BBP.json</x:v>
      </x:c>
    </x:row>
    <x:row r="601" ht="15" hidden="0" customHeight="1">
      <x:c r="A601" s="3" t="str">
        <x:v>EXP020</x:v>
      </x:c>
      <x:c r="B601" s="3" t="str">
        <x:v>Exp. 1</x:v>
      </x:c>
      <x:c r="C601" s="18" t="n">
        <x:v>666829030</x:v>
      </x:c>
      <x:c r="D601" s="3" t="str">
        <x:v>Relative cutoff 1e-5</x:v>
      </x:c>
      <x:c r="E601" s="18" t="n">
        <x:v>200</x:v>
      </x:c>
      <x:c r="F601" s="21" t="n">
        <x:v>285.35065352150605</x:v>
      </x:c>
      <x:c r="G601" s="21" t="n">
        <x:f>F600</x:f>
        <x:v>285.35065352150605</x:v>
      </x:c>
      <x:c r="H601" s="21" t="n">
        <x:f>F605</x:f>
        <x:v>292.8414018759205</x:v>
      </x:c>
      <x:c r="I601" s="27" t="n">
        <x:f>IF(AND(ISNUMBER(G601),ISNUMBER(H601),H601&gt;0),G601/H601-1,"")</x:f>
        <x:v>-0.025579540005030932</x:v>
      </x:c>
      <x:c r="J601" s="27" t="n">
        <x:f>IF(AND(ISNUMBER(G601),F601&gt;0),G601/F601-1,"")</x:f>
        <x:v>0</x:v>
      </x:c>
      <x:c r="K601" s="19" t="str">
        <x:v>Exp_1/EXP020/results/seed666829030_Relative_cutoff_1e-5.json</x:v>
      </x:c>
    </x:row>
    <x:row r="602" ht="15" hidden="0" customHeight="1">
      <x:c r="A602" s="3" t="str">
        <x:v>EXP020</x:v>
      </x:c>
      <x:c r="B602" s="3" t="str">
        <x:v>Exp. 1</x:v>
      </x:c>
      <x:c r="C602" s="18" t="n">
        <x:v>666829030</x:v>
      </x:c>
      <x:c r="D602" s="3" t="str">
        <x:v>Fixed rank 10</x:v>
      </x:c>
      <x:c r="E602" s="18" t="n">
        <x:v>200</x:v>
      </x:c>
      <x:c r="F602" s="21" t="n">
        <x:v>290.6150189257127</x:v>
      </x:c>
      <x:c r="G602" s="21" t="n">
        <x:f>F600</x:f>
        <x:v>285.35065352150605</x:v>
      </x:c>
      <x:c r="H602" s="21" t="n">
        <x:f>F605</x:f>
        <x:v>292.8414018759205</x:v>
      </x:c>
      <x:c r="I602" s="27" t="n">
        <x:f>IF(AND(ISNUMBER(G602),ISNUMBER(H602),H602&gt;0),G602/H602-1,"")</x:f>
        <x:v>-0.025579540005030932</x:v>
      </x:c>
      <x:c r="J602" s="27" t="n">
        <x:f>IF(AND(ISNUMBER(G602),F602&gt;0),G602/F602-1,"")</x:f>
        <x:v>-0.01811456759415575</x:v>
      </x:c>
      <x:c r="K602" s="19" t="str">
        <x:v>Exp_1/EXP020/results/seed666829030_Fixed_rank_10.json</x:v>
      </x:c>
    </x:row>
    <x:row r="603" ht="15" hidden="0" customHeight="1">
      <x:c r="A603" s="3" t="str">
        <x:v>EXP020</x:v>
      </x:c>
      <x:c r="B603" s="3" t="str">
        <x:v>Exp. 1</x:v>
      </x:c>
      <x:c r="C603" s="18" t="n">
        <x:v>666829030</x:v>
      </x:c>
      <x:c r="D603" s="3" t="str">
        <x:v>Fixed rank 25</x:v>
      </x:c>
      <x:c r="E603" s="18" t="n">
        <x:v>200</x:v>
      </x:c>
      <x:c r="F603" s="21" t="n">
        <x:v>285.35065352150605</x:v>
      </x:c>
      <x:c r="G603" s="21" t="n">
        <x:f>F600</x:f>
        <x:v>285.35065352150605</x:v>
      </x:c>
      <x:c r="H603" s="21" t="n">
        <x:f>F605</x:f>
        <x:v>292.8414018759205</x:v>
      </x:c>
      <x:c r="I603" s="27" t="n">
        <x:f>IF(AND(ISNUMBER(G603),ISNUMBER(H603),H603&gt;0),G603/H603-1,"")</x:f>
        <x:v>-0.025579540005030932</x:v>
      </x:c>
      <x:c r="J603" s="27" t="n">
        <x:f>IF(AND(ISNUMBER(G603),F603&gt;0),G603/F603-1,"")</x:f>
        <x:v>0</x:v>
      </x:c>
      <x:c r="K603" s="19" t="str">
        <x:v>Exp_1/EXP020/results/seed666829030_Fixed_rank_25.json</x:v>
      </x:c>
    </x:row>
    <x:row r="604" ht="15" hidden="0" customHeight="1">
      <x:c r="A604" s="3" t="str">
        <x:v>EXP020</x:v>
      </x:c>
      <x:c r="B604" s="3" t="str">
        <x:v>Exp. 1</x:v>
      </x:c>
      <x:c r="C604" s="18" t="n">
        <x:v>666829030</x:v>
      </x:c>
      <x:c r="D604" s="3" t="str">
        <x:v>Relative cutoff 1e-6</x:v>
      </x:c>
      <x:c r="E604" s="18" t="n">
        <x:v>200</x:v>
      </x:c>
      <x:c r="F604" s="21" t="n">
        <x:v>292.8414018759205</x:v>
      </x:c>
      <x:c r="G604" s="21" t="n">
        <x:f>F600</x:f>
        <x:v>285.35065352150605</x:v>
      </x:c>
      <x:c r="H604" s="21" t="n">
        <x:f>F605</x:f>
        <x:v>292.8414018759205</x:v>
      </x:c>
      <x:c r="I604" s="27" t="n">
        <x:f>IF(AND(ISNUMBER(G604),ISNUMBER(H604),H604&gt;0),G604/H604-1,"")</x:f>
        <x:v>-0.025579540005030932</x:v>
      </x:c>
      <x:c r="J604" s="27" t="n">
        <x:f>IF(AND(ISNUMBER(G604),F604&gt;0),G604/F604-1,"")</x:f>
        <x:v>-0.025579540005030932</x:v>
      </x:c>
      <x:c r="K604" s="19" t="str">
        <x:v>Exp_1/EXP020/results/seed666829030_Relative_cutoff_1e-6.json</x:v>
      </x:c>
    </x:row>
    <x:row r="605" ht="15" hidden="0" customHeight="1">
      <x:c r="A605" s="3" t="str">
        <x:v>EXP020</x:v>
      </x:c>
      <x:c r="B605" s="3" t="str">
        <x:v>Exp. 1</x:v>
      </x:c>
      <x:c r="C605" s="18" t="n">
        <x:v>666829030</x:v>
      </x:c>
      <x:c r="D605" s="3" t="str">
        <x:v>Full</x:v>
      </x:c>
      <x:c r="E605" s="18" t="n">
        <x:v>200</x:v>
      </x:c>
      <x:c r="F605" s="21" t="n">
        <x:v>292.8414018759205</x:v>
      </x:c>
      <x:c r="G605" s="21" t="n">
        <x:f>F600</x:f>
        <x:v>285.35065352150605</x:v>
      </x:c>
      <x:c r="H605" s="21" t="n">
        <x:f>F605</x:f>
        <x:v>292.8414018759205</x:v>
      </x:c>
      <x:c r="I605" s="27" t="n">
        <x:f>IF(AND(ISNUMBER(G605),ISNUMBER(H605),H605&gt;0),G605/H605-1,"")</x:f>
        <x:v>-0.025579540005030932</x:v>
      </x:c>
      <x:c r="J605" s="27" t="n">
        <x:f>IF(AND(ISNUMBER(G605),F605&gt;0),G605/F605-1,"")</x:f>
        <x:v>-0.025579540005030932</x:v>
      </x:c>
      <x:c r="K605" s="19" t="str">
        <x:v>Exp_1/EXP020/results/seed666829030_Full.json</x:v>
      </x:c>
    </x:row>
    <x:row r="606" ht="15" hidden="0" customHeight="1">
      <x:c r="A606" s="3" t="str">
        <x:v>EXP020</x:v>
      </x:c>
      <x:c r="B606" s="3" t="str">
        <x:v>Exp. 1</x:v>
      </x:c>
      <x:c r="C606" s="18" t="n">
        <x:v>666829030</x:v>
      </x:c>
      <x:c r="D606" s="3" t="str">
        <x:v>Relative cutoff 1e-2</x:v>
      </x:c>
      <x:c r="E606" s="18" t="n">
        <x:v>200</x:v>
      </x:c>
      <x:c r="F606" s="21" t="n">
        <x:v>292.69223812328136</x:v>
      </x:c>
      <x:c r="G606" s="21" t="n">
        <x:f>F600</x:f>
        <x:v>285.35065352150605</x:v>
      </x:c>
      <x:c r="H606" s="21" t="n">
        <x:f>F605</x:f>
        <x:v>292.8414018759205</x:v>
      </x:c>
      <x:c r="I606" s="27" t="n">
        <x:f>IF(AND(ISNUMBER(G606),ISNUMBER(H606),H606&gt;0),G606/H606-1,"")</x:f>
        <x:v>-0.025579540005030932</x:v>
      </x:c>
      <x:c r="J606" s="27" t="n">
        <x:f>IF(AND(ISNUMBER(G606),F606&gt;0),G606/F606-1,"")</x:f>
        <x:v>-0.025082949410783706</x:v>
      </x:c>
      <x:c r="K606" s="19" t="str">
        <x:v>Exp_1/EXP020/results/seed666829030_Relative_cutoff_1e-2.json</x:v>
      </x:c>
    </x:row>
    <x:row r="607" ht="15" hidden="0" customHeight="1">
      <x:c r="A607" s="3" t="str">
        <x:v>EXP020</x:v>
      </x:c>
      <x:c r="B607" s="3" t="str">
        <x:v>Exp. 1</x:v>
      </x:c>
      <x:c r="C607" s="18" t="n">
        <x:v>666829030</x:v>
      </x:c>
      <x:c r="D607" s="3" t="str">
        <x:v>Relative cutoff 1e-4</x:v>
      </x:c>
      <x:c r="E607" s="18" t="n">
        <x:v>200</x:v>
      </x:c>
      <x:c r="F607" s="21" t="n">
        <x:v>290.6150189257127</x:v>
      </x:c>
      <x:c r="G607" s="21" t="n">
        <x:f>F600</x:f>
        <x:v>285.35065352150605</x:v>
      </x:c>
      <x:c r="H607" s="21" t="n">
        <x:f>F605</x:f>
        <x:v>292.8414018759205</x:v>
      </x:c>
      <x:c r="I607" s="27" t="n">
        <x:f>IF(AND(ISNUMBER(G607),ISNUMBER(H607),H607&gt;0),G607/H607-1,"")</x:f>
        <x:v>-0.025579540005030932</x:v>
      </x:c>
      <x:c r="J607" s="27" t="n">
        <x:f>IF(AND(ISNUMBER(G607),F607&gt;0),G607/F607-1,"")</x:f>
        <x:v>-0.01811456759415575</x:v>
      </x:c>
      <x:c r="K607" s="19" t="str">
        <x:v>Exp_1/EXP020/results/seed666829030_Relative_cutoff_1e-4.json</x:v>
      </x:c>
    </x:row>
    <x:row r="608" ht="15" hidden="0" customHeight="1">
      <x:c r="A608" s="3" t="str">
        <x:v>EXP020</x:v>
      </x:c>
      <x:c r="B608" s="3" t="str">
        <x:v>Exp. 1</x:v>
      </x:c>
      <x:c r="C608" s="18" t="n">
        <x:v>748076223</x:v>
      </x:c>
      <x:c r="D608" s="3" t="str">
        <x:v>BBP</x:v>
      </x:c>
      <x:c r="E608" s="18" t="n">
        <x:v>200</x:v>
      </x:c>
      <x:c r="F608" s="21" t="n">
        <x:v>317.9167843971504</x:v>
      </x:c>
      <x:c r="G608" s="21" t="n">
        <x:f>F608</x:f>
        <x:v>317.9167843971504</x:v>
      </x:c>
      <x:c r="H608" s="21" t="n">
        <x:f>F613</x:f>
        <x:v>317.9167843971504</x:v>
      </x:c>
      <x:c r="I608" s="27" t="n">
        <x:f>IF(AND(ISNUMBER(G608),ISNUMBER(H608),H608&gt;0),G608/H608-1,"")</x:f>
        <x:v>0</x:v>
      </x:c>
      <x:c r="J608" s="27" t="n">
        <x:f>IF(AND(ISNUMBER(G608),F608&gt;0),G608/F608-1,"")</x:f>
        <x:v>0</x:v>
      </x:c>
      <x:c r="K608" s="19" t="str">
        <x:v>Exp_1/EXP020/results/seed748076223_BBP.json</x:v>
      </x:c>
    </x:row>
    <x:row r="609" ht="15" hidden="0" customHeight="1">
      <x:c r="A609" s="3" t="str">
        <x:v>EXP020</x:v>
      </x:c>
      <x:c r="B609" s="3" t="str">
        <x:v>Exp. 1</x:v>
      </x:c>
      <x:c r="C609" s="18" t="n">
        <x:v>748076223</x:v>
      </x:c>
      <x:c r="D609" s="3" t="str">
        <x:v>Relative cutoff 1e-5</x:v>
      </x:c>
      <x:c r="E609" s="18" t="n">
        <x:v>200</x:v>
      </x:c>
      <x:c r="F609" s="21" t="n">
        <x:v>317.9167843971504</x:v>
      </x:c>
      <x:c r="G609" s="21" t="n">
        <x:f>F608</x:f>
        <x:v>317.9167843971504</x:v>
      </x:c>
      <x:c r="H609" s="21" t="n">
        <x:f>F613</x:f>
        <x:v>317.9167843971504</x:v>
      </x:c>
      <x:c r="I609" s="27" t="n">
        <x:f>IF(AND(ISNUMBER(G609),ISNUMBER(H609),H609&gt;0),G609/H609-1,"")</x:f>
        <x:v>0</x:v>
      </x:c>
      <x:c r="J609" s="27" t="n">
        <x:f>IF(AND(ISNUMBER(G609),F609&gt;0),G609/F609-1,"")</x:f>
        <x:v>0</x:v>
      </x:c>
      <x:c r="K609" s="19" t="str">
        <x:v>Exp_1/EXP020/results/seed748076223_Relative_cutoff_1e-5.json</x:v>
      </x:c>
    </x:row>
    <x:row r="610" ht="15" hidden="0" customHeight="1">
      <x:c r="A610" s="3" t="str">
        <x:v>EXP020</x:v>
      </x:c>
      <x:c r="B610" s="3" t="str">
        <x:v>Exp. 1</x:v>
      </x:c>
      <x:c r="C610" s="18" t="n">
        <x:v>748076223</x:v>
      </x:c>
      <x:c r="D610" s="3" t="str">
        <x:v>Fixed rank 10</x:v>
      </x:c>
      <x:c r="E610" s="18" t="n">
        <x:v>200</x:v>
      </x:c>
      <x:c r="F610" s="21" t="n">
        <x:v>300.3312172749072</x:v>
      </x:c>
      <x:c r="G610" s="21" t="n">
        <x:f>F608</x:f>
        <x:v>317.9167843971504</x:v>
      </x:c>
      <x:c r="H610" s="21" t="n">
        <x:f>F613</x:f>
        <x:v>317.9167843971504</x:v>
      </x:c>
      <x:c r="I610" s="27" t="n">
        <x:f>IF(AND(ISNUMBER(G610),ISNUMBER(H610),H610&gt;0),G610/H610-1,"")</x:f>
        <x:v>0</x:v>
      </x:c>
      <x:c r="J610" s="27" t="n">
        <x:f>IF(AND(ISNUMBER(G610),F610&gt;0),G610/F610-1,"")</x:f>
        <x:v>0.058553910185587865</x:v>
      </x:c>
      <x:c r="K610" s="19" t="str">
        <x:v>Exp_1/EXP020/results/seed748076223_Fixed_rank_10.json</x:v>
      </x:c>
    </x:row>
    <x:row r="611" ht="15" hidden="0" customHeight="1">
      <x:c r="A611" s="3" t="str">
        <x:v>EXP020</x:v>
      </x:c>
      <x:c r="B611" s="3" t="str">
        <x:v>Exp. 1</x:v>
      </x:c>
      <x:c r="C611" s="18" t="n">
        <x:v>748076223</x:v>
      </x:c>
      <x:c r="D611" s="3" t="str">
        <x:v>Fixed rank 25</x:v>
      </x:c>
      <x:c r="E611" s="18" t="n">
        <x:v>200</x:v>
      </x:c>
      <x:c r="F611" s="21" t="n">
        <x:v>317.9167843971504</x:v>
      </x:c>
      <x:c r="G611" s="21" t="n">
        <x:f>F608</x:f>
        <x:v>317.9167843971504</x:v>
      </x:c>
      <x:c r="H611" s="21" t="n">
        <x:f>F613</x:f>
        <x:v>317.9167843971504</x:v>
      </x:c>
      <x:c r="I611" s="27" t="n">
        <x:f>IF(AND(ISNUMBER(G611),ISNUMBER(H611),H611&gt;0),G611/H611-1,"")</x:f>
        <x:v>0</x:v>
      </x:c>
      <x:c r="J611" s="27" t="n">
        <x:f>IF(AND(ISNUMBER(G611),F611&gt;0),G611/F611-1,"")</x:f>
        <x:v>0</x:v>
      </x:c>
      <x:c r="K611" s="19" t="str">
        <x:v>Exp_1/EXP020/results/seed748076223_Fixed_rank_25.json</x:v>
      </x:c>
    </x:row>
    <x:row r="612" ht="15" hidden="0" customHeight="1">
      <x:c r="A612" s="3" t="str">
        <x:v>EXP020</x:v>
      </x:c>
      <x:c r="B612" s="3" t="str">
        <x:v>Exp. 1</x:v>
      </x:c>
      <x:c r="C612" s="18" t="n">
        <x:v>748076223</x:v>
      </x:c>
      <x:c r="D612" s="3" t="str">
        <x:v>Relative cutoff 1e-6</x:v>
      </x:c>
      <x:c r="E612" s="18" t="n">
        <x:v>200</x:v>
      </x:c>
      <x:c r="F612" s="21" t="n">
        <x:v>317.9167843971504</x:v>
      </x:c>
      <x:c r="G612" s="21" t="n">
        <x:f>F608</x:f>
        <x:v>317.9167843971504</x:v>
      </x:c>
      <x:c r="H612" s="21" t="n">
        <x:f>F613</x:f>
        <x:v>317.9167843971504</x:v>
      </x:c>
      <x:c r="I612" s="27" t="n">
        <x:f>IF(AND(ISNUMBER(G612),ISNUMBER(H612),H612&gt;0),G612/H612-1,"")</x:f>
        <x:v>0</x:v>
      </x:c>
      <x:c r="J612" s="27" t="n">
        <x:f>IF(AND(ISNUMBER(G612),F612&gt;0),G612/F612-1,"")</x:f>
        <x:v>0</x:v>
      </x:c>
      <x:c r="K612" s="19" t="str">
        <x:v>Exp_1/EXP020/results/seed748076223_Relative_cutoff_1e-6.json</x:v>
      </x:c>
    </x:row>
    <x:row r="613" ht="15" hidden="0" customHeight="1">
      <x:c r="A613" s="3" t="str">
        <x:v>EXP020</x:v>
      </x:c>
      <x:c r="B613" s="3" t="str">
        <x:v>Exp. 1</x:v>
      </x:c>
      <x:c r="C613" s="18" t="n">
        <x:v>748076223</x:v>
      </x:c>
      <x:c r="D613" s="3" t="str">
        <x:v>Full</x:v>
      </x:c>
      <x:c r="E613" s="18" t="n">
        <x:v>200</x:v>
      </x:c>
      <x:c r="F613" s="21" t="n">
        <x:v>317.9167843971504</x:v>
      </x:c>
      <x:c r="G613" s="21" t="n">
        <x:f>F608</x:f>
        <x:v>317.9167843971504</x:v>
      </x:c>
      <x:c r="H613" s="21" t="n">
        <x:f>F613</x:f>
        <x:v>317.9167843971504</x:v>
      </x:c>
      <x:c r="I613" s="27" t="n">
        <x:f>IF(AND(ISNUMBER(G613),ISNUMBER(H613),H613&gt;0),G613/H613-1,"")</x:f>
        <x:v>0</x:v>
      </x:c>
      <x:c r="J613" s="27" t="n">
        <x:f>IF(AND(ISNUMBER(G613),F613&gt;0),G613/F613-1,"")</x:f>
        <x:v>0</x:v>
      </x:c>
      <x:c r="K613" s="19" t="str">
        <x:v>Exp_1/EXP020/results/seed748076223_Full.json</x:v>
      </x:c>
    </x:row>
    <x:row r="614" ht="15" hidden="0" customHeight="1">
      <x:c r="A614" s="3" t="str">
        <x:v>EXP020</x:v>
      </x:c>
      <x:c r="B614" s="3" t="str">
        <x:v>Exp. 1</x:v>
      </x:c>
      <x:c r="C614" s="18" t="n">
        <x:v>748076223</x:v>
      </x:c>
      <x:c r="D614" s="3" t="str">
        <x:v>Relative cutoff 1e-2</x:v>
      </x:c>
      <x:c r="E614" s="18" t="n">
        <x:v>200</x:v>
      </x:c>
      <x:c r="F614" s="21" t="n">
        <x:v>331.363005915191</x:v>
      </x:c>
      <x:c r="G614" s="21" t="n">
        <x:f>F608</x:f>
        <x:v>317.9167843971504</x:v>
      </x:c>
      <x:c r="H614" s="21" t="n">
        <x:f>F613</x:f>
        <x:v>317.9167843971504</x:v>
      </x:c>
      <x:c r="I614" s="27" t="n">
        <x:f>IF(AND(ISNUMBER(G614),ISNUMBER(H614),H614&gt;0),G614/H614-1,"")</x:f>
        <x:v>0</x:v>
      </x:c>
      <x:c r="J614" s="27" t="n">
        <x:f>IF(AND(ISNUMBER(G614),F614&gt;0),G614/F614-1,"")</x:f>
        <x:v>-0.040578523486360485</x:v>
      </x:c>
      <x:c r="K614" s="19" t="str">
        <x:v>Exp_1/EXP020/results/seed748076223_Relative_cutoff_1e-2.json</x:v>
      </x:c>
    </x:row>
    <x:row r="615" ht="15" hidden="0" customHeight="1">
      <x:c r="A615" s="3" t="str">
        <x:v>EXP020</x:v>
      </x:c>
      <x:c r="B615" s="3" t="str">
        <x:v>Exp. 1</x:v>
      </x:c>
      <x:c r="C615" s="18" t="n">
        <x:v>748076223</x:v>
      </x:c>
      <x:c r="D615" s="3" t="str">
        <x:v>Relative cutoff 1e-4</x:v>
      </x:c>
      <x:c r="E615" s="18" t="n">
        <x:v>200</x:v>
      </x:c>
      <x:c r="F615" s="21" t="n">
        <x:v>306.2182631382521</x:v>
      </x:c>
      <x:c r="G615" s="21" t="n">
        <x:f>F608</x:f>
        <x:v>317.9167843971504</x:v>
      </x:c>
      <x:c r="H615" s="21" t="n">
        <x:f>F613</x:f>
        <x:v>317.9167843971504</x:v>
      </x:c>
      <x:c r="I615" s="27" t="n">
        <x:f>IF(AND(ISNUMBER(G615),ISNUMBER(H615),H615&gt;0),G615/H615-1,"")</x:f>
        <x:v>0</x:v>
      </x:c>
      <x:c r="J615" s="27" t="n">
        <x:f>IF(AND(ISNUMBER(G615),F615&gt;0),G615/F615-1,"")</x:f>
        <x:v>0.03820321211088795</x:v>
      </x:c>
      <x:c r="K615" s="19" t="str">
        <x:v>Exp_1/EXP020/results/seed748076223_Relative_cutoff_1e-4.json</x:v>
      </x:c>
    </x:row>
    <x:row r="616" ht="15" hidden="0" customHeight="1">
      <x:c r="A616" s="3" t="str">
        <x:v>EXP020</x:v>
      </x:c>
      <x:c r="B616" s="3" t="str">
        <x:v>Exp. 1</x:v>
      </x:c>
      <x:c r="C616" s="18" t="n">
        <x:v>954779777</x:v>
      </x:c>
      <x:c r="D616" s="3" t="str">
        <x:v>BBP</x:v>
      </x:c>
      <x:c r="E616" s="18" t="n">
        <x:v>200</x:v>
      </x:c>
      <x:c r="F616" s="21" t="n">
        <x:v>381.135821425823</x:v>
      </x:c>
      <x:c r="G616" s="21" t="n">
        <x:f>F616</x:f>
        <x:v>381.135821425823</x:v>
      </x:c>
      <x:c r="H616" s="21" t="n">
        <x:f>F621</x:f>
        <x:v>381.135821425823</x:v>
      </x:c>
      <x:c r="I616" s="27" t="n">
        <x:f>IF(AND(ISNUMBER(G616),ISNUMBER(H616),H616&gt;0),G616/H616-1,"")</x:f>
        <x:v>0</x:v>
      </x:c>
      <x:c r="J616" s="27" t="n">
        <x:f>IF(AND(ISNUMBER(G616),F616&gt;0),G616/F616-1,"")</x:f>
        <x:v>0</x:v>
      </x:c>
      <x:c r="K616" s="19" t="str">
        <x:v>Exp_1/EXP020/results/seed954779777_BBP.json</x:v>
      </x:c>
    </x:row>
    <x:row r="617" ht="15" hidden="0" customHeight="1">
      <x:c r="A617" s="3" t="str">
        <x:v>EXP020</x:v>
      </x:c>
      <x:c r="B617" s="3" t="str">
        <x:v>Exp. 1</x:v>
      </x:c>
      <x:c r="C617" s="18" t="n">
        <x:v>954779777</x:v>
      </x:c>
      <x:c r="D617" s="3" t="str">
        <x:v>Relative cutoff 1e-5</x:v>
      </x:c>
      <x:c r="E617" s="18" t="n">
        <x:v>200</x:v>
      </x:c>
      <x:c r="F617" s="21" t="n">
        <x:v>391.7375656346341</x:v>
      </x:c>
      <x:c r="G617" s="21" t="n">
        <x:f>F616</x:f>
        <x:v>381.135821425823</x:v>
      </x:c>
      <x:c r="H617" s="21" t="n">
        <x:f>F621</x:f>
        <x:v>381.135821425823</x:v>
      </x:c>
      <x:c r="I617" s="27" t="n">
        <x:f>IF(AND(ISNUMBER(G617),ISNUMBER(H617),H617&gt;0),G617/H617-1,"")</x:f>
        <x:v>0</x:v>
      </x:c>
      <x:c r="J617" s="27" t="n">
        <x:f>IF(AND(ISNUMBER(G617),F617&gt;0),G617/F617-1,"")</x:f>
        <x:v>-0.027063384109297206</x:v>
      </x:c>
      <x:c r="K617" s="19" t="str">
        <x:v>Exp_1/EXP020/results/seed954779777_Relative_cutoff_1e-5.json</x:v>
      </x:c>
    </x:row>
    <x:row r="618" ht="15" hidden="0" customHeight="1">
      <x:c r="A618" s="3" t="str">
        <x:v>EXP020</x:v>
      </x:c>
      <x:c r="B618" s="3" t="str">
        <x:v>Exp. 1</x:v>
      </x:c>
      <x:c r="C618" s="18" t="n">
        <x:v>954779777</x:v>
      </x:c>
      <x:c r="D618" s="3" t="str">
        <x:v>Fixed rank 10</x:v>
      </x:c>
      <x:c r="E618" s="18" t="n">
        <x:v>200</x:v>
      </x:c>
      <x:c r="F618" s="21" t="n">
        <x:v>388.93643178091605</x:v>
      </x:c>
      <x:c r="G618" s="21" t="n">
        <x:f>F616</x:f>
        <x:v>381.135821425823</x:v>
      </x:c>
      <x:c r="H618" s="21" t="n">
        <x:f>F621</x:f>
        <x:v>381.135821425823</x:v>
      </x:c>
      <x:c r="I618" s="27" t="n">
        <x:f>IF(AND(ISNUMBER(G618),ISNUMBER(H618),H618&gt;0),G618/H618-1,"")</x:f>
        <x:v>0</x:v>
      </x:c>
      <x:c r="J618" s="27" t="n">
        <x:f>IF(AND(ISNUMBER(G618),F618&gt;0),G618/F618-1,"")</x:f>
        <x:v>-0.020056260400638015</x:v>
      </x:c>
      <x:c r="K618" s="19" t="str">
        <x:v>Exp_1/EXP020/results/seed954779777_Fixed_rank_10.json</x:v>
      </x:c>
    </x:row>
    <x:row r="619" ht="15" hidden="0" customHeight="1">
      <x:c r="A619" s="3" t="str">
        <x:v>EXP020</x:v>
      </x:c>
      <x:c r="B619" s="3" t="str">
        <x:v>Exp. 1</x:v>
      </x:c>
      <x:c r="C619" s="18" t="n">
        <x:v>954779777</x:v>
      </x:c>
      <x:c r="D619" s="3" t="str">
        <x:v>Fixed rank 25</x:v>
      </x:c>
      <x:c r="E619" s="18" t="n">
        <x:v>200</x:v>
      </x:c>
      <x:c r="F619" s="21" t="n">
        <x:v>391.7375656346341</x:v>
      </x:c>
      <x:c r="G619" s="21" t="n">
        <x:f>F616</x:f>
        <x:v>381.135821425823</x:v>
      </x:c>
      <x:c r="H619" s="21" t="n">
        <x:f>F621</x:f>
        <x:v>381.135821425823</x:v>
      </x:c>
      <x:c r="I619" s="27" t="n">
        <x:f>IF(AND(ISNUMBER(G619),ISNUMBER(H619),H619&gt;0),G619/H619-1,"")</x:f>
        <x:v>0</x:v>
      </x:c>
      <x:c r="J619" s="27" t="n">
        <x:f>IF(AND(ISNUMBER(G619),F619&gt;0),G619/F619-1,"")</x:f>
        <x:v>-0.027063384109297206</x:v>
      </x:c>
      <x:c r="K619" s="19" t="str">
        <x:v>Exp_1/EXP020/results/seed954779777_Fixed_rank_25.json</x:v>
      </x:c>
    </x:row>
    <x:row r="620" ht="15" hidden="0" customHeight="1">
      <x:c r="A620" s="3" t="str">
        <x:v>EXP020</x:v>
      </x:c>
      <x:c r="B620" s="3" t="str">
        <x:v>Exp. 1</x:v>
      </x:c>
      <x:c r="C620" s="18" t="n">
        <x:v>954779777</x:v>
      </x:c>
      <x:c r="D620" s="3" t="str">
        <x:v>Relative cutoff 1e-6</x:v>
      </x:c>
      <x:c r="E620" s="18" t="n">
        <x:v>200</x:v>
      </x:c>
      <x:c r="F620" s="21" t="n">
        <x:v>381.135821425823</x:v>
      </x:c>
      <x:c r="G620" s="21" t="n">
        <x:f>F616</x:f>
        <x:v>381.135821425823</x:v>
      </x:c>
      <x:c r="H620" s="21" t="n">
        <x:f>F621</x:f>
        <x:v>381.135821425823</x:v>
      </x:c>
      <x:c r="I620" s="27" t="n">
        <x:f>IF(AND(ISNUMBER(G620),ISNUMBER(H620),H620&gt;0),G620/H620-1,"")</x:f>
        <x:v>0</x:v>
      </x:c>
      <x:c r="J620" s="27" t="n">
        <x:f>IF(AND(ISNUMBER(G620),F620&gt;0),G620/F620-1,"")</x:f>
        <x:v>0</x:v>
      </x:c>
      <x:c r="K620" s="19" t="str">
        <x:v>Exp_1/EXP020/results/seed954779777_Relative_cutoff_1e-6.json</x:v>
      </x:c>
    </x:row>
    <x:row r="621" ht="15" hidden="0" customHeight="1">
      <x:c r="A621" s="3" t="str">
        <x:v>EXP020</x:v>
      </x:c>
      <x:c r="B621" s="3" t="str">
        <x:v>Exp. 1</x:v>
      </x:c>
      <x:c r="C621" s="18" t="n">
        <x:v>954779777</x:v>
      </x:c>
      <x:c r="D621" s="3" t="str">
        <x:v>Full</x:v>
      </x:c>
      <x:c r="E621" s="18" t="n">
        <x:v>200</x:v>
      </x:c>
      <x:c r="F621" s="21" t="n">
        <x:v>381.135821425823</x:v>
      </x:c>
      <x:c r="G621" s="21" t="n">
        <x:f>F616</x:f>
        <x:v>381.135821425823</x:v>
      </x:c>
      <x:c r="H621" s="21" t="n">
        <x:f>F621</x:f>
        <x:v>381.135821425823</x:v>
      </x:c>
      <x:c r="I621" s="27" t="n">
        <x:f>IF(AND(ISNUMBER(G621),ISNUMBER(H621),H621&gt;0),G621/H621-1,"")</x:f>
        <x:v>0</x:v>
      </x:c>
      <x:c r="J621" s="27" t="n">
        <x:f>IF(AND(ISNUMBER(G621),F621&gt;0),G621/F621-1,"")</x:f>
        <x:v>0</x:v>
      </x:c>
      <x:c r="K621" s="19" t="str">
        <x:v>Exp_1/EXP020/results/seed954779777_Full.json</x:v>
      </x:c>
    </x:row>
    <x:row r="622" ht="15" hidden="0" customHeight="1">
      <x:c r="A622" s="3" t="str">
        <x:v>EXP020</x:v>
      </x:c>
      <x:c r="B622" s="3" t="str">
        <x:v>Exp. 1</x:v>
      </x:c>
      <x:c r="C622" s="18" t="n">
        <x:v>954779777</x:v>
      </x:c>
      <x:c r="D622" s="3" t="str">
        <x:v>Relative cutoff 1e-2</x:v>
      </x:c>
      <x:c r="E622" s="18" t="n">
        <x:v>200</x:v>
      </x:c>
      <x:c r="F622" s="21" t="n">
        <x:v>399.3720374326346</x:v>
      </x:c>
      <x:c r="G622" s="21" t="n">
        <x:f>F616</x:f>
        <x:v>381.135821425823</x:v>
      </x:c>
      <x:c r="H622" s="21" t="n">
        <x:f>F621</x:f>
        <x:v>381.135821425823</x:v>
      </x:c>
      <x:c r="I622" s="27" t="n">
        <x:f>IF(AND(ISNUMBER(G622),ISNUMBER(H622),H622&gt;0),G622/H622-1,"")</x:f>
        <x:v>0</x:v>
      </x:c>
      <x:c r="J622" s="27" t="n">
        <x:f>IF(AND(ISNUMBER(G622),F622&gt;0),G622/F622-1,"")</x:f>
        <x:v>-0.045662225437822945</x:v>
      </x:c>
      <x:c r="K622" s="19" t="str">
        <x:v>Exp_1/EXP020/results/seed954779777_Relative_cutoff_1e-2.json</x:v>
      </x:c>
    </x:row>
    <x:row r="623" ht="15" hidden="0" customHeight="1">
      <x:c r="A623" s="3" t="str">
        <x:v>EXP020</x:v>
      </x:c>
      <x:c r="B623" s="3" t="str">
        <x:v>Exp. 1</x:v>
      </x:c>
      <x:c r="C623" s="18" t="n">
        <x:v>954779777</x:v>
      </x:c>
      <x:c r="D623" s="3" t="str">
        <x:v>Relative cutoff 1e-4</x:v>
      </x:c>
      <x:c r="E623" s="18" t="n">
        <x:v>200</x:v>
      </x:c>
      <x:c r="F623" s="21" t="n">
        <x:v>391.7375656346341</x:v>
      </x:c>
      <x:c r="G623" s="21" t="n">
        <x:f>F616</x:f>
        <x:v>381.135821425823</x:v>
      </x:c>
      <x:c r="H623" s="21" t="n">
        <x:f>F621</x:f>
        <x:v>381.135821425823</x:v>
      </x:c>
      <x:c r="I623" s="27" t="n">
        <x:f>IF(AND(ISNUMBER(G623),ISNUMBER(H623),H623&gt;0),G623/H623-1,"")</x:f>
        <x:v>0</x:v>
      </x:c>
      <x:c r="J623" s="27" t="n">
        <x:f>IF(AND(ISNUMBER(G623),F623&gt;0),G623/F623-1,"")</x:f>
        <x:v>-0.027063384109297206</x:v>
      </x:c>
      <x:c r="K623" s="19" t="str">
        <x:v>Exp_1/EXP020/results/seed954779777_Relative_cutoff_1e-4.json</x:v>
      </x:c>
    </x:row>
    <x:row r="624" ht="15" hidden="0" customHeight="1">
      <x:c r="A624" s="3" t="str">
        <x:v>EXP020</x:v>
      </x:c>
      <x:c r="B624" s="3" t="str">
        <x:v>Exp. 1</x:v>
      </x:c>
      <x:c r="C624" s="18" t="n">
        <x:v>1390358485</x:v>
      </x:c>
      <x:c r="D624" s="3" t="str">
        <x:v>BBP</x:v>
      </x:c>
      <x:c r="E624" s="18" t="n">
        <x:v>200</x:v>
      </x:c>
      <x:c r="F624" s="21" t="n">
        <x:v>329.4590315237105</x:v>
      </x:c>
      <x:c r="G624" s="21" t="n">
        <x:f>F624</x:f>
        <x:v>329.4590315237105</x:v>
      </x:c>
      <x:c r="H624" s="21" t="n">
        <x:f>F629</x:f>
        <x:v>329.72502973742525</x:v>
      </x:c>
      <x:c r="I624" s="27" t="n">
        <x:f>IF(AND(ISNUMBER(G624),ISNUMBER(H624),H624&gt;0),G624/H624-1,"")</x:f>
        <x:v>-0.0008067273932056418</x:v>
      </x:c>
      <x:c r="J624" s="27" t="n">
        <x:f>IF(AND(ISNUMBER(G624),F624&gt;0),G624/F624-1,"")</x:f>
        <x:v>0</x:v>
      </x:c>
      <x:c r="K624" s="19" t="str">
        <x:v>Exp_1/EXP020/results/seed1390358485_BBP.json</x:v>
      </x:c>
    </x:row>
    <x:row r="625" ht="15" hidden="0" customHeight="1">
      <x:c r="A625" s="3" t="str">
        <x:v>EXP020</x:v>
      </x:c>
      <x:c r="B625" s="3" t="str">
        <x:v>Exp. 1</x:v>
      </x:c>
      <x:c r="C625" s="18" t="n">
        <x:v>1390358485</x:v>
      </x:c>
      <x:c r="D625" s="3" t="str">
        <x:v>Relative cutoff 1e-5</x:v>
      </x:c>
      <x:c r="E625" s="18" t="n">
        <x:v>200</x:v>
      </x:c>
      <x:c r="F625" s="21" t="n">
        <x:v>329.72502973742525</x:v>
      </x:c>
      <x:c r="G625" s="21" t="n">
        <x:f>F624</x:f>
        <x:v>329.4590315237105</x:v>
      </x:c>
      <x:c r="H625" s="21" t="n">
        <x:f>F629</x:f>
        <x:v>329.72502973742525</x:v>
      </x:c>
      <x:c r="I625" s="27" t="n">
        <x:f>IF(AND(ISNUMBER(G625),ISNUMBER(H625),H625&gt;0),G625/H625-1,"")</x:f>
        <x:v>-0.0008067273932056418</x:v>
      </x:c>
      <x:c r="J625" s="27" t="n">
        <x:f>IF(AND(ISNUMBER(G625),F625&gt;0),G625/F625-1,"")</x:f>
        <x:v>-0.0008067273932056418</x:v>
      </x:c>
      <x:c r="K625" s="19" t="str">
        <x:v>Exp_1/EXP020/results/seed1390358485_Relative_cutoff_1e-5.json</x:v>
      </x:c>
    </x:row>
    <x:row r="626" ht="15" hidden="0" customHeight="1">
      <x:c r="A626" s="3" t="str">
        <x:v>EXP020</x:v>
      </x:c>
      <x:c r="B626" s="3" t="str">
        <x:v>Exp. 1</x:v>
      </x:c>
      <x:c r="C626" s="18" t="n">
        <x:v>1390358485</x:v>
      </x:c>
      <x:c r="D626" s="3" t="str">
        <x:v>Fixed rank 10</x:v>
      </x:c>
      <x:c r="E626" s="18" t="n">
        <x:v>200</x:v>
      </x:c>
      <x:c r="F626" s="21" t="n">
        <x:v>328.6050136659372</x:v>
      </x:c>
      <x:c r="G626" s="21" t="n">
        <x:f>F624</x:f>
        <x:v>329.4590315237105</x:v>
      </x:c>
      <x:c r="H626" s="21" t="n">
        <x:f>F629</x:f>
        <x:v>329.72502973742525</x:v>
      </x:c>
      <x:c r="I626" s="27" t="n">
        <x:f>IF(AND(ISNUMBER(G626),ISNUMBER(H626),H626&gt;0),G626/H626-1,"")</x:f>
        <x:v>-0.0008067273932056418</x:v>
      </x:c>
      <x:c r="J626" s="27" t="n">
        <x:f>IF(AND(ISNUMBER(G626),F626&gt;0),G626/F626-1,"")</x:f>
        <x:v>0.0025989191346955653</x:v>
      </x:c>
      <x:c r="K626" s="19" t="str">
        <x:v>Exp_1/EXP020/results/seed1390358485_Fixed_rank_10.json</x:v>
      </x:c>
    </x:row>
    <x:row r="627" ht="15" hidden="0" customHeight="1">
      <x:c r="A627" s="3" t="str">
        <x:v>EXP020</x:v>
      </x:c>
      <x:c r="B627" s="3" t="str">
        <x:v>Exp. 1</x:v>
      </x:c>
      <x:c r="C627" s="18" t="n">
        <x:v>1390358485</x:v>
      </x:c>
      <x:c r="D627" s="3" t="str">
        <x:v>Fixed rank 25</x:v>
      </x:c>
      <x:c r="E627" s="18" t="n">
        <x:v>200</x:v>
      </x:c>
      <x:c r="F627" s="21" t="n">
        <x:v>329.4590315237105</x:v>
      </x:c>
      <x:c r="G627" s="21" t="n">
        <x:f>F624</x:f>
        <x:v>329.4590315237105</x:v>
      </x:c>
      <x:c r="H627" s="21" t="n">
        <x:f>F629</x:f>
        <x:v>329.72502973742525</x:v>
      </x:c>
      <x:c r="I627" s="27" t="n">
        <x:f>IF(AND(ISNUMBER(G627),ISNUMBER(H627),H627&gt;0),G627/H627-1,"")</x:f>
        <x:v>-0.0008067273932056418</x:v>
      </x:c>
      <x:c r="J627" s="27" t="n">
        <x:f>IF(AND(ISNUMBER(G627),F627&gt;0),G627/F627-1,"")</x:f>
        <x:v>0</x:v>
      </x:c>
      <x:c r="K627" s="19" t="str">
        <x:v>Exp_1/EXP020/results/seed1390358485_Fixed_rank_25.json</x:v>
      </x:c>
    </x:row>
    <x:row r="628" ht="15" hidden="0" customHeight="1">
      <x:c r="A628" s="3" t="str">
        <x:v>EXP020</x:v>
      </x:c>
      <x:c r="B628" s="3" t="str">
        <x:v>Exp. 1</x:v>
      </x:c>
      <x:c r="C628" s="18" t="n">
        <x:v>1390358485</x:v>
      </x:c>
      <x:c r="D628" s="3" t="str">
        <x:v>Relative cutoff 1e-6</x:v>
      </x:c>
      <x:c r="E628" s="18" t="n">
        <x:v>200</x:v>
      </x:c>
      <x:c r="F628" s="21" t="n">
        <x:v>329.72502973742525</x:v>
      </x:c>
      <x:c r="G628" s="21" t="n">
        <x:f>F624</x:f>
        <x:v>329.4590315237105</x:v>
      </x:c>
      <x:c r="H628" s="21" t="n">
        <x:f>F629</x:f>
        <x:v>329.72502973742525</x:v>
      </x:c>
      <x:c r="I628" s="27" t="n">
        <x:f>IF(AND(ISNUMBER(G628),ISNUMBER(H628),H628&gt;0),G628/H628-1,"")</x:f>
        <x:v>-0.0008067273932056418</x:v>
      </x:c>
      <x:c r="J628" s="27" t="n">
        <x:f>IF(AND(ISNUMBER(G628),F628&gt;0),G628/F628-1,"")</x:f>
        <x:v>-0.0008067273932056418</x:v>
      </x:c>
      <x:c r="K628" s="19" t="str">
        <x:v>Exp_1/EXP020/results/seed1390358485_Relative_cutoff_1e-6.json</x:v>
      </x:c>
    </x:row>
    <x:row r="629" ht="15" hidden="0" customHeight="1">
      <x:c r="A629" s="3" t="str">
        <x:v>EXP020</x:v>
      </x:c>
      <x:c r="B629" s="3" t="str">
        <x:v>Exp. 1</x:v>
      </x:c>
      <x:c r="C629" s="18" t="n">
        <x:v>1390358485</x:v>
      </x:c>
      <x:c r="D629" s="3" t="str">
        <x:v>Full</x:v>
      </x:c>
      <x:c r="E629" s="18" t="n">
        <x:v>200</x:v>
      </x:c>
      <x:c r="F629" s="21" t="n">
        <x:v>329.72502973742525</x:v>
      </x:c>
      <x:c r="G629" s="21" t="n">
        <x:f>F624</x:f>
        <x:v>329.4590315237105</x:v>
      </x:c>
      <x:c r="H629" s="21" t="n">
        <x:f>F629</x:f>
        <x:v>329.72502973742525</x:v>
      </x:c>
      <x:c r="I629" s="27" t="n">
        <x:f>IF(AND(ISNUMBER(G629),ISNUMBER(H629),H629&gt;0),G629/H629-1,"")</x:f>
        <x:v>-0.0008067273932056418</x:v>
      </x:c>
      <x:c r="J629" s="27" t="n">
        <x:f>IF(AND(ISNUMBER(G629),F629&gt;0),G629/F629-1,"")</x:f>
        <x:v>-0.0008067273932056418</x:v>
      </x:c>
      <x:c r="K629" s="19" t="str">
        <x:v>Exp_1/EXP020/results/seed1390358485_Full.json</x:v>
      </x:c>
    </x:row>
    <x:row r="630" ht="15" hidden="0" customHeight="1">
      <x:c r="A630" s="3" t="str">
        <x:v>EXP020</x:v>
      </x:c>
      <x:c r="B630" s="3" t="str">
        <x:v>Exp. 1</x:v>
      </x:c>
      <x:c r="C630" s="18" t="n">
        <x:v>1390358485</x:v>
      </x:c>
      <x:c r="D630" s="3" t="str">
        <x:v>Relative cutoff 1e-2</x:v>
      </x:c>
      <x:c r="E630" s="18" t="n">
        <x:v>200</x:v>
      </x:c>
      <x:c r="F630" s="21" t="n">
        <x:v>319.34180887899726</x:v>
      </x:c>
      <x:c r="G630" s="21" t="n">
        <x:f>F624</x:f>
        <x:v>329.4590315237105</x:v>
      </x:c>
      <x:c r="H630" s="21" t="n">
        <x:f>F629</x:f>
        <x:v>329.72502973742525</x:v>
      </x:c>
      <x:c r="I630" s="27" t="n">
        <x:f>IF(AND(ISNUMBER(G630),ISNUMBER(H630),H630&gt;0),G630/H630-1,"")</x:f>
        <x:v>-0.0008067273932056418</x:v>
      </x:c>
      <x:c r="J630" s="27" t="n">
        <x:f>IF(AND(ISNUMBER(G630),F630&gt;0),G630/F630-1,"")</x:f>
        <x:v>0.03168148473959076</x:v>
      </x:c>
      <x:c r="K630" s="19" t="str">
        <x:v>Exp_1/EXP020/results/seed1390358485_Relative_cutoff_1e-2.json</x:v>
      </x:c>
    </x:row>
    <x:row r="631" ht="15" hidden="0" customHeight="1">
      <x:c r="A631" s="3" t="str">
        <x:v>EXP020</x:v>
      </x:c>
      <x:c r="B631" s="3" t="str">
        <x:v>Exp. 1</x:v>
      </x:c>
      <x:c r="C631" s="18" t="n">
        <x:v>1390358485</x:v>
      </x:c>
      <x:c r="D631" s="3" t="str">
        <x:v>Relative cutoff 1e-4</x:v>
      </x:c>
      <x:c r="E631" s="18" t="n">
        <x:v>200</x:v>
      </x:c>
      <x:c r="F631" s="21" t="n">
        <x:v>329.72502973742525</x:v>
      </x:c>
      <x:c r="G631" s="21" t="n">
        <x:f>F624</x:f>
        <x:v>329.4590315237105</x:v>
      </x:c>
      <x:c r="H631" s="21" t="n">
        <x:f>F629</x:f>
        <x:v>329.72502973742525</x:v>
      </x:c>
      <x:c r="I631" s="27" t="n">
        <x:f>IF(AND(ISNUMBER(G631),ISNUMBER(H631),H631&gt;0),G631/H631-1,"")</x:f>
        <x:v>-0.0008067273932056418</x:v>
      </x:c>
      <x:c r="J631" s="27" t="n">
        <x:f>IF(AND(ISNUMBER(G631),F631&gt;0),G631/F631-1,"")</x:f>
        <x:v>-0.0008067273932056418</x:v>
      </x:c>
      <x:c r="K631" s="19" t="str">
        <x:v>Exp_1/EXP020/results/seed1390358485_Relative_cutoff_1e-4.json</x:v>
      </x:c>
    </x:row>
    <x:row r="632" ht="15" hidden="0" customHeight="1">
      <x:c r="A632" s="3" t="str">
        <x:v>EXP020</x:v>
      </x:c>
      <x:c r="B632" s="3" t="str">
        <x:v>Exp. 1</x:v>
      </x:c>
      <x:c r="C632" s="18" t="n">
        <x:v>1711112905</x:v>
      </x:c>
      <x:c r="D632" s="3" t="str">
        <x:v>BBP</x:v>
      </x:c>
      <x:c r="E632" s="18" t="n">
        <x:v>200</x:v>
      </x:c>
      <x:c r="F632" s="21" t="n">
        <x:v>224.0988694806446</x:v>
      </x:c>
      <x:c r="G632" s="21" t="n">
        <x:f>F632</x:f>
        <x:v>224.0988694806446</x:v>
      </x:c>
      <x:c r="H632" s="21" t="n">
        <x:f>F637</x:f>
        <x:v>224.0988694806446</x:v>
      </x:c>
      <x:c r="I632" s="27" t="n">
        <x:f>IF(AND(ISNUMBER(G632),ISNUMBER(H632),H632&gt;0),G632/H632-1,"")</x:f>
        <x:v>0</x:v>
      </x:c>
      <x:c r="J632" s="27" t="n">
        <x:f>IF(AND(ISNUMBER(G632),F632&gt;0),G632/F632-1,"")</x:f>
        <x:v>0</x:v>
      </x:c>
      <x:c r="K632" s="19" t="str">
        <x:v>Exp_1/EXP020/results/seed1711112905_BBP.json</x:v>
      </x:c>
    </x:row>
    <x:row r="633" ht="15" hidden="0" customHeight="1">
      <x:c r="A633" s="3" t="str">
        <x:v>EXP020</x:v>
      </x:c>
      <x:c r="B633" s="3" t="str">
        <x:v>Exp. 1</x:v>
      </x:c>
      <x:c r="C633" s="18" t="n">
        <x:v>1711112905</x:v>
      </x:c>
      <x:c r="D633" s="3" t="str">
        <x:v>Relative cutoff 1e-5</x:v>
      </x:c>
      <x:c r="E633" s="18" t="n">
        <x:v>200</x:v>
      </x:c>
      <x:c r="F633" s="21" t="n">
        <x:v>224.0988694806446</x:v>
      </x:c>
      <x:c r="G633" s="21" t="n">
        <x:f>F632</x:f>
        <x:v>224.0988694806446</x:v>
      </x:c>
      <x:c r="H633" s="21" t="n">
        <x:f>F637</x:f>
        <x:v>224.0988694806446</x:v>
      </x:c>
      <x:c r="I633" s="27" t="n">
        <x:f>IF(AND(ISNUMBER(G633),ISNUMBER(H633),H633&gt;0),G633/H633-1,"")</x:f>
        <x:v>0</x:v>
      </x:c>
      <x:c r="J633" s="27" t="n">
        <x:f>IF(AND(ISNUMBER(G633),F633&gt;0),G633/F633-1,"")</x:f>
        <x:v>0</x:v>
      </x:c>
      <x:c r="K633" s="19" t="str">
        <x:v>Exp_1/EXP020/results/seed1711112905_Relative_cutoff_1e-5.json</x:v>
      </x:c>
    </x:row>
    <x:row r="634" ht="15" hidden="0" customHeight="1">
      <x:c r="A634" s="3" t="str">
        <x:v>EXP020</x:v>
      </x:c>
      <x:c r="B634" s="3" t="str">
        <x:v>Exp. 1</x:v>
      </x:c>
      <x:c r="C634" s="18" t="n">
        <x:v>1711112905</x:v>
      </x:c>
      <x:c r="D634" s="3" t="str">
        <x:v>Fixed rank 10</x:v>
      </x:c>
      <x:c r="E634" s="18" t="n">
        <x:v>200</x:v>
      </x:c>
      <x:c r="F634" s="21" t="n">
        <x:v>224.0988694806446</x:v>
      </x:c>
      <x:c r="G634" s="21" t="n">
        <x:f>F632</x:f>
        <x:v>224.0988694806446</x:v>
      </x:c>
      <x:c r="H634" s="21" t="n">
        <x:f>F637</x:f>
        <x:v>224.0988694806446</x:v>
      </x:c>
      <x:c r="I634" s="27" t="n">
        <x:f>IF(AND(ISNUMBER(G634),ISNUMBER(H634),H634&gt;0),G634/H634-1,"")</x:f>
        <x:v>0</x:v>
      </x:c>
      <x:c r="J634" s="27" t="n">
        <x:f>IF(AND(ISNUMBER(G634),F634&gt;0),G634/F634-1,"")</x:f>
        <x:v>0</x:v>
      </x:c>
      <x:c r="K634" s="19" t="str">
        <x:v>Exp_1/EXP020/results/seed1711112905_Fixed_rank_10.json</x:v>
      </x:c>
    </x:row>
    <x:row r="635" ht="15" hidden="0" customHeight="1">
      <x:c r="A635" s="3" t="str">
        <x:v>EXP020</x:v>
      </x:c>
      <x:c r="B635" s="3" t="str">
        <x:v>Exp. 1</x:v>
      </x:c>
      <x:c r="C635" s="18" t="n">
        <x:v>1711112905</x:v>
      </x:c>
      <x:c r="D635" s="3" t="str">
        <x:v>Fixed rank 25</x:v>
      </x:c>
      <x:c r="E635" s="18" t="n">
        <x:v>200</x:v>
      </x:c>
      <x:c r="F635" s="21" t="n">
        <x:v>224.0988694806446</x:v>
      </x:c>
      <x:c r="G635" s="21" t="n">
        <x:f>F632</x:f>
        <x:v>224.0988694806446</x:v>
      </x:c>
      <x:c r="H635" s="21" t="n">
        <x:f>F637</x:f>
        <x:v>224.0988694806446</x:v>
      </x:c>
      <x:c r="I635" s="27" t="n">
        <x:f>IF(AND(ISNUMBER(G635),ISNUMBER(H635),H635&gt;0),G635/H635-1,"")</x:f>
        <x:v>0</x:v>
      </x:c>
      <x:c r="J635" s="27" t="n">
        <x:f>IF(AND(ISNUMBER(G635),F635&gt;0),G635/F635-1,"")</x:f>
        <x:v>0</x:v>
      </x:c>
      <x:c r="K635" s="19" t="str">
        <x:v>Exp_1/EXP020/results/seed1711112905_Fixed_rank_25.json</x:v>
      </x:c>
    </x:row>
    <x:row r="636" ht="15" hidden="0" customHeight="1">
      <x:c r="A636" s="3" t="str">
        <x:v>EXP020</x:v>
      </x:c>
      <x:c r="B636" s="3" t="str">
        <x:v>Exp. 1</x:v>
      </x:c>
      <x:c r="C636" s="18" t="n">
        <x:v>1711112905</x:v>
      </x:c>
      <x:c r="D636" s="3" t="str">
        <x:v>Relative cutoff 1e-6</x:v>
      </x:c>
      <x:c r="E636" s="18" t="n">
        <x:v>200</x:v>
      </x:c>
      <x:c r="F636" s="21" t="n">
        <x:v>224.0988694806446</x:v>
      </x:c>
      <x:c r="G636" s="21" t="n">
        <x:f>F632</x:f>
        <x:v>224.0988694806446</x:v>
      </x:c>
      <x:c r="H636" s="21" t="n">
        <x:f>F637</x:f>
        <x:v>224.0988694806446</x:v>
      </x:c>
      <x:c r="I636" s="27" t="n">
        <x:f>IF(AND(ISNUMBER(G636),ISNUMBER(H636),H636&gt;0),G636/H636-1,"")</x:f>
        <x:v>0</x:v>
      </x:c>
      <x:c r="J636" s="27" t="n">
        <x:f>IF(AND(ISNUMBER(G636),F636&gt;0),G636/F636-1,"")</x:f>
        <x:v>0</x:v>
      </x:c>
      <x:c r="K636" s="19" t="str">
        <x:v>Exp_1/EXP020/results/seed1711112905_Relative_cutoff_1e-6.json</x:v>
      </x:c>
    </x:row>
    <x:row r="637" ht="15" hidden="0" customHeight="1">
      <x:c r="A637" s="3" t="str">
        <x:v>EXP020</x:v>
      </x:c>
      <x:c r="B637" s="3" t="str">
        <x:v>Exp. 1</x:v>
      </x:c>
      <x:c r="C637" s="18" t="n">
        <x:v>1711112905</x:v>
      </x:c>
      <x:c r="D637" s="3" t="str">
        <x:v>Full</x:v>
      </x:c>
      <x:c r="E637" s="18" t="n">
        <x:v>200</x:v>
      </x:c>
      <x:c r="F637" s="21" t="n">
        <x:v>224.0988694806446</x:v>
      </x:c>
      <x:c r="G637" s="21" t="n">
        <x:f>F632</x:f>
        <x:v>224.0988694806446</x:v>
      </x:c>
      <x:c r="H637" s="21" t="n">
        <x:f>F637</x:f>
        <x:v>224.0988694806446</x:v>
      </x:c>
      <x:c r="I637" s="27" t="n">
        <x:f>IF(AND(ISNUMBER(G637),ISNUMBER(H637),H637&gt;0),G637/H637-1,"")</x:f>
        <x:v>0</x:v>
      </x:c>
      <x:c r="J637" s="27" t="n">
        <x:f>IF(AND(ISNUMBER(G637),F637&gt;0),G637/F637-1,"")</x:f>
        <x:v>0</x:v>
      </x:c>
      <x:c r="K637" s="19" t="str">
        <x:v>Exp_1/EXP020/results/seed1711112905_Full.json</x:v>
      </x:c>
    </x:row>
    <x:row r="638" ht="15" hidden="0" customHeight="1">
      <x:c r="A638" s="3" t="str">
        <x:v>EXP020</x:v>
      </x:c>
      <x:c r="B638" s="3" t="str">
        <x:v>Exp. 1</x:v>
      </x:c>
      <x:c r="C638" s="18" t="n">
        <x:v>1711112905</x:v>
      </x:c>
      <x:c r="D638" s="3" t="str">
        <x:v>Relative cutoff 1e-2</x:v>
      </x:c>
      <x:c r="E638" s="18" t="n">
        <x:v>200</x:v>
      </x:c>
      <x:c r="F638" s="21" t="n">
        <x:v>206.58310879827258</x:v>
      </x:c>
      <x:c r="G638" s="21" t="n">
        <x:f>F632</x:f>
        <x:v>224.0988694806446</x:v>
      </x:c>
      <x:c r="H638" s="21" t="n">
        <x:f>F637</x:f>
        <x:v>224.0988694806446</x:v>
      </x:c>
      <x:c r="I638" s="27" t="n">
        <x:f>IF(AND(ISNUMBER(G638),ISNUMBER(H638),H638&gt;0),G638/H638-1,"")</x:f>
        <x:v>0</x:v>
      </x:c>
      <x:c r="J638" s="27" t="n">
        <x:f>IF(AND(ISNUMBER(G638),F638&gt;0),G638/F638-1,"")</x:f>
        <x:v>0.0847879615340481</x:v>
      </x:c>
      <x:c r="K638" s="19" t="str">
        <x:v>Exp_1/EXP020/results/seed1711112905_Relative_cutoff_1e-2.json</x:v>
      </x:c>
    </x:row>
    <x:row r="639" ht="15" hidden="0" customHeight="1">
      <x:c r="A639" s="3" t="str">
        <x:v>EXP020</x:v>
      </x:c>
      <x:c r="B639" s="3" t="str">
        <x:v>Exp. 1</x:v>
      </x:c>
      <x:c r="C639" s="18" t="n">
        <x:v>1711112905</x:v>
      </x:c>
      <x:c r="D639" s="3" t="str">
        <x:v>Relative cutoff 1e-4</x:v>
      </x:c>
      <x:c r="E639" s="18" t="n">
        <x:v>200</x:v>
      </x:c>
      <x:c r="F639" s="21" t="n">
        <x:v>224.0988694806446</x:v>
      </x:c>
      <x:c r="G639" s="21" t="n">
        <x:f>F632</x:f>
        <x:v>224.0988694806446</x:v>
      </x:c>
      <x:c r="H639" s="21" t="n">
        <x:f>F637</x:f>
        <x:v>224.0988694806446</x:v>
      </x:c>
      <x:c r="I639" s="27" t="n">
        <x:f>IF(AND(ISNUMBER(G639),ISNUMBER(H639),H639&gt;0),G639/H639-1,"")</x:f>
        <x:v>0</x:v>
      </x:c>
      <x:c r="J639" s="27" t="n">
        <x:f>IF(AND(ISNUMBER(G639),F639&gt;0),G639/F639-1,"")</x:f>
        <x:v>0</x:v>
      </x:c>
      <x:c r="K639" s="19" t="str">
        <x:v>Exp_1/EXP020/results/seed1711112905_Relative_cutoff_1e-4.json</x:v>
      </x:c>
    </x:row>
    <x:row r="640" ht="15" hidden="0" customHeight="1">
      <x:c r="A640" s="3" t="str">
        <x:v>EXP026</x:v>
      </x:c>
      <x:c r="B640" s="3" t="str">
        <x:v>Exp. 1</x:v>
      </x:c>
      <x:c r="C640" s="18" t="n">
        <x:v>1000</x:v>
      </x:c>
      <x:c r="D640" s="3" t="str">
        <x:v>Fixed rank 10</x:v>
      </x:c>
      <x:c r="E640" s="18" t="n">
        <x:v>200</x:v>
      </x:c>
      <x:c r="F640" s="21" t="n">
        <x:v>384.84959226672123</x:v>
      </x:c>
      <x:c r="G640" s="21" t="str">
        <x:f>""</x:f>
      </x:c>
      <x:c r="H640" s="21" t="n">
        <x:f>F643</x:f>
        <x:v>386.10622393555576</x:v>
      </x:c>
      <x:c r="I640" s="27" t="str">
        <x:f>IF(AND(ISNUMBER(G640),ISNUMBER(H640),H640&gt;0),G640/H640-1,"")</x:f>
      </x:c>
      <x:c r="J640" s="27" t="str">
        <x:f>IF(AND(ISNUMBER(G640),F640&gt;0),G640/F640-1,"")</x:f>
      </x:c>
      <x:c r="K640" s="19" t="str">
        <x:v>Exp_1/EXP026/results/seed1000_Fixed_rank_10.json</x:v>
      </x:c>
    </x:row>
    <x:row r="641" ht="15" hidden="0" customHeight="1">
      <x:c r="A641" s="3" t="str">
        <x:v>EXP026</x:v>
      </x:c>
      <x:c r="B641" s="3" t="str">
        <x:v>Exp. 1</x:v>
      </x:c>
      <x:c r="C641" s="18" t="n">
        <x:v>1000</x:v>
      </x:c>
      <x:c r="D641" s="3" t="str">
        <x:v>Fixed rank 3</x:v>
      </x:c>
      <x:c r="E641" s="18" t="n">
        <x:v>200</x:v>
      </x:c>
      <x:c r="F641" s="21" t="n">
        <x:v>402.61026181725947</x:v>
      </x:c>
      <x:c r="G641" s="21" t="str">
        <x:f>""</x:f>
      </x:c>
      <x:c r="H641" s="21" t="n">
        <x:f>F643</x:f>
        <x:v>386.10622393555576</x:v>
      </x:c>
      <x:c r="I641" s="27" t="str">
        <x:f>IF(AND(ISNUMBER(G641),ISNUMBER(H641),H641&gt;0),G641/H641-1,"")</x:f>
      </x:c>
      <x:c r="J641" s="27" t="str">
        <x:f>IF(AND(ISNUMBER(G641),F641&gt;0),G641/F641-1,"")</x:f>
      </x:c>
      <x:c r="K641" s="19" t="str">
        <x:v>Exp_1/EXP026/results/seed1000_Fixed_rank_3.json</x:v>
      </x:c>
    </x:row>
    <x:row r="642" ht="15" hidden="0" customHeight="1">
      <x:c r="A642" s="3" t="str">
        <x:v>EXP026</x:v>
      </x:c>
      <x:c r="B642" s="3" t="str">
        <x:v>Exp. 1</x:v>
      </x:c>
      <x:c r="C642" s="18" t="n">
        <x:v>1000</x:v>
      </x:c>
      <x:c r="D642" s="3" t="str">
        <x:v>Fixed rank 5</x:v>
      </x:c>
      <x:c r="E642" s="18" t="n">
        <x:v>200</x:v>
      </x:c>
      <x:c r="F642" s="21" t="n">
        <x:v>385.6416843374425</x:v>
      </x:c>
      <x:c r="G642" s="21" t="str">
        <x:f>""</x:f>
      </x:c>
      <x:c r="H642" s="21" t="n">
        <x:f>F643</x:f>
        <x:v>386.10622393555576</x:v>
      </x:c>
      <x:c r="I642" s="27" t="str">
        <x:f>IF(AND(ISNUMBER(G642),ISNUMBER(H642),H642&gt;0),G642/H642-1,"")</x:f>
      </x:c>
      <x:c r="J642" s="27" t="str">
        <x:f>IF(AND(ISNUMBER(G642),F642&gt;0),G642/F642-1,"")</x:f>
      </x:c>
      <x:c r="K642" s="19" t="str">
        <x:v>Exp_1/EXP026/results/seed1000_Fixed_rank_5.json</x:v>
      </x:c>
    </x:row>
    <x:row r="643" ht="15" hidden="0" customHeight="1">
      <x:c r="A643" s="3" t="str">
        <x:v>EXP026</x:v>
      </x:c>
      <x:c r="B643" s="3" t="str">
        <x:v>Exp. 1</x:v>
      </x:c>
      <x:c r="C643" s="18" t="n">
        <x:v>1000</x:v>
      </x:c>
      <x:c r="D643" s="3" t="str">
        <x:v>Full</x:v>
      </x:c>
      <x:c r="E643" s="18" t="n">
        <x:v>200</x:v>
      </x:c>
      <x:c r="F643" s="21" t="n">
        <x:v>386.10622393555576</x:v>
      </x:c>
      <x:c r="G643" s="21" t="str">
        <x:f>""</x:f>
      </x:c>
      <x:c r="H643" s="21" t="n">
        <x:f>F643</x:f>
        <x:v>386.10622393555576</x:v>
      </x:c>
      <x:c r="I643" s="27" t="str">
        <x:f>IF(AND(ISNUMBER(G643),ISNUMBER(H643),H643&gt;0),G643/H643-1,"")</x:f>
      </x:c>
      <x:c r="J643" s="27" t="str">
        <x:f>IF(AND(ISNUMBER(G643),F643&gt;0),G643/F643-1,"")</x:f>
      </x:c>
      <x:c r="K643" s="19" t="str">
        <x:v>Exp_1/EXP026/results/seed1000_Full.json</x:v>
      </x:c>
    </x:row>
    <x:row r="644" ht="15" hidden="0" customHeight="1">
      <x:c r="A644" s="3" t="str">
        <x:v>EXP026</x:v>
      </x:c>
      <x:c r="B644" s="3" t="str">
        <x:v>Exp. 1</x:v>
      </x:c>
      <x:c r="C644" s="18" t="n">
        <x:v>1000</x:v>
      </x:c>
      <x:c r="D644" s="3" t="str">
        <x:v>Relative cutoff 1e-2</x:v>
      </x:c>
      <x:c r="E644" s="18" t="n">
        <x:v>200</x:v>
      </x:c>
      <x:c r="F644" s="21" t="n">
        <x:v>400.49529535625953</x:v>
      </x:c>
      <x:c r="G644" s="21" t="str">
        <x:f>""</x:f>
      </x:c>
      <x:c r="H644" s="21" t="n">
        <x:f>F643</x:f>
        <x:v>386.10622393555576</x:v>
      </x:c>
      <x:c r="I644" s="27" t="str">
        <x:f>IF(AND(ISNUMBER(G644),ISNUMBER(H644),H644&gt;0),G644/H644-1,"")</x:f>
      </x:c>
      <x:c r="J644" s="27" t="str">
        <x:f>IF(AND(ISNUMBER(G644),F644&gt;0),G644/F644-1,"")</x:f>
      </x:c>
      <x:c r="K644" s="19" t="str">
        <x:v>Exp_1/EXP026/results/seed1000_Relative_cutoff_1e-2.json</x:v>
      </x:c>
    </x:row>
    <x:row r="645" ht="15" hidden="0" customHeight="1">
      <x:c r="A645" s="3" t="str">
        <x:v>EXP026</x:v>
      </x:c>
      <x:c r="B645" s="3" t="str">
        <x:v>Exp. 1</x:v>
      </x:c>
      <x:c r="C645" s="18" t="n">
        <x:v>1001</x:v>
      </x:c>
      <x:c r="D645" s="3" t="str">
        <x:v>Fixed rank 10</x:v>
      </x:c>
      <x:c r="E645" s="18" t="n">
        <x:v>200</x:v>
      </x:c>
      <x:c r="F645" s="21" t="n">
        <x:v>290.8599959004246</x:v>
      </x:c>
      <x:c r="G645" s="21" t="str">
        <x:f>""</x:f>
      </x:c>
      <x:c r="H645" s="21" t="n">
        <x:f>F648</x:f>
        <x:v>301.51545436275836</x:v>
      </x:c>
      <x:c r="I645" s="27" t="str">
        <x:f>IF(AND(ISNUMBER(G645),ISNUMBER(H645),H645&gt;0),G645/H645-1,"")</x:f>
      </x:c>
      <x:c r="J645" s="27" t="str">
        <x:f>IF(AND(ISNUMBER(G645),F645&gt;0),G645/F645-1,"")</x:f>
      </x:c>
      <x:c r="K645" s="19" t="str">
        <x:v>Exp_1/EXP026/results/seed1001_Fixed_rank_10.json</x:v>
      </x:c>
    </x:row>
    <x:row r="646" ht="15" hidden="0" customHeight="1">
      <x:c r="A646" s="3" t="str">
        <x:v>EXP026</x:v>
      </x:c>
      <x:c r="B646" s="3" t="str">
        <x:v>Exp. 1</x:v>
      </x:c>
      <x:c r="C646" s="18" t="n">
        <x:v>1001</x:v>
      </x:c>
      <x:c r="D646" s="3" t="str">
        <x:v>Fixed rank 3</x:v>
      </x:c>
      <x:c r="E646" s="18" t="n">
        <x:v>200</x:v>
      </x:c>
      <x:c r="F646" s="21" t="n">
        <x:v>294.0596722083974</x:v>
      </x:c>
      <x:c r="G646" s="21" t="str">
        <x:f>""</x:f>
      </x:c>
      <x:c r="H646" s="21" t="n">
        <x:f>F648</x:f>
        <x:v>301.51545436275836</x:v>
      </x:c>
      <x:c r="I646" s="27" t="str">
        <x:f>IF(AND(ISNUMBER(G646),ISNUMBER(H646),H646&gt;0),G646/H646-1,"")</x:f>
      </x:c>
      <x:c r="J646" s="27" t="str">
        <x:f>IF(AND(ISNUMBER(G646),F646&gt;0),G646/F646-1,"")</x:f>
      </x:c>
      <x:c r="K646" s="19" t="str">
        <x:v>Exp_1/EXP026/results/seed1001_Fixed_rank_3.json</x:v>
      </x:c>
    </x:row>
    <x:row r="647" ht="15" hidden="0" customHeight="1">
      <x:c r="A647" s="3" t="str">
        <x:v>EXP026</x:v>
      </x:c>
      <x:c r="B647" s="3" t="str">
        <x:v>Exp. 1</x:v>
      </x:c>
      <x:c r="C647" s="18" t="n">
        <x:v>1001</x:v>
      </x:c>
      <x:c r="D647" s="3" t="str">
        <x:v>Fixed rank 5</x:v>
      </x:c>
      <x:c r="E647" s="18" t="n">
        <x:v>200</x:v>
      </x:c>
      <x:c r="F647" s="21" t="n">
        <x:v>291.63776877603703</x:v>
      </x:c>
      <x:c r="G647" s="21" t="str">
        <x:f>""</x:f>
      </x:c>
      <x:c r="H647" s="21" t="n">
        <x:f>F648</x:f>
        <x:v>301.51545436275836</x:v>
      </x:c>
      <x:c r="I647" s="27" t="str">
        <x:f>IF(AND(ISNUMBER(G647),ISNUMBER(H647),H647&gt;0),G647/H647-1,"")</x:f>
      </x:c>
      <x:c r="J647" s="27" t="str">
        <x:f>IF(AND(ISNUMBER(G647),F647&gt;0),G647/F647-1,"")</x:f>
      </x:c>
      <x:c r="K647" s="19" t="str">
        <x:v>Exp_1/EXP026/results/seed1001_Fixed_rank_5.json</x:v>
      </x:c>
    </x:row>
    <x:row r="648" ht="15" hidden="0" customHeight="1">
      <x:c r="A648" s="3" t="str">
        <x:v>EXP026</x:v>
      </x:c>
      <x:c r="B648" s="3" t="str">
        <x:v>Exp. 1</x:v>
      </x:c>
      <x:c r="C648" s="18" t="n">
        <x:v>1001</x:v>
      </x:c>
      <x:c r="D648" s="3" t="str">
        <x:v>Full</x:v>
      </x:c>
      <x:c r="E648" s="18" t="n">
        <x:v>200</x:v>
      </x:c>
      <x:c r="F648" s="21" t="n">
        <x:v>301.51545436275836</x:v>
      </x:c>
      <x:c r="G648" s="21" t="str">
        <x:f>""</x:f>
      </x:c>
      <x:c r="H648" s="21" t="n">
        <x:f>F648</x:f>
        <x:v>301.51545436275836</x:v>
      </x:c>
      <x:c r="I648" s="27" t="str">
        <x:f>IF(AND(ISNUMBER(G648),ISNUMBER(H648),H648&gt;0),G648/H648-1,"")</x:f>
      </x:c>
      <x:c r="J648" s="27" t="str">
        <x:f>IF(AND(ISNUMBER(G648),F648&gt;0),G648/F648-1,"")</x:f>
      </x:c>
      <x:c r="K648" s="19" t="str">
        <x:v>Exp_1/EXP026/results/seed1001_Full.json</x:v>
      </x:c>
    </x:row>
    <x:row r="649" ht="15" hidden="0" customHeight="1">
      <x:c r="A649" s="3" t="str">
        <x:v>EXP026</x:v>
      </x:c>
      <x:c r="B649" s="3" t="str">
        <x:v>Exp. 1</x:v>
      </x:c>
      <x:c r="C649" s="18" t="n">
        <x:v>1001</x:v>
      </x:c>
      <x:c r="D649" s="3" t="str">
        <x:v>Relative cutoff 1e-2</x:v>
      </x:c>
      <x:c r="E649" s="18" t="n">
        <x:v>200</x:v>
      </x:c>
      <x:c r="F649" s="21" t="n">
        <x:v>292.2343266430789</x:v>
      </x:c>
      <x:c r="G649" s="21" t="str">
        <x:f>""</x:f>
      </x:c>
      <x:c r="H649" s="21" t="n">
        <x:f>F648</x:f>
        <x:v>301.51545436275836</x:v>
      </x:c>
      <x:c r="I649" s="27" t="str">
        <x:f>IF(AND(ISNUMBER(G649),ISNUMBER(H649),H649&gt;0),G649/H649-1,"")</x:f>
      </x:c>
      <x:c r="J649" s="27" t="str">
        <x:f>IF(AND(ISNUMBER(G649),F649&gt;0),G649/F649-1,"")</x:f>
      </x:c>
      <x:c r="K649" s="19" t="str">
        <x:v>Exp_1/EXP026/results/seed1001_Relative_cutoff_1e-2.json</x:v>
      </x:c>
    </x:row>
    <x:row r="650" ht="15" hidden="0" customHeight="1">
      <x:c r="A650" s="3" t="str">
        <x:v>EXP026</x:v>
      </x:c>
      <x:c r="B650" s="3" t="str">
        <x:v>Exp. 1</x:v>
      </x:c>
      <x:c r="C650" s="18" t="n">
        <x:v>1002</x:v>
      </x:c>
      <x:c r="D650" s="3" t="str">
        <x:v>Fixed rank 10</x:v>
      </x:c>
      <x:c r="E650" s="18" t="n">
        <x:v>200</x:v>
      </x:c>
      <x:c r="F650" s="21" t="n">
        <x:v>229.65429937744474</x:v>
      </x:c>
      <x:c r="G650" s="21" t="str">
        <x:f>""</x:f>
      </x:c>
      <x:c r="H650" s="21" t="n">
        <x:f>F653</x:f>
        <x:v>231.57739726270066</x:v>
      </x:c>
      <x:c r="I650" s="27" t="str">
        <x:f>IF(AND(ISNUMBER(G650),ISNUMBER(H650),H650&gt;0),G650/H650-1,"")</x:f>
      </x:c>
      <x:c r="J650" s="27" t="str">
        <x:f>IF(AND(ISNUMBER(G650),F650&gt;0),G650/F650-1,"")</x:f>
      </x:c>
      <x:c r="K650" s="19" t="str">
        <x:v>Exp_1/EXP026/results/seed1002_Fixed_rank_10.json</x:v>
      </x:c>
    </x:row>
    <x:row r="651" ht="15" hidden="0" customHeight="1">
      <x:c r="A651" s="3" t="str">
        <x:v>EXP026</x:v>
      </x:c>
      <x:c r="B651" s="3" t="str">
        <x:v>Exp. 1</x:v>
      </x:c>
      <x:c r="C651" s="18" t="n">
        <x:v>1002</x:v>
      </x:c>
      <x:c r="D651" s="3" t="str">
        <x:v>Fixed rank 3</x:v>
      </x:c>
      <x:c r="E651" s="18" t="n">
        <x:v>200</x:v>
      </x:c>
      <x:c r="F651" s="21" t="n">
        <x:v>243.6594756456849</x:v>
      </x:c>
      <x:c r="G651" s="21" t="str">
        <x:f>""</x:f>
      </x:c>
      <x:c r="H651" s="21" t="n">
        <x:f>F653</x:f>
        <x:v>231.57739726270066</x:v>
      </x:c>
      <x:c r="I651" s="27" t="str">
        <x:f>IF(AND(ISNUMBER(G651),ISNUMBER(H651),H651&gt;0),G651/H651-1,"")</x:f>
      </x:c>
      <x:c r="J651" s="27" t="str">
        <x:f>IF(AND(ISNUMBER(G651),F651&gt;0),G651/F651-1,"")</x:f>
      </x:c>
      <x:c r="K651" s="19" t="str">
        <x:v>Exp_1/EXP026/results/seed1002_Fixed_rank_3.json</x:v>
      </x:c>
    </x:row>
    <x:row r="652" ht="15" hidden="0" customHeight="1">
      <x:c r="A652" s="3" t="str">
        <x:v>EXP026</x:v>
      </x:c>
      <x:c r="B652" s="3" t="str">
        <x:v>Exp. 1</x:v>
      </x:c>
      <x:c r="C652" s="18" t="n">
        <x:v>1002</x:v>
      </x:c>
      <x:c r="D652" s="3" t="str">
        <x:v>Fixed rank 5</x:v>
      </x:c>
      <x:c r="E652" s="18" t="n">
        <x:v>200</x:v>
      </x:c>
      <x:c r="F652" s="21" t="n">
        <x:v>229.65429937744474</x:v>
      </x:c>
      <x:c r="G652" s="21" t="str">
        <x:f>""</x:f>
      </x:c>
      <x:c r="H652" s="21" t="n">
        <x:f>F653</x:f>
        <x:v>231.57739726270066</x:v>
      </x:c>
      <x:c r="I652" s="27" t="str">
        <x:f>IF(AND(ISNUMBER(G652),ISNUMBER(H652),H652&gt;0),G652/H652-1,"")</x:f>
      </x:c>
      <x:c r="J652" s="27" t="str">
        <x:f>IF(AND(ISNUMBER(G652),F652&gt;0),G652/F652-1,"")</x:f>
      </x:c>
      <x:c r="K652" s="19" t="str">
        <x:v>Exp_1/EXP026/results/seed1002_Fixed_rank_5.json</x:v>
      </x:c>
    </x:row>
    <x:row r="653" ht="15" hidden="0" customHeight="1">
      <x:c r="A653" s="3" t="str">
        <x:v>EXP026</x:v>
      </x:c>
      <x:c r="B653" s="3" t="str">
        <x:v>Exp. 1</x:v>
      </x:c>
      <x:c r="C653" s="18" t="n">
        <x:v>1002</x:v>
      </x:c>
      <x:c r="D653" s="3" t="str">
        <x:v>Full</x:v>
      </x:c>
      <x:c r="E653" s="18" t="n">
        <x:v>200</x:v>
      </x:c>
      <x:c r="F653" s="21" t="n">
        <x:v>231.57739726270066</x:v>
      </x:c>
      <x:c r="G653" s="21" t="str">
        <x:f>""</x:f>
      </x:c>
      <x:c r="H653" s="21" t="n">
        <x:f>F653</x:f>
        <x:v>231.57739726270066</x:v>
      </x:c>
      <x:c r="I653" s="27" t="str">
        <x:f>IF(AND(ISNUMBER(G653),ISNUMBER(H653),H653&gt;0),G653/H653-1,"")</x:f>
      </x:c>
      <x:c r="J653" s="27" t="str">
        <x:f>IF(AND(ISNUMBER(G653),F653&gt;0),G653/F653-1,"")</x:f>
      </x:c>
      <x:c r="K653" s="19" t="str">
        <x:v>Exp_1/EXP026/results/seed1002_Full.json</x:v>
      </x:c>
    </x:row>
    <x:row r="654" ht="15" hidden="0" customHeight="1">
      <x:c r="A654" s="3" t="str">
        <x:v>EXP026</x:v>
      </x:c>
      <x:c r="B654" s="3" t="str">
        <x:v>Exp. 1</x:v>
      </x:c>
      <x:c r="C654" s="18" t="n">
        <x:v>1002</x:v>
      </x:c>
      <x:c r="D654" s="3" t="str">
        <x:v>Relative cutoff 1e-2</x:v>
      </x:c>
      <x:c r="E654" s="18" t="n">
        <x:v>200</x:v>
      </x:c>
      <x:c r="F654" s="21" t="n">
        <x:v>248.1384813171514</x:v>
      </x:c>
      <x:c r="G654" s="21" t="str">
        <x:f>""</x:f>
      </x:c>
      <x:c r="H654" s="21" t="n">
        <x:f>F653</x:f>
        <x:v>231.57739726270066</x:v>
      </x:c>
      <x:c r="I654" s="27" t="str">
        <x:f>IF(AND(ISNUMBER(G654),ISNUMBER(H654),H654&gt;0),G654/H654-1,"")</x:f>
      </x:c>
      <x:c r="J654" s="27" t="str">
        <x:f>IF(AND(ISNUMBER(G654),F654&gt;0),G654/F654-1,"")</x:f>
      </x:c>
      <x:c r="K654" s="19" t="str">
        <x:v>Exp_1/EXP026/results/seed1002_Relative_cutoff_1e-2.json</x:v>
      </x:c>
    </x:row>
    <x:row r="655" ht="15" hidden="0" customHeight="1">
      <x:c r="A655" s="3" t="str">
        <x:v>EXP026</x:v>
      </x:c>
      <x:c r="B655" s="3" t="str">
        <x:v>Exp. 1</x:v>
      </x:c>
      <x:c r="C655" s="18" t="n">
        <x:v>1003</x:v>
      </x:c>
      <x:c r="D655" s="3" t="str">
        <x:v>Fixed rank 10</x:v>
      </x:c>
      <x:c r="E655" s="18" t="n">
        <x:v>200</x:v>
      </x:c>
      <x:c r="F655" s="21" t="n">
        <x:v>304.13461410248783</x:v>
      </x:c>
      <x:c r="G655" s="21" t="str">
        <x:f>""</x:f>
      </x:c>
      <x:c r="H655" s="21" t="n">
        <x:f>F658</x:f>
        <x:v>329.04813525211983</x:v>
      </x:c>
      <x:c r="I655" s="27" t="str">
        <x:f>IF(AND(ISNUMBER(G655),ISNUMBER(H655),H655&gt;0),G655/H655-1,"")</x:f>
      </x:c>
      <x:c r="J655" s="27" t="str">
        <x:f>IF(AND(ISNUMBER(G655),F655&gt;0),G655/F655-1,"")</x:f>
      </x:c>
      <x:c r="K655" s="19" t="str">
        <x:v>Exp_1/EXP026/results/seed1003_Fixed_rank_10.json</x:v>
      </x:c>
    </x:row>
    <x:row r="656" ht="15" hidden="0" customHeight="1">
      <x:c r="A656" s="3" t="str">
        <x:v>EXP026</x:v>
      </x:c>
      <x:c r="B656" s="3" t="str">
        <x:v>Exp. 1</x:v>
      </x:c>
      <x:c r="C656" s="18" t="n">
        <x:v>1003</x:v>
      </x:c>
      <x:c r="D656" s="3" t="str">
        <x:v>Fixed rank 3</x:v>
      </x:c>
      <x:c r="E656" s="18" t="n">
        <x:v>200</x:v>
      </x:c>
      <x:c r="F656" s="21" t="n">
        <x:v>302.79120572917196</x:v>
      </x:c>
      <x:c r="G656" s="21" t="str">
        <x:f>""</x:f>
      </x:c>
      <x:c r="H656" s="21" t="n">
        <x:f>F658</x:f>
        <x:v>329.04813525211983</x:v>
      </x:c>
      <x:c r="I656" s="27" t="str">
        <x:f>IF(AND(ISNUMBER(G656),ISNUMBER(H656),H656&gt;0),G656/H656-1,"")</x:f>
      </x:c>
      <x:c r="J656" s="27" t="str">
        <x:f>IF(AND(ISNUMBER(G656),F656&gt;0),G656/F656-1,"")</x:f>
      </x:c>
      <x:c r="K656" s="19" t="str">
        <x:v>Exp_1/EXP026/results/seed1003_Fixed_rank_3.json</x:v>
      </x:c>
    </x:row>
    <x:row r="657" ht="15" hidden="0" customHeight="1">
      <x:c r="A657" s="3" t="str">
        <x:v>EXP026</x:v>
      </x:c>
      <x:c r="B657" s="3" t="str">
        <x:v>Exp. 1</x:v>
      </x:c>
      <x:c r="C657" s="18" t="n">
        <x:v>1003</x:v>
      </x:c>
      <x:c r="D657" s="3" t="str">
        <x:v>Fixed rank 5</x:v>
      </x:c>
      <x:c r="E657" s="18" t="n">
        <x:v>200</x:v>
      </x:c>
      <x:c r="F657" s="21" t="n">
        <x:v>313.85666141633516</x:v>
      </x:c>
      <x:c r="G657" s="21" t="str">
        <x:f>""</x:f>
      </x:c>
      <x:c r="H657" s="21" t="n">
        <x:f>F658</x:f>
        <x:v>329.04813525211983</x:v>
      </x:c>
      <x:c r="I657" s="27" t="str">
        <x:f>IF(AND(ISNUMBER(G657),ISNUMBER(H657),H657&gt;0),G657/H657-1,"")</x:f>
      </x:c>
      <x:c r="J657" s="27" t="str">
        <x:f>IF(AND(ISNUMBER(G657),F657&gt;0),G657/F657-1,"")</x:f>
      </x:c>
      <x:c r="K657" s="19" t="str">
        <x:v>Exp_1/EXP026/results/seed1003_Fixed_rank_5.json</x:v>
      </x:c>
    </x:row>
    <x:row r="658" ht="15" hidden="0" customHeight="1">
      <x:c r="A658" s="3" t="str">
        <x:v>EXP026</x:v>
      </x:c>
      <x:c r="B658" s="3" t="str">
        <x:v>Exp. 1</x:v>
      </x:c>
      <x:c r="C658" s="18" t="n">
        <x:v>1003</x:v>
      </x:c>
      <x:c r="D658" s="3" t="str">
        <x:v>Full</x:v>
      </x:c>
      <x:c r="E658" s="18" t="n">
        <x:v>200</x:v>
      </x:c>
      <x:c r="F658" s="21" t="n">
        <x:v>329.04813525211983</x:v>
      </x:c>
      <x:c r="G658" s="21" t="str">
        <x:f>""</x:f>
      </x:c>
      <x:c r="H658" s="21" t="n">
        <x:f>F658</x:f>
        <x:v>329.04813525211983</x:v>
      </x:c>
      <x:c r="I658" s="27" t="str">
        <x:f>IF(AND(ISNUMBER(G658),ISNUMBER(H658),H658&gt;0),G658/H658-1,"")</x:f>
      </x:c>
      <x:c r="J658" s="27" t="str">
        <x:f>IF(AND(ISNUMBER(G658),F658&gt;0),G658/F658-1,"")</x:f>
      </x:c>
      <x:c r="K658" s="19" t="str">
        <x:v>Exp_1/EXP026/results/seed1003_Full.json</x:v>
      </x:c>
    </x:row>
    <x:row r="659" ht="15" hidden="0" customHeight="1">
      <x:c r="A659" s="3" t="str">
        <x:v>EXP026</x:v>
      </x:c>
      <x:c r="B659" s="3" t="str">
        <x:v>Exp. 1</x:v>
      </x:c>
      <x:c r="C659" s="18" t="n">
        <x:v>1003</x:v>
      </x:c>
      <x:c r="D659" s="3" t="str">
        <x:v>Relative cutoff 1e-2</x:v>
      </x:c>
      <x:c r="E659" s="18" t="n">
        <x:v>200</x:v>
      </x:c>
      <x:c r="F659" s="21" t="n">
        <x:v>332.4737300290558</x:v>
      </x:c>
      <x:c r="G659" s="21" t="str">
        <x:f>""</x:f>
      </x:c>
      <x:c r="H659" s="21" t="n">
        <x:f>F658</x:f>
        <x:v>329.04813525211983</x:v>
      </x:c>
      <x:c r="I659" s="27" t="str">
        <x:f>IF(AND(ISNUMBER(G659),ISNUMBER(H659),H659&gt;0),G659/H659-1,"")</x:f>
      </x:c>
      <x:c r="J659" s="27" t="str">
        <x:f>IF(AND(ISNUMBER(G659),F659&gt;0),G659/F659-1,"")</x:f>
      </x:c>
      <x:c r="K659" s="19" t="str">
        <x:v>Exp_1/EXP026/results/seed1003_Relative_cutoff_1e-2.json</x:v>
      </x:c>
    </x:row>
    <x:row r="660" ht="15" hidden="0" customHeight="1">
      <x:c r="A660" s="3" t="str">
        <x:v>EXP026</x:v>
      </x:c>
      <x:c r="B660" s="3" t="str">
        <x:v>Exp. 1</x:v>
      </x:c>
      <x:c r="C660" s="18" t="n">
        <x:v>1004</x:v>
      </x:c>
      <x:c r="D660" s="3" t="str">
        <x:v>Fixed rank 10</x:v>
      </x:c>
      <x:c r="E660" s="18" t="n">
        <x:v>200</x:v>
      </x:c>
      <x:c r="F660" s="21" t="n">
        <x:v>278.24277353084085</x:v>
      </x:c>
      <x:c r="G660" s="21" t="str">
        <x:f>""</x:f>
      </x:c>
      <x:c r="H660" s="21" t="n">
        <x:f>F663</x:f>
        <x:v>262.019676113118</x:v>
      </x:c>
      <x:c r="I660" s="27" t="str">
        <x:f>IF(AND(ISNUMBER(G660),ISNUMBER(H660),H660&gt;0),G660/H660-1,"")</x:f>
      </x:c>
      <x:c r="J660" s="27" t="str">
        <x:f>IF(AND(ISNUMBER(G660),F660&gt;0),G660/F660-1,"")</x:f>
      </x:c>
      <x:c r="K660" s="19" t="str">
        <x:v>Exp_1/EXP026/results/seed1004_Fixed_rank_10.json</x:v>
      </x:c>
    </x:row>
    <x:row r="661" ht="15" hidden="0" customHeight="1">
      <x:c r="A661" s="3" t="str">
        <x:v>EXP026</x:v>
      </x:c>
      <x:c r="B661" s="3" t="str">
        <x:v>Exp. 1</x:v>
      </x:c>
      <x:c r="C661" s="18" t="n">
        <x:v>1004</x:v>
      </x:c>
      <x:c r="D661" s="3" t="str">
        <x:v>Fixed rank 3</x:v>
      </x:c>
      <x:c r="E661" s="18" t="n">
        <x:v>200</x:v>
      </x:c>
      <x:c r="F661" s="21" t="n">
        <x:v>301.6331127098087</x:v>
      </x:c>
      <x:c r="G661" s="21" t="str">
        <x:f>""</x:f>
      </x:c>
      <x:c r="H661" s="21" t="n">
        <x:f>F663</x:f>
        <x:v>262.019676113118</x:v>
      </x:c>
      <x:c r="I661" s="27" t="str">
        <x:f>IF(AND(ISNUMBER(G661),ISNUMBER(H661),H661&gt;0),G661/H661-1,"")</x:f>
      </x:c>
      <x:c r="J661" s="27" t="str">
        <x:f>IF(AND(ISNUMBER(G661),F661&gt;0),G661/F661-1,"")</x:f>
      </x:c>
      <x:c r="K661" s="19" t="str">
        <x:v>Exp_1/EXP026/results/seed1004_Fixed_rank_3.json</x:v>
      </x:c>
    </x:row>
    <x:row r="662" ht="15" hidden="0" customHeight="1">
      <x:c r="A662" s="3" t="str">
        <x:v>EXP026</x:v>
      </x:c>
      <x:c r="B662" s="3" t="str">
        <x:v>Exp. 1</x:v>
      </x:c>
      <x:c r="C662" s="18" t="n">
        <x:v>1004</x:v>
      </x:c>
      <x:c r="D662" s="3" t="str">
        <x:v>Fixed rank 5</x:v>
      </x:c>
      <x:c r="E662" s="18" t="n">
        <x:v>200</x:v>
      </x:c>
      <x:c r="F662" s="21" t="n">
        <x:v>281.025474047942</x:v>
      </x:c>
      <x:c r="G662" s="21" t="str">
        <x:f>""</x:f>
      </x:c>
      <x:c r="H662" s="21" t="n">
        <x:f>F663</x:f>
        <x:v>262.019676113118</x:v>
      </x:c>
      <x:c r="I662" s="27" t="str">
        <x:f>IF(AND(ISNUMBER(G662),ISNUMBER(H662),H662&gt;0),G662/H662-1,"")</x:f>
      </x:c>
      <x:c r="J662" s="27" t="str">
        <x:f>IF(AND(ISNUMBER(G662),F662&gt;0),G662/F662-1,"")</x:f>
      </x:c>
      <x:c r="K662" s="19" t="str">
        <x:v>Exp_1/EXP026/results/seed1004_Fixed_rank_5.json</x:v>
      </x:c>
    </x:row>
    <x:row r="663" ht="15" hidden="0" customHeight="1">
      <x:c r="A663" s="3" t="str">
        <x:v>EXP026</x:v>
      </x:c>
      <x:c r="B663" s="3" t="str">
        <x:v>Exp. 1</x:v>
      </x:c>
      <x:c r="C663" s="18" t="n">
        <x:v>1004</x:v>
      </x:c>
      <x:c r="D663" s="3" t="str">
        <x:v>Full</x:v>
      </x:c>
      <x:c r="E663" s="18" t="n">
        <x:v>200</x:v>
      </x:c>
      <x:c r="F663" s="21" t="n">
        <x:v>262.019676113118</x:v>
      </x:c>
      <x:c r="G663" s="21" t="str">
        <x:f>""</x:f>
      </x:c>
      <x:c r="H663" s="21" t="n">
        <x:f>F663</x:f>
        <x:v>262.019676113118</x:v>
      </x:c>
      <x:c r="I663" s="27" t="str">
        <x:f>IF(AND(ISNUMBER(G663),ISNUMBER(H663),H663&gt;0),G663/H663-1,"")</x:f>
      </x:c>
      <x:c r="J663" s="27" t="str">
        <x:f>IF(AND(ISNUMBER(G663),F663&gt;0),G663/F663-1,"")</x:f>
      </x:c>
      <x:c r="K663" s="19" t="str">
        <x:v>Exp_1/EXP026/results/seed1004_Full.json</x:v>
      </x:c>
    </x:row>
    <x:row r="664" ht="15" hidden="0" customHeight="1">
      <x:c r="A664" s="3" t="str">
        <x:v>EXP026</x:v>
      </x:c>
      <x:c r="B664" s="3" t="str">
        <x:v>Exp. 1</x:v>
      </x:c>
      <x:c r="C664" s="18" t="n">
        <x:v>1004</x:v>
      </x:c>
      <x:c r="D664" s="3" t="str">
        <x:v>Relative cutoff 1e-2</x:v>
      </x:c>
      <x:c r="E664" s="18" t="n">
        <x:v>200</x:v>
      </x:c>
      <x:c r="F664" s="21" t="n">
        <x:v>281.025474047942</x:v>
      </x:c>
      <x:c r="G664" s="21" t="str">
        <x:f>""</x:f>
      </x:c>
      <x:c r="H664" s="21" t="n">
        <x:f>F663</x:f>
        <x:v>262.019676113118</x:v>
      </x:c>
      <x:c r="I664" s="27" t="str">
        <x:f>IF(AND(ISNUMBER(G664),ISNUMBER(H664),H664&gt;0),G664/H664-1,"")</x:f>
      </x:c>
      <x:c r="J664" s="27" t="str">
        <x:f>IF(AND(ISNUMBER(G664),F664&gt;0),G664/F664-1,"")</x:f>
      </x:c>
      <x:c r="K664" s="19" t="str">
        <x:v>Exp_1/EXP026/results/seed1004_Relative_cutoff_1e-2.json</x:v>
      </x:c>
    </x:row>
    <x:row r="665" ht="15" hidden="0" customHeight="1">
      <x:c r="A665" s="3" t="str">
        <x:v>EXP026</x:v>
      </x:c>
      <x:c r="B665" s="3" t="str">
        <x:v>Exp. 1</x:v>
      </x:c>
      <x:c r="C665" s="18" t="n">
        <x:v>1005</x:v>
      </x:c>
      <x:c r="D665" s="3" t="str">
        <x:v>Fixed rank 10</x:v>
      </x:c>
      <x:c r="E665" s="18" t="n">
        <x:v>200</x:v>
      </x:c>
      <x:c r="F665" s="21" t="n">
        <x:v>351.9463246701547</x:v>
      </x:c>
      <x:c r="G665" s="21" t="str">
        <x:f>""</x:f>
      </x:c>
      <x:c r="H665" s="21" t="n">
        <x:f>F668</x:f>
        <x:v>326.3373992624249</x:v>
      </x:c>
      <x:c r="I665" s="27" t="str">
        <x:f>IF(AND(ISNUMBER(G665),ISNUMBER(H665),H665&gt;0),G665/H665-1,"")</x:f>
      </x:c>
      <x:c r="J665" s="27" t="str">
        <x:f>IF(AND(ISNUMBER(G665),F665&gt;0),G665/F665-1,"")</x:f>
      </x:c>
      <x:c r="K665" s="19" t="str">
        <x:v>Exp_1/EXP026/results/seed1005_Fixed_rank_10.json</x:v>
      </x:c>
    </x:row>
    <x:row r="666" ht="15" hidden="0" customHeight="1">
      <x:c r="A666" s="3" t="str">
        <x:v>EXP026</x:v>
      </x:c>
      <x:c r="B666" s="3" t="str">
        <x:v>Exp. 1</x:v>
      </x:c>
      <x:c r="C666" s="18" t="n">
        <x:v>1005</x:v>
      </x:c>
      <x:c r="D666" s="3" t="str">
        <x:v>Fixed rank 3</x:v>
      </x:c>
      <x:c r="E666" s="18" t="n">
        <x:v>200</x:v>
      </x:c>
      <x:c r="F666" s="21" t="n">
        <x:v>340.1932560698199</x:v>
      </x:c>
      <x:c r="G666" s="21" t="str">
        <x:f>""</x:f>
      </x:c>
      <x:c r="H666" s="21" t="n">
        <x:f>F668</x:f>
        <x:v>326.3373992624249</x:v>
      </x:c>
      <x:c r="I666" s="27" t="str">
        <x:f>IF(AND(ISNUMBER(G666),ISNUMBER(H666),H666&gt;0),G666/H666-1,"")</x:f>
      </x:c>
      <x:c r="J666" s="27" t="str">
        <x:f>IF(AND(ISNUMBER(G666),F666&gt;0),G666/F666-1,"")</x:f>
      </x:c>
      <x:c r="K666" s="19" t="str">
        <x:v>Exp_1/EXP026/results/seed1005_Fixed_rank_3.json</x:v>
      </x:c>
    </x:row>
    <x:row r="667" ht="15" hidden="0" customHeight="1">
      <x:c r="A667" s="3" t="str">
        <x:v>EXP026</x:v>
      </x:c>
      <x:c r="B667" s="3" t="str">
        <x:v>Exp. 1</x:v>
      </x:c>
      <x:c r="C667" s="18" t="n">
        <x:v>1005</x:v>
      </x:c>
      <x:c r="D667" s="3" t="str">
        <x:v>Fixed rank 5</x:v>
      </x:c>
      <x:c r="E667" s="18" t="n">
        <x:v>200</x:v>
      </x:c>
      <x:c r="F667" s="21" t="n">
        <x:v>357.0070037022561</x:v>
      </x:c>
      <x:c r="G667" s="21" t="str">
        <x:f>""</x:f>
      </x:c>
      <x:c r="H667" s="21" t="n">
        <x:f>F668</x:f>
        <x:v>326.3373992624249</x:v>
      </x:c>
      <x:c r="I667" s="27" t="str">
        <x:f>IF(AND(ISNUMBER(G667),ISNUMBER(H667),H667&gt;0),G667/H667-1,"")</x:f>
      </x:c>
      <x:c r="J667" s="27" t="str">
        <x:f>IF(AND(ISNUMBER(G667),F667&gt;0),G667/F667-1,"")</x:f>
      </x:c>
      <x:c r="K667" s="19" t="str">
        <x:v>Exp_1/EXP026/results/seed1005_Fixed_rank_5.json</x:v>
      </x:c>
    </x:row>
    <x:row r="668" ht="15" hidden="0" customHeight="1">
      <x:c r="A668" s="3" t="str">
        <x:v>EXP026</x:v>
      </x:c>
      <x:c r="B668" s="3" t="str">
        <x:v>Exp. 1</x:v>
      </x:c>
      <x:c r="C668" s="18" t="n">
        <x:v>1005</x:v>
      </x:c>
      <x:c r="D668" s="3" t="str">
        <x:v>Full</x:v>
      </x:c>
      <x:c r="E668" s="18" t="n">
        <x:v>200</x:v>
      </x:c>
      <x:c r="F668" s="21" t="n">
        <x:v>326.3373992624249</x:v>
      </x:c>
      <x:c r="G668" s="21" t="str">
        <x:f>""</x:f>
      </x:c>
      <x:c r="H668" s="21" t="n">
        <x:f>F668</x:f>
        <x:v>326.3373992624249</x:v>
      </x:c>
      <x:c r="I668" s="27" t="str">
        <x:f>IF(AND(ISNUMBER(G668),ISNUMBER(H668),H668&gt;0),G668/H668-1,"")</x:f>
      </x:c>
      <x:c r="J668" s="27" t="str">
        <x:f>IF(AND(ISNUMBER(G668),F668&gt;0),G668/F668-1,"")</x:f>
      </x:c>
      <x:c r="K668" s="19" t="str">
        <x:v>Exp_1/EXP026/results/seed1005_Full.json</x:v>
      </x:c>
    </x:row>
    <x:row r="669" ht="15" hidden="0" customHeight="1">
      <x:c r="A669" s="3" t="str">
        <x:v>EXP026</x:v>
      </x:c>
      <x:c r="B669" s="3" t="str">
        <x:v>Exp. 1</x:v>
      </x:c>
      <x:c r="C669" s="18" t="n">
        <x:v>1005</x:v>
      </x:c>
      <x:c r="D669" s="3" t="str">
        <x:v>Relative cutoff 1e-2</x:v>
      </x:c>
      <x:c r="E669" s="18" t="n">
        <x:v>200</x:v>
      </x:c>
      <x:c r="F669" s="21" t="n">
        <x:v>338.302910258684</x:v>
      </x:c>
      <x:c r="G669" s="21" t="str">
        <x:f>""</x:f>
      </x:c>
      <x:c r="H669" s="21" t="n">
        <x:f>F668</x:f>
        <x:v>326.3373992624249</x:v>
      </x:c>
      <x:c r="I669" s="27" t="str">
        <x:f>IF(AND(ISNUMBER(G669),ISNUMBER(H669),H669&gt;0),G669/H669-1,"")</x:f>
      </x:c>
      <x:c r="J669" s="27" t="str">
        <x:f>IF(AND(ISNUMBER(G669),F669&gt;0),G669/F669-1,"")</x:f>
      </x:c>
      <x:c r="K669" s="19" t="str">
        <x:v>Exp_1/EXP026/results/seed1005_Relative_cutoff_1e-2.json</x:v>
      </x:c>
    </x:row>
    <x:row r="670" ht="15" hidden="0" customHeight="1">
      <x:c r="A670" s="3" t="str">
        <x:v>EXP026</x:v>
      </x:c>
      <x:c r="B670" s="3" t="str">
        <x:v>Exp. 1</x:v>
      </x:c>
      <x:c r="C670" s="18" t="n">
        <x:v>1006</x:v>
      </x:c>
      <x:c r="D670" s="3" t="str">
        <x:v>Fixed rank 10</x:v>
      </x:c>
      <x:c r="E670" s="18" t="n">
        <x:v>200</x:v>
      </x:c>
      <x:c r="F670" s="21" t="n">
        <x:v>305.280231933819</x:v>
      </x:c>
      <x:c r="G670" s="21" t="str">
        <x:f>""</x:f>
      </x:c>
      <x:c r="H670" s="21" t="n">
        <x:f>F673</x:f>
        <x:v>295.57490582921395</x:v>
      </x:c>
      <x:c r="I670" s="27" t="str">
        <x:f>IF(AND(ISNUMBER(G670),ISNUMBER(H670),H670&gt;0),G670/H670-1,"")</x:f>
      </x:c>
      <x:c r="J670" s="27" t="str">
        <x:f>IF(AND(ISNUMBER(G670),F670&gt;0),G670/F670-1,"")</x:f>
      </x:c>
      <x:c r="K670" s="19" t="str">
        <x:v>Exp_1/EXP026/results/seed1006_Fixed_rank_10.json</x:v>
      </x:c>
    </x:row>
    <x:row r="671" ht="15" hidden="0" customHeight="1">
      <x:c r="A671" s="3" t="str">
        <x:v>EXP026</x:v>
      </x:c>
      <x:c r="B671" s="3" t="str">
        <x:v>Exp. 1</x:v>
      </x:c>
      <x:c r="C671" s="18" t="n">
        <x:v>1006</x:v>
      </x:c>
      <x:c r="D671" s="3" t="str">
        <x:v>Fixed rank 3</x:v>
      </x:c>
      <x:c r="E671" s="18" t="n">
        <x:v>200</x:v>
      </x:c>
      <x:c r="F671" s="21" t="n">
        <x:v>284.1805065495792</x:v>
      </x:c>
      <x:c r="G671" s="21" t="str">
        <x:f>""</x:f>
      </x:c>
      <x:c r="H671" s="21" t="n">
        <x:f>F673</x:f>
        <x:v>295.57490582921395</x:v>
      </x:c>
      <x:c r="I671" s="27" t="str">
        <x:f>IF(AND(ISNUMBER(G671),ISNUMBER(H671),H671&gt;0),G671/H671-1,"")</x:f>
      </x:c>
      <x:c r="J671" s="27" t="str">
        <x:f>IF(AND(ISNUMBER(G671),F671&gt;0),G671/F671-1,"")</x:f>
      </x:c>
      <x:c r="K671" s="19" t="str">
        <x:v>Exp_1/EXP026/results/seed1006_Fixed_rank_3.json</x:v>
      </x:c>
    </x:row>
    <x:row r="672" ht="15" hidden="0" customHeight="1">
      <x:c r="A672" s="3" t="str">
        <x:v>EXP026</x:v>
      </x:c>
      <x:c r="B672" s="3" t="str">
        <x:v>Exp. 1</x:v>
      </x:c>
      <x:c r="C672" s="18" t="n">
        <x:v>1006</x:v>
      </x:c>
      <x:c r="D672" s="3" t="str">
        <x:v>Fixed rank 5</x:v>
      </x:c>
      <x:c r="E672" s="18" t="n">
        <x:v>200</x:v>
      </x:c>
      <x:c r="F672" s="21" t="n">
        <x:v>302.2843174722067</x:v>
      </x:c>
      <x:c r="G672" s="21" t="str">
        <x:f>""</x:f>
      </x:c>
      <x:c r="H672" s="21" t="n">
        <x:f>F673</x:f>
        <x:v>295.57490582921395</x:v>
      </x:c>
      <x:c r="I672" s="27" t="str">
        <x:f>IF(AND(ISNUMBER(G672),ISNUMBER(H672),H672&gt;0),G672/H672-1,"")</x:f>
      </x:c>
      <x:c r="J672" s="27" t="str">
        <x:f>IF(AND(ISNUMBER(G672),F672&gt;0),G672/F672-1,"")</x:f>
      </x:c>
      <x:c r="K672" s="19" t="str">
        <x:v>Exp_1/EXP026/results/seed1006_Fixed_rank_5.json</x:v>
      </x:c>
    </x:row>
    <x:row r="673" ht="15" hidden="0" customHeight="1">
      <x:c r="A673" s="3" t="str">
        <x:v>EXP026</x:v>
      </x:c>
      <x:c r="B673" s="3" t="str">
        <x:v>Exp. 1</x:v>
      </x:c>
      <x:c r="C673" s="18" t="n">
        <x:v>1006</x:v>
      </x:c>
      <x:c r="D673" s="3" t="str">
        <x:v>Full</x:v>
      </x:c>
      <x:c r="E673" s="18" t="n">
        <x:v>200</x:v>
      </x:c>
      <x:c r="F673" s="21" t="n">
        <x:v>295.57490582921395</x:v>
      </x:c>
      <x:c r="G673" s="21" t="str">
        <x:f>""</x:f>
      </x:c>
      <x:c r="H673" s="21" t="n">
        <x:f>F673</x:f>
        <x:v>295.57490582921395</x:v>
      </x:c>
      <x:c r="I673" s="27" t="str">
        <x:f>IF(AND(ISNUMBER(G673),ISNUMBER(H673),H673&gt;0),G673/H673-1,"")</x:f>
      </x:c>
      <x:c r="J673" s="27" t="str">
        <x:f>IF(AND(ISNUMBER(G673),F673&gt;0),G673/F673-1,"")</x:f>
      </x:c>
      <x:c r="K673" s="19" t="str">
        <x:v>Exp_1/EXP026/results/seed1006_Full.json</x:v>
      </x:c>
    </x:row>
    <x:row r="674" ht="15" hidden="0" customHeight="1">
      <x:c r="A674" s="3" t="str">
        <x:v>EXP026</x:v>
      </x:c>
      <x:c r="B674" s="3" t="str">
        <x:v>Exp. 1</x:v>
      </x:c>
      <x:c r="C674" s="18" t="n">
        <x:v>1006</x:v>
      </x:c>
      <x:c r="D674" s="3" t="str">
        <x:v>Relative cutoff 1e-2</x:v>
      </x:c>
      <x:c r="E674" s="18" t="n">
        <x:v>200</x:v>
      </x:c>
      <x:c r="F674" s="21" t="n">
        <x:v>290.7819100851376</x:v>
      </x:c>
      <x:c r="G674" s="21" t="str">
        <x:f>""</x:f>
      </x:c>
      <x:c r="H674" s="21" t="n">
        <x:f>F673</x:f>
        <x:v>295.57490582921395</x:v>
      </x:c>
      <x:c r="I674" s="27" t="str">
        <x:f>IF(AND(ISNUMBER(G674),ISNUMBER(H674),H674&gt;0),G674/H674-1,"")</x:f>
      </x:c>
      <x:c r="J674" s="27" t="str">
        <x:f>IF(AND(ISNUMBER(G674),F674&gt;0),G674/F674-1,"")</x:f>
      </x:c>
      <x:c r="K674" s="19" t="str">
        <x:v>Exp_1/EXP026/results/seed1006_Relative_cutoff_1e-2.json</x:v>
      </x:c>
    </x:row>
    <x:row r="675" ht="15" hidden="0" customHeight="1">
      <x:c r="A675" s="3" t="str">
        <x:v>EXP026</x:v>
      </x:c>
      <x:c r="B675" s="3" t="str">
        <x:v>Exp. 1</x:v>
      </x:c>
      <x:c r="C675" s="18" t="n">
        <x:v>1007</x:v>
      </x:c>
      <x:c r="D675" s="3" t="str">
        <x:v>Fixed rank 10</x:v>
      </x:c>
      <x:c r="E675" s="18" t="n">
        <x:v>200</x:v>
      </x:c>
      <x:c r="F675" s="21" t="n">
        <x:v>253.88335385800372</x:v>
      </x:c>
      <x:c r="G675" s="21" t="str">
        <x:f>""</x:f>
      </x:c>
      <x:c r="H675" s="21" t="n">
        <x:f>F678</x:f>
        <x:v>257.67933119800585</x:v>
      </x:c>
      <x:c r="I675" s="27" t="str">
        <x:f>IF(AND(ISNUMBER(G675),ISNUMBER(H675),H675&gt;0),G675/H675-1,"")</x:f>
      </x:c>
      <x:c r="J675" s="27" t="str">
        <x:f>IF(AND(ISNUMBER(G675),F675&gt;0),G675/F675-1,"")</x:f>
      </x:c>
      <x:c r="K675" s="19" t="str">
        <x:v>Exp_1/EXP026/results/seed1007_Fixed_rank_10.json</x:v>
      </x:c>
    </x:row>
    <x:row r="676" ht="15" hidden="0" customHeight="1">
      <x:c r="A676" s="3" t="str">
        <x:v>EXP026</x:v>
      </x:c>
      <x:c r="B676" s="3" t="str">
        <x:v>Exp. 1</x:v>
      </x:c>
      <x:c r="C676" s="18" t="n">
        <x:v>1007</x:v>
      </x:c>
      <x:c r="D676" s="3" t="str">
        <x:v>Fixed rank 3</x:v>
      </x:c>
      <x:c r="E676" s="18" t="n">
        <x:v>200</x:v>
      </x:c>
      <x:c r="F676" s="21" t="n">
        <x:v>258.094682528064</x:v>
      </x:c>
      <x:c r="G676" s="21" t="str">
        <x:f>""</x:f>
      </x:c>
      <x:c r="H676" s="21" t="n">
        <x:f>F678</x:f>
        <x:v>257.67933119800585</x:v>
      </x:c>
      <x:c r="I676" s="27" t="str">
        <x:f>IF(AND(ISNUMBER(G676),ISNUMBER(H676),H676&gt;0),G676/H676-1,"")</x:f>
      </x:c>
      <x:c r="J676" s="27" t="str">
        <x:f>IF(AND(ISNUMBER(G676),F676&gt;0),G676/F676-1,"")</x:f>
      </x:c>
      <x:c r="K676" s="19" t="str">
        <x:v>Exp_1/EXP026/results/seed1007_Fixed_rank_3.json</x:v>
      </x:c>
    </x:row>
    <x:row r="677" ht="15" hidden="0" customHeight="1">
      <x:c r="A677" s="3" t="str">
        <x:v>EXP026</x:v>
      </x:c>
      <x:c r="B677" s="3" t="str">
        <x:v>Exp. 1</x:v>
      </x:c>
      <x:c r="C677" s="18" t="n">
        <x:v>1007</x:v>
      </x:c>
      <x:c r="D677" s="3" t="str">
        <x:v>Fixed rank 5</x:v>
      </x:c>
      <x:c r="E677" s="18" t="n">
        <x:v>200</x:v>
      </x:c>
      <x:c r="F677" s="21" t="n">
        <x:v>255.69496217897344</x:v>
      </x:c>
      <x:c r="G677" s="21" t="str">
        <x:f>""</x:f>
      </x:c>
      <x:c r="H677" s="21" t="n">
        <x:f>F678</x:f>
        <x:v>257.67933119800585</x:v>
      </x:c>
      <x:c r="I677" s="27" t="str">
        <x:f>IF(AND(ISNUMBER(G677),ISNUMBER(H677),H677&gt;0),G677/H677-1,"")</x:f>
      </x:c>
      <x:c r="J677" s="27" t="str">
        <x:f>IF(AND(ISNUMBER(G677),F677&gt;0),G677/F677-1,"")</x:f>
      </x:c>
      <x:c r="K677" s="19" t="str">
        <x:v>Exp_1/EXP026/results/seed1007_Fixed_rank_5.json</x:v>
      </x:c>
    </x:row>
    <x:row r="678" ht="15" hidden="0" customHeight="1">
      <x:c r="A678" s="3" t="str">
        <x:v>EXP026</x:v>
      </x:c>
      <x:c r="B678" s="3" t="str">
        <x:v>Exp. 1</x:v>
      </x:c>
      <x:c r="C678" s="18" t="n">
        <x:v>1007</x:v>
      </x:c>
      <x:c r="D678" s="3" t="str">
        <x:v>Full</x:v>
      </x:c>
      <x:c r="E678" s="18" t="n">
        <x:v>200</x:v>
      </x:c>
      <x:c r="F678" s="21" t="n">
        <x:v>257.67933119800585</x:v>
      </x:c>
      <x:c r="G678" s="21" t="str">
        <x:f>""</x:f>
      </x:c>
      <x:c r="H678" s="21" t="n">
        <x:f>F678</x:f>
        <x:v>257.67933119800585</x:v>
      </x:c>
      <x:c r="I678" s="27" t="str">
        <x:f>IF(AND(ISNUMBER(G678),ISNUMBER(H678),H678&gt;0),G678/H678-1,"")</x:f>
      </x:c>
      <x:c r="J678" s="27" t="str">
        <x:f>IF(AND(ISNUMBER(G678),F678&gt;0),G678/F678-1,"")</x:f>
      </x:c>
      <x:c r="K678" s="19" t="str">
        <x:v>Exp_1/EXP026/results/seed1007_Full.json</x:v>
      </x:c>
    </x:row>
    <x:row r="679" ht="15" hidden="0" customHeight="1">
      <x:c r="A679" s="3" t="str">
        <x:v>EXP026</x:v>
      </x:c>
      <x:c r="B679" s="3" t="str">
        <x:v>Exp. 1</x:v>
      </x:c>
      <x:c r="C679" s="18" t="n">
        <x:v>1007</x:v>
      </x:c>
      <x:c r="D679" s="3" t="str">
        <x:v>Relative cutoff 1e-2</x:v>
      </x:c>
      <x:c r="E679" s="18" t="n">
        <x:v>200</x:v>
      </x:c>
      <x:c r="F679" s="21" t="n">
        <x:v>259.8705864160196</x:v>
      </x:c>
      <x:c r="G679" s="21" t="str">
        <x:f>""</x:f>
      </x:c>
      <x:c r="H679" s="21" t="n">
        <x:f>F678</x:f>
        <x:v>257.67933119800585</x:v>
      </x:c>
      <x:c r="I679" s="27" t="str">
        <x:f>IF(AND(ISNUMBER(G679),ISNUMBER(H679),H679&gt;0),G679/H679-1,"")</x:f>
      </x:c>
      <x:c r="J679" s="27" t="str">
        <x:f>IF(AND(ISNUMBER(G679),F679&gt;0),G679/F679-1,"")</x:f>
      </x:c>
      <x:c r="K679" s="19" t="str">
        <x:v>Exp_1/EXP026/results/seed1007_Relative_cutoff_1e-2.json</x:v>
      </x:c>
    </x:row>
    <x:row r="680" ht="15" hidden="0" customHeight="1">
      <x:c r="A680" s="3" t="str">
        <x:v>EXP026</x:v>
      </x:c>
      <x:c r="B680" s="3" t="str">
        <x:v>Exp. 1</x:v>
      </x:c>
      <x:c r="C680" s="18" t="n">
        <x:v>1008</x:v>
      </x:c>
      <x:c r="D680" s="3" t="str">
        <x:v>Fixed rank 10</x:v>
      </x:c>
      <x:c r="E680" s="18" t="n">
        <x:v>200</x:v>
      </x:c>
      <x:c r="F680" s="21" t="n">
        <x:v>323.84501533527606</x:v>
      </x:c>
      <x:c r="G680" s="21" t="str">
        <x:f>""</x:f>
      </x:c>
      <x:c r="H680" s="21" t="n">
        <x:f>F683</x:f>
        <x:v>329.98331682444586</x:v>
      </x:c>
      <x:c r="I680" s="27" t="str">
        <x:f>IF(AND(ISNUMBER(G680),ISNUMBER(H680),H680&gt;0),G680/H680-1,"")</x:f>
      </x:c>
      <x:c r="J680" s="27" t="str">
        <x:f>IF(AND(ISNUMBER(G680),F680&gt;0),G680/F680-1,"")</x:f>
      </x:c>
      <x:c r="K680" s="19" t="str">
        <x:v>Exp_1/EXP026/results/seed1008_Fixed_rank_10.json</x:v>
      </x:c>
    </x:row>
    <x:row r="681" ht="15" hidden="0" customHeight="1">
      <x:c r="A681" s="3" t="str">
        <x:v>EXP026</x:v>
      </x:c>
      <x:c r="B681" s="3" t="str">
        <x:v>Exp. 1</x:v>
      </x:c>
      <x:c r="C681" s="18" t="n">
        <x:v>1008</x:v>
      </x:c>
      <x:c r="D681" s="3" t="str">
        <x:v>Fixed rank 3</x:v>
      </x:c>
      <x:c r="E681" s="18" t="n">
        <x:v>200</x:v>
      </x:c>
      <x:c r="F681" s="21" t="n">
        <x:v>331.48279835232495</x:v>
      </x:c>
      <x:c r="G681" s="21" t="str">
        <x:f>""</x:f>
      </x:c>
      <x:c r="H681" s="21" t="n">
        <x:f>F683</x:f>
        <x:v>329.98331682444586</x:v>
      </x:c>
      <x:c r="I681" s="27" t="str">
        <x:f>IF(AND(ISNUMBER(G681),ISNUMBER(H681),H681&gt;0),G681/H681-1,"")</x:f>
      </x:c>
      <x:c r="J681" s="27" t="str">
        <x:f>IF(AND(ISNUMBER(G681),F681&gt;0),G681/F681-1,"")</x:f>
      </x:c>
      <x:c r="K681" s="19" t="str">
        <x:v>Exp_1/EXP026/results/seed1008_Fixed_rank_3.json</x:v>
      </x:c>
    </x:row>
    <x:row r="682" ht="15" hidden="0" customHeight="1">
      <x:c r="A682" s="3" t="str">
        <x:v>EXP026</x:v>
      </x:c>
      <x:c r="B682" s="3" t="str">
        <x:v>Exp. 1</x:v>
      </x:c>
      <x:c r="C682" s="18" t="n">
        <x:v>1008</x:v>
      </x:c>
      <x:c r="D682" s="3" t="str">
        <x:v>Fixed rank 5</x:v>
      </x:c>
      <x:c r="E682" s="18" t="n">
        <x:v>200</x:v>
      </x:c>
      <x:c r="F682" s="21" t="n">
        <x:v>336.80414739806696</x:v>
      </x:c>
      <x:c r="G682" s="21" t="str">
        <x:f>""</x:f>
      </x:c>
      <x:c r="H682" s="21" t="n">
        <x:f>F683</x:f>
        <x:v>329.98331682444586</x:v>
      </x:c>
      <x:c r="I682" s="27" t="str">
        <x:f>IF(AND(ISNUMBER(G682),ISNUMBER(H682),H682&gt;0),G682/H682-1,"")</x:f>
      </x:c>
      <x:c r="J682" s="27" t="str">
        <x:f>IF(AND(ISNUMBER(G682),F682&gt;0),G682/F682-1,"")</x:f>
      </x:c>
      <x:c r="K682" s="19" t="str">
        <x:v>Exp_1/EXP026/results/seed1008_Fixed_rank_5.json</x:v>
      </x:c>
    </x:row>
    <x:row r="683" ht="15" hidden="0" customHeight="1">
      <x:c r="A683" s="3" t="str">
        <x:v>EXP026</x:v>
      </x:c>
      <x:c r="B683" s="3" t="str">
        <x:v>Exp. 1</x:v>
      </x:c>
      <x:c r="C683" s="18" t="n">
        <x:v>1008</x:v>
      </x:c>
      <x:c r="D683" s="3" t="str">
        <x:v>Full</x:v>
      </x:c>
      <x:c r="E683" s="18" t="n">
        <x:v>200</x:v>
      </x:c>
      <x:c r="F683" s="21" t="n">
        <x:v>329.98331682444586</x:v>
      </x:c>
      <x:c r="G683" s="21" t="str">
        <x:f>""</x:f>
      </x:c>
      <x:c r="H683" s="21" t="n">
        <x:f>F683</x:f>
        <x:v>329.98331682444586</x:v>
      </x:c>
      <x:c r="I683" s="27" t="str">
        <x:f>IF(AND(ISNUMBER(G683),ISNUMBER(H683),H683&gt;0),G683/H683-1,"")</x:f>
      </x:c>
      <x:c r="J683" s="27" t="str">
        <x:f>IF(AND(ISNUMBER(G683),F683&gt;0),G683/F683-1,"")</x:f>
      </x:c>
      <x:c r="K683" s="19" t="str">
        <x:v>Exp_1/EXP026/results/seed1008_Full.json</x:v>
      </x:c>
    </x:row>
    <x:row r="684" ht="15" hidden="0" customHeight="1">
      <x:c r="A684" s="3" t="str">
        <x:v>EXP026</x:v>
      </x:c>
      <x:c r="B684" s="3" t="str">
        <x:v>Exp. 1</x:v>
      </x:c>
      <x:c r="C684" s="18" t="n">
        <x:v>1008</x:v>
      </x:c>
      <x:c r="D684" s="3" t="str">
        <x:v>Relative cutoff 1e-2</x:v>
      </x:c>
      <x:c r="E684" s="18" t="n">
        <x:v>200</x:v>
      </x:c>
      <x:c r="F684" s="21" t="n">
        <x:v>357.2009430110315</x:v>
      </x:c>
      <x:c r="G684" s="21" t="str">
        <x:f>""</x:f>
      </x:c>
      <x:c r="H684" s="21" t="n">
        <x:f>F683</x:f>
        <x:v>329.98331682444586</x:v>
      </x:c>
      <x:c r="I684" s="27" t="str">
        <x:f>IF(AND(ISNUMBER(G684),ISNUMBER(H684),H684&gt;0),G684/H684-1,"")</x:f>
      </x:c>
      <x:c r="J684" s="27" t="str">
        <x:f>IF(AND(ISNUMBER(G684),F684&gt;0),G684/F684-1,"")</x:f>
      </x:c>
      <x:c r="K684" s="19" t="str">
        <x:v>Exp_1/EXP026/results/seed1008_Relative_cutoff_1e-2.json</x:v>
      </x:c>
    </x:row>
    <x:row r="685" ht="15" hidden="0" customHeight="1">
      <x:c r="A685" s="3" t="str">
        <x:v>EXP026</x:v>
      </x:c>
      <x:c r="B685" s="3" t="str">
        <x:v>Exp. 1</x:v>
      </x:c>
      <x:c r="C685" s="18" t="n">
        <x:v>1009</x:v>
      </x:c>
      <x:c r="D685" s="3" t="str">
        <x:v>Fixed rank 10</x:v>
      </x:c>
      <x:c r="E685" s="18" t="n">
        <x:v>200</x:v>
      </x:c>
      <x:c r="F685" s="21" t="n">
        <x:v>316.2050568945364</x:v>
      </x:c>
      <x:c r="G685" s="21" t="str">
        <x:f>""</x:f>
      </x:c>
      <x:c r="H685" s="21" t="n">
        <x:f>F688</x:f>
        <x:v>303.48165778046143</x:v>
      </x:c>
      <x:c r="I685" s="27" t="str">
        <x:f>IF(AND(ISNUMBER(G685),ISNUMBER(H685),H685&gt;0),G685/H685-1,"")</x:f>
      </x:c>
      <x:c r="J685" s="27" t="str">
        <x:f>IF(AND(ISNUMBER(G685),F685&gt;0),G685/F685-1,"")</x:f>
      </x:c>
      <x:c r="K685" s="19" t="str">
        <x:v>Exp_1/EXP026/results/seed1009_Fixed_rank_10.json</x:v>
      </x:c>
    </x:row>
    <x:row r="686" ht="15" hidden="0" customHeight="1">
      <x:c r="A686" s="3" t="str">
        <x:v>EXP026</x:v>
      </x:c>
      <x:c r="B686" s="3" t="str">
        <x:v>Exp. 1</x:v>
      </x:c>
      <x:c r="C686" s="18" t="n">
        <x:v>1009</x:v>
      </x:c>
      <x:c r="D686" s="3" t="str">
        <x:v>Fixed rank 3</x:v>
      </x:c>
      <x:c r="E686" s="18" t="n">
        <x:v>200</x:v>
      </x:c>
      <x:c r="F686" s="21" t="n">
        <x:v>320.67921787265146</x:v>
      </x:c>
      <x:c r="G686" s="21" t="str">
        <x:f>""</x:f>
      </x:c>
      <x:c r="H686" s="21" t="n">
        <x:f>F688</x:f>
        <x:v>303.48165778046143</x:v>
      </x:c>
      <x:c r="I686" s="27" t="str">
        <x:f>IF(AND(ISNUMBER(G686),ISNUMBER(H686),H686&gt;0),G686/H686-1,"")</x:f>
      </x:c>
      <x:c r="J686" s="27" t="str">
        <x:f>IF(AND(ISNUMBER(G686),F686&gt;0),G686/F686-1,"")</x:f>
      </x:c>
      <x:c r="K686" s="19" t="str">
        <x:v>Exp_1/EXP026/results/seed1009_Fixed_rank_3.json</x:v>
      </x:c>
    </x:row>
    <x:row r="687" ht="15" hidden="0" customHeight="1">
      <x:c r="A687" s="3" t="str">
        <x:v>EXP026</x:v>
      </x:c>
      <x:c r="B687" s="3" t="str">
        <x:v>Exp. 1</x:v>
      </x:c>
      <x:c r="C687" s="18" t="n">
        <x:v>1009</x:v>
      </x:c>
      <x:c r="D687" s="3" t="str">
        <x:v>Fixed rank 5</x:v>
      </x:c>
      <x:c r="E687" s="18" t="n">
        <x:v>200</x:v>
      </x:c>
      <x:c r="F687" s="21" t="n">
        <x:v>316.2050568945364</x:v>
      </x:c>
      <x:c r="G687" s="21" t="str">
        <x:f>""</x:f>
      </x:c>
      <x:c r="H687" s="21" t="n">
        <x:f>F688</x:f>
        <x:v>303.48165778046143</x:v>
      </x:c>
      <x:c r="I687" s="27" t="str">
        <x:f>IF(AND(ISNUMBER(G687),ISNUMBER(H687),H687&gt;0),G687/H687-1,"")</x:f>
      </x:c>
      <x:c r="J687" s="27" t="str">
        <x:f>IF(AND(ISNUMBER(G687),F687&gt;0),G687/F687-1,"")</x:f>
      </x:c>
      <x:c r="K687" s="19" t="str">
        <x:v>Exp_1/EXP026/results/seed1009_Fixed_rank_5.json</x:v>
      </x:c>
    </x:row>
    <x:row r="688" ht="15" hidden="0" customHeight="1">
      <x:c r="A688" s="3" t="str">
        <x:v>EXP026</x:v>
      </x:c>
      <x:c r="B688" s="3" t="str">
        <x:v>Exp. 1</x:v>
      </x:c>
      <x:c r="C688" s="18" t="n">
        <x:v>1009</x:v>
      </x:c>
      <x:c r="D688" s="3" t="str">
        <x:v>Full</x:v>
      </x:c>
      <x:c r="E688" s="18" t="n">
        <x:v>200</x:v>
      </x:c>
      <x:c r="F688" s="21" t="n">
        <x:v>303.48165778046143</x:v>
      </x:c>
      <x:c r="G688" s="21" t="str">
        <x:f>""</x:f>
      </x:c>
      <x:c r="H688" s="21" t="n">
        <x:f>F688</x:f>
        <x:v>303.48165778046143</x:v>
      </x:c>
      <x:c r="I688" s="27" t="str">
        <x:f>IF(AND(ISNUMBER(G688),ISNUMBER(H688),H688&gt;0),G688/H688-1,"")</x:f>
      </x:c>
      <x:c r="J688" s="27" t="str">
        <x:f>IF(AND(ISNUMBER(G688),F688&gt;0),G688/F688-1,"")</x:f>
      </x:c>
      <x:c r="K688" s="19" t="str">
        <x:v>Exp_1/EXP026/results/seed1009_Full.json</x:v>
      </x:c>
    </x:row>
    <x:row r="689" ht="15" hidden="0" customHeight="1">
      <x:c r="A689" s="3" t="str">
        <x:v>EXP026</x:v>
      </x:c>
      <x:c r="B689" s="3" t="str">
        <x:v>Exp. 1</x:v>
      </x:c>
      <x:c r="C689" s="18" t="n">
        <x:v>1009</x:v>
      </x:c>
      <x:c r="D689" s="3" t="str">
        <x:v>Relative cutoff 1e-2</x:v>
      </x:c>
      <x:c r="E689" s="18" t="n">
        <x:v>200</x:v>
      </x:c>
      <x:c r="F689" s="21" t="n">
        <x:v>320.67921787265146</x:v>
      </x:c>
      <x:c r="G689" s="21" t="str">
        <x:f>""</x:f>
      </x:c>
      <x:c r="H689" s="21" t="n">
        <x:f>F688</x:f>
        <x:v>303.48165778046143</x:v>
      </x:c>
      <x:c r="I689" s="27" t="str">
        <x:f>IF(AND(ISNUMBER(G689),ISNUMBER(H689),H689&gt;0),G689/H689-1,"")</x:f>
      </x:c>
      <x:c r="J689" s="27" t="str">
        <x:f>IF(AND(ISNUMBER(G689),F689&gt;0),G689/F689-1,"")</x:f>
      </x:c>
      <x:c r="K689" s="19" t="str">
        <x:v>Exp_1/EXP026/results/seed1009_Relative_cutoff_1e-2.json</x:v>
      </x:c>
    </x:row>
    <x:row r="690" ht="15" hidden="0" customHeight="1">
      <x:c r="A690" s="3" t="str">
        <x:v>EXP026</x:v>
      </x:c>
      <x:c r="B690" s="3" t="str">
        <x:v>Exp. 1</x:v>
      </x:c>
      <x:c r="C690" s="18" t="n">
        <x:v>1010</x:v>
      </x:c>
      <x:c r="D690" s="3" t="str">
        <x:v>Fixed rank 10</x:v>
      </x:c>
      <x:c r="E690" s="18" t="n">
        <x:v>200</x:v>
      </x:c>
      <x:c r="F690" s="21" t="n">
        <x:v>359.31737509667636</x:v>
      </x:c>
      <x:c r="G690" s="21" t="str">
        <x:f>""</x:f>
      </x:c>
      <x:c r="H690" s="21" t="n">
        <x:f>F693</x:f>
        <x:v>359.31737509667636</x:v>
      </x:c>
      <x:c r="I690" s="27" t="str">
        <x:f>IF(AND(ISNUMBER(G690),ISNUMBER(H690),H690&gt;0),G690/H690-1,"")</x:f>
      </x:c>
      <x:c r="J690" s="27" t="str">
        <x:f>IF(AND(ISNUMBER(G690),F690&gt;0),G690/F690-1,"")</x:f>
      </x:c>
      <x:c r="K690" s="19" t="str">
        <x:v>Exp_1/EXP026/results/seed1010_Fixed_rank_10.json</x:v>
      </x:c>
    </x:row>
    <x:row r="691" ht="15" hidden="0" customHeight="1">
      <x:c r="A691" s="3" t="str">
        <x:v>EXP026</x:v>
      </x:c>
      <x:c r="B691" s="3" t="str">
        <x:v>Exp. 1</x:v>
      </x:c>
      <x:c r="C691" s="18" t="n">
        <x:v>1010</x:v>
      </x:c>
      <x:c r="D691" s="3" t="str">
        <x:v>Fixed rank 3</x:v>
      </x:c>
      <x:c r="E691" s="18" t="n">
        <x:v>200</x:v>
      </x:c>
      <x:c r="F691" s="21" t="n">
        <x:v>310.9105183284571</x:v>
      </x:c>
      <x:c r="G691" s="21" t="str">
        <x:f>""</x:f>
      </x:c>
      <x:c r="H691" s="21" t="n">
        <x:f>F693</x:f>
        <x:v>359.31737509667636</x:v>
      </x:c>
      <x:c r="I691" s="27" t="str">
        <x:f>IF(AND(ISNUMBER(G691),ISNUMBER(H691),H691&gt;0),G691/H691-1,"")</x:f>
      </x:c>
      <x:c r="J691" s="27" t="str">
        <x:f>IF(AND(ISNUMBER(G691),F691&gt;0),G691/F691-1,"")</x:f>
      </x:c>
      <x:c r="K691" s="19" t="str">
        <x:v>Exp_1/EXP026/results/seed1010_Fixed_rank_3.json</x:v>
      </x:c>
    </x:row>
    <x:row r="692" ht="15" hidden="0" customHeight="1">
      <x:c r="A692" s="3" t="str">
        <x:v>EXP026</x:v>
      </x:c>
      <x:c r="B692" s="3" t="str">
        <x:v>Exp. 1</x:v>
      </x:c>
      <x:c r="C692" s="18" t="n">
        <x:v>1010</x:v>
      </x:c>
      <x:c r="D692" s="3" t="str">
        <x:v>Fixed rank 5</x:v>
      </x:c>
      <x:c r="E692" s="18" t="n">
        <x:v>200</x:v>
      </x:c>
      <x:c r="F692" s="21" t="n">
        <x:v>338.26825929172094</x:v>
      </x:c>
      <x:c r="G692" s="21" t="str">
        <x:f>""</x:f>
      </x:c>
      <x:c r="H692" s="21" t="n">
        <x:f>F693</x:f>
        <x:v>359.31737509667636</x:v>
      </x:c>
      <x:c r="I692" s="27" t="str">
        <x:f>IF(AND(ISNUMBER(G692),ISNUMBER(H692),H692&gt;0),G692/H692-1,"")</x:f>
      </x:c>
      <x:c r="J692" s="27" t="str">
        <x:f>IF(AND(ISNUMBER(G692),F692&gt;0),G692/F692-1,"")</x:f>
      </x:c>
      <x:c r="K692" s="19" t="str">
        <x:v>Exp_1/EXP026/results/seed1010_Fixed_rank_5.json</x:v>
      </x:c>
    </x:row>
    <x:row r="693" ht="15" hidden="0" customHeight="1">
      <x:c r="A693" s="3" t="str">
        <x:v>EXP026</x:v>
      </x:c>
      <x:c r="B693" s="3" t="str">
        <x:v>Exp. 1</x:v>
      </x:c>
      <x:c r="C693" s="18" t="n">
        <x:v>1010</x:v>
      </x:c>
      <x:c r="D693" s="3" t="str">
        <x:v>Full</x:v>
      </x:c>
      <x:c r="E693" s="18" t="n">
        <x:v>200</x:v>
      </x:c>
      <x:c r="F693" s="21" t="n">
        <x:v>359.31737509667636</x:v>
      </x:c>
      <x:c r="G693" s="21" t="str">
        <x:f>""</x:f>
      </x:c>
      <x:c r="H693" s="21" t="n">
        <x:f>F693</x:f>
        <x:v>359.31737509667636</x:v>
      </x:c>
      <x:c r="I693" s="27" t="str">
        <x:f>IF(AND(ISNUMBER(G693),ISNUMBER(H693),H693&gt;0),G693/H693-1,"")</x:f>
      </x:c>
      <x:c r="J693" s="27" t="str">
        <x:f>IF(AND(ISNUMBER(G693),F693&gt;0),G693/F693-1,"")</x:f>
      </x:c>
      <x:c r="K693" s="19" t="str">
        <x:v>Exp_1/EXP026/results/seed1010_Full.json</x:v>
      </x:c>
    </x:row>
    <x:row r="694" ht="15" hidden="0" customHeight="1">
      <x:c r="A694" s="3" t="str">
        <x:v>EXP026</x:v>
      </x:c>
      <x:c r="B694" s="3" t="str">
        <x:v>Exp. 1</x:v>
      </x:c>
      <x:c r="C694" s="18" t="n">
        <x:v>1010</x:v>
      </x:c>
      <x:c r="D694" s="3" t="str">
        <x:v>Relative cutoff 1e-2</x:v>
      </x:c>
      <x:c r="E694" s="18" t="n">
        <x:v>200</x:v>
      </x:c>
      <x:c r="F694" s="21" t="n">
        <x:v>310.9105183284571</x:v>
      </x:c>
      <x:c r="G694" s="21" t="str">
        <x:f>""</x:f>
      </x:c>
      <x:c r="H694" s="21" t="n">
        <x:f>F693</x:f>
        <x:v>359.31737509667636</x:v>
      </x:c>
      <x:c r="I694" s="27" t="str">
        <x:f>IF(AND(ISNUMBER(G694),ISNUMBER(H694),H694&gt;0),G694/H694-1,"")</x:f>
      </x:c>
      <x:c r="J694" s="27" t="str">
        <x:f>IF(AND(ISNUMBER(G694),F694&gt;0),G694/F694-1,"")</x:f>
      </x:c>
      <x:c r="K694" s="19" t="str">
        <x:v>Exp_1/EXP026/results/seed1010_Relative_cutoff_1e-2.json</x:v>
      </x:c>
    </x:row>
    <x:row r="695" ht="15" hidden="0" customHeight="1">
      <x:c r="A695" s="3" t="str">
        <x:v>EXP026</x:v>
      </x:c>
      <x:c r="B695" s="3" t="str">
        <x:v>Exp. 1</x:v>
      </x:c>
      <x:c r="C695" s="18" t="n">
        <x:v>1011</x:v>
      </x:c>
      <x:c r="D695" s="3" t="str">
        <x:v>Fixed rank 10</x:v>
      </x:c>
      <x:c r="E695" s="18" t="n">
        <x:v>200</x:v>
      </x:c>
      <x:c r="F695" s="21" t="n">
        <x:v>428.6692331367723</x:v>
      </x:c>
      <x:c r="G695" s="21" t="str">
        <x:f>""</x:f>
      </x:c>
      <x:c r="H695" s="21" t="n">
        <x:f>F698</x:f>
        <x:v>426.8903845750836</x:v>
      </x:c>
      <x:c r="I695" s="27" t="str">
        <x:f>IF(AND(ISNUMBER(G695),ISNUMBER(H695),H695&gt;0),G695/H695-1,"")</x:f>
      </x:c>
      <x:c r="J695" s="27" t="str">
        <x:f>IF(AND(ISNUMBER(G695),F695&gt;0),G695/F695-1,"")</x:f>
      </x:c>
      <x:c r="K695" s="19" t="str">
        <x:v>Exp_1/EXP026/results/seed1011_Fixed_rank_10.json</x:v>
      </x:c>
    </x:row>
    <x:row r="696" ht="15" hidden="0" customHeight="1">
      <x:c r="A696" s="3" t="str">
        <x:v>EXP026</x:v>
      </x:c>
      <x:c r="B696" s="3" t="str">
        <x:v>Exp. 1</x:v>
      </x:c>
      <x:c r="C696" s="18" t="n">
        <x:v>1011</x:v>
      </x:c>
      <x:c r="D696" s="3" t="str">
        <x:v>Fixed rank 3</x:v>
      </x:c>
      <x:c r="E696" s="18" t="n">
        <x:v>200</x:v>
      </x:c>
      <x:c r="F696" s="21" t="n">
        <x:v>435.0121169838578</x:v>
      </x:c>
      <x:c r="G696" s="21" t="str">
        <x:f>""</x:f>
      </x:c>
      <x:c r="H696" s="21" t="n">
        <x:f>F698</x:f>
        <x:v>426.8903845750836</x:v>
      </x:c>
      <x:c r="I696" s="27" t="str">
        <x:f>IF(AND(ISNUMBER(G696),ISNUMBER(H696),H696&gt;0),G696/H696-1,"")</x:f>
      </x:c>
      <x:c r="J696" s="27" t="str">
        <x:f>IF(AND(ISNUMBER(G696),F696&gt;0),G696/F696-1,"")</x:f>
      </x:c>
      <x:c r="K696" s="19" t="str">
        <x:v>Exp_1/EXP026/results/seed1011_Fixed_rank_3.json</x:v>
      </x:c>
    </x:row>
    <x:row r="697" ht="15" hidden="0" customHeight="1">
      <x:c r="A697" s="3" t="str">
        <x:v>EXP026</x:v>
      </x:c>
      <x:c r="B697" s="3" t="str">
        <x:v>Exp. 1</x:v>
      </x:c>
      <x:c r="C697" s="18" t="n">
        <x:v>1011</x:v>
      </x:c>
      <x:c r="D697" s="3" t="str">
        <x:v>Fixed rank 5</x:v>
      </x:c>
      <x:c r="E697" s="18" t="n">
        <x:v>200</x:v>
      </x:c>
      <x:c r="F697" s="21" t="n">
        <x:v>436.87325583014285</x:v>
      </x:c>
      <x:c r="G697" s="21" t="str">
        <x:f>""</x:f>
      </x:c>
      <x:c r="H697" s="21" t="n">
        <x:f>F698</x:f>
        <x:v>426.8903845750836</x:v>
      </x:c>
      <x:c r="I697" s="27" t="str">
        <x:f>IF(AND(ISNUMBER(G697),ISNUMBER(H697),H697&gt;0),G697/H697-1,"")</x:f>
      </x:c>
      <x:c r="J697" s="27" t="str">
        <x:f>IF(AND(ISNUMBER(G697),F697&gt;0),G697/F697-1,"")</x:f>
      </x:c>
      <x:c r="K697" s="19" t="str">
        <x:v>Exp_1/EXP026/results/seed1011_Fixed_rank_5.json</x:v>
      </x:c>
    </x:row>
    <x:row r="698" ht="15" hidden="0" customHeight="1">
      <x:c r="A698" s="3" t="str">
        <x:v>EXP026</x:v>
      </x:c>
      <x:c r="B698" s="3" t="str">
        <x:v>Exp. 1</x:v>
      </x:c>
      <x:c r="C698" s="18" t="n">
        <x:v>1011</x:v>
      </x:c>
      <x:c r="D698" s="3" t="str">
        <x:v>Full</x:v>
      </x:c>
      <x:c r="E698" s="18" t="n">
        <x:v>200</x:v>
      </x:c>
      <x:c r="F698" s="21" t="n">
        <x:v>426.8903845750836</x:v>
      </x:c>
      <x:c r="G698" s="21" t="str">
        <x:f>""</x:f>
      </x:c>
      <x:c r="H698" s="21" t="n">
        <x:f>F698</x:f>
        <x:v>426.8903845750836</x:v>
      </x:c>
      <x:c r="I698" s="27" t="str">
        <x:f>IF(AND(ISNUMBER(G698),ISNUMBER(H698),H698&gt;0),G698/H698-1,"")</x:f>
      </x:c>
      <x:c r="J698" s="27" t="str">
        <x:f>IF(AND(ISNUMBER(G698),F698&gt;0),G698/F698-1,"")</x:f>
      </x:c>
      <x:c r="K698" s="19" t="str">
        <x:v>Exp_1/EXP026/results/seed1011_Full.json</x:v>
      </x:c>
    </x:row>
    <x:row r="699" ht="15" hidden="0" customHeight="1">
      <x:c r="A699" s="3" t="str">
        <x:v>EXP026</x:v>
      </x:c>
      <x:c r="B699" s="3" t="str">
        <x:v>Exp. 1</x:v>
      </x:c>
      <x:c r="C699" s="18" t="n">
        <x:v>1011</x:v>
      </x:c>
      <x:c r="D699" s="3" t="str">
        <x:v>Relative cutoff 1e-2</x:v>
      </x:c>
      <x:c r="E699" s="18" t="n">
        <x:v>200</x:v>
      </x:c>
      <x:c r="F699" s="21" t="n">
        <x:v>417.06308679331386</x:v>
      </x:c>
      <x:c r="G699" s="21" t="str">
        <x:f>""</x:f>
      </x:c>
      <x:c r="H699" s="21" t="n">
        <x:f>F698</x:f>
        <x:v>426.8903845750836</x:v>
      </x:c>
      <x:c r="I699" s="27" t="str">
        <x:f>IF(AND(ISNUMBER(G699),ISNUMBER(H699),H699&gt;0),G699/H699-1,"")</x:f>
      </x:c>
      <x:c r="J699" s="27" t="str">
        <x:f>IF(AND(ISNUMBER(G699),F699&gt;0),G699/F699-1,"")</x:f>
      </x:c>
      <x:c r="K699" s="19" t="str">
        <x:v>Exp_1/EXP026/results/seed1011_Relative_cutoff_1e-2.json</x:v>
      </x:c>
    </x:row>
    <x:row r="700" ht="15" hidden="0" customHeight="1">
      <x:c r="A700" s="3" t="str">
        <x:v>EXP026</x:v>
      </x:c>
      <x:c r="B700" s="3" t="str">
        <x:v>Exp. 1</x:v>
      </x:c>
      <x:c r="C700" s="18" t="n">
        <x:v>1012</x:v>
      </x:c>
      <x:c r="D700" s="3" t="str">
        <x:v>Fixed rank 10</x:v>
      </x:c>
      <x:c r="E700" s="18" t="n">
        <x:v>200</x:v>
      </x:c>
      <x:c r="F700" s="21" t="n">
        <x:v>281.3067305303173</x:v>
      </x:c>
      <x:c r="G700" s="21" t="str">
        <x:f>""</x:f>
      </x:c>
      <x:c r="H700" s="21" t="n">
        <x:f>F703</x:f>
        <x:v>280.6806814102206</x:v>
      </x:c>
      <x:c r="I700" s="27" t="str">
        <x:f>IF(AND(ISNUMBER(G700),ISNUMBER(H700),H700&gt;0),G700/H700-1,"")</x:f>
      </x:c>
      <x:c r="J700" s="27" t="str">
        <x:f>IF(AND(ISNUMBER(G700),F700&gt;0),G700/F700-1,"")</x:f>
      </x:c>
      <x:c r="K700" s="19" t="str">
        <x:v>Exp_1/EXP026/results/seed1012_Fixed_rank_10.json</x:v>
      </x:c>
    </x:row>
    <x:row r="701" ht="15" hidden="0" customHeight="1">
      <x:c r="A701" s="3" t="str">
        <x:v>EXP026</x:v>
      </x:c>
      <x:c r="B701" s="3" t="str">
        <x:v>Exp. 1</x:v>
      </x:c>
      <x:c r="C701" s="18" t="n">
        <x:v>1012</x:v>
      </x:c>
      <x:c r="D701" s="3" t="str">
        <x:v>Fixed rank 3</x:v>
      </x:c>
      <x:c r="E701" s="18" t="n">
        <x:v>200</x:v>
      </x:c>
      <x:c r="F701" s="21" t="n">
        <x:v>278.3173467924014</x:v>
      </x:c>
      <x:c r="G701" s="21" t="str">
        <x:f>""</x:f>
      </x:c>
      <x:c r="H701" s="21" t="n">
        <x:f>F703</x:f>
        <x:v>280.6806814102206</x:v>
      </x:c>
      <x:c r="I701" s="27" t="str">
        <x:f>IF(AND(ISNUMBER(G701),ISNUMBER(H701),H701&gt;0),G701/H701-1,"")</x:f>
      </x:c>
      <x:c r="J701" s="27" t="str">
        <x:f>IF(AND(ISNUMBER(G701),F701&gt;0),G701/F701-1,"")</x:f>
      </x:c>
      <x:c r="K701" s="19" t="str">
        <x:v>Exp_1/EXP026/results/seed1012_Fixed_rank_3.json</x:v>
      </x:c>
    </x:row>
    <x:row r="702" ht="15" hidden="0" customHeight="1">
      <x:c r="A702" s="3" t="str">
        <x:v>EXP026</x:v>
      </x:c>
      <x:c r="B702" s="3" t="str">
        <x:v>Exp. 1</x:v>
      </x:c>
      <x:c r="C702" s="18" t="n">
        <x:v>1012</x:v>
      </x:c>
      <x:c r="D702" s="3" t="str">
        <x:v>Fixed rank 5</x:v>
      </x:c>
      <x:c r="E702" s="18" t="n">
        <x:v>200</x:v>
      </x:c>
      <x:c r="F702" s="21" t="n">
        <x:v>266.4694794835948</x:v>
      </x:c>
      <x:c r="G702" s="21" t="str">
        <x:f>""</x:f>
      </x:c>
      <x:c r="H702" s="21" t="n">
        <x:f>F703</x:f>
        <x:v>280.6806814102206</x:v>
      </x:c>
      <x:c r="I702" s="27" t="str">
        <x:f>IF(AND(ISNUMBER(G702),ISNUMBER(H702),H702&gt;0),G702/H702-1,"")</x:f>
      </x:c>
      <x:c r="J702" s="27" t="str">
        <x:f>IF(AND(ISNUMBER(G702),F702&gt;0),G702/F702-1,"")</x:f>
      </x:c>
      <x:c r="K702" s="19" t="str">
        <x:v>Exp_1/EXP026/results/seed1012_Fixed_rank_5.json</x:v>
      </x:c>
    </x:row>
    <x:row r="703" ht="15" hidden="0" customHeight="1">
      <x:c r="A703" s="3" t="str">
        <x:v>EXP026</x:v>
      </x:c>
      <x:c r="B703" s="3" t="str">
        <x:v>Exp. 1</x:v>
      </x:c>
      <x:c r="C703" s="18" t="n">
        <x:v>1012</x:v>
      </x:c>
      <x:c r="D703" s="3" t="str">
        <x:v>Full</x:v>
      </x:c>
      <x:c r="E703" s="18" t="n">
        <x:v>200</x:v>
      </x:c>
      <x:c r="F703" s="21" t="n">
        <x:v>280.6806814102206</x:v>
      </x:c>
      <x:c r="G703" s="21" t="str">
        <x:f>""</x:f>
      </x:c>
      <x:c r="H703" s="21" t="n">
        <x:f>F703</x:f>
        <x:v>280.6806814102206</x:v>
      </x:c>
      <x:c r="I703" s="27" t="str">
        <x:f>IF(AND(ISNUMBER(G703),ISNUMBER(H703),H703&gt;0),G703/H703-1,"")</x:f>
      </x:c>
      <x:c r="J703" s="27" t="str">
        <x:f>IF(AND(ISNUMBER(G703),F703&gt;0),G703/F703-1,"")</x:f>
      </x:c>
      <x:c r="K703" s="19" t="str">
        <x:v>Exp_1/EXP026/results/seed1012_Full.json</x:v>
      </x:c>
    </x:row>
    <x:row r="704" ht="15" hidden="0" customHeight="1">
      <x:c r="A704" s="3" t="str">
        <x:v>EXP026</x:v>
      </x:c>
      <x:c r="B704" s="3" t="str">
        <x:v>Exp. 1</x:v>
      </x:c>
      <x:c r="C704" s="18" t="n">
        <x:v>1012</x:v>
      </x:c>
      <x:c r="D704" s="3" t="str">
        <x:v>Relative cutoff 1e-2</x:v>
      </x:c>
      <x:c r="E704" s="18" t="n">
        <x:v>200</x:v>
      </x:c>
      <x:c r="F704" s="21" t="n">
        <x:v>271.8095734440112</x:v>
      </x:c>
      <x:c r="G704" s="21" t="str">
        <x:f>""</x:f>
      </x:c>
      <x:c r="H704" s="21" t="n">
        <x:f>F703</x:f>
        <x:v>280.6806814102206</x:v>
      </x:c>
      <x:c r="I704" s="27" t="str">
        <x:f>IF(AND(ISNUMBER(G704),ISNUMBER(H704),H704&gt;0),G704/H704-1,"")</x:f>
      </x:c>
      <x:c r="J704" s="27" t="str">
        <x:f>IF(AND(ISNUMBER(G704),F704&gt;0),G704/F704-1,"")</x:f>
      </x:c>
      <x:c r="K704" s="19" t="str">
        <x:v>Exp_1/EXP026/results/seed1012_Relative_cutoff_1e-2.json</x:v>
      </x:c>
    </x:row>
    <x:row r="705" ht="15" hidden="0" customHeight="1">
      <x:c r="A705" s="3" t="str">
        <x:v>EXP026</x:v>
      </x:c>
      <x:c r="B705" s="3" t="str">
        <x:v>Exp. 1</x:v>
      </x:c>
      <x:c r="C705" s="18" t="n">
        <x:v>1013</x:v>
      </x:c>
      <x:c r="D705" s="3" t="str">
        <x:v>Fixed rank 10</x:v>
      </x:c>
      <x:c r="E705" s="18" t="n">
        <x:v>200</x:v>
      </x:c>
      <x:c r="F705" s="21" t="n">
        <x:v>462.90023136684687</x:v>
      </x:c>
      <x:c r="G705" s="21" t="str">
        <x:f>""</x:f>
      </x:c>
      <x:c r="H705" s="21" t="n">
        <x:f>F708</x:f>
        <x:v>440.42319198356415</x:v>
      </x:c>
      <x:c r="I705" s="27" t="str">
        <x:f>IF(AND(ISNUMBER(G705),ISNUMBER(H705),H705&gt;0),G705/H705-1,"")</x:f>
      </x:c>
      <x:c r="J705" s="27" t="str">
        <x:f>IF(AND(ISNUMBER(G705),F705&gt;0),G705/F705-1,"")</x:f>
      </x:c>
      <x:c r="K705" s="19" t="str">
        <x:v>Exp_1/EXP026/results/seed1013_Fixed_rank_10.json</x:v>
      </x:c>
    </x:row>
    <x:row r="706" ht="15" hidden="0" customHeight="1">
      <x:c r="A706" s="3" t="str">
        <x:v>EXP026</x:v>
      </x:c>
      <x:c r="B706" s="3" t="str">
        <x:v>Exp. 1</x:v>
      </x:c>
      <x:c r="C706" s="18" t="n">
        <x:v>1013</x:v>
      </x:c>
      <x:c r="D706" s="3" t="str">
        <x:v>Fixed rank 3</x:v>
      </x:c>
      <x:c r="E706" s="18" t="n">
        <x:v>200</x:v>
      </x:c>
      <x:c r="F706" s="21" t="n">
        <x:v>488.5789326344758</x:v>
      </x:c>
      <x:c r="G706" s="21" t="str">
        <x:f>""</x:f>
      </x:c>
      <x:c r="H706" s="21" t="n">
        <x:f>F708</x:f>
        <x:v>440.42319198356415</x:v>
      </x:c>
      <x:c r="I706" s="27" t="str">
        <x:f>IF(AND(ISNUMBER(G706),ISNUMBER(H706),H706&gt;0),G706/H706-1,"")</x:f>
      </x:c>
      <x:c r="J706" s="27" t="str">
        <x:f>IF(AND(ISNUMBER(G706),F706&gt;0),G706/F706-1,"")</x:f>
      </x:c>
      <x:c r="K706" s="19" t="str">
        <x:v>Exp_1/EXP026/results/seed1013_Fixed_rank_3.json</x:v>
      </x:c>
    </x:row>
    <x:row r="707" ht="15" hidden="0" customHeight="1">
      <x:c r="A707" s="3" t="str">
        <x:v>EXP026</x:v>
      </x:c>
      <x:c r="B707" s="3" t="str">
        <x:v>Exp. 1</x:v>
      </x:c>
      <x:c r="C707" s="18" t="n">
        <x:v>1013</x:v>
      </x:c>
      <x:c r="D707" s="3" t="str">
        <x:v>Fixed rank 5</x:v>
      </x:c>
      <x:c r="E707" s="18" t="n">
        <x:v>200</x:v>
      </x:c>
      <x:c r="F707" s="21" t="n">
        <x:v>502.4933303665253</x:v>
      </x:c>
      <x:c r="G707" s="21" t="str">
        <x:f>""</x:f>
      </x:c>
      <x:c r="H707" s="21" t="n">
        <x:f>F708</x:f>
        <x:v>440.42319198356415</x:v>
      </x:c>
      <x:c r="I707" s="27" t="str">
        <x:f>IF(AND(ISNUMBER(G707),ISNUMBER(H707),H707&gt;0),G707/H707-1,"")</x:f>
      </x:c>
      <x:c r="J707" s="27" t="str">
        <x:f>IF(AND(ISNUMBER(G707),F707&gt;0),G707/F707-1,"")</x:f>
      </x:c>
      <x:c r="K707" s="19" t="str">
        <x:v>Exp_1/EXP026/results/seed1013_Fixed_rank_5.json</x:v>
      </x:c>
    </x:row>
    <x:row r="708" ht="15" hidden="0" customHeight="1">
      <x:c r="A708" s="3" t="str">
        <x:v>EXP026</x:v>
      </x:c>
      <x:c r="B708" s="3" t="str">
        <x:v>Exp. 1</x:v>
      </x:c>
      <x:c r="C708" s="18" t="n">
        <x:v>1013</x:v>
      </x:c>
      <x:c r="D708" s="3" t="str">
        <x:v>Full</x:v>
      </x:c>
      <x:c r="E708" s="18" t="n">
        <x:v>200</x:v>
      </x:c>
      <x:c r="F708" s="21" t="n">
        <x:v>440.42319198356415</x:v>
      </x:c>
      <x:c r="G708" s="21" t="str">
        <x:f>""</x:f>
      </x:c>
      <x:c r="H708" s="21" t="n">
        <x:f>F708</x:f>
        <x:v>440.42319198356415</x:v>
      </x:c>
      <x:c r="I708" s="27" t="str">
        <x:f>IF(AND(ISNUMBER(G708),ISNUMBER(H708),H708&gt;0),G708/H708-1,"")</x:f>
      </x:c>
      <x:c r="J708" s="27" t="str">
        <x:f>IF(AND(ISNUMBER(G708),F708&gt;0),G708/F708-1,"")</x:f>
      </x:c>
      <x:c r="K708" s="19" t="str">
        <x:v>Exp_1/EXP026/results/seed1013_Full.json</x:v>
      </x:c>
    </x:row>
    <x:row r="709" ht="15" hidden="0" customHeight="1">
      <x:c r="A709" s="3" t="str">
        <x:v>EXP026</x:v>
      </x:c>
      <x:c r="B709" s="3" t="str">
        <x:v>Exp. 1</x:v>
      </x:c>
      <x:c r="C709" s="18" t="n">
        <x:v>1013</x:v>
      </x:c>
      <x:c r="D709" s="3" t="str">
        <x:v>Relative cutoff 1e-2</x:v>
      </x:c>
      <x:c r="E709" s="18" t="n">
        <x:v>200</x:v>
      </x:c>
      <x:c r="F709" s="21" t="n">
        <x:v>518.9273237487014</x:v>
      </x:c>
      <x:c r="G709" s="21" t="str">
        <x:f>""</x:f>
      </x:c>
      <x:c r="H709" s="21" t="n">
        <x:f>F708</x:f>
        <x:v>440.42319198356415</x:v>
      </x:c>
      <x:c r="I709" s="27" t="str">
        <x:f>IF(AND(ISNUMBER(G709),ISNUMBER(H709),H709&gt;0),G709/H709-1,"")</x:f>
      </x:c>
      <x:c r="J709" s="27" t="str">
        <x:f>IF(AND(ISNUMBER(G709),F709&gt;0),G709/F709-1,"")</x:f>
      </x:c>
      <x:c r="K709" s="19" t="str">
        <x:v>Exp_1/EXP026/results/seed1013_Relative_cutoff_1e-2.json</x:v>
      </x:c>
    </x:row>
    <x:row r="710" ht="15" hidden="0" customHeight="1">
      <x:c r="A710" s="3" t="str">
        <x:v>EXP026</x:v>
      </x:c>
      <x:c r="B710" s="3" t="str">
        <x:v>Exp. 1</x:v>
      </x:c>
      <x:c r="C710" s="18" t="n">
        <x:v>1014</x:v>
      </x:c>
      <x:c r="D710" s="3" t="str">
        <x:v>Fixed rank 10</x:v>
      </x:c>
      <x:c r="E710" s="18" t="n">
        <x:v>200</x:v>
      </x:c>
      <x:c r="F710" s="21" t="n">
        <x:v>334.18181970222656</x:v>
      </x:c>
      <x:c r="G710" s="21" t="str">
        <x:f>""</x:f>
      </x:c>
      <x:c r="H710" s="21" t="n">
        <x:f>F713</x:f>
        <x:v>320.03695274633617</x:v>
      </x:c>
      <x:c r="I710" s="27" t="str">
        <x:f>IF(AND(ISNUMBER(G710),ISNUMBER(H710),H710&gt;0),G710/H710-1,"")</x:f>
      </x:c>
      <x:c r="J710" s="27" t="str">
        <x:f>IF(AND(ISNUMBER(G710),F710&gt;0),G710/F710-1,"")</x:f>
      </x:c>
      <x:c r="K710" s="19" t="str">
        <x:v>Exp_1/EXP026/results/seed1014_Fixed_rank_10.json</x:v>
      </x:c>
    </x:row>
    <x:row r="711" ht="15" hidden="0" customHeight="1">
      <x:c r="A711" s="3" t="str">
        <x:v>EXP026</x:v>
      </x:c>
      <x:c r="B711" s="3" t="str">
        <x:v>Exp. 1</x:v>
      </x:c>
      <x:c r="C711" s="18" t="n">
        <x:v>1014</x:v>
      </x:c>
      <x:c r="D711" s="3" t="str">
        <x:v>Fixed rank 3</x:v>
      </x:c>
      <x:c r="E711" s="18" t="n">
        <x:v>200</x:v>
      </x:c>
      <x:c r="F711" s="21" t="n">
        <x:v>330.24091172851985</x:v>
      </x:c>
      <x:c r="G711" s="21" t="str">
        <x:f>""</x:f>
      </x:c>
      <x:c r="H711" s="21" t="n">
        <x:f>F713</x:f>
        <x:v>320.03695274633617</x:v>
      </x:c>
      <x:c r="I711" s="27" t="str">
        <x:f>IF(AND(ISNUMBER(G711),ISNUMBER(H711),H711&gt;0),G711/H711-1,"")</x:f>
      </x:c>
      <x:c r="J711" s="27" t="str">
        <x:f>IF(AND(ISNUMBER(G711),F711&gt;0),G711/F711-1,"")</x:f>
      </x:c>
      <x:c r="K711" s="19" t="str">
        <x:v>Exp_1/EXP026/results/seed1014_Fixed_rank_3.json</x:v>
      </x:c>
    </x:row>
    <x:row r="712" ht="15" hidden="0" customHeight="1">
      <x:c r="A712" s="3" t="str">
        <x:v>EXP026</x:v>
      </x:c>
      <x:c r="B712" s="3" t="str">
        <x:v>Exp. 1</x:v>
      </x:c>
      <x:c r="C712" s="18" t="n">
        <x:v>1014</x:v>
      </x:c>
      <x:c r="D712" s="3" t="str">
        <x:v>Fixed rank 5</x:v>
      </x:c>
      <x:c r="E712" s="18" t="n">
        <x:v>200</x:v>
      </x:c>
      <x:c r="F712" s="21" t="n">
        <x:v>331.6824978342463</x:v>
      </x:c>
      <x:c r="G712" s="21" t="str">
        <x:f>""</x:f>
      </x:c>
      <x:c r="H712" s="21" t="n">
        <x:f>F713</x:f>
        <x:v>320.03695274633617</x:v>
      </x:c>
      <x:c r="I712" s="27" t="str">
        <x:f>IF(AND(ISNUMBER(G712),ISNUMBER(H712),H712&gt;0),G712/H712-1,"")</x:f>
      </x:c>
      <x:c r="J712" s="27" t="str">
        <x:f>IF(AND(ISNUMBER(G712),F712&gt;0),G712/F712-1,"")</x:f>
      </x:c>
      <x:c r="K712" s="19" t="str">
        <x:v>Exp_1/EXP026/results/seed1014_Fixed_rank_5.json</x:v>
      </x:c>
    </x:row>
    <x:row r="713" ht="15" hidden="0" customHeight="1">
      <x:c r="A713" s="3" t="str">
        <x:v>EXP026</x:v>
      </x:c>
      <x:c r="B713" s="3" t="str">
        <x:v>Exp. 1</x:v>
      </x:c>
      <x:c r="C713" s="18" t="n">
        <x:v>1014</x:v>
      </x:c>
      <x:c r="D713" s="3" t="str">
        <x:v>Full</x:v>
      </x:c>
      <x:c r="E713" s="18" t="n">
        <x:v>200</x:v>
      </x:c>
      <x:c r="F713" s="21" t="n">
        <x:v>320.03695274633617</x:v>
      </x:c>
      <x:c r="G713" s="21" t="str">
        <x:f>""</x:f>
      </x:c>
      <x:c r="H713" s="21" t="n">
        <x:f>F713</x:f>
        <x:v>320.03695274633617</x:v>
      </x:c>
      <x:c r="I713" s="27" t="str">
        <x:f>IF(AND(ISNUMBER(G713),ISNUMBER(H713),H713&gt;0),G713/H713-1,"")</x:f>
      </x:c>
      <x:c r="J713" s="27" t="str">
        <x:f>IF(AND(ISNUMBER(G713),F713&gt;0),G713/F713-1,"")</x:f>
      </x:c>
      <x:c r="K713" s="19" t="str">
        <x:v>Exp_1/EXP026/results/seed1014_Full.json</x:v>
      </x:c>
    </x:row>
    <x:row r="714" ht="15" hidden="0" customHeight="1">
      <x:c r="A714" s="3" t="str">
        <x:v>EXP026</x:v>
      </x:c>
      <x:c r="B714" s="3" t="str">
        <x:v>Exp. 1</x:v>
      </x:c>
      <x:c r="C714" s="18" t="n">
        <x:v>1014</x:v>
      </x:c>
      <x:c r="D714" s="3" t="str">
        <x:v>Relative cutoff 1e-2</x:v>
      </x:c>
      <x:c r="E714" s="18" t="n">
        <x:v>200</x:v>
      </x:c>
      <x:c r="F714" s="21" t="n">
        <x:v>337.6538203993426</x:v>
      </x:c>
      <x:c r="G714" s="21" t="str">
        <x:f>""</x:f>
      </x:c>
      <x:c r="H714" s="21" t="n">
        <x:f>F713</x:f>
        <x:v>320.03695274633617</x:v>
      </x:c>
      <x:c r="I714" s="27" t="str">
        <x:f>IF(AND(ISNUMBER(G714),ISNUMBER(H714),H714&gt;0),G714/H714-1,"")</x:f>
      </x:c>
      <x:c r="J714" s="27" t="str">
        <x:f>IF(AND(ISNUMBER(G714),F714&gt;0),G714/F714-1,"")</x:f>
      </x:c>
      <x:c r="K714" s="19" t="str">
        <x:v>Exp_1/EXP026/results/seed1014_Relative_cutoff_1e-2.json</x:v>
      </x:c>
    </x:row>
    <x:row r="715" ht="15" hidden="0" customHeight="1">
      <x:c r="A715" s="3" t="str">
        <x:v>EXP026</x:v>
      </x:c>
      <x:c r="B715" s="3" t="str">
        <x:v>Exp. 1</x:v>
      </x:c>
      <x:c r="C715" s="18" t="n">
        <x:v>1015</x:v>
      </x:c>
      <x:c r="D715" s="3" t="str">
        <x:v>Fixed rank 10</x:v>
      </x:c>
      <x:c r="E715" s="18" t="n">
        <x:v>200</x:v>
      </x:c>
      <x:c r="F715" s="21" t="n">
        <x:v>240.93639932727191</x:v>
      </x:c>
      <x:c r="G715" s="21" t="str">
        <x:f>""</x:f>
      </x:c>
      <x:c r="H715" s="21" t="n">
        <x:f>F718</x:f>
        <x:v>237.3435866900773</x:v>
      </x:c>
      <x:c r="I715" s="27" t="str">
        <x:f>IF(AND(ISNUMBER(G715),ISNUMBER(H715),H715&gt;0),G715/H715-1,"")</x:f>
      </x:c>
      <x:c r="J715" s="27" t="str">
        <x:f>IF(AND(ISNUMBER(G715),F715&gt;0),G715/F715-1,"")</x:f>
      </x:c>
      <x:c r="K715" s="19" t="str">
        <x:v>Exp_1/EXP026/results/seed1015_Fixed_rank_10.json</x:v>
      </x:c>
    </x:row>
    <x:row r="716" ht="15" hidden="0" customHeight="1">
      <x:c r="A716" s="3" t="str">
        <x:v>EXP026</x:v>
      </x:c>
      <x:c r="B716" s="3" t="str">
        <x:v>Exp. 1</x:v>
      </x:c>
      <x:c r="C716" s="18" t="n">
        <x:v>1015</x:v>
      </x:c>
      <x:c r="D716" s="3" t="str">
        <x:v>Fixed rank 3</x:v>
      </x:c>
      <x:c r="E716" s="18" t="n">
        <x:v>200</x:v>
      </x:c>
      <x:c r="F716" s="21" t="n">
        <x:v>251.8938481984839</x:v>
      </x:c>
      <x:c r="G716" s="21" t="str">
        <x:f>""</x:f>
      </x:c>
      <x:c r="H716" s="21" t="n">
        <x:f>F718</x:f>
        <x:v>237.3435866900773</x:v>
      </x:c>
      <x:c r="I716" s="27" t="str">
        <x:f>IF(AND(ISNUMBER(G716),ISNUMBER(H716),H716&gt;0),G716/H716-1,"")</x:f>
      </x:c>
      <x:c r="J716" s="27" t="str">
        <x:f>IF(AND(ISNUMBER(G716),F716&gt;0),G716/F716-1,"")</x:f>
      </x:c>
      <x:c r="K716" s="19" t="str">
        <x:v>Exp_1/EXP026/results/seed1015_Fixed_rank_3.json</x:v>
      </x:c>
    </x:row>
    <x:row r="717" ht="15" hidden="0" customHeight="1">
      <x:c r="A717" s="3" t="str">
        <x:v>EXP026</x:v>
      </x:c>
      <x:c r="B717" s="3" t="str">
        <x:v>Exp. 1</x:v>
      </x:c>
      <x:c r="C717" s="18" t="n">
        <x:v>1015</x:v>
      </x:c>
      <x:c r="D717" s="3" t="str">
        <x:v>Fixed rank 5</x:v>
      </x:c>
      <x:c r="E717" s="18" t="n">
        <x:v>200</x:v>
      </x:c>
      <x:c r="F717" s="21" t="n">
        <x:v>239.00094195913303</x:v>
      </x:c>
      <x:c r="G717" s="21" t="str">
        <x:f>""</x:f>
      </x:c>
      <x:c r="H717" s="21" t="n">
        <x:f>F718</x:f>
        <x:v>237.3435866900773</x:v>
      </x:c>
      <x:c r="I717" s="27" t="str">
        <x:f>IF(AND(ISNUMBER(G717),ISNUMBER(H717),H717&gt;0),G717/H717-1,"")</x:f>
      </x:c>
      <x:c r="J717" s="27" t="str">
        <x:f>IF(AND(ISNUMBER(G717),F717&gt;0),G717/F717-1,"")</x:f>
      </x:c>
      <x:c r="K717" s="19" t="str">
        <x:v>Exp_1/EXP026/results/seed1015_Fixed_rank_5.json</x:v>
      </x:c>
    </x:row>
    <x:row r="718" ht="15" hidden="0" customHeight="1">
      <x:c r="A718" s="3" t="str">
        <x:v>EXP026</x:v>
      </x:c>
      <x:c r="B718" s="3" t="str">
        <x:v>Exp. 1</x:v>
      </x:c>
      <x:c r="C718" s="18" t="n">
        <x:v>1015</x:v>
      </x:c>
      <x:c r="D718" s="3" t="str">
        <x:v>Full</x:v>
      </x:c>
      <x:c r="E718" s="18" t="n">
        <x:v>200</x:v>
      </x:c>
      <x:c r="F718" s="21" t="n">
        <x:v>237.3435866900773</x:v>
      </x:c>
      <x:c r="G718" s="21" t="str">
        <x:f>""</x:f>
      </x:c>
      <x:c r="H718" s="21" t="n">
        <x:f>F718</x:f>
        <x:v>237.3435866900773</x:v>
      </x:c>
      <x:c r="I718" s="27" t="str">
        <x:f>IF(AND(ISNUMBER(G718),ISNUMBER(H718),H718&gt;0),G718/H718-1,"")</x:f>
      </x:c>
      <x:c r="J718" s="27" t="str">
        <x:f>IF(AND(ISNUMBER(G718),F718&gt;0),G718/F718-1,"")</x:f>
      </x:c>
      <x:c r="K718" s="19" t="str">
        <x:v>Exp_1/EXP026/results/seed1015_Full.json</x:v>
      </x:c>
    </x:row>
    <x:row r="719" ht="15" hidden="0" customHeight="1">
      <x:c r="A719" s="3" t="str">
        <x:v>EXP026</x:v>
      </x:c>
      <x:c r="B719" s="3" t="str">
        <x:v>Exp. 1</x:v>
      </x:c>
      <x:c r="C719" s="18" t="n">
        <x:v>1015</x:v>
      </x:c>
      <x:c r="D719" s="3" t="str">
        <x:v>Relative cutoff 1e-2</x:v>
      </x:c>
      <x:c r="E719" s="18" t="n">
        <x:v>200</x:v>
      </x:c>
      <x:c r="F719" s="21" t="n">
        <x:v>250.28865895371797</x:v>
      </x:c>
      <x:c r="G719" s="21" t="str">
        <x:f>""</x:f>
      </x:c>
      <x:c r="H719" s="21" t="n">
        <x:f>F718</x:f>
        <x:v>237.3435866900773</x:v>
      </x:c>
      <x:c r="I719" s="27" t="str">
        <x:f>IF(AND(ISNUMBER(G719),ISNUMBER(H719),H719&gt;0),G719/H719-1,"")</x:f>
      </x:c>
      <x:c r="J719" s="27" t="str">
        <x:f>IF(AND(ISNUMBER(G719),F719&gt;0),G719/F719-1,"")</x:f>
      </x:c>
      <x:c r="K719" s="19" t="str">
        <x:v>Exp_1/EXP026/results/seed1015_Relative_cutoff_1e-2.json</x:v>
      </x:c>
    </x:row>
    <x:row r="720" ht="15" hidden="0" customHeight="1">
      <x:c r="A720" s="3" t="str">
        <x:v>EXP026</x:v>
      </x:c>
      <x:c r="B720" s="3" t="str">
        <x:v>Exp. 1</x:v>
      </x:c>
      <x:c r="C720" s="18" t="n">
        <x:v>1016</x:v>
      </x:c>
      <x:c r="D720" s="3" t="str">
        <x:v>Fixed rank 10</x:v>
      </x:c>
      <x:c r="E720" s="18" t="n">
        <x:v>200</x:v>
      </x:c>
      <x:c r="F720" s="21" t="n">
        <x:v>353.7879904170853</x:v>
      </x:c>
      <x:c r="G720" s="21" t="str">
        <x:f>""</x:f>
      </x:c>
      <x:c r="H720" s="21" t="n">
        <x:f>F723</x:f>
        <x:v>359.378962601025</x:v>
      </x:c>
      <x:c r="I720" s="27" t="str">
        <x:f>IF(AND(ISNUMBER(G720),ISNUMBER(H720),H720&gt;0),G720/H720-1,"")</x:f>
      </x:c>
      <x:c r="J720" s="27" t="str">
        <x:f>IF(AND(ISNUMBER(G720),F720&gt;0),G720/F720-1,"")</x:f>
      </x:c>
      <x:c r="K720" s="19" t="str">
        <x:v>Exp_1/EXP026/results/seed1016_Fixed_rank_10.json</x:v>
      </x:c>
    </x:row>
    <x:row r="721" ht="15" hidden="0" customHeight="1">
      <x:c r="A721" s="3" t="str">
        <x:v>EXP026</x:v>
      </x:c>
      <x:c r="B721" s="3" t="str">
        <x:v>Exp. 1</x:v>
      </x:c>
      <x:c r="C721" s="18" t="n">
        <x:v>1016</x:v>
      </x:c>
      <x:c r="D721" s="3" t="str">
        <x:v>Fixed rank 3</x:v>
      </x:c>
      <x:c r="E721" s="18" t="n">
        <x:v>200</x:v>
      </x:c>
      <x:c r="F721" s="21" t="n">
        <x:v>314.65914547311684</x:v>
      </x:c>
      <x:c r="G721" s="21" t="str">
        <x:f>""</x:f>
      </x:c>
      <x:c r="H721" s="21" t="n">
        <x:f>F723</x:f>
        <x:v>359.378962601025</x:v>
      </x:c>
      <x:c r="I721" s="27" t="str">
        <x:f>IF(AND(ISNUMBER(G721),ISNUMBER(H721),H721&gt;0),G721/H721-1,"")</x:f>
      </x:c>
      <x:c r="J721" s="27" t="str">
        <x:f>IF(AND(ISNUMBER(G721),F721&gt;0),G721/F721-1,"")</x:f>
      </x:c>
      <x:c r="K721" s="19" t="str">
        <x:v>Exp_1/EXP026/results/seed1016_Fixed_rank_3.json</x:v>
      </x:c>
    </x:row>
    <x:row r="722" ht="15" hidden="0" customHeight="1">
      <x:c r="A722" s="3" t="str">
        <x:v>EXP026</x:v>
      </x:c>
      <x:c r="B722" s="3" t="str">
        <x:v>Exp. 1</x:v>
      </x:c>
      <x:c r="C722" s="18" t="n">
        <x:v>1016</x:v>
      </x:c>
      <x:c r="D722" s="3" t="str">
        <x:v>Fixed rank 5</x:v>
      </x:c>
      <x:c r="E722" s="18" t="n">
        <x:v>200</x:v>
      </x:c>
      <x:c r="F722" s="21" t="n">
        <x:v>340.04352801272887</x:v>
      </x:c>
      <x:c r="G722" s="21" t="str">
        <x:f>""</x:f>
      </x:c>
      <x:c r="H722" s="21" t="n">
        <x:f>F723</x:f>
        <x:v>359.378962601025</x:v>
      </x:c>
      <x:c r="I722" s="27" t="str">
        <x:f>IF(AND(ISNUMBER(G722),ISNUMBER(H722),H722&gt;0),G722/H722-1,"")</x:f>
      </x:c>
      <x:c r="J722" s="27" t="str">
        <x:f>IF(AND(ISNUMBER(G722),F722&gt;0),G722/F722-1,"")</x:f>
      </x:c>
      <x:c r="K722" s="19" t="str">
        <x:v>Exp_1/EXP026/results/seed1016_Fixed_rank_5.json</x:v>
      </x:c>
    </x:row>
    <x:row r="723" ht="15" hidden="0" customHeight="1">
      <x:c r="A723" s="3" t="str">
        <x:v>EXP026</x:v>
      </x:c>
      <x:c r="B723" s="3" t="str">
        <x:v>Exp. 1</x:v>
      </x:c>
      <x:c r="C723" s="18" t="n">
        <x:v>1016</x:v>
      </x:c>
      <x:c r="D723" s="3" t="str">
        <x:v>Full</x:v>
      </x:c>
      <x:c r="E723" s="18" t="n">
        <x:v>200</x:v>
      </x:c>
      <x:c r="F723" s="21" t="n">
        <x:v>359.378962601025</x:v>
      </x:c>
      <x:c r="G723" s="21" t="str">
        <x:f>""</x:f>
      </x:c>
      <x:c r="H723" s="21" t="n">
        <x:f>F723</x:f>
        <x:v>359.378962601025</x:v>
      </x:c>
      <x:c r="I723" s="27" t="str">
        <x:f>IF(AND(ISNUMBER(G723),ISNUMBER(H723),H723&gt;0),G723/H723-1,"")</x:f>
      </x:c>
      <x:c r="J723" s="27" t="str">
        <x:f>IF(AND(ISNUMBER(G723),F723&gt;0),G723/F723-1,"")</x:f>
      </x:c>
      <x:c r="K723" s="19" t="str">
        <x:v>Exp_1/EXP026/results/seed1016_Full.json</x:v>
      </x:c>
    </x:row>
    <x:row r="724" ht="15" hidden="0" customHeight="1">
      <x:c r="A724" s="3" t="str">
        <x:v>EXP026</x:v>
      </x:c>
      <x:c r="B724" s="3" t="str">
        <x:v>Exp. 1</x:v>
      </x:c>
      <x:c r="C724" s="18" t="n">
        <x:v>1016</x:v>
      </x:c>
      <x:c r="D724" s="3" t="str">
        <x:v>Relative cutoff 1e-2</x:v>
      </x:c>
      <x:c r="E724" s="18" t="n">
        <x:v>200</x:v>
      </x:c>
      <x:c r="F724" s="21" t="n">
        <x:v>322.4401115086237</x:v>
      </x:c>
      <x:c r="G724" s="21" t="str">
        <x:f>""</x:f>
      </x:c>
      <x:c r="H724" s="21" t="n">
        <x:f>F723</x:f>
        <x:v>359.378962601025</x:v>
      </x:c>
      <x:c r="I724" s="27" t="str">
        <x:f>IF(AND(ISNUMBER(G724),ISNUMBER(H724),H724&gt;0),G724/H724-1,"")</x:f>
      </x:c>
      <x:c r="J724" s="27" t="str">
        <x:f>IF(AND(ISNUMBER(G724),F724&gt;0),G724/F724-1,"")</x:f>
      </x:c>
      <x:c r="K724" s="19" t="str">
        <x:v>Exp_1/EXP026/results/seed1016_Relative_cutoff_1e-2.json</x:v>
      </x:c>
    </x:row>
    <x:row r="725" ht="15" hidden="0" customHeight="1">
      <x:c r="A725" s="3" t="str">
        <x:v>EXP026</x:v>
      </x:c>
      <x:c r="B725" s="3" t="str">
        <x:v>Exp. 1</x:v>
      </x:c>
      <x:c r="C725" s="18" t="n">
        <x:v>1017</x:v>
      </x:c>
      <x:c r="D725" s="3" t="str">
        <x:v>Fixed rank 10</x:v>
      </x:c>
      <x:c r="E725" s="18" t="n">
        <x:v>200</x:v>
      </x:c>
      <x:c r="F725" s="21" t="n">
        <x:v>386.27183909278574</x:v>
      </x:c>
      <x:c r="G725" s="21" t="str">
        <x:f>""</x:f>
      </x:c>
      <x:c r="H725" s="21" t="n">
        <x:f>F728</x:f>
        <x:v>379.1736795966559</x:v>
      </x:c>
      <x:c r="I725" s="27" t="str">
        <x:f>IF(AND(ISNUMBER(G725),ISNUMBER(H725),H725&gt;0),G725/H725-1,"")</x:f>
      </x:c>
      <x:c r="J725" s="27" t="str">
        <x:f>IF(AND(ISNUMBER(G725),F725&gt;0),G725/F725-1,"")</x:f>
      </x:c>
      <x:c r="K725" s="19" t="str">
        <x:v>Exp_1/EXP026/results/seed1017_Fixed_rank_10.json</x:v>
      </x:c>
    </x:row>
    <x:row r="726" ht="15" hidden="0" customHeight="1">
      <x:c r="A726" s="3" t="str">
        <x:v>EXP026</x:v>
      </x:c>
      <x:c r="B726" s="3" t="str">
        <x:v>Exp. 1</x:v>
      </x:c>
      <x:c r="C726" s="18" t="n">
        <x:v>1017</x:v>
      </x:c>
      <x:c r="D726" s="3" t="str">
        <x:v>Fixed rank 3</x:v>
      </x:c>
      <x:c r="E726" s="18" t="n">
        <x:v>200</x:v>
      </x:c>
      <x:c r="F726" s="21" t="n">
        <x:v>382.250157567818</x:v>
      </x:c>
      <x:c r="G726" s="21" t="str">
        <x:f>""</x:f>
      </x:c>
      <x:c r="H726" s="21" t="n">
        <x:f>F728</x:f>
        <x:v>379.1736795966559</x:v>
      </x:c>
      <x:c r="I726" s="27" t="str">
        <x:f>IF(AND(ISNUMBER(G726),ISNUMBER(H726),H726&gt;0),G726/H726-1,"")</x:f>
      </x:c>
      <x:c r="J726" s="27" t="str">
        <x:f>IF(AND(ISNUMBER(G726),F726&gt;0),G726/F726-1,"")</x:f>
      </x:c>
      <x:c r="K726" s="19" t="str">
        <x:v>Exp_1/EXP026/results/seed1017_Fixed_rank_3.json</x:v>
      </x:c>
    </x:row>
    <x:row r="727" ht="15" hidden="0" customHeight="1">
      <x:c r="A727" s="3" t="str">
        <x:v>EXP026</x:v>
      </x:c>
      <x:c r="B727" s="3" t="str">
        <x:v>Exp. 1</x:v>
      </x:c>
      <x:c r="C727" s="18" t="n">
        <x:v>1017</x:v>
      </x:c>
      <x:c r="D727" s="3" t="str">
        <x:v>Fixed rank 5</x:v>
      </x:c>
      <x:c r="E727" s="18" t="n">
        <x:v>200</x:v>
      </x:c>
      <x:c r="F727" s="21" t="n">
        <x:v>385.4991163986202</x:v>
      </x:c>
      <x:c r="G727" s="21" t="str">
        <x:f>""</x:f>
      </x:c>
      <x:c r="H727" s="21" t="n">
        <x:f>F728</x:f>
        <x:v>379.1736795966559</x:v>
      </x:c>
      <x:c r="I727" s="27" t="str">
        <x:f>IF(AND(ISNUMBER(G727),ISNUMBER(H727),H727&gt;0),G727/H727-1,"")</x:f>
      </x:c>
      <x:c r="J727" s="27" t="str">
        <x:f>IF(AND(ISNUMBER(G727),F727&gt;0),G727/F727-1,"")</x:f>
      </x:c>
      <x:c r="K727" s="19" t="str">
        <x:v>Exp_1/EXP026/results/seed1017_Fixed_rank_5.json</x:v>
      </x:c>
    </x:row>
    <x:row r="728" ht="15" hidden="0" customHeight="1">
      <x:c r="A728" s="3" t="str">
        <x:v>EXP026</x:v>
      </x:c>
      <x:c r="B728" s="3" t="str">
        <x:v>Exp. 1</x:v>
      </x:c>
      <x:c r="C728" s="18" t="n">
        <x:v>1017</x:v>
      </x:c>
      <x:c r="D728" s="3" t="str">
        <x:v>Full</x:v>
      </x:c>
      <x:c r="E728" s="18" t="n">
        <x:v>200</x:v>
      </x:c>
      <x:c r="F728" s="21" t="n">
        <x:v>379.1736795966559</x:v>
      </x:c>
      <x:c r="G728" s="21" t="str">
        <x:f>""</x:f>
      </x:c>
      <x:c r="H728" s="21" t="n">
        <x:f>F728</x:f>
        <x:v>379.1736795966559</x:v>
      </x:c>
      <x:c r="I728" s="27" t="str">
        <x:f>IF(AND(ISNUMBER(G728),ISNUMBER(H728),H728&gt;0),G728/H728-1,"")</x:f>
      </x:c>
      <x:c r="J728" s="27" t="str">
        <x:f>IF(AND(ISNUMBER(G728),F728&gt;0),G728/F728-1,"")</x:f>
      </x:c>
      <x:c r="K728" s="19" t="str">
        <x:v>Exp_1/EXP026/results/seed1017_Full.json</x:v>
      </x:c>
    </x:row>
    <x:row r="729" ht="15" hidden="0" customHeight="1">
      <x:c r="A729" s="3" t="str">
        <x:v>EXP026</x:v>
      </x:c>
      <x:c r="B729" s="3" t="str">
        <x:v>Exp. 1</x:v>
      </x:c>
      <x:c r="C729" s="18" t="n">
        <x:v>1017</x:v>
      </x:c>
      <x:c r="D729" s="3" t="str">
        <x:v>Relative cutoff 1e-2</x:v>
      </x:c>
      <x:c r="E729" s="18" t="n">
        <x:v>200</x:v>
      </x:c>
      <x:c r="F729" s="21" t="n">
        <x:v>383.69140818649737</x:v>
      </x:c>
      <x:c r="G729" s="21" t="str">
        <x:f>""</x:f>
      </x:c>
      <x:c r="H729" s="21" t="n">
        <x:f>F728</x:f>
        <x:v>379.1736795966559</x:v>
      </x:c>
      <x:c r="I729" s="27" t="str">
        <x:f>IF(AND(ISNUMBER(G729),ISNUMBER(H729),H729&gt;0),G729/H729-1,"")</x:f>
      </x:c>
      <x:c r="J729" s="27" t="str">
        <x:f>IF(AND(ISNUMBER(G729),F729&gt;0),G729/F729-1,"")</x:f>
      </x:c>
      <x:c r="K729" s="19" t="str">
        <x:v>Exp_1/EXP026/results/seed1017_Relative_cutoff_1e-2.json</x:v>
      </x:c>
    </x:row>
    <x:row r="730" ht="15" hidden="0" customHeight="1">
      <x:c r="A730" s="3" t="str">
        <x:v>EXP026</x:v>
      </x:c>
      <x:c r="B730" s="3" t="str">
        <x:v>Exp. 1</x:v>
      </x:c>
      <x:c r="C730" s="18" t="n">
        <x:v>1018</x:v>
      </x:c>
      <x:c r="D730" s="3" t="str">
        <x:v>Fixed rank 10</x:v>
      </x:c>
      <x:c r="E730" s="18" t="n">
        <x:v>200</x:v>
      </x:c>
      <x:c r="F730" s="21" t="n">
        <x:v>333.8249312970787</x:v>
      </x:c>
      <x:c r="G730" s="21" t="str">
        <x:f>""</x:f>
      </x:c>
      <x:c r="H730" s="21" t="n">
        <x:f>F733</x:f>
        <x:v>318.03420397796543</x:v>
      </x:c>
      <x:c r="I730" s="27" t="str">
        <x:f>IF(AND(ISNUMBER(G730),ISNUMBER(H730),H730&gt;0),G730/H730-1,"")</x:f>
      </x:c>
      <x:c r="J730" s="27" t="str">
        <x:f>IF(AND(ISNUMBER(G730),F730&gt;0),G730/F730-1,"")</x:f>
      </x:c>
      <x:c r="K730" s="19" t="str">
        <x:v>Exp_1/EXP026/results/seed1018_Fixed_rank_10.json</x:v>
      </x:c>
    </x:row>
    <x:row r="731" ht="15" hidden="0" customHeight="1">
      <x:c r="A731" s="3" t="str">
        <x:v>EXP026</x:v>
      </x:c>
      <x:c r="B731" s="3" t="str">
        <x:v>Exp. 1</x:v>
      </x:c>
      <x:c r="C731" s="18" t="n">
        <x:v>1018</x:v>
      </x:c>
      <x:c r="D731" s="3" t="str">
        <x:v>Fixed rank 3</x:v>
      </x:c>
      <x:c r="E731" s="18" t="n">
        <x:v>200</x:v>
      </x:c>
      <x:c r="F731" s="21" t="n">
        <x:v>341.2274018000937</x:v>
      </x:c>
      <x:c r="G731" s="21" t="str">
        <x:f>""</x:f>
      </x:c>
      <x:c r="H731" s="21" t="n">
        <x:f>F733</x:f>
        <x:v>318.03420397796543</x:v>
      </x:c>
      <x:c r="I731" s="27" t="str">
        <x:f>IF(AND(ISNUMBER(G731),ISNUMBER(H731),H731&gt;0),G731/H731-1,"")</x:f>
      </x:c>
      <x:c r="J731" s="27" t="str">
        <x:f>IF(AND(ISNUMBER(G731),F731&gt;0),G731/F731-1,"")</x:f>
      </x:c>
      <x:c r="K731" s="19" t="str">
        <x:v>Exp_1/EXP026/results/seed1018_Fixed_rank_3.json</x:v>
      </x:c>
    </x:row>
    <x:row r="732" ht="15" hidden="0" customHeight="1">
      <x:c r="A732" s="3" t="str">
        <x:v>EXP026</x:v>
      </x:c>
      <x:c r="B732" s="3" t="str">
        <x:v>Exp. 1</x:v>
      </x:c>
      <x:c r="C732" s="18" t="n">
        <x:v>1018</x:v>
      </x:c>
      <x:c r="D732" s="3" t="str">
        <x:v>Fixed rank 5</x:v>
      </x:c>
      <x:c r="E732" s="18" t="n">
        <x:v>200</x:v>
      </x:c>
      <x:c r="F732" s="21" t="n">
        <x:v>334.0872998701664</x:v>
      </x:c>
      <x:c r="G732" s="21" t="str">
        <x:f>""</x:f>
      </x:c>
      <x:c r="H732" s="21" t="n">
        <x:f>F733</x:f>
        <x:v>318.03420397796543</x:v>
      </x:c>
      <x:c r="I732" s="27" t="str">
        <x:f>IF(AND(ISNUMBER(G732),ISNUMBER(H732),H732&gt;0),G732/H732-1,"")</x:f>
      </x:c>
      <x:c r="J732" s="27" t="str">
        <x:f>IF(AND(ISNUMBER(G732),F732&gt;0),G732/F732-1,"")</x:f>
      </x:c>
      <x:c r="K732" s="19" t="str">
        <x:v>Exp_1/EXP026/results/seed1018_Fixed_rank_5.json</x:v>
      </x:c>
    </x:row>
    <x:row r="733" ht="15" hidden="0" customHeight="1">
      <x:c r="A733" s="3" t="str">
        <x:v>EXP026</x:v>
      </x:c>
      <x:c r="B733" s="3" t="str">
        <x:v>Exp. 1</x:v>
      </x:c>
      <x:c r="C733" s="18" t="n">
        <x:v>1018</x:v>
      </x:c>
      <x:c r="D733" s="3" t="str">
        <x:v>Full</x:v>
      </x:c>
      <x:c r="E733" s="18" t="n">
        <x:v>200</x:v>
      </x:c>
      <x:c r="F733" s="21" t="n">
        <x:v>318.03420397796543</x:v>
      </x:c>
      <x:c r="G733" s="21" t="str">
        <x:f>""</x:f>
      </x:c>
      <x:c r="H733" s="21" t="n">
        <x:f>F733</x:f>
        <x:v>318.03420397796543</x:v>
      </x:c>
      <x:c r="I733" s="27" t="str">
        <x:f>IF(AND(ISNUMBER(G733),ISNUMBER(H733),H733&gt;0),G733/H733-1,"")</x:f>
      </x:c>
      <x:c r="J733" s="27" t="str">
        <x:f>IF(AND(ISNUMBER(G733),F733&gt;0),G733/F733-1,"")</x:f>
      </x:c>
      <x:c r="K733" s="19" t="str">
        <x:v>Exp_1/EXP026/results/seed1018_Full.json</x:v>
      </x:c>
    </x:row>
    <x:row r="734" ht="15" hidden="0" customHeight="1">
      <x:c r="A734" s="3" t="str">
        <x:v>EXP026</x:v>
      </x:c>
      <x:c r="B734" s="3" t="str">
        <x:v>Exp. 1</x:v>
      </x:c>
      <x:c r="C734" s="18" t="n">
        <x:v>1018</x:v>
      </x:c>
      <x:c r="D734" s="3" t="str">
        <x:v>Relative cutoff 1e-2</x:v>
      </x:c>
      <x:c r="E734" s="18" t="n">
        <x:v>200</x:v>
      </x:c>
      <x:c r="F734" s="21" t="n">
        <x:v>323.4202996748712</x:v>
      </x:c>
      <x:c r="G734" s="21" t="str">
        <x:f>""</x:f>
      </x:c>
      <x:c r="H734" s="21" t="n">
        <x:f>F733</x:f>
        <x:v>318.03420397796543</x:v>
      </x:c>
      <x:c r="I734" s="27" t="str">
        <x:f>IF(AND(ISNUMBER(G734),ISNUMBER(H734),H734&gt;0),G734/H734-1,"")</x:f>
      </x:c>
      <x:c r="J734" s="27" t="str">
        <x:f>IF(AND(ISNUMBER(G734),F734&gt;0),G734/F734-1,"")</x:f>
      </x:c>
      <x:c r="K734" s="19" t="str">
        <x:v>Exp_1/EXP026/results/seed1018_Relative_cutoff_1e-2.json</x:v>
      </x:c>
    </x:row>
    <x:row r="735" ht="15" hidden="0" customHeight="1">
      <x:c r="A735" s="3" t="str">
        <x:v>EXP026</x:v>
      </x:c>
      <x:c r="B735" s="3" t="str">
        <x:v>Exp. 1</x:v>
      </x:c>
      <x:c r="C735" s="18" t="n">
        <x:v>1019</x:v>
      </x:c>
      <x:c r="D735" s="3" t="str">
        <x:v>Fixed rank 10</x:v>
      </x:c>
      <x:c r="E735" s="18" t="n">
        <x:v>200</x:v>
      </x:c>
      <x:c r="F735" s="21" t="n">
        <x:v>417.69798877699776</x:v>
      </x:c>
      <x:c r="G735" s="21" t="str">
        <x:f>""</x:f>
      </x:c>
      <x:c r="H735" s="21" t="n">
        <x:f>F738</x:f>
        <x:v>417.69798877699776</x:v>
      </x:c>
      <x:c r="I735" s="27" t="str">
        <x:f>IF(AND(ISNUMBER(G735),ISNUMBER(H735),H735&gt;0),G735/H735-1,"")</x:f>
      </x:c>
      <x:c r="J735" s="27" t="str">
        <x:f>IF(AND(ISNUMBER(G735),F735&gt;0),G735/F735-1,"")</x:f>
      </x:c>
      <x:c r="K735" s="19" t="str">
        <x:v>Exp_1/EXP026/results/seed1019_Fixed_rank_10.json</x:v>
      </x:c>
    </x:row>
    <x:row r="736" ht="15" hidden="0" customHeight="1">
      <x:c r="A736" s="3" t="str">
        <x:v>EXP026</x:v>
      </x:c>
      <x:c r="B736" s="3" t="str">
        <x:v>Exp. 1</x:v>
      </x:c>
      <x:c r="C736" s="18" t="n">
        <x:v>1019</x:v>
      </x:c>
      <x:c r="D736" s="3" t="str">
        <x:v>Fixed rank 3</x:v>
      </x:c>
      <x:c r="E736" s="18" t="n">
        <x:v>200</x:v>
      </x:c>
      <x:c r="F736" s="21" t="n">
        <x:v>453.22863328225424</x:v>
      </x:c>
      <x:c r="G736" s="21" t="str">
        <x:f>""</x:f>
      </x:c>
      <x:c r="H736" s="21" t="n">
        <x:f>F738</x:f>
        <x:v>417.69798877699776</x:v>
      </x:c>
      <x:c r="I736" s="27" t="str">
        <x:f>IF(AND(ISNUMBER(G736),ISNUMBER(H736),H736&gt;0),G736/H736-1,"")</x:f>
      </x:c>
      <x:c r="J736" s="27" t="str">
        <x:f>IF(AND(ISNUMBER(G736),F736&gt;0),G736/F736-1,"")</x:f>
      </x:c>
      <x:c r="K736" s="19" t="str">
        <x:v>Exp_1/EXP026/results/seed1019_Fixed_rank_3.json</x:v>
      </x:c>
    </x:row>
    <x:row r="737" ht="15" hidden="0" customHeight="1">
      <x:c r="A737" s="3" t="str">
        <x:v>EXP026</x:v>
      </x:c>
      <x:c r="B737" s="3" t="str">
        <x:v>Exp. 1</x:v>
      </x:c>
      <x:c r="C737" s="18" t="n">
        <x:v>1019</x:v>
      </x:c>
      <x:c r="D737" s="3" t="str">
        <x:v>Fixed rank 5</x:v>
      </x:c>
      <x:c r="E737" s="18" t="n">
        <x:v>200</x:v>
      </x:c>
      <x:c r="F737" s="21" t="n">
        <x:v>417.69798877699776</x:v>
      </x:c>
      <x:c r="G737" s="21" t="str">
        <x:f>""</x:f>
      </x:c>
      <x:c r="H737" s="21" t="n">
        <x:f>F738</x:f>
        <x:v>417.69798877699776</x:v>
      </x:c>
      <x:c r="I737" s="27" t="str">
        <x:f>IF(AND(ISNUMBER(G737),ISNUMBER(H737),H737&gt;0),G737/H737-1,"")</x:f>
      </x:c>
      <x:c r="J737" s="27" t="str">
        <x:f>IF(AND(ISNUMBER(G737),F737&gt;0),G737/F737-1,"")</x:f>
      </x:c>
      <x:c r="K737" s="19" t="str">
        <x:v>Exp_1/EXP026/results/seed1019_Fixed_rank_5.json</x:v>
      </x:c>
    </x:row>
    <x:row r="738" ht="15" hidden="0" customHeight="1">
      <x:c r="A738" s="3" t="str">
        <x:v>EXP026</x:v>
      </x:c>
      <x:c r="B738" s="3" t="str">
        <x:v>Exp. 1</x:v>
      </x:c>
      <x:c r="C738" s="18" t="n">
        <x:v>1019</x:v>
      </x:c>
      <x:c r="D738" s="3" t="str">
        <x:v>Full</x:v>
      </x:c>
      <x:c r="E738" s="18" t="n">
        <x:v>200</x:v>
      </x:c>
      <x:c r="F738" s="21" t="n">
        <x:v>417.69798877699776</x:v>
      </x:c>
      <x:c r="G738" s="21" t="str">
        <x:f>""</x:f>
      </x:c>
      <x:c r="H738" s="21" t="n">
        <x:f>F738</x:f>
        <x:v>417.69798877699776</x:v>
      </x:c>
      <x:c r="I738" s="27" t="str">
        <x:f>IF(AND(ISNUMBER(G738),ISNUMBER(H738),H738&gt;0),G738/H738-1,"")</x:f>
      </x:c>
      <x:c r="J738" s="27" t="str">
        <x:f>IF(AND(ISNUMBER(G738),F738&gt;0),G738/F738-1,"")</x:f>
      </x:c>
      <x:c r="K738" s="19" t="str">
        <x:v>Exp_1/EXP026/results/seed1019_Full.json</x:v>
      </x:c>
    </x:row>
    <x:row r="739" ht="15" hidden="0" customHeight="1">
      <x:c r="A739" s="3" t="str">
        <x:v>EXP026</x:v>
      </x:c>
      <x:c r="B739" s="3" t="str">
        <x:v>Exp. 1</x:v>
      </x:c>
      <x:c r="C739" s="18" t="n">
        <x:v>1019</x:v>
      </x:c>
      <x:c r="D739" s="3" t="str">
        <x:v>Relative cutoff 1e-2</x:v>
      </x:c>
      <x:c r="E739" s="18" t="n">
        <x:v>200</x:v>
      </x:c>
      <x:c r="F739" s="21" t="n">
        <x:v>448.64533367596067</x:v>
      </x:c>
      <x:c r="G739" s="21" t="str">
        <x:f>""</x:f>
      </x:c>
      <x:c r="H739" s="21" t="n">
        <x:f>F738</x:f>
        <x:v>417.69798877699776</x:v>
      </x:c>
      <x:c r="I739" s="27" t="str">
        <x:f>IF(AND(ISNUMBER(G739),ISNUMBER(H739),H739&gt;0),G739/H739-1,"")</x:f>
      </x:c>
      <x:c r="J739" s="27" t="str">
        <x:f>IF(AND(ISNUMBER(G739),F739&gt;0),G739/F739-1,"")</x:f>
      </x:c>
      <x:c r="K739" s="19" t="str">
        <x:v>Exp_1/EXP026/results/seed1019_Relative_cutoff_1e-2.json</x:v>
      </x:c>
    </x:row>
    <x:row r="740" ht="15" hidden="0" customHeight="1">
      <x:c r="A740" s="3" t="str">
        <x:v>EXP029</x:v>
      </x:c>
      <x:c r="B740" s="3" t="str">
        <x:v>Exp. 2</x:v>
      </x:c>
      <x:c r="C740" s="18" t="n">
        <x:v>20284363</x:v>
      </x:c>
      <x:c r="D740" s="3" t="str">
        <x:v>BBP</x:v>
      </x:c>
      <x:c r="E740" s="18" t="n">
        <x:v>200</x:v>
      </x:c>
      <x:c r="F740" s="21" t="n">
        <x:v>54.741565075230774</x:v>
      </x:c>
      <x:c r="G740" s="21" t="n">
        <x:f>F740</x:f>
        <x:v>54.741565075230774</x:v>
      </x:c>
      <x:c r="H740" s="21" t="n">
        <x:f>F746</x:f>
        <x:v>54.741565075230774</x:v>
      </x:c>
      <x:c r="I740" s="27" t="n">
        <x:f>IF(AND(ISNUMBER(G740),ISNUMBER(H740),H740&gt;0),G740/H740-1,"")</x:f>
        <x:v>0</x:v>
      </x:c>
      <x:c r="J740" s="27" t="n">
        <x:f>IF(AND(ISNUMBER(G740),F740&gt;0),G740/F740-1,"")</x:f>
        <x:v>0</x:v>
      </x:c>
      <x:c r="K740" s="19" t="str">
        <x:v>Exp_2/EXP029/results/seed20284363_BBP.json</x:v>
      </x:c>
    </x:row>
    <x:row r="741" ht="15" hidden="0" customHeight="1">
      <x:c r="A741" s="3" t="str">
        <x:v>EXP029</x:v>
      </x:c>
      <x:c r="B741" s="3" t="str">
        <x:v>Exp. 2</x:v>
      </x:c>
      <x:c r="C741" s="18" t="n">
        <x:v>20284363</x:v>
      </x:c>
      <x:c r="D741" s="3" t="str">
        <x:v>Relative cutoff 1e-5</x:v>
      </x:c>
      <x:c r="E741" s="18" t="n">
        <x:v>200</x:v>
      </x:c>
      <x:c r="F741" s="21" t="n">
        <x:v>54.741565075230774</x:v>
      </x:c>
      <x:c r="G741" s="21" t="n">
        <x:f>F740</x:f>
        <x:v>54.741565075230774</x:v>
      </x:c>
      <x:c r="H741" s="21" t="n">
        <x:f>F746</x:f>
        <x:v>54.741565075230774</x:v>
      </x:c>
      <x:c r="I741" s="27" t="n">
        <x:f>IF(AND(ISNUMBER(G741),ISNUMBER(H741),H741&gt;0),G741/H741-1,"")</x:f>
        <x:v>0</x:v>
      </x:c>
      <x:c r="J741" s="27" t="n">
        <x:f>IF(AND(ISNUMBER(G741),F741&gt;0),G741/F741-1,"")</x:f>
        <x:v>0</x:v>
      </x:c>
      <x:c r="K741" s="19" t="str">
        <x:v>Exp_2/EXP029/results/seed20284363_Relative_cutoff_1e-5.json</x:v>
      </x:c>
    </x:row>
    <x:row r="742" ht="15" hidden="0" customHeight="1">
      <x:c r="A742" s="3" t="str">
        <x:v>EXP029</x:v>
      </x:c>
      <x:c r="B742" s="3" t="str">
        <x:v>Exp. 2</x:v>
      </x:c>
      <x:c r="C742" s="18" t="n">
        <x:v>20284363</x:v>
      </x:c>
      <x:c r="D742" s="3" t="str">
        <x:v>NN-AGP (m=7)</x:v>
      </x:c>
      <x:c r="E742" s="18" t="n">
        <x:v>200</x:v>
      </x:c>
      <x:c r="F742" s="21" t="n">
        <x:v>75.01615268473891</x:v>
      </x:c>
      <x:c r="G742" s="21" t="n">
        <x:f>F740</x:f>
        <x:v>54.741565075230774</x:v>
      </x:c>
      <x:c r="H742" s="21" t="n">
        <x:f>F746</x:f>
        <x:v>54.741565075230774</x:v>
      </x:c>
      <x:c r="I742" s="27" t="n">
        <x:f>IF(AND(ISNUMBER(G742),ISNUMBER(H742),H742&gt;0),G742/H742-1,"")</x:f>
        <x:v>0</x:v>
      </x:c>
      <x:c r="J742" s="27" t="n">
        <x:f>IF(AND(ISNUMBER(G742),F742&gt;0),G742/F742-1,"")</x:f>
        <x:v>-0.2702696270590367</x:v>
      </x:c>
      <x:c r="K742" s="19" t="str">
        <x:v>Exp_2/EXP029/results/seed20284363_NN-AGP_m_7.json</x:v>
      </x:c>
    </x:row>
    <x:row r="743" ht="15" hidden="0" customHeight="1">
      <x:c r="A743" s="3" t="str">
        <x:v>EXP029</x:v>
      </x:c>
      <x:c r="B743" s="3" t="str">
        <x:v>Exp. 2</x:v>
      </x:c>
      <x:c r="C743" s="18" t="n">
        <x:v>20284363</x:v>
      </x:c>
      <x:c r="D743" s="3" t="str">
        <x:v>Fixed rank 10</x:v>
      </x:c>
      <x:c r="E743" s="18" t="n">
        <x:v>200</x:v>
      </x:c>
      <x:c r="F743" s="21" t="n">
        <x:v>54.741565075230774</x:v>
      </x:c>
      <x:c r="G743" s="21" t="n">
        <x:f>F740</x:f>
        <x:v>54.741565075230774</x:v>
      </x:c>
      <x:c r="H743" s="21" t="n">
        <x:f>F746</x:f>
        <x:v>54.741565075230774</x:v>
      </x:c>
      <x:c r="I743" s="27" t="n">
        <x:f>IF(AND(ISNUMBER(G743),ISNUMBER(H743),H743&gt;0),G743/H743-1,"")</x:f>
        <x:v>0</x:v>
      </x:c>
      <x:c r="J743" s="27" t="n">
        <x:f>IF(AND(ISNUMBER(G743),F743&gt;0),G743/F743-1,"")</x:f>
        <x:v>0</x:v>
      </x:c>
      <x:c r="K743" s="19" t="str">
        <x:v>Exp_2/EXP029/results/seed20284363_Fixed_rank_10.json</x:v>
      </x:c>
    </x:row>
    <x:row r="744" ht="15" hidden="0" customHeight="1">
      <x:c r="A744" s="3" t="str">
        <x:v>EXP029</x:v>
      </x:c>
      <x:c r="B744" s="3" t="str">
        <x:v>Exp. 2</x:v>
      </x:c>
      <x:c r="C744" s="18" t="n">
        <x:v>20284363</x:v>
      </x:c>
      <x:c r="D744" s="3" t="str">
        <x:v>Fixed rank 25</x:v>
      </x:c>
      <x:c r="E744" s="18" t="n">
        <x:v>200</x:v>
      </x:c>
      <x:c r="F744" s="21" t="n">
        <x:v>54.741565075230774</x:v>
      </x:c>
      <x:c r="G744" s="21" t="n">
        <x:f>F740</x:f>
        <x:v>54.741565075230774</x:v>
      </x:c>
      <x:c r="H744" s="21" t="n">
        <x:f>F746</x:f>
        <x:v>54.741565075230774</x:v>
      </x:c>
      <x:c r="I744" s="27" t="n">
        <x:f>IF(AND(ISNUMBER(G744),ISNUMBER(H744),H744&gt;0),G744/H744-1,"")</x:f>
        <x:v>0</x:v>
      </x:c>
      <x:c r="J744" s="27" t="n">
        <x:f>IF(AND(ISNUMBER(G744),F744&gt;0),G744/F744-1,"")</x:f>
        <x:v>0</x:v>
      </x:c>
      <x:c r="K744" s="19" t="str">
        <x:v>Exp_2/EXP029/results/seed20284363_Fixed_rank_25.json</x:v>
      </x:c>
    </x:row>
    <x:row r="745" ht="15" hidden="0" customHeight="1">
      <x:c r="A745" s="3" t="str">
        <x:v>EXP029</x:v>
      </x:c>
      <x:c r="B745" s="3" t="str">
        <x:v>Exp. 2</x:v>
      </x:c>
      <x:c r="C745" s="18" t="n">
        <x:v>20284363</x:v>
      </x:c>
      <x:c r="D745" s="3" t="str">
        <x:v>Relative cutoff 1e-6</x:v>
      </x:c>
      <x:c r="E745" s="18" t="n">
        <x:v>200</x:v>
      </x:c>
      <x:c r="F745" s="21" t="n">
        <x:v>54.741565075230774</x:v>
      </x:c>
      <x:c r="G745" s="21" t="n">
        <x:f>F740</x:f>
        <x:v>54.741565075230774</x:v>
      </x:c>
      <x:c r="H745" s="21" t="n">
        <x:f>F746</x:f>
        <x:v>54.741565075230774</x:v>
      </x:c>
      <x:c r="I745" s="27" t="n">
        <x:f>IF(AND(ISNUMBER(G745),ISNUMBER(H745),H745&gt;0),G745/H745-1,"")</x:f>
        <x:v>0</x:v>
      </x:c>
      <x:c r="J745" s="27" t="n">
        <x:f>IF(AND(ISNUMBER(G745),F745&gt;0),G745/F745-1,"")</x:f>
        <x:v>0</x:v>
      </x:c>
      <x:c r="K745" s="19" t="str">
        <x:v>Exp_2/EXP029/results/seed20284363_Relative_cutoff_1e-6.json</x:v>
      </x:c>
    </x:row>
    <x:row r="746" ht="15" hidden="0" customHeight="1">
      <x:c r="A746" s="3" t="str">
        <x:v>EXP029</x:v>
      </x:c>
      <x:c r="B746" s="3" t="str">
        <x:v>Exp. 2</x:v>
      </x:c>
      <x:c r="C746" s="18" t="n">
        <x:v>20284363</x:v>
      </x:c>
      <x:c r="D746" s="3" t="str">
        <x:v>Full</x:v>
      </x:c>
      <x:c r="E746" s="18" t="n">
        <x:v>200</x:v>
      </x:c>
      <x:c r="F746" s="21" t="n">
        <x:v>54.741565075230774</x:v>
      </x:c>
      <x:c r="G746" s="21" t="n">
        <x:f>F740</x:f>
        <x:v>54.741565075230774</x:v>
      </x:c>
      <x:c r="H746" s="21" t="n">
        <x:f>F746</x:f>
        <x:v>54.741565075230774</x:v>
      </x:c>
      <x:c r="I746" s="27" t="n">
        <x:f>IF(AND(ISNUMBER(G746),ISNUMBER(H746),H746&gt;0),G746/H746-1,"")</x:f>
        <x:v>0</x:v>
      </x:c>
      <x:c r="J746" s="27" t="n">
        <x:f>IF(AND(ISNUMBER(G746),F746&gt;0),G746/F746-1,"")</x:f>
        <x:v>0</x:v>
      </x:c>
      <x:c r="K746" s="19" t="str">
        <x:v>Exp_2/EXP029/results/seed20284363_Full.json</x:v>
      </x:c>
    </x:row>
    <x:row r="747" ht="15" hidden="0" customHeight="1">
      <x:c r="A747" s="3" t="str">
        <x:v>EXP029</x:v>
      </x:c>
      <x:c r="B747" s="3" t="str">
        <x:v>Exp. 2</x:v>
      </x:c>
      <x:c r="C747" s="18" t="n">
        <x:v>20284363</x:v>
      </x:c>
      <x:c r="D747" s="3" t="str">
        <x:v>GP-UCB (weighted sum)</x:v>
      </x:c>
      <x:c r="E747" s="18" t="n">
        <x:v>200</x:v>
      </x:c>
      <x:c r="F747" s="21" t="n">
        <x:v>90.9154411681385</x:v>
      </x:c>
      <x:c r="G747" s="21" t="n">
        <x:f>F740</x:f>
        <x:v>54.741565075230774</x:v>
      </x:c>
      <x:c r="H747" s="21" t="n">
        <x:f>F746</x:f>
        <x:v>54.741565075230774</x:v>
      </x:c>
      <x:c r="I747" s="27" t="n">
        <x:f>IF(AND(ISNUMBER(G747),ISNUMBER(H747),H747&gt;0),G747/H747-1,"")</x:f>
        <x:v>0</x:v>
      </x:c>
      <x:c r="J747" s="27" t="n">
        <x:f>IF(AND(ISNUMBER(G747),F747&gt;0),G747/F747-1,"")</x:f>
        <x:v>-0.39788484363187504</x:v>
      </x:c>
      <x:c r="K747" s="19" t="str">
        <x:v>Exp_2/EXP029/results/seed20284363_GP-UCB_weighted_sum.json</x:v>
      </x:c>
    </x:row>
    <x:row r="748" ht="15" hidden="0" customHeight="1">
      <x:c r="A748" s="3" t="str">
        <x:v>EXP029</x:v>
      </x:c>
      <x:c r="B748" s="3" t="str">
        <x:v>Exp. 2</x:v>
      </x:c>
      <x:c r="C748" s="18" t="n">
        <x:v>20284363</x:v>
      </x:c>
      <x:c r="D748" s="3" t="str">
        <x:v>GP-UCB (product)</x:v>
      </x:c>
      <x:c r="E748" s="18" t="n">
        <x:v>200</x:v>
      </x:c>
      <x:c r="F748" s="21" t="n">
        <x:v>95.63517915369556</x:v>
      </x:c>
      <x:c r="G748" s="21" t="n">
        <x:f>F740</x:f>
        <x:v>54.741565075230774</x:v>
      </x:c>
      <x:c r="H748" s="21" t="n">
        <x:f>F746</x:f>
        <x:v>54.741565075230774</x:v>
      </x:c>
      <x:c r="I748" s="27" t="n">
        <x:f>IF(AND(ISNUMBER(G748),ISNUMBER(H748),H748&gt;0),G748/H748-1,"")</x:f>
        <x:v>0</x:v>
      </x:c>
      <x:c r="J748" s="27" t="n">
        <x:f>IF(AND(ISNUMBER(G748),F748&gt;0),G748/F748-1,"")</x:f>
        <x:v>-0.42760011995946123</x:v>
      </x:c>
      <x:c r="K748" s="19" t="str">
        <x:v>Exp_2/EXP029/results/seed20284363_GP-UCB_product.json</x:v>
      </x:c>
    </x:row>
    <x:row r="749" ht="15" hidden="0" customHeight="1">
      <x:c r="A749" s="3" t="str">
        <x:v>EXP029</x:v>
      </x:c>
      <x:c r="B749" s="3" t="str">
        <x:v>Exp. 2</x:v>
      </x:c>
      <x:c r="C749" s="18" t="n">
        <x:v>20284363</x:v>
      </x:c>
      <x:c r="D749" s="3" t="str">
        <x:v>NeuralUCB</x:v>
      </x:c>
      <x:c r="E749" s="18" t="n">
        <x:v>200</x:v>
      </x:c>
      <x:c r="F749" s="21" t="n">
        <x:v>84.30962018244082</x:v>
      </x:c>
      <x:c r="G749" s="21" t="n">
        <x:f>F740</x:f>
        <x:v>54.741565075230774</x:v>
      </x:c>
      <x:c r="H749" s="21" t="n">
        <x:f>F746</x:f>
        <x:v>54.741565075230774</x:v>
      </x:c>
      <x:c r="I749" s="27" t="n">
        <x:f>IF(AND(ISNUMBER(G749),ISNUMBER(H749),H749&gt;0),G749/H749-1,"")</x:f>
        <x:v>0</x:v>
      </x:c>
      <x:c r="J749" s="27" t="n">
        <x:f>IF(AND(ISNUMBER(G749),F749&gt;0),G749/F749-1,"")</x:f>
        <x:v>-0.350707962427379</x:v>
      </x:c>
      <x:c r="K749" s="19" t="str">
        <x:v>Exp_2/EXP029/results/seed20284363_NeuralUCB.json</x:v>
      </x:c>
    </x:row>
    <x:row r="750" ht="15" hidden="0" customHeight="1">
      <x:c r="A750" s="3" t="str">
        <x:v>EXP029</x:v>
      </x:c>
      <x:c r="B750" s="3" t="str">
        <x:v>Exp. 2</x:v>
      </x:c>
      <x:c r="C750" s="18" t="n">
        <x:v>20284363</x:v>
      </x:c>
      <x:c r="D750" s="3" t="str">
        <x:v>NN-UCB</x:v>
      </x:c>
      <x:c r="E750" s="18" t="n">
        <x:v>200</x:v>
      </x:c>
      <x:c r="F750" s="21" t="n">
        <x:v>94.70202203833911</x:v>
      </x:c>
      <x:c r="G750" s="21" t="n">
        <x:f>F740</x:f>
        <x:v>54.741565075230774</x:v>
      </x:c>
      <x:c r="H750" s="21" t="n">
        <x:f>F746</x:f>
        <x:v>54.741565075230774</x:v>
      </x:c>
      <x:c r="I750" s="27" t="n">
        <x:f>IF(AND(ISNUMBER(G750),ISNUMBER(H750),H750&gt;0),G750/H750-1,"")</x:f>
        <x:v>0</x:v>
      </x:c>
      <x:c r="J750" s="27" t="n">
        <x:f>IF(AND(ISNUMBER(G750),F750&gt;0),G750/F750-1,"")</x:f>
        <x:v>-0.421959912819293</x:v>
      </x:c>
      <x:c r="K750" s="19" t="str">
        <x:v>Exp_2/EXP029/results/seed20284363_NN-UCB.json</x:v>
      </x:c>
    </x:row>
    <x:row r="751" ht="15" hidden="0" customHeight="1">
      <x:c r="A751" s="3" t="str">
        <x:v>EXP029</x:v>
      </x:c>
      <x:c r="B751" s="3" t="str">
        <x:v>Exp. 2</x:v>
      </x:c>
      <x:c r="C751" s="18" t="n">
        <x:v>20284363</x:v>
      </x:c>
      <x:c r="D751" s="3" t="str">
        <x:v>Relative cutoff 1e-2</x:v>
      </x:c>
      <x:c r="E751" s="18" t="n">
        <x:v>200</x:v>
      </x:c>
      <x:c r="F751" s="21" t="n">
        <x:v>59.21615711479086</x:v>
      </x:c>
      <x:c r="G751" s="21" t="n">
        <x:f>F740</x:f>
        <x:v>54.741565075230774</x:v>
      </x:c>
      <x:c r="H751" s="21" t="n">
        <x:f>F746</x:f>
        <x:v>54.741565075230774</x:v>
      </x:c>
      <x:c r="I751" s="27" t="n">
        <x:f>IF(AND(ISNUMBER(G751),ISNUMBER(H751),H751&gt;0),G751/H751-1,"")</x:f>
        <x:v>0</x:v>
      </x:c>
      <x:c r="J751" s="27" t="n">
        <x:f>IF(AND(ISNUMBER(G751),F751&gt;0),G751/F751-1,"")</x:f>
        <x:v>-0.07556370182695349</x:v>
      </x:c>
      <x:c r="K751" s="19" t="str">
        <x:v>Exp_2/EXP029/results/seed20284363_Relative_cutoff_1e-2.json</x:v>
      </x:c>
    </x:row>
    <x:row r="752" ht="15" hidden="0" customHeight="1">
      <x:c r="A752" s="3" t="str">
        <x:v>EXP029</x:v>
      </x:c>
      <x:c r="B752" s="3" t="str">
        <x:v>Exp. 2</x:v>
      </x:c>
      <x:c r="C752" s="18" t="n">
        <x:v>20284363</x:v>
      </x:c>
      <x:c r="D752" s="3" t="str">
        <x:v>Relative cutoff 1e-4</x:v>
      </x:c>
      <x:c r="E752" s="18" t="n">
        <x:v>200</x:v>
      </x:c>
      <x:c r="F752" s="21" t="n">
        <x:v>54.741565075230774</x:v>
      </x:c>
      <x:c r="G752" s="21" t="n">
        <x:f>F740</x:f>
        <x:v>54.741565075230774</x:v>
      </x:c>
      <x:c r="H752" s="21" t="n">
        <x:f>F746</x:f>
        <x:v>54.741565075230774</x:v>
      </x:c>
      <x:c r="I752" s="27" t="n">
        <x:f>IF(AND(ISNUMBER(G752),ISNUMBER(H752),H752&gt;0),G752/H752-1,"")</x:f>
        <x:v>0</x:v>
      </x:c>
      <x:c r="J752" s="27" t="n">
        <x:f>IF(AND(ISNUMBER(G752),F752&gt;0),G752/F752-1,"")</x:f>
        <x:v>0</x:v>
      </x:c>
      <x:c r="K752" s="19" t="str">
        <x:v>Exp_2/EXP029/results/seed20284363_Relative_cutoff_1e-4.json</x:v>
      </x:c>
    </x:row>
    <x:row r="753" ht="15" hidden="0" customHeight="1">
      <x:c r="A753" s="3" t="str">
        <x:v>EXP029</x:v>
      </x:c>
      <x:c r="B753" s="3" t="str">
        <x:v>Exp. 2</x:v>
      </x:c>
      <x:c r="C753" s="18" t="n">
        <x:v>151801615</x:v>
      </x:c>
      <x:c r="D753" s="3" t="str">
        <x:v>BBP</x:v>
      </x:c>
      <x:c r="E753" s="18" t="n">
        <x:v>200</x:v>
      </x:c>
      <x:c r="F753" s="21" t="n">
        <x:v>73.49276181905068</x:v>
      </x:c>
      <x:c r="G753" s="21" t="n">
        <x:f>F753</x:f>
        <x:v>73.49276181905068</x:v>
      </x:c>
      <x:c r="H753" s="21" t="n">
        <x:f>F759</x:f>
        <x:v>73.49276181905068</x:v>
      </x:c>
      <x:c r="I753" s="27" t="n">
        <x:f>IF(AND(ISNUMBER(G753),ISNUMBER(H753),H753&gt;0),G753/H753-1,"")</x:f>
        <x:v>0</x:v>
      </x:c>
      <x:c r="J753" s="27" t="n">
        <x:f>IF(AND(ISNUMBER(G753),F753&gt;0),G753/F753-1,"")</x:f>
        <x:v>0</x:v>
      </x:c>
      <x:c r="K753" s="19" t="str">
        <x:v>Exp_2/EXP029/results/seed151801615_BBP.json</x:v>
      </x:c>
    </x:row>
    <x:row r="754" ht="15" hidden="0" customHeight="1">
      <x:c r="A754" s="3" t="str">
        <x:v>EXP029</x:v>
      </x:c>
      <x:c r="B754" s="3" t="str">
        <x:v>Exp. 2</x:v>
      </x:c>
      <x:c r="C754" s="18" t="n">
        <x:v>151801615</x:v>
      </x:c>
      <x:c r="D754" s="3" t="str">
        <x:v>Relative cutoff 1e-5</x:v>
      </x:c>
      <x:c r="E754" s="18" t="n">
        <x:v>200</x:v>
      </x:c>
      <x:c r="F754" s="21" t="n">
        <x:v>73.49276181905068</x:v>
      </x:c>
      <x:c r="G754" s="21" t="n">
        <x:f>F753</x:f>
        <x:v>73.49276181905068</x:v>
      </x:c>
      <x:c r="H754" s="21" t="n">
        <x:f>F759</x:f>
        <x:v>73.49276181905068</x:v>
      </x:c>
      <x:c r="I754" s="27" t="n">
        <x:f>IF(AND(ISNUMBER(G754),ISNUMBER(H754),H754&gt;0),G754/H754-1,"")</x:f>
        <x:v>0</x:v>
      </x:c>
      <x:c r="J754" s="27" t="n">
        <x:f>IF(AND(ISNUMBER(G754),F754&gt;0),G754/F754-1,"")</x:f>
        <x:v>0</x:v>
      </x:c>
      <x:c r="K754" s="19" t="str">
        <x:v>Exp_2/EXP029/results/seed151801615_Relative_cutoff_1e-5.json</x:v>
      </x:c>
    </x:row>
    <x:row r="755" ht="15" hidden="0" customHeight="1">
      <x:c r="A755" s="3" t="str">
        <x:v>EXP029</x:v>
      </x:c>
      <x:c r="B755" s="3" t="str">
        <x:v>Exp. 2</x:v>
      </x:c>
      <x:c r="C755" s="18" t="n">
        <x:v>151801615</x:v>
      </x:c>
      <x:c r="D755" s="3" t="str">
        <x:v>NN-AGP (m=7)</x:v>
      </x:c>
      <x:c r="E755" s="18" t="n">
        <x:v>200</x:v>
      </x:c>
      <x:c r="F755" s="21" t="n">
        <x:v>92.12174854803702</x:v>
      </x:c>
      <x:c r="G755" s="21" t="n">
        <x:f>F753</x:f>
        <x:v>73.49276181905068</x:v>
      </x:c>
      <x:c r="H755" s="21" t="n">
        <x:f>F759</x:f>
        <x:v>73.49276181905068</x:v>
      </x:c>
      <x:c r="I755" s="27" t="n">
        <x:f>IF(AND(ISNUMBER(G755),ISNUMBER(H755),H755&gt;0),G755/H755-1,"")</x:f>
        <x:v>0</x:v>
      </x:c>
      <x:c r="J755" s="27" t="n">
        <x:f>IF(AND(ISNUMBER(G755),F755&gt;0),G755/F755-1,"")</x:f>
        <x:v>-0.2022213757620137</x:v>
      </x:c>
      <x:c r="K755" s="19" t="str">
        <x:v>Exp_2/EXP029/results/seed151801615_NN-AGP_m_7.json</x:v>
      </x:c>
    </x:row>
    <x:row r="756" ht="15" hidden="0" customHeight="1">
      <x:c r="A756" s="3" t="str">
        <x:v>EXP029</x:v>
      </x:c>
      <x:c r="B756" s="3" t="str">
        <x:v>Exp. 2</x:v>
      </x:c>
      <x:c r="C756" s="18" t="n">
        <x:v>151801615</x:v>
      </x:c>
      <x:c r="D756" s="3" t="str">
        <x:v>Fixed rank 10</x:v>
      </x:c>
      <x:c r="E756" s="18" t="n">
        <x:v>200</x:v>
      </x:c>
      <x:c r="F756" s="21" t="n">
        <x:v>84.04282589458205</x:v>
      </x:c>
      <x:c r="G756" s="21" t="n">
        <x:f>F753</x:f>
        <x:v>73.49276181905068</x:v>
      </x:c>
      <x:c r="H756" s="21" t="n">
        <x:f>F759</x:f>
        <x:v>73.49276181905068</x:v>
      </x:c>
      <x:c r="I756" s="27" t="n">
        <x:f>IF(AND(ISNUMBER(G756),ISNUMBER(H756),H756&gt;0),G756/H756-1,"")</x:f>
        <x:v>0</x:v>
      </x:c>
      <x:c r="J756" s="27" t="n">
        <x:f>IF(AND(ISNUMBER(G756),F756&gt;0),G756/F756-1,"")</x:f>
        <x:v>-0.12553200065838688</x:v>
      </x:c>
      <x:c r="K756" s="19" t="str">
        <x:v>Exp_2/EXP029/results/seed151801615_Fixed_rank_10.json</x:v>
      </x:c>
    </x:row>
    <x:row r="757" ht="15" hidden="0" customHeight="1">
      <x:c r="A757" s="3" t="str">
        <x:v>EXP029</x:v>
      </x:c>
      <x:c r="B757" s="3" t="str">
        <x:v>Exp. 2</x:v>
      </x:c>
      <x:c r="C757" s="18" t="n">
        <x:v>151801615</x:v>
      </x:c>
      <x:c r="D757" s="3" t="str">
        <x:v>Fixed rank 25</x:v>
      </x:c>
      <x:c r="E757" s="18" t="n">
        <x:v>200</x:v>
      </x:c>
      <x:c r="F757" s="21" t="n">
        <x:v>73.49276181905068</x:v>
      </x:c>
      <x:c r="G757" s="21" t="n">
        <x:f>F753</x:f>
        <x:v>73.49276181905068</x:v>
      </x:c>
      <x:c r="H757" s="21" t="n">
        <x:f>F759</x:f>
        <x:v>73.49276181905068</x:v>
      </x:c>
      <x:c r="I757" s="27" t="n">
        <x:f>IF(AND(ISNUMBER(G757),ISNUMBER(H757),H757&gt;0),G757/H757-1,"")</x:f>
        <x:v>0</x:v>
      </x:c>
      <x:c r="J757" s="27" t="n">
        <x:f>IF(AND(ISNUMBER(G757),F757&gt;0),G757/F757-1,"")</x:f>
        <x:v>0</x:v>
      </x:c>
      <x:c r="K757" s="19" t="str">
        <x:v>Exp_2/EXP029/results/seed151801615_Fixed_rank_25.json</x:v>
      </x:c>
    </x:row>
    <x:row r="758" ht="15" hidden="0" customHeight="1">
      <x:c r="A758" s="3" t="str">
        <x:v>EXP029</x:v>
      </x:c>
      <x:c r="B758" s="3" t="str">
        <x:v>Exp. 2</x:v>
      </x:c>
      <x:c r="C758" s="18" t="n">
        <x:v>151801615</x:v>
      </x:c>
      <x:c r="D758" s="3" t="str">
        <x:v>Relative cutoff 1e-6</x:v>
      </x:c>
      <x:c r="E758" s="18" t="n">
        <x:v>200</x:v>
      </x:c>
      <x:c r="F758" s="21" t="n">
        <x:v>73.49276181905068</x:v>
      </x:c>
      <x:c r="G758" s="21" t="n">
        <x:f>F753</x:f>
        <x:v>73.49276181905068</x:v>
      </x:c>
      <x:c r="H758" s="21" t="n">
        <x:f>F759</x:f>
        <x:v>73.49276181905068</x:v>
      </x:c>
      <x:c r="I758" s="27" t="n">
        <x:f>IF(AND(ISNUMBER(G758),ISNUMBER(H758),H758&gt;0),G758/H758-1,"")</x:f>
        <x:v>0</x:v>
      </x:c>
      <x:c r="J758" s="27" t="n">
        <x:f>IF(AND(ISNUMBER(G758),F758&gt;0),G758/F758-1,"")</x:f>
        <x:v>0</x:v>
      </x:c>
      <x:c r="K758" s="19" t="str">
        <x:v>Exp_2/EXP029/results/seed151801615_Relative_cutoff_1e-6.json</x:v>
      </x:c>
    </x:row>
    <x:row r="759" ht="15" hidden="0" customHeight="1">
      <x:c r="A759" s="3" t="str">
        <x:v>EXP029</x:v>
      </x:c>
      <x:c r="B759" s="3" t="str">
        <x:v>Exp. 2</x:v>
      </x:c>
      <x:c r="C759" s="18" t="n">
        <x:v>151801615</x:v>
      </x:c>
      <x:c r="D759" s="3" t="str">
        <x:v>Full</x:v>
      </x:c>
      <x:c r="E759" s="18" t="n">
        <x:v>200</x:v>
      </x:c>
      <x:c r="F759" s="21" t="n">
        <x:v>73.49276181905068</x:v>
      </x:c>
      <x:c r="G759" s="21" t="n">
        <x:f>F753</x:f>
        <x:v>73.49276181905068</x:v>
      </x:c>
      <x:c r="H759" s="21" t="n">
        <x:f>F759</x:f>
        <x:v>73.49276181905068</x:v>
      </x:c>
      <x:c r="I759" s="27" t="n">
        <x:f>IF(AND(ISNUMBER(G759),ISNUMBER(H759),H759&gt;0),G759/H759-1,"")</x:f>
        <x:v>0</x:v>
      </x:c>
      <x:c r="J759" s="27" t="n">
        <x:f>IF(AND(ISNUMBER(G759),F759&gt;0),G759/F759-1,"")</x:f>
        <x:v>0</x:v>
      </x:c>
      <x:c r="K759" s="19" t="str">
        <x:v>Exp_2/EXP029/results/seed151801615_Full.json</x:v>
      </x:c>
    </x:row>
    <x:row r="760" ht="15" hidden="0" customHeight="1">
      <x:c r="A760" s="3" t="str">
        <x:v>EXP029</x:v>
      </x:c>
      <x:c r="B760" s="3" t="str">
        <x:v>Exp. 2</x:v>
      </x:c>
      <x:c r="C760" s="18" t="n">
        <x:v>151801615</x:v>
      </x:c>
      <x:c r="D760" s="3" t="str">
        <x:v>GP-UCB (weighted sum)</x:v>
      </x:c>
      <x:c r="E760" s="18" t="n">
        <x:v>200</x:v>
      </x:c>
      <x:c r="F760" s="21" t="n">
        <x:v>103.64624840869801</x:v>
      </x:c>
      <x:c r="G760" s="21" t="n">
        <x:f>F753</x:f>
        <x:v>73.49276181905068</x:v>
      </x:c>
      <x:c r="H760" s="21" t="n">
        <x:f>F759</x:f>
        <x:v>73.49276181905068</x:v>
      </x:c>
      <x:c r="I760" s="27" t="n">
        <x:f>IF(AND(ISNUMBER(G760),ISNUMBER(H760),H760&gt;0),G760/H760-1,"")</x:f>
        <x:v>0</x:v>
      </x:c>
      <x:c r="J760" s="27" t="n">
        <x:f>IF(AND(ISNUMBER(G760),F760&gt;0),G760/F760-1,"")</x:f>
        <x:v>-0.29092694673082675</x:v>
      </x:c>
      <x:c r="K760" s="19" t="str">
        <x:v>Exp_2/EXP029/results/seed151801615_GP-UCB_weighted_sum.json</x:v>
      </x:c>
    </x:row>
    <x:row r="761" ht="15" hidden="0" customHeight="1">
      <x:c r="A761" s="3" t="str">
        <x:v>EXP029</x:v>
      </x:c>
      <x:c r="B761" s="3" t="str">
        <x:v>Exp. 2</x:v>
      </x:c>
      <x:c r="C761" s="18" t="n">
        <x:v>151801615</x:v>
      </x:c>
      <x:c r="D761" s="3" t="str">
        <x:v>GP-UCB (product)</x:v>
      </x:c>
      <x:c r="E761" s="18" t="n">
        <x:v>200</x:v>
      </x:c>
      <x:c r="F761" s="21" t="n">
        <x:v>79.69922616890263</x:v>
      </x:c>
      <x:c r="G761" s="21" t="n">
        <x:f>F753</x:f>
        <x:v>73.49276181905068</x:v>
      </x:c>
      <x:c r="H761" s="21" t="n">
        <x:f>F759</x:f>
        <x:v>73.49276181905068</x:v>
      </x:c>
      <x:c r="I761" s="27" t="n">
        <x:f>IF(AND(ISNUMBER(G761),ISNUMBER(H761),H761&gt;0),G761/H761-1,"")</x:f>
        <x:v>0</x:v>
      </x:c>
      <x:c r="J761" s="27" t="n">
        <x:f>IF(AND(ISNUMBER(G761),F761&gt;0),G761/F761-1,"")</x:f>
        <x:v>-0.07787358357405993</x:v>
      </x:c>
      <x:c r="K761" s="19" t="str">
        <x:v>Exp_2/EXP029/results/seed151801615_GP-UCB_product.json</x:v>
      </x:c>
    </x:row>
    <x:row r="762" ht="15" hidden="0" customHeight="1">
      <x:c r="A762" s="3" t="str">
        <x:v>EXP029</x:v>
      </x:c>
      <x:c r="B762" s="3" t="str">
        <x:v>Exp. 2</x:v>
      </x:c>
      <x:c r="C762" s="18" t="n">
        <x:v>151801615</x:v>
      </x:c>
      <x:c r="D762" s="3" t="str">
        <x:v>NeuralUCB</x:v>
      </x:c>
      <x:c r="E762" s="18" t="n">
        <x:v>200</x:v>
      </x:c>
      <x:c r="F762" s="21" t="n">
        <x:v>108.19974608777306</x:v>
      </x:c>
      <x:c r="G762" s="21" t="n">
        <x:f>F753</x:f>
        <x:v>73.49276181905068</x:v>
      </x:c>
      <x:c r="H762" s="21" t="n">
        <x:f>F759</x:f>
        <x:v>73.49276181905068</x:v>
      </x:c>
      <x:c r="I762" s="27" t="n">
        <x:f>IF(AND(ISNUMBER(G762),ISNUMBER(H762),H762&gt;0),G762/H762-1,"")</x:f>
        <x:v>0</x:v>
      </x:c>
      <x:c r="J762" s="27" t="n">
        <x:f>IF(AND(ISNUMBER(G762),F762&gt;0),G762/F762-1,"")</x:f>
        <x:v>-0.32076770531945253</x:v>
      </x:c>
      <x:c r="K762" s="19" t="str">
        <x:v>Exp_2/EXP029/results/seed151801615_NeuralUCB.json</x:v>
      </x:c>
    </x:row>
    <x:row r="763" ht="15" hidden="0" customHeight="1">
      <x:c r="A763" s="3" t="str">
        <x:v>EXP029</x:v>
      </x:c>
      <x:c r="B763" s="3" t="str">
        <x:v>Exp. 2</x:v>
      </x:c>
      <x:c r="C763" s="18" t="n">
        <x:v>151801615</x:v>
      </x:c>
      <x:c r="D763" s="3" t="str">
        <x:v>NN-UCB</x:v>
      </x:c>
      <x:c r="E763" s="18" t="n">
        <x:v>200</x:v>
      </x:c>
      <x:c r="F763" s="21" t="n">
        <x:v>97.35452199848794</x:v>
      </x:c>
      <x:c r="G763" s="21" t="n">
        <x:f>F753</x:f>
        <x:v>73.49276181905068</x:v>
      </x:c>
      <x:c r="H763" s="21" t="n">
        <x:f>F759</x:f>
        <x:v>73.49276181905068</x:v>
      </x:c>
      <x:c r="I763" s="27" t="n">
        <x:f>IF(AND(ISNUMBER(G763),ISNUMBER(H763),H763&gt;0),G763/H763-1,"")</x:f>
        <x:v>0</x:v>
      </x:c>
      <x:c r="J763" s="27" t="n">
        <x:f>IF(AND(ISNUMBER(G763),F763&gt;0),G763/F763-1,"")</x:f>
        <x:v>-0.24510171371195133</x:v>
      </x:c>
      <x:c r="K763" s="19" t="str">
        <x:v>Exp_2/EXP029/results/seed151801615_NN-UCB.json</x:v>
      </x:c>
    </x:row>
    <x:row r="764" ht="15" hidden="0" customHeight="1">
      <x:c r="A764" s="3" t="str">
        <x:v>EXP029</x:v>
      </x:c>
      <x:c r="B764" s="3" t="str">
        <x:v>Exp. 2</x:v>
      </x:c>
      <x:c r="C764" s="18" t="n">
        <x:v>151801615</x:v>
      </x:c>
      <x:c r="D764" s="3" t="str">
        <x:v>Relative cutoff 1e-2</x:v>
      </x:c>
      <x:c r="E764" s="18" t="n">
        <x:v>200</x:v>
      </x:c>
      <x:c r="F764" s="21" t="n">
        <x:v>82.7976902470536</x:v>
      </x:c>
      <x:c r="G764" s="21" t="n">
        <x:f>F753</x:f>
        <x:v>73.49276181905068</x:v>
      </x:c>
      <x:c r="H764" s="21" t="n">
        <x:f>F759</x:f>
        <x:v>73.49276181905068</x:v>
      </x:c>
      <x:c r="I764" s="27" t="n">
        <x:f>IF(AND(ISNUMBER(G764),ISNUMBER(H764),H764&gt;0),G764/H764-1,"")</x:f>
        <x:v>0</x:v>
      </x:c>
      <x:c r="J764" s="27" t="n">
        <x:f>IF(AND(ISNUMBER(G764),F764&gt;0),G764/F764-1,"")</x:f>
        <x:v>-0.11238149760263427</x:v>
      </x:c>
      <x:c r="K764" s="19" t="str">
        <x:v>Exp_2/EXP029/results/seed151801615_Relative_cutoff_1e-2.json</x:v>
      </x:c>
    </x:row>
    <x:row r="765" ht="15" hidden="0" customHeight="1">
      <x:c r="A765" s="3" t="str">
        <x:v>EXP029</x:v>
      </x:c>
      <x:c r="B765" s="3" t="str">
        <x:v>Exp. 2</x:v>
      </x:c>
      <x:c r="C765" s="18" t="n">
        <x:v>151801615</x:v>
      </x:c>
      <x:c r="D765" s="3" t="str">
        <x:v>Relative cutoff 1e-4</x:v>
      </x:c>
      <x:c r="E765" s="18" t="n">
        <x:v>200</x:v>
      </x:c>
      <x:c r="F765" s="21" t="n">
        <x:v>73.49276181905068</x:v>
      </x:c>
      <x:c r="G765" s="21" t="n">
        <x:f>F753</x:f>
        <x:v>73.49276181905068</x:v>
      </x:c>
      <x:c r="H765" s="21" t="n">
        <x:f>F759</x:f>
        <x:v>73.49276181905068</x:v>
      </x:c>
      <x:c r="I765" s="27" t="n">
        <x:f>IF(AND(ISNUMBER(G765),ISNUMBER(H765),H765&gt;0),G765/H765-1,"")</x:f>
        <x:v>0</x:v>
      </x:c>
      <x:c r="J765" s="27" t="n">
        <x:f>IF(AND(ISNUMBER(G765),F765&gt;0),G765/F765-1,"")</x:f>
        <x:v>0</x:v>
      </x:c>
      <x:c r="K765" s="19" t="str">
        <x:v>Exp_2/EXP029/results/seed151801615_Relative_cutoff_1e-4.json</x:v>
      </x:c>
    </x:row>
    <x:row r="766" ht="15" hidden="0" customHeight="1">
      <x:c r="A766" s="3" t="str">
        <x:v>EXP029</x:v>
      </x:c>
      <x:c r="B766" s="3" t="str">
        <x:v>Exp. 2</x:v>
      </x:c>
      <x:c r="C766" s="18" t="n">
        <x:v>159359747</x:v>
      </x:c>
      <x:c r="D766" s="3" t="str">
        <x:v>BBP</x:v>
      </x:c>
      <x:c r="E766" s="18" t="n">
        <x:v>200</x:v>
      </x:c>
      <x:c r="F766" s="21" t="n">
        <x:v>58.49666839770045</x:v>
      </x:c>
      <x:c r="G766" s="21" t="n">
        <x:f>F766</x:f>
        <x:v>58.49666839770045</x:v>
      </x:c>
      <x:c r="H766" s="21" t="n">
        <x:f>F772</x:f>
        <x:v>58.49666839770045</x:v>
      </x:c>
      <x:c r="I766" s="27" t="n">
        <x:f>IF(AND(ISNUMBER(G766),ISNUMBER(H766),H766&gt;0),G766/H766-1,"")</x:f>
        <x:v>0</x:v>
      </x:c>
      <x:c r="J766" s="27" t="n">
        <x:f>IF(AND(ISNUMBER(G766),F766&gt;0),G766/F766-1,"")</x:f>
        <x:v>0</x:v>
      </x:c>
      <x:c r="K766" s="19" t="str">
        <x:v>Exp_2/EXP029/results/seed159359747_BBP.json</x:v>
      </x:c>
    </x:row>
    <x:row r="767" ht="15" hidden="0" customHeight="1">
      <x:c r="A767" s="3" t="str">
        <x:v>EXP029</x:v>
      </x:c>
      <x:c r="B767" s="3" t="str">
        <x:v>Exp. 2</x:v>
      </x:c>
      <x:c r="C767" s="18" t="n">
        <x:v>159359747</x:v>
      </x:c>
      <x:c r="D767" s="3" t="str">
        <x:v>Relative cutoff 1e-5</x:v>
      </x:c>
      <x:c r="E767" s="18" t="n">
        <x:v>200</x:v>
      </x:c>
      <x:c r="F767" s="21" t="n">
        <x:v>58.49666839770045</x:v>
      </x:c>
      <x:c r="G767" s="21" t="n">
        <x:f>F766</x:f>
        <x:v>58.49666839770045</x:v>
      </x:c>
      <x:c r="H767" s="21" t="n">
        <x:f>F772</x:f>
        <x:v>58.49666839770045</x:v>
      </x:c>
      <x:c r="I767" s="27" t="n">
        <x:f>IF(AND(ISNUMBER(G767),ISNUMBER(H767),H767&gt;0),G767/H767-1,"")</x:f>
        <x:v>0</x:v>
      </x:c>
      <x:c r="J767" s="27" t="n">
        <x:f>IF(AND(ISNUMBER(G767),F767&gt;0),G767/F767-1,"")</x:f>
        <x:v>0</x:v>
      </x:c>
      <x:c r="K767" s="19" t="str">
        <x:v>Exp_2/EXP029/results/seed159359747_Relative_cutoff_1e-5.json</x:v>
      </x:c>
    </x:row>
    <x:row r="768" ht="15" hidden="0" customHeight="1">
      <x:c r="A768" s="3" t="str">
        <x:v>EXP029</x:v>
      </x:c>
      <x:c r="B768" s="3" t="str">
        <x:v>Exp. 2</x:v>
      </x:c>
      <x:c r="C768" s="18" t="n">
        <x:v>159359747</x:v>
      </x:c>
      <x:c r="D768" s="3" t="str">
        <x:v>NN-AGP (m=7)</x:v>
      </x:c>
      <x:c r="E768" s="18" t="n">
        <x:v>200</x:v>
      </x:c>
      <x:c r="F768" s="21" t="n">
        <x:v>59.289207866935136</x:v>
      </x:c>
      <x:c r="G768" s="21" t="n">
        <x:f>F766</x:f>
        <x:v>58.49666839770045</x:v>
      </x:c>
      <x:c r="H768" s="21" t="n">
        <x:f>F772</x:f>
        <x:v>58.49666839770045</x:v>
      </x:c>
      <x:c r="I768" s="27" t="n">
        <x:f>IF(AND(ISNUMBER(G768),ISNUMBER(H768),H768&gt;0),G768/H768-1,"")</x:f>
        <x:v>0</x:v>
      </x:c>
      <x:c r="J768" s="27" t="n">
        <x:f>IF(AND(ISNUMBER(G768),F768&gt;0),G768/F768-1,"")</x:f>
        <x:v>-0.013367347916224737</x:v>
      </x:c>
      <x:c r="K768" s="19" t="str">
        <x:v>Exp_2/EXP029/results/seed159359747_NN-AGP_m_7.json</x:v>
      </x:c>
    </x:row>
    <x:row r="769" ht="15" hidden="0" customHeight="1">
      <x:c r="A769" s="3" t="str">
        <x:v>EXP029</x:v>
      </x:c>
      <x:c r="B769" s="3" t="str">
        <x:v>Exp. 2</x:v>
      </x:c>
      <x:c r="C769" s="18" t="n">
        <x:v>159359747</x:v>
      </x:c>
      <x:c r="D769" s="3" t="str">
        <x:v>Fixed rank 10</x:v>
      </x:c>
      <x:c r="E769" s="18" t="n">
        <x:v>200</x:v>
      </x:c>
      <x:c r="F769" s="21" t="n">
        <x:v>61.030266054174845</x:v>
      </x:c>
      <x:c r="G769" s="21" t="n">
        <x:f>F766</x:f>
        <x:v>58.49666839770045</x:v>
      </x:c>
      <x:c r="H769" s="21" t="n">
        <x:f>F772</x:f>
        <x:v>58.49666839770045</x:v>
      </x:c>
      <x:c r="I769" s="27" t="n">
        <x:f>IF(AND(ISNUMBER(G769),ISNUMBER(H769),H769&gt;0),G769/H769-1,"")</x:f>
        <x:v>0</x:v>
      </x:c>
      <x:c r="J769" s="27" t="n">
        <x:f>IF(AND(ISNUMBER(G769),F769&gt;0),G769/F769-1,"")</x:f>
        <x:v>-0.041513790128743566</x:v>
      </x:c>
      <x:c r="K769" s="19" t="str">
        <x:v>Exp_2/EXP029/results/seed159359747_Fixed_rank_10.json</x:v>
      </x:c>
    </x:row>
    <x:row r="770" ht="15" hidden="0" customHeight="1">
      <x:c r="A770" s="3" t="str">
        <x:v>EXP029</x:v>
      </x:c>
      <x:c r="B770" s="3" t="str">
        <x:v>Exp. 2</x:v>
      </x:c>
      <x:c r="C770" s="18" t="n">
        <x:v>159359747</x:v>
      </x:c>
      <x:c r="D770" s="3" t="str">
        <x:v>Fixed rank 25</x:v>
      </x:c>
      <x:c r="E770" s="18" t="n">
        <x:v>200</x:v>
      </x:c>
      <x:c r="F770" s="21" t="n">
        <x:v>58.49666839770045</x:v>
      </x:c>
      <x:c r="G770" s="21" t="n">
        <x:f>F766</x:f>
        <x:v>58.49666839770045</x:v>
      </x:c>
      <x:c r="H770" s="21" t="n">
        <x:f>F772</x:f>
        <x:v>58.49666839770045</x:v>
      </x:c>
      <x:c r="I770" s="27" t="n">
        <x:f>IF(AND(ISNUMBER(G770),ISNUMBER(H770),H770&gt;0),G770/H770-1,"")</x:f>
        <x:v>0</x:v>
      </x:c>
      <x:c r="J770" s="27" t="n">
        <x:f>IF(AND(ISNUMBER(G770),F770&gt;0),G770/F770-1,"")</x:f>
        <x:v>0</x:v>
      </x:c>
      <x:c r="K770" s="19" t="str">
        <x:v>Exp_2/EXP029/results/seed159359747_Fixed_rank_25.json</x:v>
      </x:c>
    </x:row>
    <x:row r="771" ht="15" hidden="0" customHeight="1">
      <x:c r="A771" s="3" t="str">
        <x:v>EXP029</x:v>
      </x:c>
      <x:c r="B771" s="3" t="str">
        <x:v>Exp. 2</x:v>
      </x:c>
      <x:c r="C771" s="18" t="n">
        <x:v>159359747</x:v>
      </x:c>
      <x:c r="D771" s="3" t="str">
        <x:v>Relative cutoff 1e-6</x:v>
      </x:c>
      <x:c r="E771" s="18" t="n">
        <x:v>200</x:v>
      </x:c>
      <x:c r="F771" s="21" t="n">
        <x:v>58.49666839770045</x:v>
      </x:c>
      <x:c r="G771" s="21" t="n">
        <x:f>F766</x:f>
        <x:v>58.49666839770045</x:v>
      </x:c>
      <x:c r="H771" s="21" t="n">
        <x:f>F772</x:f>
        <x:v>58.49666839770045</x:v>
      </x:c>
      <x:c r="I771" s="27" t="n">
        <x:f>IF(AND(ISNUMBER(G771),ISNUMBER(H771),H771&gt;0),G771/H771-1,"")</x:f>
        <x:v>0</x:v>
      </x:c>
      <x:c r="J771" s="27" t="n">
        <x:f>IF(AND(ISNUMBER(G771),F771&gt;0),G771/F771-1,"")</x:f>
        <x:v>0</x:v>
      </x:c>
      <x:c r="K771" s="19" t="str">
        <x:v>Exp_2/EXP029/results/seed159359747_Relative_cutoff_1e-6.json</x:v>
      </x:c>
    </x:row>
    <x:row r="772" ht="15" hidden="0" customHeight="1">
      <x:c r="A772" s="3" t="str">
        <x:v>EXP029</x:v>
      </x:c>
      <x:c r="B772" s="3" t="str">
        <x:v>Exp. 2</x:v>
      </x:c>
      <x:c r="C772" s="18" t="n">
        <x:v>159359747</x:v>
      </x:c>
      <x:c r="D772" s="3" t="str">
        <x:v>Full</x:v>
      </x:c>
      <x:c r="E772" s="18" t="n">
        <x:v>200</x:v>
      </x:c>
      <x:c r="F772" s="21" t="n">
        <x:v>58.49666839770045</x:v>
      </x:c>
      <x:c r="G772" s="21" t="n">
        <x:f>F766</x:f>
        <x:v>58.49666839770045</x:v>
      </x:c>
      <x:c r="H772" s="21" t="n">
        <x:f>F772</x:f>
        <x:v>58.49666839770045</x:v>
      </x:c>
      <x:c r="I772" s="27" t="n">
        <x:f>IF(AND(ISNUMBER(G772),ISNUMBER(H772),H772&gt;0),G772/H772-1,"")</x:f>
        <x:v>0</x:v>
      </x:c>
      <x:c r="J772" s="27" t="n">
        <x:f>IF(AND(ISNUMBER(G772),F772&gt;0),G772/F772-1,"")</x:f>
        <x:v>0</x:v>
      </x:c>
      <x:c r="K772" s="19" t="str">
        <x:v>Exp_2/EXP029/results/seed159359747_Full.json</x:v>
      </x:c>
    </x:row>
    <x:row r="773" ht="15" hidden="0" customHeight="1">
      <x:c r="A773" s="3" t="str">
        <x:v>EXP029</x:v>
      </x:c>
      <x:c r="B773" s="3" t="str">
        <x:v>Exp. 2</x:v>
      </x:c>
      <x:c r="C773" s="18" t="n">
        <x:v>159359747</x:v>
      </x:c>
      <x:c r="D773" s="3" t="str">
        <x:v>GP-UCB (weighted sum)</x:v>
      </x:c>
      <x:c r="E773" s="18" t="n">
        <x:v>200</x:v>
      </x:c>
      <x:c r="F773" s="21" t="n">
        <x:v>93.1712438958188</x:v>
      </x:c>
      <x:c r="G773" s="21" t="n">
        <x:f>F766</x:f>
        <x:v>58.49666839770045</x:v>
      </x:c>
      <x:c r="H773" s="21" t="n">
        <x:f>F772</x:f>
        <x:v>58.49666839770045</x:v>
      </x:c>
      <x:c r="I773" s="27" t="n">
        <x:f>IF(AND(ISNUMBER(G773),ISNUMBER(H773),H773&gt;0),G773/H773-1,"")</x:f>
        <x:v>0</x:v>
      </x:c>
      <x:c r="J773" s="27" t="n">
        <x:f>IF(AND(ISNUMBER(G773),F773&gt;0),G773/F773-1,"")</x:f>
        <x:v>-0.37215962831719185</x:v>
      </x:c>
      <x:c r="K773" s="19" t="str">
        <x:v>Exp_2/EXP029/results/seed159359747_GP-UCB_weighted_sum.json</x:v>
      </x:c>
    </x:row>
    <x:row r="774" ht="15" hidden="0" customHeight="1">
      <x:c r="A774" s="3" t="str">
        <x:v>EXP029</x:v>
      </x:c>
      <x:c r="B774" s="3" t="str">
        <x:v>Exp. 2</x:v>
      </x:c>
      <x:c r="C774" s="18" t="n">
        <x:v>159359747</x:v>
      </x:c>
      <x:c r="D774" s="3" t="str">
        <x:v>GP-UCB (product)</x:v>
      </x:c>
      <x:c r="E774" s="18" t="n">
        <x:v>200</x:v>
      </x:c>
      <x:c r="F774" s="21" t="n">
        <x:v>91.46010706072077</x:v>
      </x:c>
      <x:c r="G774" s="21" t="n">
        <x:f>F766</x:f>
        <x:v>58.49666839770045</x:v>
      </x:c>
      <x:c r="H774" s="21" t="n">
        <x:f>F772</x:f>
        <x:v>58.49666839770045</x:v>
      </x:c>
      <x:c r="I774" s="27" t="n">
        <x:f>IF(AND(ISNUMBER(G774),ISNUMBER(H774),H774&gt;0),G774/H774-1,"")</x:f>
        <x:v>0</x:v>
      </x:c>
      <x:c r="J774" s="27" t="n">
        <x:f>IF(AND(ISNUMBER(G774),F774&gt;0),G774/F774-1,"")</x:f>
        <x:v>-0.36041329627064345</x:v>
      </x:c>
      <x:c r="K774" s="19" t="str">
        <x:v>Exp_2/EXP029/results/seed159359747_GP-UCB_product.json</x:v>
      </x:c>
    </x:row>
    <x:row r="775" ht="15" hidden="0" customHeight="1">
      <x:c r="A775" s="3" t="str">
        <x:v>EXP029</x:v>
      </x:c>
      <x:c r="B775" s="3" t="str">
        <x:v>Exp. 2</x:v>
      </x:c>
      <x:c r="C775" s="18" t="n">
        <x:v>159359747</x:v>
      </x:c>
      <x:c r="D775" s="3" t="str">
        <x:v>NeuralUCB</x:v>
      </x:c>
      <x:c r="E775" s="18" t="n">
        <x:v>200</x:v>
      </x:c>
      <x:c r="F775" s="21" t="n">
        <x:v>102.16086353333709</x:v>
      </x:c>
      <x:c r="G775" s="21" t="n">
        <x:f>F766</x:f>
        <x:v>58.49666839770045</x:v>
      </x:c>
      <x:c r="H775" s="21" t="n">
        <x:f>F772</x:f>
        <x:v>58.49666839770045</x:v>
      </x:c>
      <x:c r="I775" s="27" t="n">
        <x:f>IF(AND(ISNUMBER(G775),ISNUMBER(H775),H775&gt;0),G775/H775-1,"")</x:f>
        <x:v>0</x:v>
      </x:c>
      <x:c r="J775" s="27" t="n">
        <x:f>IF(AND(ISNUMBER(G775),F775&gt;0),G775/F775-1,"")</x:f>
        <x:v>-0.42740628480874343</x:v>
      </x:c>
      <x:c r="K775" s="19" t="str">
        <x:v>Exp_2/EXP029/results/seed159359747_NeuralUCB.json</x:v>
      </x:c>
    </x:row>
    <x:row r="776" ht="15" hidden="0" customHeight="1">
      <x:c r="A776" s="3" t="str">
        <x:v>EXP029</x:v>
      </x:c>
      <x:c r="B776" s="3" t="str">
        <x:v>Exp. 2</x:v>
      </x:c>
      <x:c r="C776" s="18" t="n">
        <x:v>159359747</x:v>
      </x:c>
      <x:c r="D776" s="3" t="str">
        <x:v>NN-UCB</x:v>
      </x:c>
      <x:c r="E776" s="18" t="n">
        <x:v>200</x:v>
      </x:c>
      <x:c r="F776" s="21" t="n">
        <x:v>100.85496373490372</x:v>
      </x:c>
      <x:c r="G776" s="21" t="n">
        <x:f>F766</x:f>
        <x:v>58.49666839770045</x:v>
      </x:c>
      <x:c r="H776" s="21" t="n">
        <x:f>F772</x:f>
        <x:v>58.49666839770045</x:v>
      </x:c>
      <x:c r="I776" s="27" t="n">
        <x:f>IF(AND(ISNUMBER(G776),ISNUMBER(H776),H776&gt;0),G776/H776-1,"")</x:f>
        <x:v>0</x:v>
      </x:c>
      <x:c r="J776" s="27" t="n">
        <x:f>IF(AND(ISNUMBER(G776),F776&gt;0),G776/F776-1,"")</x:f>
        <x:v>-0.4199921726068103</x:v>
      </x:c>
      <x:c r="K776" s="19" t="str">
        <x:v>Exp_2/EXP029/results/seed159359747_NN-UCB.json</x:v>
      </x:c>
    </x:row>
    <x:row r="777" ht="15" hidden="0" customHeight="1">
      <x:c r="A777" s="3" t="str">
        <x:v>EXP029</x:v>
      </x:c>
      <x:c r="B777" s="3" t="str">
        <x:v>Exp. 2</x:v>
      </x:c>
      <x:c r="C777" s="18" t="n">
        <x:v>159359747</x:v>
      </x:c>
      <x:c r="D777" s="3" t="str">
        <x:v>Relative cutoff 1e-2</x:v>
      </x:c>
      <x:c r="E777" s="18" t="n">
        <x:v>200</x:v>
      </x:c>
      <x:c r="F777" s="21" t="n">
        <x:v>61.31687109971783</x:v>
      </x:c>
      <x:c r="G777" s="21" t="n">
        <x:f>F766</x:f>
        <x:v>58.49666839770045</x:v>
      </x:c>
      <x:c r="H777" s="21" t="n">
        <x:f>F772</x:f>
        <x:v>58.49666839770045</x:v>
      </x:c>
      <x:c r="I777" s="27" t="n">
        <x:f>IF(AND(ISNUMBER(G777),ISNUMBER(H777),H777&gt;0),G777/H777-1,"")</x:f>
        <x:v>0</x:v>
      </x:c>
      <x:c r="J777" s="27" t="n">
        <x:f>IF(AND(ISNUMBER(G777),F777&gt;0),G777/F777-1,"")</x:f>
        <x:v>-0.04599391083460491</x:v>
      </x:c>
      <x:c r="K777" s="19" t="str">
        <x:v>Exp_2/EXP029/results/seed159359747_Relative_cutoff_1e-2.json</x:v>
      </x:c>
    </x:row>
    <x:row r="778" ht="15" hidden="0" customHeight="1">
      <x:c r="A778" s="3" t="str">
        <x:v>EXP029</x:v>
      </x:c>
      <x:c r="B778" s="3" t="str">
        <x:v>Exp. 2</x:v>
      </x:c>
      <x:c r="C778" s="18" t="n">
        <x:v>159359747</x:v>
      </x:c>
      <x:c r="D778" s="3" t="str">
        <x:v>Relative cutoff 1e-4</x:v>
      </x:c>
      <x:c r="E778" s="18" t="n">
        <x:v>200</x:v>
      </x:c>
      <x:c r="F778" s="21" t="n">
        <x:v>61.030266054174845</x:v>
      </x:c>
      <x:c r="G778" s="21" t="n">
        <x:f>F766</x:f>
        <x:v>58.49666839770045</x:v>
      </x:c>
      <x:c r="H778" s="21" t="n">
        <x:f>F772</x:f>
        <x:v>58.49666839770045</x:v>
      </x:c>
      <x:c r="I778" s="27" t="n">
        <x:f>IF(AND(ISNUMBER(G778),ISNUMBER(H778),H778&gt;0),G778/H778-1,"")</x:f>
        <x:v>0</x:v>
      </x:c>
      <x:c r="J778" s="27" t="n">
        <x:f>IF(AND(ISNUMBER(G778),F778&gt;0),G778/F778-1,"")</x:f>
        <x:v>-0.041513790128743566</x:v>
      </x:c>
      <x:c r="K778" s="19" t="str">
        <x:v>Exp_2/EXP029/results/seed159359747_Relative_cutoff_1e-4.json</x:v>
      </x:c>
    </x:row>
    <x:row r="779" ht="15" hidden="0" customHeight="1">
      <x:c r="A779" s="3" t="str">
        <x:v>EXP029</x:v>
      </x:c>
      <x:c r="B779" s="3" t="str">
        <x:v>Exp. 2</x:v>
      </x:c>
      <x:c r="C779" s="18" t="n">
        <x:v>254786210</x:v>
      </x:c>
      <x:c r="D779" s="3" t="str">
        <x:v>BBP</x:v>
      </x:c>
      <x:c r="E779" s="18" t="n">
        <x:v>200</x:v>
      </x:c>
      <x:c r="F779" s="21" t="n">
        <x:v>82.90496634553028</x:v>
      </x:c>
      <x:c r="G779" s="21" t="n">
        <x:f>F779</x:f>
        <x:v>82.90496634553028</x:v>
      </x:c>
      <x:c r="H779" s="21" t="n">
        <x:f>F785</x:f>
        <x:v>82.90496634553028</x:v>
      </x:c>
      <x:c r="I779" s="27" t="n">
        <x:f>IF(AND(ISNUMBER(G779),ISNUMBER(H779),H779&gt;0),G779/H779-1,"")</x:f>
        <x:v>0</x:v>
      </x:c>
      <x:c r="J779" s="27" t="n">
        <x:f>IF(AND(ISNUMBER(G779),F779&gt;0),G779/F779-1,"")</x:f>
        <x:v>0</x:v>
      </x:c>
      <x:c r="K779" s="19" t="str">
        <x:v>Exp_2/EXP029/results/seed254786210_BBP.json</x:v>
      </x:c>
    </x:row>
    <x:row r="780" ht="15" hidden="0" customHeight="1">
      <x:c r="A780" s="3" t="str">
        <x:v>EXP029</x:v>
      </x:c>
      <x:c r="B780" s="3" t="str">
        <x:v>Exp. 2</x:v>
      </x:c>
      <x:c r="C780" s="18" t="n">
        <x:v>254786210</x:v>
      </x:c>
      <x:c r="D780" s="3" t="str">
        <x:v>Relative cutoff 1e-5</x:v>
      </x:c>
      <x:c r="E780" s="18" t="n">
        <x:v>200</x:v>
      </x:c>
      <x:c r="F780" s="21" t="n">
        <x:v>82.90496634553028</x:v>
      </x:c>
      <x:c r="G780" s="21" t="n">
        <x:f>F779</x:f>
        <x:v>82.90496634553028</x:v>
      </x:c>
      <x:c r="H780" s="21" t="n">
        <x:f>F785</x:f>
        <x:v>82.90496634553028</x:v>
      </x:c>
      <x:c r="I780" s="27" t="n">
        <x:f>IF(AND(ISNUMBER(G780),ISNUMBER(H780),H780&gt;0),G780/H780-1,"")</x:f>
        <x:v>0</x:v>
      </x:c>
      <x:c r="J780" s="27" t="n">
        <x:f>IF(AND(ISNUMBER(G780),F780&gt;0),G780/F780-1,"")</x:f>
        <x:v>0</x:v>
      </x:c>
      <x:c r="K780" s="19" t="str">
        <x:v>Exp_2/EXP029/results/seed254786210_Relative_cutoff_1e-5.json</x:v>
      </x:c>
    </x:row>
    <x:row r="781" ht="15" hidden="0" customHeight="1">
      <x:c r="A781" s="3" t="str">
        <x:v>EXP029</x:v>
      </x:c>
      <x:c r="B781" s="3" t="str">
        <x:v>Exp. 2</x:v>
      </x:c>
      <x:c r="C781" s="18" t="n">
        <x:v>254786210</x:v>
      </x:c>
      <x:c r="D781" s="3" t="str">
        <x:v>NN-AGP (m=7)</x:v>
      </x:c>
      <x:c r="E781" s="18" t="n">
        <x:v>200</x:v>
      </x:c>
      <x:c r="F781" s="21" t="n">
        <x:v>83.96570060055929</x:v>
      </x:c>
      <x:c r="G781" s="21" t="n">
        <x:f>F779</x:f>
        <x:v>82.90496634553028</x:v>
      </x:c>
      <x:c r="H781" s="21" t="n">
        <x:f>F785</x:f>
        <x:v>82.90496634553028</x:v>
      </x:c>
      <x:c r="I781" s="27" t="n">
        <x:f>IF(AND(ISNUMBER(G781),ISNUMBER(H781),H781&gt;0),G781/H781-1,"")</x:f>
        <x:v>0</x:v>
      </x:c>
      <x:c r="J781" s="27" t="n">
        <x:f>IF(AND(ISNUMBER(G781),F781&gt;0),G781/F781-1,"")</x:f>
        <x:v>-0.012632947113430437</x:v>
      </x:c>
      <x:c r="K781" s="19" t="str">
        <x:v>Exp_2/EXP029/results/seed254786210_NN-AGP_m_7.json</x:v>
      </x:c>
    </x:row>
    <x:row r="782" ht="15" hidden="0" customHeight="1">
      <x:c r="A782" s="3" t="str">
        <x:v>EXP029</x:v>
      </x:c>
      <x:c r="B782" s="3" t="str">
        <x:v>Exp. 2</x:v>
      </x:c>
      <x:c r="C782" s="18" t="n">
        <x:v>254786210</x:v>
      </x:c>
      <x:c r="D782" s="3" t="str">
        <x:v>Fixed rank 10</x:v>
      </x:c>
      <x:c r="E782" s="18" t="n">
        <x:v>200</x:v>
      </x:c>
      <x:c r="F782" s="21" t="n">
        <x:v>82.90496634553028</x:v>
      </x:c>
      <x:c r="G782" s="21" t="n">
        <x:f>F779</x:f>
        <x:v>82.90496634553028</x:v>
      </x:c>
      <x:c r="H782" s="21" t="n">
        <x:f>F785</x:f>
        <x:v>82.90496634553028</x:v>
      </x:c>
      <x:c r="I782" s="27" t="n">
        <x:f>IF(AND(ISNUMBER(G782),ISNUMBER(H782),H782&gt;0),G782/H782-1,"")</x:f>
        <x:v>0</x:v>
      </x:c>
      <x:c r="J782" s="27" t="n">
        <x:f>IF(AND(ISNUMBER(G782),F782&gt;0),G782/F782-1,"")</x:f>
        <x:v>0</x:v>
      </x:c>
      <x:c r="K782" s="19" t="str">
        <x:v>Exp_2/EXP029/results/seed254786210_Fixed_rank_10.json</x:v>
      </x:c>
    </x:row>
    <x:row r="783" ht="15" hidden="0" customHeight="1">
      <x:c r="A783" s="3" t="str">
        <x:v>EXP029</x:v>
      </x:c>
      <x:c r="B783" s="3" t="str">
        <x:v>Exp. 2</x:v>
      </x:c>
      <x:c r="C783" s="18" t="n">
        <x:v>254786210</x:v>
      </x:c>
      <x:c r="D783" s="3" t="str">
        <x:v>Fixed rank 25</x:v>
      </x:c>
      <x:c r="E783" s="18" t="n">
        <x:v>200</x:v>
      </x:c>
      <x:c r="F783" s="21" t="n">
        <x:v>82.90496634553028</x:v>
      </x:c>
      <x:c r="G783" s="21" t="n">
        <x:f>F779</x:f>
        <x:v>82.90496634553028</x:v>
      </x:c>
      <x:c r="H783" s="21" t="n">
        <x:f>F785</x:f>
        <x:v>82.90496634553028</x:v>
      </x:c>
      <x:c r="I783" s="27" t="n">
        <x:f>IF(AND(ISNUMBER(G783),ISNUMBER(H783),H783&gt;0),G783/H783-1,"")</x:f>
        <x:v>0</x:v>
      </x:c>
      <x:c r="J783" s="27" t="n">
        <x:f>IF(AND(ISNUMBER(G783),F783&gt;0),G783/F783-1,"")</x:f>
        <x:v>0</x:v>
      </x:c>
      <x:c r="K783" s="19" t="str">
        <x:v>Exp_2/EXP029/results/seed254786210_Fixed_rank_25.json</x:v>
      </x:c>
    </x:row>
    <x:row r="784" ht="15" hidden="0" customHeight="1">
      <x:c r="A784" s="3" t="str">
        <x:v>EXP029</x:v>
      </x:c>
      <x:c r="B784" s="3" t="str">
        <x:v>Exp. 2</x:v>
      </x:c>
      <x:c r="C784" s="18" t="n">
        <x:v>254786210</x:v>
      </x:c>
      <x:c r="D784" s="3" t="str">
        <x:v>Relative cutoff 1e-6</x:v>
      </x:c>
      <x:c r="E784" s="18" t="n">
        <x:v>200</x:v>
      </x:c>
      <x:c r="F784" s="21" t="n">
        <x:v>82.90496634553028</x:v>
      </x:c>
      <x:c r="G784" s="21" t="n">
        <x:f>F779</x:f>
        <x:v>82.90496634553028</x:v>
      </x:c>
      <x:c r="H784" s="21" t="n">
        <x:f>F785</x:f>
        <x:v>82.90496634553028</x:v>
      </x:c>
      <x:c r="I784" s="27" t="n">
        <x:f>IF(AND(ISNUMBER(G784),ISNUMBER(H784),H784&gt;0),G784/H784-1,"")</x:f>
        <x:v>0</x:v>
      </x:c>
      <x:c r="J784" s="27" t="n">
        <x:f>IF(AND(ISNUMBER(G784),F784&gt;0),G784/F784-1,"")</x:f>
        <x:v>0</x:v>
      </x:c>
      <x:c r="K784" s="19" t="str">
        <x:v>Exp_2/EXP029/results/seed254786210_Relative_cutoff_1e-6.json</x:v>
      </x:c>
    </x:row>
    <x:row r="785" ht="15" hidden="0" customHeight="1">
      <x:c r="A785" s="3" t="str">
        <x:v>EXP029</x:v>
      </x:c>
      <x:c r="B785" s="3" t="str">
        <x:v>Exp. 2</x:v>
      </x:c>
      <x:c r="C785" s="18" t="n">
        <x:v>254786210</x:v>
      </x:c>
      <x:c r="D785" s="3" t="str">
        <x:v>Full</x:v>
      </x:c>
      <x:c r="E785" s="18" t="n">
        <x:v>200</x:v>
      </x:c>
      <x:c r="F785" s="21" t="n">
        <x:v>82.90496634553028</x:v>
      </x:c>
      <x:c r="G785" s="21" t="n">
        <x:f>F779</x:f>
        <x:v>82.90496634553028</x:v>
      </x:c>
      <x:c r="H785" s="21" t="n">
        <x:f>F785</x:f>
        <x:v>82.90496634553028</x:v>
      </x:c>
      <x:c r="I785" s="27" t="n">
        <x:f>IF(AND(ISNUMBER(G785),ISNUMBER(H785),H785&gt;0),G785/H785-1,"")</x:f>
        <x:v>0</x:v>
      </x:c>
      <x:c r="J785" s="27" t="n">
        <x:f>IF(AND(ISNUMBER(G785),F785&gt;0),G785/F785-1,"")</x:f>
        <x:v>0</x:v>
      </x:c>
      <x:c r="K785" s="19" t="str">
        <x:v>Exp_2/EXP029/results/seed254786210_Full.json</x:v>
      </x:c>
    </x:row>
    <x:row r="786" ht="15" hidden="0" customHeight="1">
      <x:c r="A786" s="3" t="str">
        <x:v>EXP029</x:v>
      </x:c>
      <x:c r="B786" s="3" t="str">
        <x:v>Exp. 2</x:v>
      </x:c>
      <x:c r="C786" s="18" t="n">
        <x:v>254786210</x:v>
      </x:c>
      <x:c r="D786" s="3" t="str">
        <x:v>GP-UCB (weighted sum)</x:v>
      </x:c>
      <x:c r="E786" s="18" t="n">
        <x:v>200</x:v>
      </x:c>
      <x:c r="F786" s="21" t="n">
        <x:v>90.78507366262748</x:v>
      </x:c>
      <x:c r="G786" s="21" t="n">
        <x:f>F779</x:f>
        <x:v>82.90496634553028</x:v>
      </x:c>
      <x:c r="H786" s="21" t="n">
        <x:f>F785</x:f>
        <x:v>82.90496634553028</x:v>
      </x:c>
      <x:c r="I786" s="27" t="n">
        <x:f>IF(AND(ISNUMBER(G786),ISNUMBER(H786),H786&gt;0),G786/H786-1,"")</x:f>
        <x:v>0</x:v>
      </x:c>
      <x:c r="J786" s="27" t="n">
        <x:f>IF(AND(ISNUMBER(G786),F786&gt;0),G786/F786-1,"")</x:f>
        <x:v>-0.08679959159785444</x:v>
      </x:c>
      <x:c r="K786" s="19" t="str">
        <x:v>Exp_2/EXP029/results/seed254786210_GP-UCB_weighted_sum.json</x:v>
      </x:c>
    </x:row>
    <x:row r="787" ht="15" hidden="0" customHeight="1">
      <x:c r="A787" s="3" t="str">
        <x:v>EXP029</x:v>
      </x:c>
      <x:c r="B787" s="3" t="str">
        <x:v>Exp. 2</x:v>
      </x:c>
      <x:c r="C787" s="18" t="n">
        <x:v>254786210</x:v>
      </x:c>
      <x:c r="D787" s="3" t="str">
        <x:v>GP-UCB (product)</x:v>
      </x:c>
      <x:c r="E787" s="18" t="n">
        <x:v>200</x:v>
      </x:c>
      <x:c r="F787" s="21" t="n">
        <x:v>76.01496526540515</x:v>
      </x:c>
      <x:c r="G787" s="21" t="n">
        <x:f>F779</x:f>
        <x:v>82.90496634553028</x:v>
      </x:c>
      <x:c r="H787" s="21" t="n">
        <x:f>F785</x:f>
        <x:v>82.90496634553028</x:v>
      </x:c>
      <x:c r="I787" s="27" t="n">
        <x:f>IF(AND(ISNUMBER(G787),ISNUMBER(H787),H787&gt;0),G787/H787-1,"")</x:f>
        <x:v>0</x:v>
      </x:c>
      <x:c r="J787" s="27" t="n">
        <x:f>IF(AND(ISNUMBER(G787),F787&gt;0),G787/F787-1,"")</x:f>
        <x:v>0.09064006088891574</x:v>
      </x:c>
      <x:c r="K787" s="19" t="str">
        <x:v>Exp_2/EXP029/results/seed254786210_GP-UCB_product.json</x:v>
      </x:c>
    </x:row>
    <x:row r="788" ht="15" hidden="0" customHeight="1">
      <x:c r="A788" s="3" t="str">
        <x:v>EXP029</x:v>
      </x:c>
      <x:c r="B788" s="3" t="str">
        <x:v>Exp. 2</x:v>
      </x:c>
      <x:c r="C788" s="18" t="n">
        <x:v>254786210</x:v>
      </x:c>
      <x:c r="D788" s="3" t="str">
        <x:v>NeuralUCB</x:v>
      </x:c>
      <x:c r="E788" s="18" t="n">
        <x:v>200</x:v>
      </x:c>
      <x:c r="F788" s="21" t="n">
        <x:v>95.55721288662421</x:v>
      </x:c>
      <x:c r="G788" s="21" t="n">
        <x:f>F779</x:f>
        <x:v>82.90496634553028</x:v>
      </x:c>
      <x:c r="H788" s="21" t="n">
        <x:f>F785</x:f>
        <x:v>82.90496634553028</x:v>
      </x:c>
      <x:c r="I788" s="27" t="n">
        <x:f>IF(AND(ISNUMBER(G788),ISNUMBER(H788),H788&gt;0),G788/H788-1,"")</x:f>
        <x:v>0</x:v>
      </x:c>
      <x:c r="J788" s="27" t="n">
        <x:f>IF(AND(ISNUMBER(G788),F788&gt;0),G788/F788-1,"")</x:f>
        <x:v>-0.13240493479132176</x:v>
      </x:c>
      <x:c r="K788" s="19" t="str">
        <x:v>Exp_2/EXP029/results/seed254786210_NeuralUCB.json</x:v>
      </x:c>
    </x:row>
    <x:row r="789" ht="15" hidden="0" customHeight="1">
      <x:c r="A789" s="3" t="str">
        <x:v>EXP029</x:v>
      </x:c>
      <x:c r="B789" s="3" t="str">
        <x:v>Exp. 2</x:v>
      </x:c>
      <x:c r="C789" s="18" t="n">
        <x:v>254786210</x:v>
      </x:c>
      <x:c r="D789" s="3" t="str">
        <x:v>NN-UCB</x:v>
      </x:c>
      <x:c r="E789" s="18" t="n">
        <x:v>200</x:v>
      </x:c>
      <x:c r="F789" s="21" t="n">
        <x:v>91.58942447728029</x:v>
      </x:c>
      <x:c r="G789" s="21" t="n">
        <x:f>F779</x:f>
        <x:v>82.90496634553028</x:v>
      </x:c>
      <x:c r="H789" s="21" t="n">
        <x:f>F785</x:f>
        <x:v>82.90496634553028</x:v>
      </x:c>
      <x:c r="I789" s="27" t="n">
        <x:f>IF(AND(ISNUMBER(G789),ISNUMBER(H789),H789&gt;0),G789/H789-1,"")</x:f>
        <x:v>0</x:v>
      </x:c>
      <x:c r="J789" s="27" t="n">
        <x:f>IF(AND(ISNUMBER(G789),F789&gt;0),G789/F789-1,"")</x:f>
        <x:v>-0.09481944210605098</x:v>
      </x:c>
      <x:c r="K789" s="19" t="str">
        <x:v>Exp_2/EXP029/results/seed254786210_NN-UCB.json</x:v>
      </x:c>
    </x:row>
    <x:row r="790" ht="15" hidden="0" customHeight="1">
      <x:c r="A790" s="3" t="str">
        <x:v>EXP029</x:v>
      </x:c>
      <x:c r="B790" s="3" t="str">
        <x:v>Exp. 2</x:v>
      </x:c>
      <x:c r="C790" s="18" t="n">
        <x:v>254786210</x:v>
      </x:c>
      <x:c r="D790" s="3" t="str">
        <x:v>Relative cutoff 1e-2</x:v>
      </x:c>
      <x:c r="E790" s="18" t="n">
        <x:v>200</x:v>
      </x:c>
      <x:c r="F790" s="21" t="n">
        <x:v>75.48131538630416</x:v>
      </x:c>
      <x:c r="G790" s="21" t="n">
        <x:f>F779</x:f>
        <x:v>82.90496634553028</x:v>
      </x:c>
      <x:c r="H790" s="21" t="n">
        <x:f>F785</x:f>
        <x:v>82.90496634553028</x:v>
      </x:c>
      <x:c r="I790" s="27" t="n">
        <x:f>IF(AND(ISNUMBER(G790),ISNUMBER(H790),H790&gt;0),G790/H790-1,"")</x:f>
        <x:v>0</x:v>
      </x:c>
      <x:c r="J790" s="27" t="n">
        <x:f>IF(AND(ISNUMBER(G790),F790&gt;0),G790/F790-1,"")</x:f>
        <x:v>0.09835084247317072</x:v>
      </x:c>
      <x:c r="K790" s="19" t="str">
        <x:v>Exp_2/EXP029/results/seed254786210_Relative_cutoff_1e-2.json</x:v>
      </x:c>
    </x:row>
    <x:row r="791" ht="15" hidden="0" customHeight="1">
      <x:c r="A791" s="3" t="str">
        <x:v>EXP029</x:v>
      </x:c>
      <x:c r="B791" s="3" t="str">
        <x:v>Exp. 2</x:v>
      </x:c>
      <x:c r="C791" s="18" t="n">
        <x:v>254786210</x:v>
      </x:c>
      <x:c r="D791" s="3" t="str">
        <x:v>Relative cutoff 1e-4</x:v>
      </x:c>
      <x:c r="E791" s="18" t="n">
        <x:v>200</x:v>
      </x:c>
      <x:c r="F791" s="21" t="n">
        <x:v>82.90496634553028</x:v>
      </x:c>
      <x:c r="G791" s="21" t="n">
        <x:f>F779</x:f>
        <x:v>82.90496634553028</x:v>
      </x:c>
      <x:c r="H791" s="21" t="n">
        <x:f>F785</x:f>
        <x:v>82.90496634553028</x:v>
      </x:c>
      <x:c r="I791" s="27" t="n">
        <x:f>IF(AND(ISNUMBER(G791),ISNUMBER(H791),H791&gt;0),G791/H791-1,"")</x:f>
        <x:v>0</x:v>
      </x:c>
      <x:c r="J791" s="27" t="n">
        <x:f>IF(AND(ISNUMBER(G791),F791&gt;0),G791/F791-1,"")</x:f>
        <x:v>0</x:v>
      </x:c>
      <x:c r="K791" s="19" t="str">
        <x:v>Exp_2/EXP029/results/seed254786210_Relative_cutoff_1e-4.json</x:v>
      </x:c>
    </x:row>
    <x:row r="792" ht="15" hidden="0" customHeight="1">
      <x:c r="A792" s="3" t="str">
        <x:v>EXP029</x:v>
      </x:c>
      <x:c r="B792" s="3" t="str">
        <x:v>Exp. 2</x:v>
      </x:c>
      <x:c r="C792" s="18" t="n">
        <x:v>280737676</x:v>
      </x:c>
      <x:c r="D792" s="3" t="str">
        <x:v>BBP</x:v>
      </x:c>
      <x:c r="E792" s="18" t="n">
        <x:v>200</x:v>
      </x:c>
      <x:c r="F792" s="21" t="n">
        <x:v>55.73831477617874</x:v>
      </x:c>
      <x:c r="G792" s="21" t="n">
        <x:f>F792</x:f>
        <x:v>55.73831477617874</x:v>
      </x:c>
      <x:c r="H792" s="21" t="n">
        <x:f>F798</x:f>
        <x:v>55.73831477617874</x:v>
      </x:c>
      <x:c r="I792" s="27" t="n">
        <x:f>IF(AND(ISNUMBER(G792),ISNUMBER(H792),H792&gt;0),G792/H792-1,"")</x:f>
        <x:v>0</x:v>
      </x:c>
      <x:c r="J792" s="27" t="n">
        <x:f>IF(AND(ISNUMBER(G792),F792&gt;0),G792/F792-1,"")</x:f>
        <x:v>0</x:v>
      </x:c>
      <x:c r="K792" s="19" t="str">
        <x:v>Exp_2/EXP029/results/seed280737676_BBP.json</x:v>
      </x:c>
    </x:row>
    <x:row r="793" ht="15" hidden="0" customHeight="1">
      <x:c r="A793" s="3" t="str">
        <x:v>EXP029</x:v>
      </x:c>
      <x:c r="B793" s="3" t="str">
        <x:v>Exp. 2</x:v>
      </x:c>
      <x:c r="C793" s="18" t="n">
        <x:v>280737676</x:v>
      </x:c>
      <x:c r="D793" s="3" t="str">
        <x:v>Relative cutoff 1e-5</x:v>
      </x:c>
      <x:c r="E793" s="18" t="n">
        <x:v>200</x:v>
      </x:c>
      <x:c r="F793" s="21" t="n">
        <x:v>55.73831477617874</x:v>
      </x:c>
      <x:c r="G793" s="21" t="n">
        <x:f>F792</x:f>
        <x:v>55.73831477617874</x:v>
      </x:c>
      <x:c r="H793" s="21" t="n">
        <x:f>F798</x:f>
        <x:v>55.73831477617874</x:v>
      </x:c>
      <x:c r="I793" s="27" t="n">
        <x:f>IF(AND(ISNUMBER(G793),ISNUMBER(H793),H793&gt;0),G793/H793-1,"")</x:f>
        <x:v>0</x:v>
      </x:c>
      <x:c r="J793" s="27" t="n">
        <x:f>IF(AND(ISNUMBER(G793),F793&gt;0),G793/F793-1,"")</x:f>
        <x:v>0</x:v>
      </x:c>
      <x:c r="K793" s="19" t="str">
        <x:v>Exp_2/EXP029/results/seed280737676_Relative_cutoff_1e-5.json</x:v>
      </x:c>
    </x:row>
    <x:row r="794" ht="15" hidden="0" customHeight="1">
      <x:c r="A794" s="3" t="str">
        <x:v>EXP029</x:v>
      </x:c>
      <x:c r="B794" s="3" t="str">
        <x:v>Exp. 2</x:v>
      </x:c>
      <x:c r="C794" s="18" t="n">
        <x:v>280737676</x:v>
      </x:c>
      <x:c r="D794" s="3" t="str">
        <x:v>NN-AGP (m=7)</x:v>
      </x:c>
      <x:c r="E794" s="18" t="n">
        <x:v>200</x:v>
      </x:c>
      <x:c r="F794" s="21" t="n">
        <x:v>74.8147666179832</x:v>
      </x:c>
      <x:c r="G794" s="21" t="n">
        <x:f>F792</x:f>
        <x:v>55.73831477617874</x:v>
      </x:c>
      <x:c r="H794" s="21" t="n">
        <x:f>F798</x:f>
        <x:v>55.73831477617874</x:v>
      </x:c>
      <x:c r="I794" s="27" t="n">
        <x:f>IF(AND(ISNUMBER(G794),ISNUMBER(H794),H794&gt;0),G794/H794-1,"")</x:f>
        <x:v>0</x:v>
      </x:c>
      <x:c r="J794" s="27" t="n">
        <x:f>IF(AND(ISNUMBER(G794),F794&gt;0),G794/F794-1,"")</x:f>
        <x:v>-0.2549824413569588</x:v>
      </x:c>
      <x:c r="K794" s="19" t="str">
        <x:v>Exp_2/EXP029/results/seed280737676_NN-AGP_m_7.json</x:v>
      </x:c>
    </x:row>
    <x:row r="795" ht="15" hidden="0" customHeight="1">
      <x:c r="A795" s="3" t="str">
        <x:v>EXP029</x:v>
      </x:c>
      <x:c r="B795" s="3" t="str">
        <x:v>Exp. 2</x:v>
      </x:c>
      <x:c r="C795" s="18" t="n">
        <x:v>280737676</x:v>
      </x:c>
      <x:c r="D795" s="3" t="str">
        <x:v>Fixed rank 10</x:v>
      </x:c>
      <x:c r="E795" s="18" t="n">
        <x:v>200</x:v>
      </x:c>
      <x:c r="F795" s="21" t="n">
        <x:v>57.2391672371337</x:v>
      </x:c>
      <x:c r="G795" s="21" t="n">
        <x:f>F792</x:f>
        <x:v>55.73831477617874</x:v>
      </x:c>
      <x:c r="H795" s="21" t="n">
        <x:f>F798</x:f>
        <x:v>55.73831477617874</x:v>
      </x:c>
      <x:c r="I795" s="27" t="n">
        <x:f>IF(AND(ISNUMBER(G795),ISNUMBER(H795),H795&gt;0),G795/H795-1,"")</x:f>
        <x:v>0</x:v>
      </x:c>
      <x:c r="J795" s="27" t="n">
        <x:f>IF(AND(ISNUMBER(G795),F795&gt;0),G795/F795-1,"")</x:f>
        <x:v>-0.02622072495808936</x:v>
      </x:c>
      <x:c r="K795" s="19" t="str">
        <x:v>Exp_2/EXP029/results/seed280737676_Fixed_rank_10.json</x:v>
      </x:c>
    </x:row>
    <x:row r="796" ht="15" hidden="0" customHeight="1">
      <x:c r="A796" s="3" t="str">
        <x:v>EXP029</x:v>
      </x:c>
      <x:c r="B796" s="3" t="str">
        <x:v>Exp. 2</x:v>
      </x:c>
      <x:c r="C796" s="18" t="n">
        <x:v>280737676</x:v>
      </x:c>
      <x:c r="D796" s="3" t="str">
        <x:v>Fixed rank 25</x:v>
      </x:c>
      <x:c r="E796" s="18" t="n">
        <x:v>200</x:v>
      </x:c>
      <x:c r="F796" s="21" t="n">
        <x:v>55.73831477617874</x:v>
      </x:c>
      <x:c r="G796" s="21" t="n">
        <x:f>F792</x:f>
        <x:v>55.73831477617874</x:v>
      </x:c>
      <x:c r="H796" s="21" t="n">
        <x:f>F798</x:f>
        <x:v>55.73831477617874</x:v>
      </x:c>
      <x:c r="I796" s="27" t="n">
        <x:f>IF(AND(ISNUMBER(G796),ISNUMBER(H796),H796&gt;0),G796/H796-1,"")</x:f>
        <x:v>0</x:v>
      </x:c>
      <x:c r="J796" s="27" t="n">
        <x:f>IF(AND(ISNUMBER(G796),F796&gt;0),G796/F796-1,"")</x:f>
        <x:v>0</x:v>
      </x:c>
      <x:c r="K796" s="19" t="str">
        <x:v>Exp_2/EXP029/results/seed280737676_Fixed_rank_25.json</x:v>
      </x:c>
    </x:row>
    <x:row r="797" ht="15" hidden="0" customHeight="1">
      <x:c r="A797" s="3" t="str">
        <x:v>EXP029</x:v>
      </x:c>
      <x:c r="B797" s="3" t="str">
        <x:v>Exp. 2</x:v>
      </x:c>
      <x:c r="C797" s="18" t="n">
        <x:v>280737676</x:v>
      </x:c>
      <x:c r="D797" s="3" t="str">
        <x:v>Relative cutoff 1e-6</x:v>
      </x:c>
      <x:c r="E797" s="18" t="n">
        <x:v>200</x:v>
      </x:c>
      <x:c r="F797" s="21" t="n">
        <x:v>55.73831477617874</x:v>
      </x:c>
      <x:c r="G797" s="21" t="n">
        <x:f>F792</x:f>
        <x:v>55.73831477617874</x:v>
      </x:c>
      <x:c r="H797" s="21" t="n">
        <x:f>F798</x:f>
        <x:v>55.73831477617874</x:v>
      </x:c>
      <x:c r="I797" s="27" t="n">
        <x:f>IF(AND(ISNUMBER(G797),ISNUMBER(H797),H797&gt;0),G797/H797-1,"")</x:f>
        <x:v>0</x:v>
      </x:c>
      <x:c r="J797" s="27" t="n">
        <x:f>IF(AND(ISNUMBER(G797),F797&gt;0),G797/F797-1,"")</x:f>
        <x:v>0</x:v>
      </x:c>
      <x:c r="K797" s="19" t="str">
        <x:v>Exp_2/EXP029/results/seed280737676_Relative_cutoff_1e-6.json</x:v>
      </x:c>
    </x:row>
    <x:row r="798" ht="15" hidden="0" customHeight="1">
      <x:c r="A798" s="3" t="str">
        <x:v>EXP029</x:v>
      </x:c>
      <x:c r="B798" s="3" t="str">
        <x:v>Exp. 2</x:v>
      </x:c>
      <x:c r="C798" s="18" t="n">
        <x:v>280737676</x:v>
      </x:c>
      <x:c r="D798" s="3" t="str">
        <x:v>Full</x:v>
      </x:c>
      <x:c r="E798" s="18" t="n">
        <x:v>200</x:v>
      </x:c>
      <x:c r="F798" s="21" t="n">
        <x:v>55.73831477617874</x:v>
      </x:c>
      <x:c r="G798" s="21" t="n">
        <x:f>F792</x:f>
        <x:v>55.73831477617874</x:v>
      </x:c>
      <x:c r="H798" s="21" t="n">
        <x:f>F798</x:f>
        <x:v>55.73831477617874</x:v>
      </x:c>
      <x:c r="I798" s="27" t="n">
        <x:f>IF(AND(ISNUMBER(G798),ISNUMBER(H798),H798&gt;0),G798/H798-1,"")</x:f>
        <x:v>0</x:v>
      </x:c>
      <x:c r="J798" s="27" t="n">
        <x:f>IF(AND(ISNUMBER(G798),F798&gt;0),G798/F798-1,"")</x:f>
        <x:v>0</x:v>
      </x:c>
      <x:c r="K798" s="19" t="str">
        <x:v>Exp_2/EXP029/results/seed280737676_Full.json</x:v>
      </x:c>
    </x:row>
    <x:row r="799" ht="15" hidden="0" customHeight="1">
      <x:c r="A799" s="3" t="str">
        <x:v>EXP029</x:v>
      </x:c>
      <x:c r="B799" s="3" t="str">
        <x:v>Exp. 2</x:v>
      </x:c>
      <x:c r="C799" s="18" t="n">
        <x:v>280737676</x:v>
      </x:c>
      <x:c r="D799" s="3" t="str">
        <x:v>GP-UCB (weighted sum)</x:v>
      </x:c>
      <x:c r="E799" s="18" t="n">
        <x:v>200</x:v>
      </x:c>
      <x:c r="F799" s="21" t="n">
        <x:v>69.7925933549517</x:v>
      </x:c>
      <x:c r="G799" s="21" t="n">
        <x:f>F792</x:f>
        <x:v>55.73831477617874</x:v>
      </x:c>
      <x:c r="H799" s="21" t="n">
        <x:f>F798</x:f>
        <x:v>55.73831477617874</x:v>
      </x:c>
      <x:c r="I799" s="27" t="n">
        <x:f>IF(AND(ISNUMBER(G799),ISNUMBER(H799),H799&gt;0),G799/H799-1,"")</x:f>
        <x:v>0</x:v>
      </x:c>
      <x:c r="J799" s="27" t="n">
        <x:f>IF(AND(ISNUMBER(G799),F799&gt;0),G799/F799-1,"")</x:f>
        <x:v>-0.201372064042607</x:v>
      </x:c>
      <x:c r="K799" s="19" t="str">
        <x:v>Exp_2/EXP029/results/seed280737676_GP-UCB_weighted_sum.json</x:v>
      </x:c>
    </x:row>
    <x:row r="800" ht="15" hidden="0" customHeight="1">
      <x:c r="A800" s="3" t="str">
        <x:v>EXP029</x:v>
      </x:c>
      <x:c r="B800" s="3" t="str">
        <x:v>Exp. 2</x:v>
      </x:c>
      <x:c r="C800" s="18" t="n">
        <x:v>280737676</x:v>
      </x:c>
      <x:c r="D800" s="3" t="str">
        <x:v>GP-UCB (product)</x:v>
      </x:c>
      <x:c r="E800" s="18" t="n">
        <x:v>200</x:v>
      </x:c>
      <x:c r="F800" s="21" t="n">
        <x:v>68.78389839111057</x:v>
      </x:c>
      <x:c r="G800" s="21" t="n">
        <x:f>F792</x:f>
        <x:v>55.73831477617874</x:v>
      </x:c>
      <x:c r="H800" s="21" t="n">
        <x:f>F798</x:f>
        <x:v>55.73831477617874</x:v>
      </x:c>
      <x:c r="I800" s="27" t="n">
        <x:f>IF(AND(ISNUMBER(G800),ISNUMBER(H800),H800&gt;0),G800/H800-1,"")</x:f>
        <x:v>0</x:v>
      </x:c>
      <x:c r="J800" s="27" t="n">
        <x:f>IF(AND(ISNUMBER(G800),F800&gt;0),G800/F800-1,"")</x:f>
        <x:v>-0.18966042809544803</x:v>
      </x:c>
      <x:c r="K800" s="19" t="str">
        <x:v>Exp_2/EXP029/results/seed280737676_GP-UCB_product.json</x:v>
      </x:c>
    </x:row>
    <x:row r="801" ht="15" hidden="0" customHeight="1">
      <x:c r="A801" s="3" t="str">
        <x:v>EXP029</x:v>
      </x:c>
      <x:c r="B801" s="3" t="str">
        <x:v>Exp. 2</x:v>
      </x:c>
      <x:c r="C801" s="18" t="n">
        <x:v>280737676</x:v>
      </x:c>
      <x:c r="D801" s="3" t="str">
        <x:v>NeuralUCB</x:v>
      </x:c>
      <x:c r="E801" s="18" t="n">
        <x:v>200</x:v>
      </x:c>
      <x:c r="F801" s="21" t="n">
        <x:v>90.14833066330655</x:v>
      </x:c>
      <x:c r="G801" s="21" t="n">
        <x:f>F792</x:f>
        <x:v>55.73831477617874</x:v>
      </x:c>
      <x:c r="H801" s="21" t="n">
        <x:f>F798</x:f>
        <x:v>55.73831477617874</x:v>
      </x:c>
      <x:c r="I801" s="27" t="n">
        <x:f>IF(AND(ISNUMBER(G801),ISNUMBER(H801),H801&gt;0),G801/H801-1,"")</x:f>
        <x:v>0</x:v>
      </x:c>
      <x:c r="J801" s="27" t="n">
        <x:f>IF(AND(ISNUMBER(G801),F801&gt;0),G801/F801-1,"")</x:f>
        <x:v>-0.38170441575502034</x:v>
      </x:c>
      <x:c r="K801" s="19" t="str">
        <x:v>Exp_2/EXP029/results/seed280737676_NeuralUCB.json</x:v>
      </x:c>
    </x:row>
    <x:row r="802" ht="15" hidden="0" customHeight="1">
      <x:c r="A802" s="3" t="str">
        <x:v>EXP029</x:v>
      </x:c>
      <x:c r="B802" s="3" t="str">
        <x:v>Exp. 2</x:v>
      </x:c>
      <x:c r="C802" s="18" t="n">
        <x:v>280737676</x:v>
      </x:c>
      <x:c r="D802" s="3" t="str">
        <x:v>NN-UCB</x:v>
      </x:c>
      <x:c r="E802" s="18" t="n">
        <x:v>200</x:v>
      </x:c>
      <x:c r="F802" s="21" t="n">
        <x:v>92.21157222229581</x:v>
      </x:c>
      <x:c r="G802" s="21" t="n">
        <x:f>F792</x:f>
        <x:v>55.73831477617874</x:v>
      </x:c>
      <x:c r="H802" s="21" t="n">
        <x:f>F798</x:f>
        <x:v>55.73831477617874</x:v>
      </x:c>
      <x:c r="I802" s="27" t="n">
        <x:f>IF(AND(ISNUMBER(G802),ISNUMBER(H802),H802&gt;0),G802/H802-1,"")</x:f>
        <x:v>0</x:v>
      </x:c>
      <x:c r="J802" s="27" t="n">
        <x:f>IF(AND(ISNUMBER(G802),F802&gt;0),G802/F802-1,"")</x:f>
        <x:v>-0.3955388306165136</x:v>
      </x:c>
      <x:c r="K802" s="19" t="str">
        <x:v>Exp_2/EXP029/results/seed280737676_NN-UCB.json</x:v>
      </x:c>
    </x:row>
    <x:row r="803" ht="15" hidden="0" customHeight="1">
      <x:c r="A803" s="3" t="str">
        <x:v>EXP029</x:v>
      </x:c>
      <x:c r="B803" s="3" t="str">
        <x:v>Exp. 2</x:v>
      </x:c>
      <x:c r="C803" s="18" t="n">
        <x:v>280737676</x:v>
      </x:c>
      <x:c r="D803" s="3" t="str">
        <x:v>Relative cutoff 1e-2</x:v>
      </x:c>
      <x:c r="E803" s="18" t="n">
        <x:v>200</x:v>
      </x:c>
      <x:c r="F803" s="21" t="n">
        <x:v>57.12179695119005</x:v>
      </x:c>
      <x:c r="G803" s="21" t="n">
        <x:f>F792</x:f>
        <x:v>55.73831477617874</x:v>
      </x:c>
      <x:c r="H803" s="21" t="n">
        <x:f>F798</x:f>
        <x:v>55.73831477617874</x:v>
      </x:c>
      <x:c r="I803" s="27" t="n">
        <x:f>IF(AND(ISNUMBER(G803),ISNUMBER(H803),H803&gt;0),G803/H803-1,"")</x:f>
        <x:v>0</x:v>
      </x:c>
      <x:c r="J803" s="27" t="n">
        <x:f>IF(AND(ISNUMBER(G803),F803&gt;0),G803/F803-1,"")</x:f>
        <x:v>-0.02421986437495094</x:v>
      </x:c>
      <x:c r="K803" s="19" t="str">
        <x:v>Exp_2/EXP029/results/seed280737676_Relative_cutoff_1e-2.json</x:v>
      </x:c>
    </x:row>
    <x:row r="804" ht="15" hidden="0" customHeight="1">
      <x:c r="A804" s="3" t="str">
        <x:v>EXP029</x:v>
      </x:c>
      <x:c r="B804" s="3" t="str">
        <x:v>Exp. 2</x:v>
      </x:c>
      <x:c r="C804" s="18" t="n">
        <x:v>280737676</x:v>
      </x:c>
      <x:c r="D804" s="3" t="str">
        <x:v>Relative cutoff 1e-4</x:v>
      </x:c>
      <x:c r="E804" s="18" t="n">
        <x:v>200</x:v>
      </x:c>
      <x:c r="F804" s="21" t="n">
        <x:v>57.2391672371337</x:v>
      </x:c>
      <x:c r="G804" s="21" t="n">
        <x:f>F792</x:f>
        <x:v>55.73831477617874</x:v>
      </x:c>
      <x:c r="H804" s="21" t="n">
        <x:f>F798</x:f>
        <x:v>55.73831477617874</x:v>
      </x:c>
      <x:c r="I804" s="27" t="n">
        <x:f>IF(AND(ISNUMBER(G804),ISNUMBER(H804),H804&gt;0),G804/H804-1,"")</x:f>
        <x:v>0</x:v>
      </x:c>
      <x:c r="J804" s="27" t="n">
        <x:f>IF(AND(ISNUMBER(G804),F804&gt;0),G804/F804-1,"")</x:f>
        <x:v>-0.02622072495808936</x:v>
      </x:c>
      <x:c r="K804" s="19" t="str">
        <x:v>Exp_2/EXP029/results/seed280737676_Relative_cutoff_1e-4.json</x:v>
      </x:c>
    </x:row>
    <x:row r="805" ht="15" hidden="0" customHeight="1">
      <x:c r="A805" s="3" t="str">
        <x:v>EXP029</x:v>
      </x:c>
      <x:c r="B805" s="3" t="str">
        <x:v>Exp. 2</x:v>
      </x:c>
      <x:c r="C805" s="18" t="n">
        <x:v>304444453</x:v>
      </x:c>
      <x:c r="D805" s="3" t="str">
        <x:v>BBP</x:v>
      </x:c>
      <x:c r="E805" s="18" t="n">
        <x:v>200</x:v>
      </x:c>
      <x:c r="F805" s="21" t="n">
        <x:v>58.76192322264744</x:v>
      </x:c>
      <x:c r="G805" s="21" t="n">
        <x:f>F805</x:f>
        <x:v>58.76192322264744</x:v>
      </x:c>
      <x:c r="H805" s="21" t="n">
        <x:f>F811</x:f>
        <x:v>58.76192322264744</x:v>
      </x:c>
      <x:c r="I805" s="27" t="n">
        <x:f>IF(AND(ISNUMBER(G805),ISNUMBER(H805),H805&gt;0),G805/H805-1,"")</x:f>
        <x:v>0</x:v>
      </x:c>
      <x:c r="J805" s="27" t="n">
        <x:f>IF(AND(ISNUMBER(G805),F805&gt;0),G805/F805-1,"")</x:f>
        <x:v>0</x:v>
      </x:c>
      <x:c r="K805" s="19" t="str">
        <x:v>Exp_2/EXP029/results/seed304444453_BBP.json</x:v>
      </x:c>
    </x:row>
    <x:row r="806" ht="15" hidden="0" customHeight="1">
      <x:c r="A806" s="3" t="str">
        <x:v>EXP029</x:v>
      </x:c>
      <x:c r="B806" s="3" t="str">
        <x:v>Exp. 2</x:v>
      </x:c>
      <x:c r="C806" s="18" t="n">
        <x:v>304444453</x:v>
      </x:c>
      <x:c r="D806" s="3" t="str">
        <x:v>Relative cutoff 1e-5</x:v>
      </x:c>
      <x:c r="E806" s="18" t="n">
        <x:v>200</x:v>
      </x:c>
      <x:c r="F806" s="21" t="n">
        <x:v>58.76192322264744</x:v>
      </x:c>
      <x:c r="G806" s="21" t="n">
        <x:f>F805</x:f>
        <x:v>58.76192322264744</x:v>
      </x:c>
      <x:c r="H806" s="21" t="n">
        <x:f>F811</x:f>
        <x:v>58.76192322264744</x:v>
      </x:c>
      <x:c r="I806" s="27" t="n">
        <x:f>IF(AND(ISNUMBER(G806),ISNUMBER(H806),H806&gt;0),G806/H806-1,"")</x:f>
        <x:v>0</x:v>
      </x:c>
      <x:c r="J806" s="27" t="n">
        <x:f>IF(AND(ISNUMBER(G806),F806&gt;0),G806/F806-1,"")</x:f>
        <x:v>0</x:v>
      </x:c>
      <x:c r="K806" s="19" t="str">
        <x:v>Exp_2/EXP029/results/seed304444453_Relative_cutoff_1e-5.json</x:v>
      </x:c>
    </x:row>
    <x:row r="807" ht="15" hidden="0" customHeight="1">
      <x:c r="A807" s="3" t="str">
        <x:v>EXP029</x:v>
      </x:c>
      <x:c r="B807" s="3" t="str">
        <x:v>Exp. 2</x:v>
      </x:c>
      <x:c r="C807" s="18" t="n">
        <x:v>304444453</x:v>
      </x:c>
      <x:c r="D807" s="3" t="str">
        <x:v>NN-AGP (m=7)</x:v>
      </x:c>
      <x:c r="E807" s="18" t="n">
        <x:v>200</x:v>
      </x:c>
      <x:c r="F807" s="21" t="n">
        <x:v>44.70624463715269</x:v>
      </x:c>
      <x:c r="G807" s="21" t="n">
        <x:f>F805</x:f>
        <x:v>58.76192322264744</x:v>
      </x:c>
      <x:c r="H807" s="21" t="n">
        <x:f>F811</x:f>
        <x:v>58.76192322264744</x:v>
      </x:c>
      <x:c r="I807" s="27" t="n">
        <x:f>IF(AND(ISNUMBER(G807),ISNUMBER(H807),H807&gt;0),G807/H807-1,"")</x:f>
        <x:v>0</x:v>
      </x:c>
      <x:c r="J807" s="27" t="n">
        <x:f>IF(AND(ISNUMBER(G807),F807&gt;0),G807/F807-1,"")</x:f>
        <x:v>0.3144007889630236</x:v>
      </x:c>
      <x:c r="K807" s="19" t="str">
        <x:v>Exp_2/EXP029/results/seed304444453_NN-AGP_m_7.json</x:v>
      </x:c>
    </x:row>
    <x:row r="808" ht="15" hidden="0" customHeight="1">
      <x:c r="A808" s="3" t="str">
        <x:v>EXP029</x:v>
      </x:c>
      <x:c r="B808" s="3" t="str">
        <x:v>Exp. 2</x:v>
      </x:c>
      <x:c r="C808" s="18" t="n">
        <x:v>304444453</x:v>
      </x:c>
      <x:c r="D808" s="3" t="str">
        <x:v>Fixed rank 10</x:v>
      </x:c>
      <x:c r="E808" s="18" t="n">
        <x:v>200</x:v>
      </x:c>
      <x:c r="F808" s="21" t="n">
        <x:v>64.21568938968683</x:v>
      </x:c>
      <x:c r="G808" s="21" t="n">
        <x:f>F805</x:f>
        <x:v>58.76192322264744</x:v>
      </x:c>
      <x:c r="H808" s="21" t="n">
        <x:f>F811</x:f>
        <x:v>58.76192322264744</x:v>
      </x:c>
      <x:c r="I808" s="27" t="n">
        <x:f>IF(AND(ISNUMBER(G808),ISNUMBER(H808),H808&gt;0),G808/H808-1,"")</x:f>
        <x:v>0</x:v>
      </x:c>
      <x:c r="J808" s="27" t="n">
        <x:f>IF(AND(ISNUMBER(G808),F808&gt;0),G808/F808-1,"")</x:f>
        <x:v>-0.08492887359573031</x:v>
      </x:c>
      <x:c r="K808" s="19" t="str">
        <x:v>Exp_2/EXP029/results/seed304444453_Fixed_rank_10.json</x:v>
      </x:c>
    </x:row>
    <x:row r="809" ht="15" hidden="0" customHeight="1">
      <x:c r="A809" s="3" t="str">
        <x:v>EXP029</x:v>
      </x:c>
      <x:c r="B809" s="3" t="str">
        <x:v>Exp. 2</x:v>
      </x:c>
      <x:c r="C809" s="18" t="n">
        <x:v>304444453</x:v>
      </x:c>
      <x:c r="D809" s="3" t="str">
        <x:v>Fixed rank 25</x:v>
      </x:c>
      <x:c r="E809" s="18" t="n">
        <x:v>200</x:v>
      </x:c>
      <x:c r="F809" s="21" t="n">
        <x:v>58.76192322264744</x:v>
      </x:c>
      <x:c r="G809" s="21" t="n">
        <x:f>F805</x:f>
        <x:v>58.76192322264744</x:v>
      </x:c>
      <x:c r="H809" s="21" t="n">
        <x:f>F811</x:f>
        <x:v>58.76192322264744</x:v>
      </x:c>
      <x:c r="I809" s="27" t="n">
        <x:f>IF(AND(ISNUMBER(G809),ISNUMBER(H809),H809&gt;0),G809/H809-1,"")</x:f>
        <x:v>0</x:v>
      </x:c>
      <x:c r="J809" s="27" t="n">
        <x:f>IF(AND(ISNUMBER(G809),F809&gt;0),G809/F809-1,"")</x:f>
        <x:v>0</x:v>
      </x:c>
      <x:c r="K809" s="19" t="str">
        <x:v>Exp_2/EXP029/results/seed304444453_Fixed_rank_25.json</x:v>
      </x:c>
    </x:row>
    <x:row r="810" ht="15" hidden="0" customHeight="1">
      <x:c r="A810" s="3" t="str">
        <x:v>EXP029</x:v>
      </x:c>
      <x:c r="B810" s="3" t="str">
        <x:v>Exp. 2</x:v>
      </x:c>
      <x:c r="C810" s="18" t="n">
        <x:v>304444453</x:v>
      </x:c>
      <x:c r="D810" s="3" t="str">
        <x:v>Relative cutoff 1e-6</x:v>
      </x:c>
      <x:c r="E810" s="18" t="n">
        <x:v>200</x:v>
      </x:c>
      <x:c r="F810" s="21" t="n">
        <x:v>58.76192322264744</x:v>
      </x:c>
      <x:c r="G810" s="21" t="n">
        <x:f>F805</x:f>
        <x:v>58.76192322264744</x:v>
      </x:c>
      <x:c r="H810" s="21" t="n">
        <x:f>F811</x:f>
        <x:v>58.76192322264744</x:v>
      </x:c>
      <x:c r="I810" s="27" t="n">
        <x:f>IF(AND(ISNUMBER(G810),ISNUMBER(H810),H810&gt;0),G810/H810-1,"")</x:f>
        <x:v>0</x:v>
      </x:c>
      <x:c r="J810" s="27" t="n">
        <x:f>IF(AND(ISNUMBER(G810),F810&gt;0),G810/F810-1,"")</x:f>
        <x:v>0</x:v>
      </x:c>
      <x:c r="K810" s="19" t="str">
        <x:v>Exp_2/EXP029/results/seed304444453_Relative_cutoff_1e-6.json</x:v>
      </x:c>
    </x:row>
    <x:row r="811" ht="15" hidden="0" customHeight="1">
      <x:c r="A811" s="3" t="str">
        <x:v>EXP029</x:v>
      </x:c>
      <x:c r="B811" s="3" t="str">
        <x:v>Exp. 2</x:v>
      </x:c>
      <x:c r="C811" s="18" t="n">
        <x:v>304444453</x:v>
      </x:c>
      <x:c r="D811" s="3" t="str">
        <x:v>Full</x:v>
      </x:c>
      <x:c r="E811" s="18" t="n">
        <x:v>200</x:v>
      </x:c>
      <x:c r="F811" s="21" t="n">
        <x:v>58.76192322264744</x:v>
      </x:c>
      <x:c r="G811" s="21" t="n">
        <x:f>F805</x:f>
        <x:v>58.76192322264744</x:v>
      </x:c>
      <x:c r="H811" s="21" t="n">
        <x:f>F811</x:f>
        <x:v>58.76192322264744</x:v>
      </x:c>
      <x:c r="I811" s="27" t="n">
        <x:f>IF(AND(ISNUMBER(G811),ISNUMBER(H811),H811&gt;0),G811/H811-1,"")</x:f>
        <x:v>0</x:v>
      </x:c>
      <x:c r="J811" s="27" t="n">
        <x:f>IF(AND(ISNUMBER(G811),F811&gt;0),G811/F811-1,"")</x:f>
        <x:v>0</x:v>
      </x:c>
      <x:c r="K811" s="19" t="str">
        <x:v>Exp_2/EXP029/results/seed304444453_Full.json</x:v>
      </x:c>
    </x:row>
    <x:row r="812" ht="15" hidden="0" customHeight="1">
      <x:c r="A812" s="3" t="str">
        <x:v>EXP029</x:v>
      </x:c>
      <x:c r="B812" s="3" t="str">
        <x:v>Exp. 2</x:v>
      </x:c>
      <x:c r="C812" s="18" t="n">
        <x:v>304444453</x:v>
      </x:c>
      <x:c r="D812" s="3" t="str">
        <x:v>GP-UCB (weighted sum)</x:v>
      </x:c>
      <x:c r="E812" s="18" t="n">
        <x:v>200</x:v>
      </x:c>
      <x:c r="F812" s="21" t="n">
        <x:v>91.56772524579577</x:v>
      </x:c>
      <x:c r="G812" s="21" t="n">
        <x:f>F805</x:f>
        <x:v>58.76192322264744</x:v>
      </x:c>
      <x:c r="H812" s="21" t="n">
        <x:f>F811</x:f>
        <x:v>58.76192322264744</x:v>
      </x:c>
      <x:c r="I812" s="27" t="n">
        <x:f>IF(AND(ISNUMBER(G812),ISNUMBER(H812),H812&gt;0),G812/H812-1,"")</x:f>
        <x:v>0</x:v>
      </x:c>
      <x:c r="J812" s="27" t="n">
        <x:f>IF(AND(ISNUMBER(G812),F812&gt;0),G812/F812-1,"")</x:f>
        <x:v>-0.3582681772981422</x:v>
      </x:c>
      <x:c r="K812" s="19" t="str">
        <x:v>Exp_2/EXP029/results/seed304444453_GP-UCB_weighted_sum.json</x:v>
      </x:c>
    </x:row>
    <x:row r="813" ht="15" hidden="0" customHeight="1">
      <x:c r="A813" s="3" t="str">
        <x:v>EXP029</x:v>
      </x:c>
      <x:c r="B813" s="3" t="str">
        <x:v>Exp. 2</x:v>
      </x:c>
      <x:c r="C813" s="18" t="n">
        <x:v>304444453</x:v>
      </x:c>
      <x:c r="D813" s="3" t="str">
        <x:v>GP-UCB (product)</x:v>
      </x:c>
      <x:c r="E813" s="18" t="n">
        <x:v>200</x:v>
      </x:c>
      <x:c r="F813" s="21" t="n">
        <x:v>81.67697826131224</x:v>
      </x:c>
      <x:c r="G813" s="21" t="n">
        <x:f>F805</x:f>
        <x:v>58.76192322264744</x:v>
      </x:c>
      <x:c r="H813" s="21" t="n">
        <x:f>F811</x:f>
        <x:v>58.76192322264744</x:v>
      </x:c>
      <x:c r="I813" s="27" t="n">
        <x:f>IF(AND(ISNUMBER(G813),ISNUMBER(H813),H813&gt;0),G813/H813-1,"")</x:f>
        <x:v>0</x:v>
      </x:c>
      <x:c r="J813" s="27" t="n">
        <x:f>IF(AND(ISNUMBER(G813),F813&gt;0),G813/F813-1,"")</x:f>
        <x:v>-0.2805570862985627</x:v>
      </x:c>
      <x:c r="K813" s="19" t="str">
        <x:v>Exp_2/EXP029/results/seed304444453_GP-UCB_product.json</x:v>
      </x:c>
    </x:row>
    <x:row r="814" ht="15" hidden="0" customHeight="1">
      <x:c r="A814" s="3" t="str">
        <x:v>EXP029</x:v>
      </x:c>
      <x:c r="B814" s="3" t="str">
        <x:v>Exp. 2</x:v>
      </x:c>
      <x:c r="C814" s="18" t="n">
        <x:v>304444453</x:v>
      </x:c>
      <x:c r="D814" s="3" t="str">
        <x:v>NeuralUCB</x:v>
      </x:c>
      <x:c r="E814" s="18" t="n">
        <x:v>200</x:v>
      </x:c>
      <x:c r="F814" s="21" t="n">
        <x:v>107.49941152743635</x:v>
      </x:c>
      <x:c r="G814" s="21" t="n">
        <x:f>F805</x:f>
        <x:v>58.76192322264744</x:v>
      </x:c>
      <x:c r="H814" s="21" t="n">
        <x:f>F811</x:f>
        <x:v>58.76192322264744</x:v>
      </x:c>
      <x:c r="I814" s="27" t="n">
        <x:f>IF(AND(ISNUMBER(G814),ISNUMBER(H814),H814&gt;0),G814/H814-1,"")</x:f>
        <x:v>0</x:v>
      </x:c>
      <x:c r="J814" s="27" t="n">
        <x:f>IF(AND(ISNUMBER(G814),F814&gt;0),G814/F814-1,"")</x:f>
        <x:v>-0.45337446607649545</x:v>
      </x:c>
      <x:c r="K814" s="19" t="str">
        <x:v>Exp_2/EXP029/results/seed304444453_NeuralUCB.json</x:v>
      </x:c>
    </x:row>
    <x:row r="815" ht="15" hidden="0" customHeight="1">
      <x:c r="A815" s="3" t="str">
        <x:v>EXP029</x:v>
      </x:c>
      <x:c r="B815" s="3" t="str">
        <x:v>Exp. 2</x:v>
      </x:c>
      <x:c r="C815" s="18" t="n">
        <x:v>304444453</x:v>
      </x:c>
      <x:c r="D815" s="3" t="str">
        <x:v>NN-UCB</x:v>
      </x:c>
      <x:c r="E815" s="18" t="n">
        <x:v>200</x:v>
      </x:c>
      <x:c r="F815" s="21" t="n">
        <x:v>107.78458381106365</x:v>
      </x:c>
      <x:c r="G815" s="21" t="n">
        <x:f>F805</x:f>
        <x:v>58.76192322264744</x:v>
      </x:c>
      <x:c r="H815" s="21" t="n">
        <x:f>F811</x:f>
        <x:v>58.76192322264744</x:v>
      </x:c>
      <x:c r="I815" s="27" t="n">
        <x:f>IF(AND(ISNUMBER(G815),ISNUMBER(H815),H815&gt;0),G815/H815-1,"")</x:f>
        <x:v>0</x:v>
      </x:c>
      <x:c r="J815" s="27" t="n">
        <x:f>IF(AND(ISNUMBER(G815),F815&gt;0),G815/F815-1,"")</x:f>
        <x:v>-0.4548207067751765</x:v>
      </x:c>
      <x:c r="K815" s="19" t="str">
        <x:v>Exp_2/EXP029/results/seed304444453_NN-UCB.json</x:v>
      </x:c>
    </x:row>
    <x:row r="816" ht="15" hidden="0" customHeight="1">
      <x:c r="A816" s="3" t="str">
        <x:v>EXP029</x:v>
      </x:c>
      <x:c r="B816" s="3" t="str">
        <x:v>Exp. 2</x:v>
      </x:c>
      <x:c r="C816" s="18" t="n">
        <x:v>304444453</x:v>
      </x:c>
      <x:c r="D816" s="3" t="str">
        <x:v>Relative cutoff 1e-2</x:v>
      </x:c>
      <x:c r="E816" s="18" t="n">
        <x:v>200</x:v>
      </x:c>
      <x:c r="F816" s="21" t="n">
        <x:v>55.69941513643394</x:v>
      </x:c>
      <x:c r="G816" s="21" t="n">
        <x:f>F805</x:f>
        <x:v>58.76192322264744</x:v>
      </x:c>
      <x:c r="H816" s="21" t="n">
        <x:f>F811</x:f>
        <x:v>58.76192322264744</x:v>
      </x:c>
      <x:c r="I816" s="27" t="n">
        <x:f>IF(AND(ISNUMBER(G816),ISNUMBER(H816),H816&gt;0),G816/H816-1,"")</x:f>
        <x:v>0</x:v>
      </x:c>
      <x:c r="J816" s="27" t="n">
        <x:f>IF(AND(ISNUMBER(G816),F816&gt;0),G816/F816-1,"")</x:f>
        <x:v>0.05498276918549294</x:v>
      </x:c>
      <x:c r="K816" s="19" t="str">
        <x:v>Exp_2/EXP029/results/seed304444453_Relative_cutoff_1e-2.json</x:v>
      </x:c>
    </x:row>
    <x:row r="817" ht="15" hidden="0" customHeight="1">
      <x:c r="A817" s="3" t="str">
        <x:v>EXP029</x:v>
      </x:c>
      <x:c r="B817" s="3" t="str">
        <x:v>Exp. 2</x:v>
      </x:c>
      <x:c r="C817" s="18" t="n">
        <x:v>304444453</x:v>
      </x:c>
      <x:c r="D817" s="3" t="str">
        <x:v>Relative cutoff 1e-4</x:v>
      </x:c>
      <x:c r="E817" s="18" t="n">
        <x:v>200</x:v>
      </x:c>
      <x:c r="F817" s="21" t="n">
        <x:v>58.82150579382002</x:v>
      </x:c>
      <x:c r="G817" s="21" t="n">
        <x:f>F805</x:f>
        <x:v>58.76192322264744</x:v>
      </x:c>
      <x:c r="H817" s="21" t="n">
        <x:f>F811</x:f>
        <x:v>58.76192322264744</x:v>
      </x:c>
      <x:c r="I817" s="27" t="n">
        <x:f>IF(AND(ISNUMBER(G817),ISNUMBER(H817),H817&gt;0),G817/H817-1,"")</x:f>
        <x:v>0</x:v>
      </x:c>
      <x:c r="J817" s="27" t="n">
        <x:f>IF(AND(ISNUMBER(G817),F817&gt;0),G817/F817-1,"")</x:f>
        <x:v>-0.001012938556544829</x:v>
      </x:c>
      <x:c r="K817" s="19" t="str">
        <x:v>Exp_2/EXP029/results/seed304444453_Relative_cutoff_1e-4.json</x:v>
      </x:c>
    </x:row>
    <x:row r="818" ht="15" hidden="0" customHeight="1">
      <x:c r="A818" s="3" t="str">
        <x:v>EXP029</x:v>
      </x:c>
      <x:c r="B818" s="3" t="str">
        <x:v>Exp. 2</x:v>
      </x:c>
      <x:c r="C818" s="18" t="n">
        <x:v>560889375</x:v>
      </x:c>
      <x:c r="D818" s="3" t="str">
        <x:v>BBP</x:v>
      </x:c>
      <x:c r="E818" s="18" t="n">
        <x:v>200</x:v>
      </x:c>
      <x:c r="F818" s="21" t="n">
        <x:v>62.30985796910537</x:v>
      </x:c>
      <x:c r="G818" s="21" t="n">
        <x:f>F818</x:f>
        <x:v>62.30985796910537</x:v>
      </x:c>
      <x:c r="H818" s="21" t="n">
        <x:f>F824</x:f>
        <x:v>62.30985796910537</x:v>
      </x:c>
      <x:c r="I818" s="27" t="n">
        <x:f>IF(AND(ISNUMBER(G818),ISNUMBER(H818),H818&gt;0),G818/H818-1,"")</x:f>
        <x:v>0</x:v>
      </x:c>
      <x:c r="J818" s="27" t="n">
        <x:f>IF(AND(ISNUMBER(G818),F818&gt;0),G818/F818-1,"")</x:f>
        <x:v>0</x:v>
      </x:c>
      <x:c r="K818" s="19" t="str">
        <x:v>Exp_2/EXP029/results/seed560889375_BBP.json</x:v>
      </x:c>
    </x:row>
    <x:row r="819" ht="15" hidden="0" customHeight="1">
      <x:c r="A819" s="3" t="str">
        <x:v>EXP029</x:v>
      </x:c>
      <x:c r="B819" s="3" t="str">
        <x:v>Exp. 2</x:v>
      </x:c>
      <x:c r="C819" s="18" t="n">
        <x:v>560889375</x:v>
      </x:c>
      <x:c r="D819" s="3" t="str">
        <x:v>Relative cutoff 1e-5</x:v>
      </x:c>
      <x:c r="E819" s="18" t="n">
        <x:v>200</x:v>
      </x:c>
      <x:c r="F819" s="21" t="n">
        <x:v>63.6860051155468</x:v>
      </x:c>
      <x:c r="G819" s="21" t="n">
        <x:f>F818</x:f>
        <x:v>62.30985796910537</x:v>
      </x:c>
      <x:c r="H819" s="21" t="n">
        <x:f>F824</x:f>
        <x:v>62.30985796910537</x:v>
      </x:c>
      <x:c r="I819" s="27" t="n">
        <x:f>IF(AND(ISNUMBER(G819),ISNUMBER(H819),H819&gt;0),G819/H819-1,"")</x:f>
        <x:v>0</x:v>
      </x:c>
      <x:c r="J819" s="27" t="n">
        <x:f>IF(AND(ISNUMBER(G819),F819&gt;0),G819/F819-1,"")</x:f>
        <x:v>-0.02160831322273482</x:v>
      </x:c>
      <x:c r="K819" s="19" t="str">
        <x:v>Exp_2/EXP029/results/seed560889375_Relative_cutoff_1e-5.json</x:v>
      </x:c>
    </x:row>
    <x:row r="820" ht="15" hidden="0" customHeight="1">
      <x:c r="A820" s="3" t="str">
        <x:v>EXP029</x:v>
      </x:c>
      <x:c r="B820" s="3" t="str">
        <x:v>Exp. 2</x:v>
      </x:c>
      <x:c r="C820" s="18" t="n">
        <x:v>560889375</x:v>
      </x:c>
      <x:c r="D820" s="3" t="str">
        <x:v>NN-AGP (m=7)</x:v>
      </x:c>
      <x:c r="E820" s="18" t="n">
        <x:v>200</x:v>
      </x:c>
      <x:c r="F820" s="21" t="n">
        <x:v>104.18915096828682</x:v>
      </x:c>
      <x:c r="G820" s="21" t="n">
        <x:f>F818</x:f>
        <x:v>62.30985796910537</x:v>
      </x:c>
      <x:c r="H820" s="21" t="n">
        <x:f>F824</x:f>
        <x:v>62.30985796910537</x:v>
      </x:c>
      <x:c r="I820" s="27" t="n">
        <x:f>IF(AND(ISNUMBER(G820),ISNUMBER(H820),H820&gt;0),G820/H820-1,"")</x:f>
        <x:v>0</x:v>
      </x:c>
      <x:c r="J820" s="27" t="n">
        <x:f>IF(AND(ISNUMBER(G820),F820&gt;0),G820/F820-1,"")</x:f>
        <x:v>-0.40195445120700435</x:v>
      </x:c>
      <x:c r="K820" s="19" t="str">
        <x:v>Exp_2/EXP029/results/seed560889375_NN-AGP_m_7.json</x:v>
      </x:c>
    </x:row>
    <x:row r="821" ht="15" hidden="0" customHeight="1">
      <x:c r="A821" s="3" t="str">
        <x:v>EXP029</x:v>
      </x:c>
      <x:c r="B821" s="3" t="str">
        <x:v>Exp. 2</x:v>
      </x:c>
      <x:c r="C821" s="18" t="n">
        <x:v>560889375</x:v>
      </x:c>
      <x:c r="D821" s="3" t="str">
        <x:v>Fixed rank 10</x:v>
      </x:c>
      <x:c r="E821" s="18" t="n">
        <x:v>200</x:v>
      </x:c>
      <x:c r="F821" s="21" t="n">
        <x:v>62.5922022829078</x:v>
      </x:c>
      <x:c r="G821" s="21" t="n">
        <x:f>F818</x:f>
        <x:v>62.30985796910537</x:v>
      </x:c>
      <x:c r="H821" s="21" t="n">
        <x:f>F824</x:f>
        <x:v>62.30985796910537</x:v>
      </x:c>
      <x:c r="I821" s="27" t="n">
        <x:f>IF(AND(ISNUMBER(G821),ISNUMBER(H821),H821&gt;0),G821/H821-1,"")</x:f>
        <x:v>0</x:v>
      </x:c>
      <x:c r="J821" s="27" t="n">
        <x:f>IF(AND(ISNUMBER(G821),F821&gt;0),G821/F821-1,"")</x:f>
        <x:v>-0.004510854443597778</x:v>
      </x:c>
      <x:c r="K821" s="19" t="str">
        <x:v>Exp_2/EXP029/results/seed560889375_Fixed_rank_10.json</x:v>
      </x:c>
    </x:row>
    <x:row r="822" ht="15" hidden="0" customHeight="1">
      <x:c r="A822" s="3" t="str">
        <x:v>EXP029</x:v>
      </x:c>
      <x:c r="B822" s="3" t="str">
        <x:v>Exp. 2</x:v>
      </x:c>
      <x:c r="C822" s="18" t="n">
        <x:v>560889375</x:v>
      </x:c>
      <x:c r="D822" s="3" t="str">
        <x:v>Fixed rank 25</x:v>
      </x:c>
      <x:c r="E822" s="18" t="n">
        <x:v>200</x:v>
      </x:c>
      <x:c r="F822" s="21" t="n">
        <x:v>63.6860051155468</x:v>
      </x:c>
      <x:c r="G822" s="21" t="n">
        <x:f>F818</x:f>
        <x:v>62.30985796910537</x:v>
      </x:c>
      <x:c r="H822" s="21" t="n">
        <x:f>F824</x:f>
        <x:v>62.30985796910537</x:v>
      </x:c>
      <x:c r="I822" s="27" t="n">
        <x:f>IF(AND(ISNUMBER(G822),ISNUMBER(H822),H822&gt;0),G822/H822-1,"")</x:f>
        <x:v>0</x:v>
      </x:c>
      <x:c r="J822" s="27" t="n">
        <x:f>IF(AND(ISNUMBER(G822),F822&gt;0),G822/F822-1,"")</x:f>
        <x:v>-0.02160831322273482</x:v>
      </x:c>
      <x:c r="K822" s="19" t="str">
        <x:v>Exp_2/EXP029/results/seed560889375_Fixed_rank_25.json</x:v>
      </x:c>
    </x:row>
    <x:row r="823" ht="15" hidden="0" customHeight="1">
      <x:c r="A823" s="3" t="str">
        <x:v>EXP029</x:v>
      </x:c>
      <x:c r="B823" s="3" t="str">
        <x:v>Exp. 2</x:v>
      </x:c>
      <x:c r="C823" s="18" t="n">
        <x:v>560889375</x:v>
      </x:c>
      <x:c r="D823" s="3" t="str">
        <x:v>Relative cutoff 1e-6</x:v>
      </x:c>
      <x:c r="E823" s="18" t="n">
        <x:v>200</x:v>
      </x:c>
      <x:c r="F823" s="21" t="n">
        <x:v>62.30985796910537</x:v>
      </x:c>
      <x:c r="G823" s="21" t="n">
        <x:f>F818</x:f>
        <x:v>62.30985796910537</x:v>
      </x:c>
      <x:c r="H823" s="21" t="n">
        <x:f>F824</x:f>
        <x:v>62.30985796910537</x:v>
      </x:c>
      <x:c r="I823" s="27" t="n">
        <x:f>IF(AND(ISNUMBER(G823),ISNUMBER(H823),H823&gt;0),G823/H823-1,"")</x:f>
        <x:v>0</x:v>
      </x:c>
      <x:c r="J823" s="27" t="n">
        <x:f>IF(AND(ISNUMBER(G823),F823&gt;0),G823/F823-1,"")</x:f>
        <x:v>0</x:v>
      </x:c>
      <x:c r="K823" s="19" t="str">
        <x:v>Exp_2/EXP029/results/seed560889375_Relative_cutoff_1e-6.json</x:v>
      </x:c>
    </x:row>
    <x:row r="824" ht="15" hidden="0" customHeight="1">
      <x:c r="A824" s="3" t="str">
        <x:v>EXP029</x:v>
      </x:c>
      <x:c r="B824" s="3" t="str">
        <x:v>Exp. 2</x:v>
      </x:c>
      <x:c r="C824" s="18" t="n">
        <x:v>560889375</x:v>
      </x:c>
      <x:c r="D824" s="3" t="str">
        <x:v>Full</x:v>
      </x:c>
      <x:c r="E824" s="18" t="n">
        <x:v>200</x:v>
      </x:c>
      <x:c r="F824" s="21" t="n">
        <x:v>62.30985796910537</x:v>
      </x:c>
      <x:c r="G824" s="21" t="n">
        <x:f>F818</x:f>
        <x:v>62.30985796910537</x:v>
      </x:c>
      <x:c r="H824" s="21" t="n">
        <x:f>F824</x:f>
        <x:v>62.30985796910537</x:v>
      </x:c>
      <x:c r="I824" s="27" t="n">
        <x:f>IF(AND(ISNUMBER(G824),ISNUMBER(H824),H824&gt;0),G824/H824-1,"")</x:f>
        <x:v>0</x:v>
      </x:c>
      <x:c r="J824" s="27" t="n">
        <x:f>IF(AND(ISNUMBER(G824),F824&gt;0),G824/F824-1,"")</x:f>
        <x:v>0</x:v>
      </x:c>
      <x:c r="K824" s="19" t="str">
        <x:v>Exp_2/EXP029/results/seed560889375_Full.json</x:v>
      </x:c>
    </x:row>
    <x:row r="825" ht="15" hidden="0" customHeight="1">
      <x:c r="A825" s="3" t="str">
        <x:v>EXP029</x:v>
      </x:c>
      <x:c r="B825" s="3" t="str">
        <x:v>Exp. 2</x:v>
      </x:c>
      <x:c r="C825" s="18" t="n">
        <x:v>560889375</x:v>
      </x:c>
      <x:c r="D825" s="3" t="str">
        <x:v>GP-UCB (weighted sum)</x:v>
      </x:c>
      <x:c r="E825" s="18" t="n">
        <x:v>200</x:v>
      </x:c>
      <x:c r="F825" s="21" t="n">
        <x:v>96.12949166558279</x:v>
      </x:c>
      <x:c r="G825" s="21" t="n">
        <x:f>F818</x:f>
        <x:v>62.30985796910537</x:v>
      </x:c>
      <x:c r="H825" s="21" t="n">
        <x:f>F824</x:f>
        <x:v>62.30985796910537</x:v>
      </x:c>
      <x:c r="I825" s="27" t="n">
        <x:f>IF(AND(ISNUMBER(G825),ISNUMBER(H825),H825&gt;0),G825/H825-1,"")</x:f>
        <x:v>0</x:v>
      </x:c>
      <x:c r="J825" s="27" t="n">
        <x:f>IF(AND(ISNUMBER(G825),F825&gt;0),G825/F825-1,"")</x:f>
        <x:v>-0.35181330006539346</x:v>
      </x:c>
      <x:c r="K825" s="19" t="str">
        <x:v>Exp_2/EXP029/results/seed560889375_GP-UCB_weighted_sum.json</x:v>
      </x:c>
    </x:row>
    <x:row r="826" ht="15" hidden="0" customHeight="1">
      <x:c r="A826" s="3" t="str">
        <x:v>EXP029</x:v>
      </x:c>
      <x:c r="B826" s="3" t="str">
        <x:v>Exp. 2</x:v>
      </x:c>
      <x:c r="C826" s="18" t="n">
        <x:v>560889375</x:v>
      </x:c>
      <x:c r="D826" s="3" t="str">
        <x:v>GP-UCB (product)</x:v>
      </x:c>
      <x:c r="E826" s="18" t="n">
        <x:v>200</x:v>
      </x:c>
      <x:c r="F826" s="21" t="n">
        <x:v>76.57931326693348</x:v>
      </x:c>
      <x:c r="G826" s="21" t="n">
        <x:f>F818</x:f>
        <x:v>62.30985796910537</x:v>
      </x:c>
      <x:c r="H826" s="21" t="n">
        <x:f>F824</x:f>
        <x:v>62.30985796910537</x:v>
      </x:c>
      <x:c r="I826" s="27" t="n">
        <x:f>IF(AND(ISNUMBER(G826),ISNUMBER(H826),H826&gt;0),G826/H826-1,"")</x:f>
        <x:v>0</x:v>
      </x:c>
      <x:c r="J826" s="27" t="n">
        <x:f>IF(AND(ISNUMBER(G826),F826&gt;0),G826/F826-1,"")</x:f>
        <x:v>-0.1863356393402078</x:v>
      </x:c>
      <x:c r="K826" s="19" t="str">
        <x:v>Exp_2/EXP029/results/seed560889375_GP-UCB_product.json</x:v>
      </x:c>
    </x:row>
    <x:row r="827" ht="15" hidden="0" customHeight="1">
      <x:c r="A827" s="3" t="str">
        <x:v>EXP029</x:v>
      </x:c>
      <x:c r="B827" s="3" t="str">
        <x:v>Exp. 2</x:v>
      </x:c>
      <x:c r="C827" s="18" t="n">
        <x:v>560889375</x:v>
      </x:c>
      <x:c r="D827" s="3" t="str">
        <x:v>NeuralUCB</x:v>
      </x:c>
      <x:c r="E827" s="18" t="n">
        <x:v>200</x:v>
      </x:c>
      <x:c r="F827" s="21" t="n">
        <x:v>95.92642530217164</x:v>
      </x:c>
      <x:c r="G827" s="21" t="n">
        <x:f>F818</x:f>
        <x:v>62.30985796910537</x:v>
      </x:c>
      <x:c r="H827" s="21" t="n">
        <x:f>F824</x:f>
        <x:v>62.30985796910537</x:v>
      </x:c>
      <x:c r="I827" s="27" t="n">
        <x:f>IF(AND(ISNUMBER(G827),ISNUMBER(H827),H827&gt;0),G827/H827-1,"")</x:f>
        <x:v>0</x:v>
      </x:c>
      <x:c r="J827" s="27" t="n">
        <x:f>IF(AND(ISNUMBER(G827),F827&gt;0),G827/F827-1,"")</x:f>
        <x:v>-0.3504411555749407</x:v>
      </x:c>
      <x:c r="K827" s="19" t="str">
        <x:v>Exp_2/EXP029/results/seed560889375_NeuralUCB.json</x:v>
      </x:c>
    </x:row>
    <x:row r="828" ht="15" hidden="0" customHeight="1">
      <x:c r="A828" s="3" t="str">
        <x:v>EXP029</x:v>
      </x:c>
      <x:c r="B828" s="3" t="str">
        <x:v>Exp. 2</x:v>
      </x:c>
      <x:c r="C828" s="18" t="n">
        <x:v>560889375</x:v>
      </x:c>
      <x:c r="D828" s="3" t="str">
        <x:v>NN-UCB</x:v>
      </x:c>
      <x:c r="E828" s="18" t="n">
        <x:v>200</x:v>
      </x:c>
      <x:c r="F828" s="21" t="n">
        <x:v>90.85856142024225</x:v>
      </x:c>
      <x:c r="G828" s="21" t="n">
        <x:f>F818</x:f>
        <x:v>62.30985796910537</x:v>
      </x:c>
      <x:c r="H828" s="21" t="n">
        <x:f>F824</x:f>
        <x:v>62.30985796910537</x:v>
      </x:c>
      <x:c r="I828" s="27" t="n">
        <x:f>IF(AND(ISNUMBER(G828),ISNUMBER(H828),H828&gt;0),G828/H828-1,"")</x:f>
        <x:v>0</x:v>
      </x:c>
      <x:c r="J828" s="27" t="n">
        <x:f>IF(AND(ISNUMBER(G828),F828&gt;0),G828/F828-1,"")</x:f>
        <x:v>-0.3142103837534077</x:v>
      </x:c>
      <x:c r="K828" s="19" t="str">
        <x:v>Exp_2/EXP029/results/seed560889375_NN-UCB.json</x:v>
      </x:c>
    </x:row>
    <x:row r="829" ht="15" hidden="0" customHeight="1">
      <x:c r="A829" s="3" t="str">
        <x:v>EXP029</x:v>
      </x:c>
      <x:c r="B829" s="3" t="str">
        <x:v>Exp. 2</x:v>
      </x:c>
      <x:c r="C829" s="18" t="n">
        <x:v>560889375</x:v>
      </x:c>
      <x:c r="D829" s="3" t="str">
        <x:v>Relative cutoff 1e-2</x:v>
      </x:c>
      <x:c r="E829" s="18" t="n">
        <x:v>200</x:v>
      </x:c>
      <x:c r="F829" s="21" t="n">
        <x:v>61.823166361795295</x:v>
      </x:c>
      <x:c r="G829" s="21" t="n">
        <x:f>F818</x:f>
        <x:v>62.30985796910537</x:v>
      </x:c>
      <x:c r="H829" s="21" t="n">
        <x:f>F824</x:f>
        <x:v>62.30985796910537</x:v>
      </x:c>
      <x:c r="I829" s="27" t="n">
        <x:f>IF(AND(ISNUMBER(G829),ISNUMBER(H829),H829&gt;0),G829/H829-1,"")</x:f>
        <x:v>0</x:v>
      </x:c>
      <x:c r="J829" s="27" t="n">
        <x:f>IF(AND(ISNUMBER(G829),F829&gt;0),G829/F829-1,"")</x:f>
        <x:v>0.007872317707926957</x:v>
      </x:c>
      <x:c r="K829" s="19" t="str">
        <x:v>Exp_2/EXP029/results/seed560889375_Relative_cutoff_1e-2.json</x:v>
      </x:c>
    </x:row>
    <x:row r="830" ht="15" hidden="0" customHeight="1">
      <x:c r="A830" s="3" t="str">
        <x:v>EXP029</x:v>
      </x:c>
      <x:c r="B830" s="3" t="str">
        <x:v>Exp. 2</x:v>
      </x:c>
      <x:c r="C830" s="18" t="n">
        <x:v>560889375</x:v>
      </x:c>
      <x:c r="D830" s="3" t="str">
        <x:v>Relative cutoff 1e-4</x:v>
      </x:c>
      <x:c r="E830" s="18" t="n">
        <x:v>200</x:v>
      </x:c>
      <x:c r="F830" s="21" t="n">
        <x:v>63.95129280828106</x:v>
      </x:c>
      <x:c r="G830" s="21" t="n">
        <x:f>F818</x:f>
        <x:v>62.30985796910537</x:v>
      </x:c>
      <x:c r="H830" s="21" t="n">
        <x:f>F824</x:f>
        <x:v>62.30985796910537</x:v>
      </x:c>
      <x:c r="I830" s="27" t="n">
        <x:f>IF(AND(ISNUMBER(G830),ISNUMBER(H830),H830&gt;0),G830/H830-1,"")</x:f>
        <x:v>0</x:v>
      </x:c>
      <x:c r="J830" s="27" t="n">
        <x:f>IF(AND(ISNUMBER(G830),F830&gt;0),G830/F830-1,"")</x:f>
        <x:v>-0.025666953193526965</x:v>
      </x:c>
      <x:c r="K830" s="19" t="str">
        <x:v>Exp_2/EXP029/results/seed560889375_Relative_cutoff_1e-4.json</x:v>
      </x:c>
    </x:row>
    <x:row r="831" ht="15" hidden="0" customHeight="1">
      <x:c r="A831" s="3" t="str">
        <x:v>EXP029</x:v>
      </x:c>
      <x:c r="B831" s="3" t="str">
        <x:v>Exp. 2</x:v>
      </x:c>
      <x:c r="C831" s="18" t="n">
        <x:v>666829030</x:v>
      </x:c>
      <x:c r="D831" s="3" t="str">
        <x:v>BBP</x:v>
      </x:c>
      <x:c r="E831" s="18" t="n">
        <x:v>200</x:v>
      </x:c>
      <x:c r="F831" s="21" t="n">
        <x:v>62.25919292626016</x:v>
      </x:c>
      <x:c r="G831" s="21" t="n">
        <x:f>F831</x:f>
        <x:v>62.25919292626016</x:v>
      </x:c>
      <x:c r="H831" s="21" t="n">
        <x:f>F837</x:f>
        <x:v>62.25919292626016</x:v>
      </x:c>
      <x:c r="I831" s="27" t="n">
        <x:f>IF(AND(ISNUMBER(G831),ISNUMBER(H831),H831&gt;0),G831/H831-1,"")</x:f>
        <x:v>0</x:v>
      </x:c>
      <x:c r="J831" s="27" t="n">
        <x:f>IF(AND(ISNUMBER(G831),F831&gt;0),G831/F831-1,"")</x:f>
        <x:v>0</x:v>
      </x:c>
      <x:c r="K831" s="19" t="str">
        <x:v>Exp_2/EXP029/results/seed666829030_BBP.json</x:v>
      </x:c>
    </x:row>
    <x:row r="832" ht="15" hidden="0" customHeight="1">
      <x:c r="A832" s="3" t="str">
        <x:v>EXP029</x:v>
      </x:c>
      <x:c r="B832" s="3" t="str">
        <x:v>Exp. 2</x:v>
      </x:c>
      <x:c r="C832" s="18" t="n">
        <x:v>666829030</x:v>
      </x:c>
      <x:c r="D832" s="3" t="str">
        <x:v>Relative cutoff 1e-5</x:v>
      </x:c>
      <x:c r="E832" s="18" t="n">
        <x:v>200</x:v>
      </x:c>
      <x:c r="F832" s="21" t="n">
        <x:v>62.25919292626016</x:v>
      </x:c>
      <x:c r="G832" s="21" t="n">
        <x:f>F831</x:f>
        <x:v>62.25919292626016</x:v>
      </x:c>
      <x:c r="H832" s="21" t="n">
        <x:f>F837</x:f>
        <x:v>62.25919292626016</x:v>
      </x:c>
      <x:c r="I832" s="27" t="n">
        <x:f>IF(AND(ISNUMBER(G832),ISNUMBER(H832),H832&gt;0),G832/H832-1,"")</x:f>
        <x:v>0</x:v>
      </x:c>
      <x:c r="J832" s="27" t="n">
        <x:f>IF(AND(ISNUMBER(G832),F832&gt;0),G832/F832-1,"")</x:f>
        <x:v>0</x:v>
      </x:c>
      <x:c r="K832" s="19" t="str">
        <x:v>Exp_2/EXP029/results/seed666829030_Relative_cutoff_1e-5.json</x:v>
      </x:c>
    </x:row>
    <x:row r="833" ht="15" hidden="0" customHeight="1">
      <x:c r="A833" s="3" t="str">
        <x:v>EXP029</x:v>
      </x:c>
      <x:c r="B833" s="3" t="str">
        <x:v>Exp. 2</x:v>
      </x:c>
      <x:c r="C833" s="18" t="n">
        <x:v>666829030</x:v>
      </x:c>
      <x:c r="D833" s="3" t="str">
        <x:v>NN-AGP (m=7)</x:v>
      </x:c>
      <x:c r="E833" s="18" t="n">
        <x:v>200</x:v>
      </x:c>
      <x:c r="F833" s="21" t="n">
        <x:v>96.75974677235575</x:v>
      </x:c>
      <x:c r="G833" s="21" t="n">
        <x:f>F831</x:f>
        <x:v>62.25919292626016</x:v>
      </x:c>
      <x:c r="H833" s="21" t="n">
        <x:f>F837</x:f>
        <x:v>62.25919292626016</x:v>
      </x:c>
      <x:c r="I833" s="27" t="n">
        <x:f>IF(AND(ISNUMBER(G833),ISNUMBER(H833),H833&gt;0),G833/H833-1,"")</x:f>
        <x:v>0</x:v>
      </x:c>
      <x:c r="J833" s="27" t="n">
        <x:f>IF(AND(ISNUMBER(G833),F833&gt;0),G833/F833-1,"")</x:f>
        <x:v>-0.356558951391886</x:v>
      </x:c>
      <x:c r="K833" s="19" t="str">
        <x:v>Exp_2/EXP029/results/seed666829030_NN-AGP_m_7.json</x:v>
      </x:c>
    </x:row>
    <x:row r="834" ht="15" hidden="0" customHeight="1">
      <x:c r="A834" s="3" t="str">
        <x:v>EXP029</x:v>
      </x:c>
      <x:c r="B834" s="3" t="str">
        <x:v>Exp. 2</x:v>
      </x:c>
      <x:c r="C834" s="18" t="n">
        <x:v>666829030</x:v>
      </x:c>
      <x:c r="D834" s="3" t="str">
        <x:v>Fixed rank 10</x:v>
      </x:c>
      <x:c r="E834" s="18" t="n">
        <x:v>200</x:v>
      </x:c>
      <x:c r="F834" s="21" t="n">
        <x:v>62.25919292626016</x:v>
      </x:c>
      <x:c r="G834" s="21" t="n">
        <x:f>F831</x:f>
        <x:v>62.25919292626016</x:v>
      </x:c>
      <x:c r="H834" s="21" t="n">
        <x:f>F837</x:f>
        <x:v>62.25919292626016</x:v>
      </x:c>
      <x:c r="I834" s="27" t="n">
        <x:f>IF(AND(ISNUMBER(G834),ISNUMBER(H834),H834&gt;0),G834/H834-1,"")</x:f>
        <x:v>0</x:v>
      </x:c>
      <x:c r="J834" s="27" t="n">
        <x:f>IF(AND(ISNUMBER(G834),F834&gt;0),G834/F834-1,"")</x:f>
        <x:v>0</x:v>
      </x:c>
      <x:c r="K834" s="19" t="str">
        <x:v>Exp_2/EXP029/results/seed666829030_Fixed_rank_10.json</x:v>
      </x:c>
    </x:row>
    <x:row r="835" ht="15" hidden="0" customHeight="1">
      <x:c r="A835" s="3" t="str">
        <x:v>EXP029</x:v>
      </x:c>
      <x:c r="B835" s="3" t="str">
        <x:v>Exp. 2</x:v>
      </x:c>
      <x:c r="C835" s="18" t="n">
        <x:v>666829030</x:v>
      </x:c>
      <x:c r="D835" s="3" t="str">
        <x:v>Fixed rank 25</x:v>
      </x:c>
      <x:c r="E835" s="18" t="n">
        <x:v>200</x:v>
      </x:c>
      <x:c r="F835" s="21" t="n">
        <x:v>62.25919292626016</x:v>
      </x:c>
      <x:c r="G835" s="21" t="n">
        <x:f>F831</x:f>
        <x:v>62.25919292626016</x:v>
      </x:c>
      <x:c r="H835" s="21" t="n">
        <x:f>F837</x:f>
        <x:v>62.25919292626016</x:v>
      </x:c>
      <x:c r="I835" s="27" t="n">
        <x:f>IF(AND(ISNUMBER(G835),ISNUMBER(H835),H835&gt;0),G835/H835-1,"")</x:f>
        <x:v>0</x:v>
      </x:c>
      <x:c r="J835" s="27" t="n">
        <x:f>IF(AND(ISNUMBER(G835),F835&gt;0),G835/F835-1,"")</x:f>
        <x:v>0</x:v>
      </x:c>
      <x:c r="K835" s="19" t="str">
        <x:v>Exp_2/EXP029/results/seed666829030_Fixed_rank_25.json</x:v>
      </x:c>
    </x:row>
    <x:row r="836" ht="15" hidden="0" customHeight="1">
      <x:c r="A836" s="3" t="str">
        <x:v>EXP029</x:v>
      </x:c>
      <x:c r="B836" s="3" t="str">
        <x:v>Exp. 2</x:v>
      </x:c>
      <x:c r="C836" s="18" t="n">
        <x:v>666829030</x:v>
      </x:c>
      <x:c r="D836" s="3" t="str">
        <x:v>Relative cutoff 1e-6</x:v>
      </x:c>
      <x:c r="E836" s="18" t="n">
        <x:v>200</x:v>
      </x:c>
      <x:c r="F836" s="21" t="n">
        <x:v>62.25919292626016</x:v>
      </x:c>
      <x:c r="G836" s="21" t="n">
        <x:f>F831</x:f>
        <x:v>62.25919292626016</x:v>
      </x:c>
      <x:c r="H836" s="21" t="n">
        <x:f>F837</x:f>
        <x:v>62.25919292626016</x:v>
      </x:c>
      <x:c r="I836" s="27" t="n">
        <x:f>IF(AND(ISNUMBER(G836),ISNUMBER(H836),H836&gt;0),G836/H836-1,"")</x:f>
        <x:v>0</x:v>
      </x:c>
      <x:c r="J836" s="27" t="n">
        <x:f>IF(AND(ISNUMBER(G836),F836&gt;0),G836/F836-1,"")</x:f>
        <x:v>0</x:v>
      </x:c>
      <x:c r="K836" s="19" t="str">
        <x:v>Exp_2/EXP029/results/seed666829030_Relative_cutoff_1e-6.json</x:v>
      </x:c>
    </x:row>
    <x:row r="837" ht="15" hidden="0" customHeight="1">
      <x:c r="A837" s="3" t="str">
        <x:v>EXP029</x:v>
      </x:c>
      <x:c r="B837" s="3" t="str">
        <x:v>Exp. 2</x:v>
      </x:c>
      <x:c r="C837" s="18" t="n">
        <x:v>666829030</x:v>
      </x:c>
      <x:c r="D837" s="3" t="str">
        <x:v>Full</x:v>
      </x:c>
      <x:c r="E837" s="18" t="n">
        <x:v>200</x:v>
      </x:c>
      <x:c r="F837" s="21" t="n">
        <x:v>62.25919292626016</x:v>
      </x:c>
      <x:c r="G837" s="21" t="n">
        <x:f>F831</x:f>
        <x:v>62.25919292626016</x:v>
      </x:c>
      <x:c r="H837" s="21" t="n">
        <x:f>F837</x:f>
        <x:v>62.25919292626016</x:v>
      </x:c>
      <x:c r="I837" s="27" t="n">
        <x:f>IF(AND(ISNUMBER(G837),ISNUMBER(H837),H837&gt;0),G837/H837-1,"")</x:f>
        <x:v>0</x:v>
      </x:c>
      <x:c r="J837" s="27" t="n">
        <x:f>IF(AND(ISNUMBER(G837),F837&gt;0),G837/F837-1,"")</x:f>
        <x:v>0</x:v>
      </x:c>
      <x:c r="K837" s="19" t="str">
        <x:v>Exp_2/EXP029/results/seed666829030_Full.json</x:v>
      </x:c>
    </x:row>
    <x:row r="838" ht="15" hidden="0" customHeight="1">
      <x:c r="A838" s="3" t="str">
        <x:v>EXP029</x:v>
      </x:c>
      <x:c r="B838" s="3" t="str">
        <x:v>Exp. 2</x:v>
      </x:c>
      <x:c r="C838" s="18" t="n">
        <x:v>666829030</x:v>
      </x:c>
      <x:c r="D838" s="3" t="str">
        <x:v>GP-UCB (weighted sum)</x:v>
      </x:c>
      <x:c r="E838" s="18" t="n">
        <x:v>200</x:v>
      </x:c>
      <x:c r="F838" s="21" t="n">
        <x:v>96.80961699274624</x:v>
      </x:c>
      <x:c r="G838" s="21" t="n">
        <x:f>F831</x:f>
        <x:v>62.25919292626016</x:v>
      </x:c>
      <x:c r="H838" s="21" t="n">
        <x:f>F837</x:f>
        <x:v>62.25919292626016</x:v>
      </x:c>
      <x:c r="I838" s="27" t="n">
        <x:f>IF(AND(ISNUMBER(G838),ISNUMBER(H838),H838&gt;0),G838/H838-1,"")</x:f>
        <x:v>0</x:v>
      </x:c>
      <x:c r="J838" s="27" t="n">
        <x:f>IF(AND(ISNUMBER(G838),F838&gt;0),G838/F838-1,"")</x:f>
        <x:v>-0.35689041171472535</x:v>
      </x:c>
      <x:c r="K838" s="19" t="str">
        <x:v>Exp_2/EXP029/results/seed666829030_GP-UCB_weighted_sum.json</x:v>
      </x:c>
    </x:row>
    <x:row r="839" ht="15" hidden="0" customHeight="1">
      <x:c r="A839" s="3" t="str">
        <x:v>EXP029</x:v>
      </x:c>
      <x:c r="B839" s="3" t="str">
        <x:v>Exp. 2</x:v>
      </x:c>
      <x:c r="C839" s="18" t="n">
        <x:v>666829030</x:v>
      </x:c>
      <x:c r="D839" s="3" t="str">
        <x:v>GP-UCB (product)</x:v>
      </x:c>
      <x:c r="E839" s="18" t="n">
        <x:v>200</x:v>
      </x:c>
      <x:c r="F839" s="21" t="n">
        <x:v>73.21727321730722</x:v>
      </x:c>
      <x:c r="G839" s="21" t="n">
        <x:f>F831</x:f>
        <x:v>62.25919292626016</x:v>
      </x:c>
      <x:c r="H839" s="21" t="n">
        <x:f>F837</x:f>
        <x:v>62.25919292626016</x:v>
      </x:c>
      <x:c r="I839" s="27" t="n">
        <x:f>IF(AND(ISNUMBER(G839),ISNUMBER(H839),H839&gt;0),G839/H839-1,"")</x:f>
        <x:v>0</x:v>
      </x:c>
      <x:c r="J839" s="27" t="n">
        <x:f>IF(AND(ISNUMBER(G839),F839&gt;0),G839/F839-1,"")</x:f>
        <x:v>-0.14966523348286576</x:v>
      </x:c>
      <x:c r="K839" s="19" t="str">
        <x:v>Exp_2/EXP029/results/seed666829030_GP-UCB_product.json</x:v>
      </x:c>
    </x:row>
    <x:row r="840" ht="15" hidden="0" customHeight="1">
      <x:c r="A840" s="3" t="str">
        <x:v>EXP029</x:v>
      </x:c>
      <x:c r="B840" s="3" t="str">
        <x:v>Exp. 2</x:v>
      </x:c>
      <x:c r="C840" s="18" t="n">
        <x:v>666829030</x:v>
      </x:c>
      <x:c r="D840" s="3" t="str">
        <x:v>NeuralUCB</x:v>
      </x:c>
      <x:c r="E840" s="18" t="n">
        <x:v>200</x:v>
      </x:c>
      <x:c r="F840" s="21" t="n">
        <x:v>97.5108636939823</x:v>
      </x:c>
      <x:c r="G840" s="21" t="n">
        <x:f>F831</x:f>
        <x:v>62.25919292626016</x:v>
      </x:c>
      <x:c r="H840" s="21" t="n">
        <x:f>F837</x:f>
        <x:v>62.25919292626016</x:v>
      </x:c>
      <x:c r="I840" s="27" t="n">
        <x:f>IF(AND(ISNUMBER(G840),ISNUMBER(H840),H840&gt;0),G840/H840-1,"")</x:f>
        <x:v>0</x:v>
      </x:c>
      <x:c r="J840" s="27" t="n">
        <x:f>IF(AND(ISNUMBER(G840),F840&gt;0),G840/F840-1,"")</x:f>
        <x:v>-0.3615153166764292</x:v>
      </x:c>
      <x:c r="K840" s="19" t="str">
        <x:v>Exp_2/EXP029/results/seed666829030_NeuralUCB.json</x:v>
      </x:c>
    </x:row>
    <x:row r="841" ht="15" hidden="0" customHeight="1">
      <x:c r="A841" s="3" t="str">
        <x:v>EXP029</x:v>
      </x:c>
      <x:c r="B841" s="3" t="str">
        <x:v>Exp. 2</x:v>
      </x:c>
      <x:c r="C841" s="18" t="n">
        <x:v>666829030</x:v>
      </x:c>
      <x:c r="D841" s="3" t="str">
        <x:v>NN-UCB</x:v>
      </x:c>
      <x:c r="E841" s="18" t="n">
        <x:v>200</x:v>
      </x:c>
      <x:c r="F841" s="21" t="n">
        <x:v>90.74666422140065</x:v>
      </x:c>
      <x:c r="G841" s="21" t="n">
        <x:f>F831</x:f>
        <x:v>62.25919292626016</x:v>
      </x:c>
      <x:c r="H841" s="21" t="n">
        <x:f>F837</x:f>
        <x:v>62.25919292626016</x:v>
      </x:c>
      <x:c r="I841" s="27" t="n">
        <x:f>IF(AND(ISNUMBER(G841),ISNUMBER(H841),H841&gt;0),G841/H841-1,"")</x:f>
        <x:v>0</x:v>
      </x:c>
      <x:c r="J841" s="27" t="n">
        <x:f>IF(AND(ISNUMBER(G841),F841&gt;0),G841/F841-1,"")</x:f>
        <x:v>-0.31392306857294183</x:v>
      </x:c>
      <x:c r="K841" s="19" t="str">
        <x:v>Exp_2/EXP029/results/seed666829030_NN-UCB.json</x:v>
      </x:c>
    </x:row>
    <x:row r="842" ht="15" hidden="0" customHeight="1">
      <x:c r="A842" s="3" t="str">
        <x:v>EXP029</x:v>
      </x:c>
      <x:c r="B842" s="3" t="str">
        <x:v>Exp. 2</x:v>
      </x:c>
      <x:c r="C842" s="18" t="n">
        <x:v>666829030</x:v>
      </x:c>
      <x:c r="D842" s="3" t="str">
        <x:v>Relative cutoff 1e-2</x:v>
      </x:c>
      <x:c r="E842" s="18" t="n">
        <x:v>200</x:v>
      </x:c>
      <x:c r="F842" s="21" t="n">
        <x:v>55.76982033409399</x:v>
      </x:c>
      <x:c r="G842" s="21" t="n">
        <x:f>F831</x:f>
        <x:v>62.25919292626016</x:v>
      </x:c>
      <x:c r="H842" s="21" t="n">
        <x:f>F837</x:f>
        <x:v>62.25919292626016</x:v>
      </x:c>
      <x:c r="I842" s="27" t="n">
        <x:f>IF(AND(ISNUMBER(G842),ISNUMBER(H842),H842&gt;0),G842/H842-1,"")</x:f>
        <x:v>0</x:v>
      </x:c>
      <x:c r="J842" s="27" t="n">
        <x:f>IF(AND(ISNUMBER(G842),F842&gt;0),G842/F842-1,"")</x:f>
        <x:v>0.11635993362164365</x:v>
      </x:c>
      <x:c r="K842" s="19" t="str">
        <x:v>Exp_2/EXP029/results/seed666829030_Relative_cutoff_1e-2.json</x:v>
      </x:c>
    </x:row>
    <x:row r="843" ht="15" hidden="0" customHeight="1">
      <x:c r="A843" s="3" t="str">
        <x:v>EXP029</x:v>
      </x:c>
      <x:c r="B843" s="3" t="str">
        <x:v>Exp. 2</x:v>
      </x:c>
      <x:c r="C843" s="18" t="n">
        <x:v>666829030</x:v>
      </x:c>
      <x:c r="D843" s="3" t="str">
        <x:v>Relative cutoff 1e-4</x:v>
      </x:c>
      <x:c r="E843" s="18" t="n">
        <x:v>200</x:v>
      </x:c>
      <x:c r="F843" s="21" t="n">
        <x:v>62.25919292626016</x:v>
      </x:c>
      <x:c r="G843" s="21" t="n">
        <x:f>F831</x:f>
        <x:v>62.25919292626016</x:v>
      </x:c>
      <x:c r="H843" s="21" t="n">
        <x:f>F837</x:f>
        <x:v>62.25919292626016</x:v>
      </x:c>
      <x:c r="I843" s="27" t="n">
        <x:f>IF(AND(ISNUMBER(G843),ISNUMBER(H843),H843&gt;0),G843/H843-1,"")</x:f>
        <x:v>0</x:v>
      </x:c>
      <x:c r="J843" s="27" t="n">
        <x:f>IF(AND(ISNUMBER(G843),F843&gt;0),G843/F843-1,"")</x:f>
        <x:v>0</x:v>
      </x:c>
      <x:c r="K843" s="19" t="str">
        <x:v>Exp_2/EXP029/results/seed666829030_Relative_cutoff_1e-4.json</x:v>
      </x:c>
    </x:row>
    <x:row r="844" ht="15" hidden="0" customHeight="1">
      <x:c r="A844" s="3" t="str">
        <x:v>EXP029</x:v>
      </x:c>
      <x:c r="B844" s="3" t="str">
        <x:v>Exp. 2</x:v>
      </x:c>
      <x:c r="C844" s="18" t="n">
        <x:v>748076223</x:v>
      </x:c>
      <x:c r="D844" s="3" t="str">
        <x:v>BBP</x:v>
      </x:c>
      <x:c r="E844" s="18" t="n">
        <x:v>200</x:v>
      </x:c>
      <x:c r="F844" s="21" t="n">
        <x:v>75.08670064208204</x:v>
      </x:c>
      <x:c r="G844" s="21" t="n">
        <x:f>F844</x:f>
        <x:v>75.08670064208204</x:v>
      </x:c>
      <x:c r="H844" s="21" t="n">
        <x:f>F850</x:f>
        <x:v>73.72912289079915</x:v>
      </x:c>
      <x:c r="I844" s="27" t="n">
        <x:f>IF(AND(ISNUMBER(G844),ISNUMBER(H844),H844&gt;0),G844/H844-1,"")</x:f>
        <x:v>0.01841304627065221</x:v>
      </x:c>
      <x:c r="J844" s="27" t="n">
        <x:f>IF(AND(ISNUMBER(G844),F844&gt;0),G844/F844-1,"")</x:f>
        <x:v>0</x:v>
      </x:c>
      <x:c r="K844" s="19" t="str">
        <x:v>Exp_2/EXP029/results/seed748076223_BBP.json</x:v>
      </x:c>
    </x:row>
    <x:row r="845" ht="15" hidden="0" customHeight="1">
      <x:c r="A845" s="3" t="str">
        <x:v>EXP029</x:v>
      </x:c>
      <x:c r="B845" s="3" t="str">
        <x:v>Exp. 2</x:v>
      </x:c>
      <x:c r="C845" s="18" t="n">
        <x:v>748076223</x:v>
      </x:c>
      <x:c r="D845" s="3" t="str">
        <x:v>Relative cutoff 1e-5</x:v>
      </x:c>
      <x:c r="E845" s="18" t="n">
        <x:v>200</x:v>
      </x:c>
      <x:c r="F845" s="21" t="n">
        <x:v>75.08670064208204</x:v>
      </x:c>
      <x:c r="G845" s="21" t="n">
        <x:f>F844</x:f>
        <x:v>75.08670064208204</x:v>
      </x:c>
      <x:c r="H845" s="21" t="n">
        <x:f>F850</x:f>
        <x:v>73.72912289079915</x:v>
      </x:c>
      <x:c r="I845" s="27" t="n">
        <x:f>IF(AND(ISNUMBER(G845),ISNUMBER(H845),H845&gt;0),G845/H845-1,"")</x:f>
        <x:v>0.01841304627065221</x:v>
      </x:c>
      <x:c r="J845" s="27" t="n">
        <x:f>IF(AND(ISNUMBER(G845),F845&gt;0),G845/F845-1,"")</x:f>
        <x:v>0</x:v>
      </x:c>
      <x:c r="K845" s="19" t="str">
        <x:v>Exp_2/EXP029/results/seed748076223_Relative_cutoff_1e-5.json</x:v>
      </x:c>
    </x:row>
    <x:row r="846" ht="15" hidden="0" customHeight="1">
      <x:c r="A846" s="3" t="str">
        <x:v>EXP029</x:v>
      </x:c>
      <x:c r="B846" s="3" t="str">
        <x:v>Exp. 2</x:v>
      </x:c>
      <x:c r="C846" s="18" t="n">
        <x:v>748076223</x:v>
      </x:c>
      <x:c r="D846" s="3" t="str">
        <x:v>NN-AGP (m=7)</x:v>
      </x:c>
      <x:c r="E846" s="18" t="n">
        <x:v>200</x:v>
      </x:c>
      <x:c r="F846" s="21" t="n">
        <x:v>118.31705547400213</x:v>
      </x:c>
      <x:c r="G846" s="21" t="n">
        <x:f>F844</x:f>
        <x:v>75.08670064208204</x:v>
      </x:c>
      <x:c r="H846" s="21" t="n">
        <x:f>F850</x:f>
        <x:v>73.72912289079915</x:v>
      </x:c>
      <x:c r="I846" s="27" t="n">
        <x:f>IF(AND(ISNUMBER(G846),ISNUMBER(H846),H846&gt;0),G846/H846-1,"")</x:f>
        <x:v>0.01841304627065221</x:v>
      </x:c>
      <x:c r="J846" s="27" t="n">
        <x:f>IF(AND(ISNUMBER(G846),F846&gt;0),G846/F846-1,"")</x:f>
        <x:v>-0.3653772033011684</x:v>
      </x:c>
      <x:c r="K846" s="19" t="str">
        <x:v>Exp_2/EXP029/results/seed748076223_NN-AGP_m_7.json</x:v>
      </x:c>
    </x:row>
    <x:row r="847" ht="15" hidden="0" customHeight="1">
      <x:c r="A847" s="3" t="str">
        <x:v>EXP029</x:v>
      </x:c>
      <x:c r="B847" s="3" t="str">
        <x:v>Exp. 2</x:v>
      </x:c>
      <x:c r="C847" s="18" t="n">
        <x:v>748076223</x:v>
      </x:c>
      <x:c r="D847" s="3" t="str">
        <x:v>Fixed rank 10</x:v>
      </x:c>
      <x:c r="E847" s="18" t="n">
        <x:v>200</x:v>
      </x:c>
      <x:c r="F847" s="21" t="n">
        <x:v>72.57200391949075</x:v>
      </x:c>
      <x:c r="G847" s="21" t="n">
        <x:f>F844</x:f>
        <x:v>75.08670064208204</x:v>
      </x:c>
      <x:c r="H847" s="21" t="n">
        <x:f>F850</x:f>
        <x:v>73.72912289079915</x:v>
      </x:c>
      <x:c r="I847" s="27" t="n">
        <x:f>IF(AND(ISNUMBER(G847),ISNUMBER(H847),H847&gt;0),G847/H847-1,"")</x:f>
        <x:v>0.01841304627065221</x:v>
      </x:c>
      <x:c r="J847" s="27" t="n">
        <x:f>IF(AND(ISNUMBER(G847),F847&gt;0),G847/F847-1,"")</x:f>
        <x:v>0.0346510580771755</x:v>
      </x:c>
      <x:c r="K847" s="19" t="str">
        <x:v>Exp_2/EXP029/results/seed748076223_Fixed_rank_10.json</x:v>
      </x:c>
    </x:row>
    <x:row r="848" ht="15" hidden="0" customHeight="1">
      <x:c r="A848" s="3" t="str">
        <x:v>EXP029</x:v>
      </x:c>
      <x:c r="B848" s="3" t="str">
        <x:v>Exp. 2</x:v>
      </x:c>
      <x:c r="C848" s="18" t="n">
        <x:v>748076223</x:v>
      </x:c>
      <x:c r="D848" s="3" t="str">
        <x:v>Fixed rank 25</x:v>
      </x:c>
      <x:c r="E848" s="18" t="n">
        <x:v>200</x:v>
      </x:c>
      <x:c r="F848" s="21" t="n">
        <x:v>75.08670064208204</x:v>
      </x:c>
      <x:c r="G848" s="21" t="n">
        <x:f>F844</x:f>
        <x:v>75.08670064208204</x:v>
      </x:c>
      <x:c r="H848" s="21" t="n">
        <x:f>F850</x:f>
        <x:v>73.72912289079915</x:v>
      </x:c>
      <x:c r="I848" s="27" t="n">
        <x:f>IF(AND(ISNUMBER(G848),ISNUMBER(H848),H848&gt;0),G848/H848-1,"")</x:f>
        <x:v>0.01841304627065221</x:v>
      </x:c>
      <x:c r="J848" s="27" t="n">
        <x:f>IF(AND(ISNUMBER(G848),F848&gt;0),G848/F848-1,"")</x:f>
        <x:v>0</x:v>
      </x:c>
      <x:c r="K848" s="19" t="str">
        <x:v>Exp_2/EXP029/results/seed748076223_Fixed_rank_25.json</x:v>
      </x:c>
    </x:row>
    <x:row r="849" ht="15" hidden="0" customHeight="1">
      <x:c r="A849" s="3" t="str">
        <x:v>EXP029</x:v>
      </x:c>
      <x:c r="B849" s="3" t="str">
        <x:v>Exp. 2</x:v>
      </x:c>
      <x:c r="C849" s="18" t="n">
        <x:v>748076223</x:v>
      </x:c>
      <x:c r="D849" s="3" t="str">
        <x:v>Relative cutoff 1e-6</x:v>
      </x:c>
      <x:c r="E849" s="18" t="n">
        <x:v>200</x:v>
      </x:c>
      <x:c r="F849" s="21" t="n">
        <x:v>72.8050329658232</x:v>
      </x:c>
      <x:c r="G849" s="21" t="n">
        <x:f>F844</x:f>
        <x:v>75.08670064208204</x:v>
      </x:c>
      <x:c r="H849" s="21" t="n">
        <x:f>F850</x:f>
        <x:v>73.72912289079915</x:v>
      </x:c>
      <x:c r="I849" s="27" t="n">
        <x:f>IF(AND(ISNUMBER(G849),ISNUMBER(H849),H849&gt;0),G849/H849-1,"")</x:f>
        <x:v>0.01841304627065221</x:v>
      </x:c>
      <x:c r="J849" s="27" t="n">
        <x:f>IF(AND(ISNUMBER(G849),F849&gt;0),G849/F849-1,"")</x:f>
        <x:v>0.031339422335402434</x:v>
      </x:c>
      <x:c r="K849" s="19" t="str">
        <x:v>Exp_2/EXP029/results/seed748076223_Relative_cutoff_1e-6.json</x:v>
      </x:c>
    </x:row>
    <x:row r="850" ht="15" hidden="0" customHeight="1">
      <x:c r="A850" s="3" t="str">
        <x:v>EXP029</x:v>
      </x:c>
      <x:c r="B850" s="3" t="str">
        <x:v>Exp. 2</x:v>
      </x:c>
      <x:c r="C850" s="18" t="n">
        <x:v>748076223</x:v>
      </x:c>
      <x:c r="D850" s="3" t="str">
        <x:v>Full</x:v>
      </x:c>
      <x:c r="E850" s="18" t="n">
        <x:v>200</x:v>
      </x:c>
      <x:c r="F850" s="21" t="n">
        <x:v>73.72912289079915</x:v>
      </x:c>
      <x:c r="G850" s="21" t="n">
        <x:f>F844</x:f>
        <x:v>75.08670064208204</x:v>
      </x:c>
      <x:c r="H850" s="21" t="n">
        <x:f>F850</x:f>
        <x:v>73.72912289079915</x:v>
      </x:c>
      <x:c r="I850" s="27" t="n">
        <x:f>IF(AND(ISNUMBER(G850),ISNUMBER(H850),H850&gt;0),G850/H850-1,"")</x:f>
        <x:v>0.01841304627065221</x:v>
      </x:c>
      <x:c r="J850" s="27" t="n">
        <x:f>IF(AND(ISNUMBER(G850),F850&gt;0),G850/F850-1,"")</x:f>
        <x:v>0.01841304627065221</x:v>
      </x:c>
      <x:c r="K850" s="19" t="str">
        <x:v>Exp_2/EXP029/results/seed748076223_Full.json</x:v>
      </x:c>
    </x:row>
    <x:row r="851" ht="15" hidden="0" customHeight="1">
      <x:c r="A851" s="3" t="str">
        <x:v>EXP029</x:v>
      </x:c>
      <x:c r="B851" s="3" t="str">
        <x:v>Exp. 2</x:v>
      </x:c>
      <x:c r="C851" s="18" t="n">
        <x:v>748076223</x:v>
      </x:c>
      <x:c r="D851" s="3" t="str">
        <x:v>GP-UCB (weighted sum)</x:v>
      </x:c>
      <x:c r="E851" s="18" t="n">
        <x:v>200</x:v>
      </x:c>
      <x:c r="F851" s="21" t="n">
        <x:v>100.4583609790874</x:v>
      </x:c>
      <x:c r="G851" s="21" t="n">
        <x:f>F844</x:f>
        <x:v>75.08670064208204</x:v>
      </x:c>
      <x:c r="H851" s="21" t="n">
        <x:f>F850</x:f>
        <x:v>73.72912289079915</x:v>
      </x:c>
      <x:c r="I851" s="27" t="n">
        <x:f>IF(AND(ISNUMBER(G851),ISNUMBER(H851),H851&gt;0),G851/H851-1,"")</x:f>
        <x:v>0.01841304627065221</x:v>
      </x:c>
      <x:c r="J851" s="27" t="n">
        <x:f>IF(AND(ISNUMBER(G851),F851&gt;0),G851/F851-1,"")</x:f>
        <x:v>-0.25255897159507734</x:v>
      </x:c>
      <x:c r="K851" s="19" t="str">
        <x:v>Exp_2/EXP029/results/seed748076223_GP-UCB_weighted_sum.json</x:v>
      </x:c>
    </x:row>
    <x:row r="852" ht="15" hidden="0" customHeight="1">
      <x:c r="A852" s="3" t="str">
        <x:v>EXP029</x:v>
      </x:c>
      <x:c r="B852" s="3" t="str">
        <x:v>Exp. 2</x:v>
      </x:c>
      <x:c r="C852" s="18" t="n">
        <x:v>748076223</x:v>
      </x:c>
      <x:c r="D852" s="3" t="str">
        <x:v>GP-UCB (product)</x:v>
      </x:c>
      <x:c r="E852" s="18" t="n">
        <x:v>200</x:v>
      </x:c>
      <x:c r="F852" s="21" t="n">
        <x:v>103.94695932857199</x:v>
      </x:c>
      <x:c r="G852" s="21" t="n">
        <x:f>F844</x:f>
        <x:v>75.08670064208204</x:v>
      </x:c>
      <x:c r="H852" s="21" t="n">
        <x:f>F850</x:f>
        <x:v>73.72912289079915</x:v>
      </x:c>
      <x:c r="I852" s="27" t="n">
        <x:f>IF(AND(ISNUMBER(G852),ISNUMBER(H852),H852&gt;0),G852/H852-1,"")</x:f>
        <x:v>0.01841304627065221</x:v>
      </x:c>
      <x:c r="J852" s="27" t="n">
        <x:f>IF(AND(ISNUMBER(G852),F852&gt;0),G852/F852-1,"")</x:f>
        <x:v>-0.27764408764727677</x:v>
      </x:c>
      <x:c r="K852" s="19" t="str">
        <x:v>Exp_2/EXP029/results/seed748076223_GP-UCB_product.json</x:v>
      </x:c>
    </x:row>
    <x:row r="853" ht="15" hidden="0" customHeight="1">
      <x:c r="A853" s="3" t="str">
        <x:v>EXP029</x:v>
      </x:c>
      <x:c r="B853" s="3" t="str">
        <x:v>Exp. 2</x:v>
      </x:c>
      <x:c r="C853" s="18" t="n">
        <x:v>748076223</x:v>
      </x:c>
      <x:c r="D853" s="3" t="str">
        <x:v>NeuralUCB</x:v>
      </x:c>
      <x:c r="E853" s="18" t="n">
        <x:v>200</x:v>
      </x:c>
      <x:c r="F853" s="21" t="n">
        <x:v>117.48537241730858</x:v>
      </x:c>
      <x:c r="G853" s="21" t="n">
        <x:f>F844</x:f>
        <x:v>75.08670064208204</x:v>
      </x:c>
      <x:c r="H853" s="21" t="n">
        <x:f>F850</x:f>
        <x:v>73.72912289079915</x:v>
      </x:c>
      <x:c r="I853" s="27" t="n">
        <x:f>IF(AND(ISNUMBER(G853),ISNUMBER(H853),H853&gt;0),G853/H853-1,"")</x:f>
        <x:v>0.01841304627065221</x:v>
      </x:c>
      <x:c r="J853" s="27" t="n">
        <x:f>IF(AND(ISNUMBER(G853),F853&gt;0),G853/F853-1,"")</x:f>
        <x:v>-0.3608846863473886</x:v>
      </x:c>
      <x:c r="K853" s="19" t="str">
        <x:v>Exp_2/EXP029/results/seed748076223_NeuralUCB.json</x:v>
      </x:c>
    </x:row>
    <x:row r="854" ht="15" hidden="0" customHeight="1">
      <x:c r="A854" s="3" t="str">
        <x:v>EXP029</x:v>
      </x:c>
      <x:c r="B854" s="3" t="str">
        <x:v>Exp. 2</x:v>
      </x:c>
      <x:c r="C854" s="18" t="n">
        <x:v>748076223</x:v>
      </x:c>
      <x:c r="D854" s="3" t="str">
        <x:v>NN-UCB</x:v>
      </x:c>
      <x:c r="E854" s="18" t="n">
        <x:v>200</x:v>
      </x:c>
      <x:c r="F854" s="21" t="n">
        <x:v>115.97507994731272</x:v>
      </x:c>
      <x:c r="G854" s="21" t="n">
        <x:f>F844</x:f>
        <x:v>75.08670064208204</x:v>
      </x:c>
      <x:c r="H854" s="21" t="n">
        <x:f>F850</x:f>
        <x:v>73.72912289079915</x:v>
      </x:c>
      <x:c r="I854" s="27" t="n">
        <x:f>IF(AND(ISNUMBER(G854),ISNUMBER(H854),H854&gt;0),G854/H854-1,"")</x:f>
        <x:v>0.01841304627065221</x:v>
      </x:c>
      <x:c r="J854" s="27" t="n">
        <x:f>IF(AND(ISNUMBER(G854),F854&gt;0),G854/F854-1,"")</x:f>
        <x:v>-0.3525617686472491</x:v>
      </x:c>
      <x:c r="K854" s="19" t="str">
        <x:v>Exp_2/EXP029/results/seed748076223_NN-UCB.json</x:v>
      </x:c>
    </x:row>
    <x:row r="855" ht="15" hidden="0" customHeight="1">
      <x:c r="A855" s="3" t="str">
        <x:v>EXP029</x:v>
      </x:c>
      <x:c r="B855" s="3" t="str">
        <x:v>Exp. 2</x:v>
      </x:c>
      <x:c r="C855" s="18" t="n">
        <x:v>748076223</x:v>
      </x:c>
      <x:c r="D855" s="3" t="str">
        <x:v>Relative cutoff 1e-2</x:v>
      </x:c>
      <x:c r="E855" s="18" t="n">
        <x:v>200</x:v>
      </x:c>
      <x:c r="F855" s="21" t="n">
        <x:v>72.30636072622407</x:v>
      </x:c>
      <x:c r="G855" s="21" t="n">
        <x:f>F844</x:f>
        <x:v>75.08670064208204</x:v>
      </x:c>
      <x:c r="H855" s="21" t="n">
        <x:f>F850</x:f>
        <x:v>73.72912289079915</x:v>
      </x:c>
      <x:c r="I855" s="27" t="n">
        <x:f>IF(AND(ISNUMBER(G855),ISNUMBER(H855),H855&gt;0),G855/H855-1,"")</x:f>
        <x:v>0.01841304627065221</x:v>
      </x:c>
      <x:c r="J855" s="27" t="n">
        <x:f>IF(AND(ISNUMBER(G855),F855&gt;0),G855/F855-1,"")</x:f>
        <x:v>0.03845221759099804</x:v>
      </x:c>
      <x:c r="K855" s="19" t="str">
        <x:v>Exp_2/EXP029/results/seed748076223_Relative_cutoff_1e-2.json</x:v>
      </x:c>
    </x:row>
    <x:row r="856" ht="15" hidden="0" customHeight="1">
      <x:c r="A856" s="3" t="str">
        <x:v>EXP029</x:v>
      </x:c>
      <x:c r="B856" s="3" t="str">
        <x:v>Exp. 2</x:v>
      </x:c>
      <x:c r="C856" s="18" t="n">
        <x:v>748076223</x:v>
      </x:c>
      <x:c r="D856" s="3" t="str">
        <x:v>Relative cutoff 1e-4</x:v>
      </x:c>
      <x:c r="E856" s="18" t="n">
        <x:v>200</x:v>
      </x:c>
      <x:c r="F856" s="21" t="n">
        <x:v>72.57200391949075</x:v>
      </x:c>
      <x:c r="G856" s="21" t="n">
        <x:f>F844</x:f>
        <x:v>75.08670064208204</x:v>
      </x:c>
      <x:c r="H856" s="21" t="n">
        <x:f>F850</x:f>
        <x:v>73.72912289079915</x:v>
      </x:c>
      <x:c r="I856" s="27" t="n">
        <x:f>IF(AND(ISNUMBER(G856),ISNUMBER(H856),H856&gt;0),G856/H856-1,"")</x:f>
        <x:v>0.01841304627065221</x:v>
      </x:c>
      <x:c r="J856" s="27" t="n">
        <x:f>IF(AND(ISNUMBER(G856),F856&gt;0),G856/F856-1,"")</x:f>
        <x:v>0.0346510580771755</x:v>
      </x:c>
      <x:c r="K856" s="19" t="str">
        <x:v>Exp_2/EXP029/results/seed748076223_Relative_cutoff_1e-4.json</x:v>
      </x:c>
    </x:row>
    <x:row r="857" ht="15" hidden="0" customHeight="1">
      <x:c r="A857" s="3" t="str">
        <x:v>EXP029</x:v>
      </x:c>
      <x:c r="B857" s="3" t="str">
        <x:v>Exp. 2</x:v>
      </x:c>
      <x:c r="C857" s="18" t="n">
        <x:v>806884711</x:v>
      </x:c>
      <x:c r="D857" s="3" t="str">
        <x:v>BBP</x:v>
      </x:c>
      <x:c r="E857" s="18" t="n">
        <x:v>200</x:v>
      </x:c>
      <x:c r="F857" s="21" t="n">
        <x:v>77.68183918206503</x:v>
      </x:c>
      <x:c r="G857" s="21" t="n">
        <x:f>F857</x:f>
        <x:v>77.68183918206503</x:v>
      </x:c>
      <x:c r="H857" s="21" t="n">
        <x:f>F863</x:f>
        <x:v>77.68183918206503</x:v>
      </x:c>
      <x:c r="I857" s="27" t="n">
        <x:f>IF(AND(ISNUMBER(G857),ISNUMBER(H857),H857&gt;0),G857/H857-1,"")</x:f>
        <x:v>0</x:v>
      </x:c>
      <x:c r="J857" s="27" t="n">
        <x:f>IF(AND(ISNUMBER(G857),F857&gt;0),G857/F857-1,"")</x:f>
        <x:v>0</x:v>
      </x:c>
      <x:c r="K857" s="19" t="str">
        <x:v>Exp_2/EXP029/results/seed806884711_BBP.json</x:v>
      </x:c>
    </x:row>
    <x:row r="858" ht="15" hidden="0" customHeight="1">
      <x:c r="A858" s="3" t="str">
        <x:v>EXP029</x:v>
      </x:c>
      <x:c r="B858" s="3" t="str">
        <x:v>Exp. 2</x:v>
      </x:c>
      <x:c r="C858" s="18" t="n">
        <x:v>806884711</x:v>
      </x:c>
      <x:c r="D858" s="3" t="str">
        <x:v>Relative cutoff 1e-5</x:v>
      </x:c>
      <x:c r="E858" s="18" t="n">
        <x:v>200</x:v>
      </x:c>
      <x:c r="F858" s="21" t="n">
        <x:v>77.68183918206503</x:v>
      </x:c>
      <x:c r="G858" s="21" t="n">
        <x:f>F857</x:f>
        <x:v>77.68183918206503</x:v>
      </x:c>
      <x:c r="H858" s="21" t="n">
        <x:f>F863</x:f>
        <x:v>77.68183918206503</x:v>
      </x:c>
      <x:c r="I858" s="27" t="n">
        <x:f>IF(AND(ISNUMBER(G858),ISNUMBER(H858),H858&gt;0),G858/H858-1,"")</x:f>
        <x:v>0</x:v>
      </x:c>
      <x:c r="J858" s="27" t="n">
        <x:f>IF(AND(ISNUMBER(G858),F858&gt;0),G858/F858-1,"")</x:f>
        <x:v>0</x:v>
      </x:c>
      <x:c r="K858" s="19" t="str">
        <x:v>Exp_2/EXP029/results/seed806884711_Relative_cutoff_1e-5.json</x:v>
      </x:c>
    </x:row>
    <x:row r="859" ht="15" hidden="0" customHeight="1">
      <x:c r="A859" s="3" t="str">
        <x:v>EXP029</x:v>
      </x:c>
      <x:c r="B859" s="3" t="str">
        <x:v>Exp. 2</x:v>
      </x:c>
      <x:c r="C859" s="18" t="n">
        <x:v>806884711</x:v>
      </x:c>
      <x:c r="D859" s="3" t="str">
        <x:v>NN-AGP (m=7)</x:v>
      </x:c>
      <x:c r="E859" s="18" t="n">
        <x:v>200</x:v>
      </x:c>
      <x:c r="F859" s="21" t="n">
        <x:v>76.22180207122324</x:v>
      </x:c>
      <x:c r="G859" s="21" t="n">
        <x:f>F857</x:f>
        <x:v>77.68183918206503</x:v>
      </x:c>
      <x:c r="H859" s="21" t="n">
        <x:f>F863</x:f>
        <x:v>77.68183918206503</x:v>
      </x:c>
      <x:c r="I859" s="27" t="n">
        <x:f>IF(AND(ISNUMBER(G859),ISNUMBER(H859),H859&gt;0),G859/H859-1,"")</x:f>
        <x:v>0</x:v>
      </x:c>
      <x:c r="J859" s="27" t="n">
        <x:f>IF(AND(ISNUMBER(G859),F859&gt;0),G859/F859-1,"")</x:f>
        <x:v>0.01915511141389059</x:v>
      </x:c>
      <x:c r="K859" s="19" t="str">
        <x:v>Exp_2/EXP029/results/seed806884711_NN-AGP_m_7.json</x:v>
      </x:c>
    </x:row>
    <x:row r="860" ht="15" hidden="0" customHeight="1">
      <x:c r="A860" s="3" t="str">
        <x:v>EXP029</x:v>
      </x:c>
      <x:c r="B860" s="3" t="str">
        <x:v>Exp. 2</x:v>
      </x:c>
      <x:c r="C860" s="18" t="n">
        <x:v>806884711</x:v>
      </x:c>
      <x:c r="D860" s="3" t="str">
        <x:v>Fixed rank 10</x:v>
      </x:c>
      <x:c r="E860" s="18" t="n">
        <x:v>200</x:v>
      </x:c>
      <x:c r="F860" s="21" t="n">
        <x:v>78.9874203129168</x:v>
      </x:c>
      <x:c r="G860" s="21" t="n">
        <x:f>F857</x:f>
        <x:v>77.68183918206503</x:v>
      </x:c>
      <x:c r="H860" s="21" t="n">
        <x:f>F863</x:f>
        <x:v>77.68183918206503</x:v>
      </x:c>
      <x:c r="I860" s="27" t="n">
        <x:f>IF(AND(ISNUMBER(G860),ISNUMBER(H860),H860&gt;0),G860/H860-1,"")</x:f>
        <x:v>0</x:v>
      </x:c>
      <x:c r="J860" s="27" t="n">
        <x:f>IF(AND(ISNUMBER(G860),F860&gt;0),G860/F860-1,"")</x:f>
        <x:v>-0.01652897544545151</x:v>
      </x:c>
      <x:c r="K860" s="19" t="str">
        <x:v>Exp_2/EXP029/results/seed806884711_Fixed_rank_10.json</x:v>
      </x:c>
    </x:row>
    <x:row r="861" ht="15" hidden="0" customHeight="1">
      <x:c r="A861" s="3" t="str">
        <x:v>EXP029</x:v>
      </x:c>
      <x:c r="B861" s="3" t="str">
        <x:v>Exp. 2</x:v>
      </x:c>
      <x:c r="C861" s="18" t="n">
        <x:v>806884711</x:v>
      </x:c>
      <x:c r="D861" s="3" t="str">
        <x:v>Fixed rank 25</x:v>
      </x:c>
      <x:c r="E861" s="18" t="n">
        <x:v>200</x:v>
      </x:c>
      <x:c r="F861" s="21" t="n">
        <x:v>77.68183918206503</x:v>
      </x:c>
      <x:c r="G861" s="21" t="n">
        <x:f>F857</x:f>
        <x:v>77.68183918206503</x:v>
      </x:c>
      <x:c r="H861" s="21" t="n">
        <x:f>F863</x:f>
        <x:v>77.68183918206503</x:v>
      </x:c>
      <x:c r="I861" s="27" t="n">
        <x:f>IF(AND(ISNUMBER(G861),ISNUMBER(H861),H861&gt;0),G861/H861-1,"")</x:f>
        <x:v>0</x:v>
      </x:c>
      <x:c r="J861" s="27" t="n">
        <x:f>IF(AND(ISNUMBER(G861),F861&gt;0),G861/F861-1,"")</x:f>
        <x:v>0</x:v>
      </x:c>
      <x:c r="K861" s="19" t="str">
        <x:v>Exp_2/EXP029/results/seed806884711_Fixed_rank_25.json</x:v>
      </x:c>
    </x:row>
    <x:row r="862" ht="15" hidden="0" customHeight="1">
      <x:c r="A862" s="3" t="str">
        <x:v>EXP029</x:v>
      </x:c>
      <x:c r="B862" s="3" t="str">
        <x:v>Exp. 2</x:v>
      </x:c>
      <x:c r="C862" s="18" t="n">
        <x:v>806884711</x:v>
      </x:c>
      <x:c r="D862" s="3" t="str">
        <x:v>Relative cutoff 1e-6</x:v>
      </x:c>
      <x:c r="E862" s="18" t="n">
        <x:v>200</x:v>
      </x:c>
      <x:c r="F862" s="21" t="n">
        <x:v>77.68183918206503</x:v>
      </x:c>
      <x:c r="G862" s="21" t="n">
        <x:f>F857</x:f>
        <x:v>77.68183918206503</x:v>
      </x:c>
      <x:c r="H862" s="21" t="n">
        <x:f>F863</x:f>
        <x:v>77.68183918206503</x:v>
      </x:c>
      <x:c r="I862" s="27" t="n">
        <x:f>IF(AND(ISNUMBER(G862),ISNUMBER(H862),H862&gt;0),G862/H862-1,"")</x:f>
        <x:v>0</x:v>
      </x:c>
      <x:c r="J862" s="27" t="n">
        <x:f>IF(AND(ISNUMBER(G862),F862&gt;0),G862/F862-1,"")</x:f>
        <x:v>0</x:v>
      </x:c>
      <x:c r="K862" s="19" t="str">
        <x:v>Exp_2/EXP029/results/seed806884711_Relative_cutoff_1e-6.json</x:v>
      </x:c>
    </x:row>
    <x:row r="863" ht="15" hidden="0" customHeight="1">
      <x:c r="A863" s="3" t="str">
        <x:v>EXP029</x:v>
      </x:c>
      <x:c r="B863" s="3" t="str">
        <x:v>Exp. 2</x:v>
      </x:c>
      <x:c r="C863" s="18" t="n">
        <x:v>806884711</x:v>
      </x:c>
      <x:c r="D863" s="3" t="str">
        <x:v>Full</x:v>
      </x:c>
      <x:c r="E863" s="18" t="n">
        <x:v>200</x:v>
      </x:c>
      <x:c r="F863" s="21" t="n">
        <x:v>77.68183918206503</x:v>
      </x:c>
      <x:c r="G863" s="21" t="n">
        <x:f>F857</x:f>
        <x:v>77.68183918206503</x:v>
      </x:c>
      <x:c r="H863" s="21" t="n">
        <x:f>F863</x:f>
        <x:v>77.68183918206503</x:v>
      </x:c>
      <x:c r="I863" s="27" t="n">
        <x:f>IF(AND(ISNUMBER(G863),ISNUMBER(H863),H863&gt;0),G863/H863-1,"")</x:f>
        <x:v>0</x:v>
      </x:c>
      <x:c r="J863" s="27" t="n">
        <x:f>IF(AND(ISNUMBER(G863),F863&gt;0),G863/F863-1,"")</x:f>
        <x:v>0</x:v>
      </x:c>
      <x:c r="K863" s="19" t="str">
        <x:v>Exp_2/EXP029/results/seed806884711_Full.json</x:v>
      </x:c>
    </x:row>
    <x:row r="864" ht="15" hidden="0" customHeight="1">
      <x:c r="A864" s="3" t="str">
        <x:v>EXP029</x:v>
      </x:c>
      <x:c r="B864" s="3" t="str">
        <x:v>Exp. 2</x:v>
      </x:c>
      <x:c r="C864" s="18" t="n">
        <x:v>806884711</x:v>
      </x:c>
      <x:c r="D864" s="3" t="str">
        <x:v>GP-UCB (weighted sum)</x:v>
      </x:c>
      <x:c r="E864" s="18" t="n">
        <x:v>200</x:v>
      </x:c>
      <x:c r="F864" s="21" t="n">
        <x:v>89.90936105764872</x:v>
      </x:c>
      <x:c r="G864" s="21" t="n">
        <x:f>F857</x:f>
        <x:v>77.68183918206503</x:v>
      </x:c>
      <x:c r="H864" s="21" t="n">
        <x:f>F863</x:f>
        <x:v>77.68183918206503</x:v>
      </x:c>
      <x:c r="I864" s="27" t="n">
        <x:f>IF(AND(ISNUMBER(G864),ISNUMBER(H864),H864&gt;0),G864/H864-1,"")</x:f>
        <x:v>0</x:v>
      </x:c>
      <x:c r="J864" s="27" t="n">
        <x:f>IF(AND(ISNUMBER(G864),F864&gt;0),G864/F864-1,"")</x:f>
        <x:v>-0.1359983179920894</x:v>
      </x:c>
      <x:c r="K864" s="19" t="str">
        <x:v>Exp_2/EXP029/results/seed806884711_GP-UCB_weighted_sum.json</x:v>
      </x:c>
    </x:row>
    <x:row r="865" ht="15" hidden="0" customHeight="1">
      <x:c r="A865" s="3" t="str">
        <x:v>EXP029</x:v>
      </x:c>
      <x:c r="B865" s="3" t="str">
        <x:v>Exp. 2</x:v>
      </x:c>
      <x:c r="C865" s="18" t="n">
        <x:v>806884711</x:v>
      </x:c>
      <x:c r="D865" s="3" t="str">
        <x:v>GP-UCB (product)</x:v>
      </x:c>
      <x:c r="E865" s="18" t="n">
        <x:v>200</x:v>
      </x:c>
      <x:c r="F865" s="21" t="n">
        <x:v>74.00974495464281</x:v>
      </x:c>
      <x:c r="G865" s="21" t="n">
        <x:f>F857</x:f>
        <x:v>77.68183918206503</x:v>
      </x:c>
      <x:c r="H865" s="21" t="n">
        <x:f>F863</x:f>
        <x:v>77.68183918206503</x:v>
      </x:c>
      <x:c r="I865" s="27" t="n">
        <x:f>IF(AND(ISNUMBER(G865),ISNUMBER(H865),H865&gt;0),G865/H865-1,"")</x:f>
        <x:v>0</x:v>
      </x:c>
      <x:c r="J865" s="27" t="n">
        <x:f>IF(AND(ISNUMBER(G865),F865&gt;0),G865/F865-1,"")</x:f>
        <x:v>0.04961636105721867</x:v>
      </x:c>
      <x:c r="K865" s="19" t="str">
        <x:v>Exp_2/EXP029/results/seed806884711_GP-UCB_product.json</x:v>
      </x:c>
    </x:row>
    <x:row r="866" ht="15" hidden="0" customHeight="1">
      <x:c r="A866" s="3" t="str">
        <x:v>EXP029</x:v>
      </x:c>
      <x:c r="B866" s="3" t="str">
        <x:v>Exp. 2</x:v>
      </x:c>
      <x:c r="C866" s="18" t="n">
        <x:v>806884711</x:v>
      </x:c>
      <x:c r="D866" s="3" t="str">
        <x:v>NeuralUCB</x:v>
      </x:c>
      <x:c r="E866" s="18" t="n">
        <x:v>200</x:v>
      </x:c>
      <x:c r="F866" s="21" t="n">
        <x:v>101.96411409639296</x:v>
      </x:c>
      <x:c r="G866" s="21" t="n">
        <x:f>F857</x:f>
        <x:v>77.68183918206503</x:v>
      </x:c>
      <x:c r="H866" s="21" t="n">
        <x:f>F863</x:f>
        <x:v>77.68183918206503</x:v>
      </x:c>
      <x:c r="I866" s="27" t="n">
        <x:f>IF(AND(ISNUMBER(G866),ISNUMBER(H866),H866&gt;0),G866/H866-1,"")</x:f>
        <x:v>0</x:v>
      </x:c>
      <x:c r="J866" s="27" t="n">
        <x:f>IF(AND(ISNUMBER(G866),F866&gt;0),G866/F866-1,"")</x:f>
        <x:v>-0.23814530366411457</x:v>
      </x:c>
      <x:c r="K866" s="19" t="str">
        <x:v>Exp_2/EXP029/results/seed806884711_NeuralUCB.json</x:v>
      </x:c>
    </x:row>
    <x:row r="867" ht="15" hidden="0" customHeight="1">
      <x:c r="A867" s="3" t="str">
        <x:v>EXP029</x:v>
      </x:c>
      <x:c r="B867" s="3" t="str">
        <x:v>Exp. 2</x:v>
      </x:c>
      <x:c r="C867" s="18" t="n">
        <x:v>806884711</x:v>
      </x:c>
      <x:c r="D867" s="3" t="str">
        <x:v>NN-UCB</x:v>
      </x:c>
      <x:c r="E867" s="18" t="n">
        <x:v>200</x:v>
      </x:c>
      <x:c r="F867" s="21" t="n">
        <x:v>103.33848193943155</x:v>
      </x:c>
      <x:c r="G867" s="21" t="n">
        <x:f>F857</x:f>
        <x:v>77.68183918206503</x:v>
      </x:c>
      <x:c r="H867" s="21" t="n">
        <x:f>F863</x:f>
        <x:v>77.68183918206503</x:v>
      </x:c>
      <x:c r="I867" s="27" t="n">
        <x:f>IF(AND(ISNUMBER(G867),ISNUMBER(H867),H867&gt;0),G867/H867-1,"")</x:f>
        <x:v>0</x:v>
      </x:c>
      <x:c r="J867" s="27" t="n">
        <x:f>IF(AND(ISNUMBER(G867),F867&gt;0),G867/F867-1,"")</x:f>
        <x:v>-0.24827772070818988</x:v>
      </x:c>
      <x:c r="K867" s="19" t="str">
        <x:v>Exp_2/EXP029/results/seed806884711_NN-UCB.json</x:v>
      </x:c>
    </x:row>
    <x:row r="868" ht="15" hidden="0" customHeight="1">
      <x:c r="A868" s="3" t="str">
        <x:v>EXP029</x:v>
      </x:c>
      <x:c r="B868" s="3" t="str">
        <x:v>Exp. 2</x:v>
      </x:c>
      <x:c r="C868" s="18" t="n">
        <x:v>806884711</x:v>
      </x:c>
      <x:c r="D868" s="3" t="str">
        <x:v>Relative cutoff 1e-2</x:v>
      </x:c>
      <x:c r="E868" s="18" t="n">
        <x:v>200</x:v>
      </x:c>
      <x:c r="F868" s="21" t="n">
        <x:v>78.23773430785724</x:v>
      </x:c>
      <x:c r="G868" s="21" t="n">
        <x:f>F857</x:f>
        <x:v>77.68183918206503</x:v>
      </x:c>
      <x:c r="H868" s="21" t="n">
        <x:f>F863</x:f>
        <x:v>77.68183918206503</x:v>
      </x:c>
      <x:c r="I868" s="27" t="n">
        <x:f>IF(AND(ISNUMBER(G868),ISNUMBER(H868),H868&gt;0),G868/H868-1,"")</x:f>
        <x:v>0</x:v>
      </x:c>
      <x:c r="J868" s="27" t="n">
        <x:f>IF(AND(ISNUMBER(G868),F868&gt;0),G868/F868-1,"")</x:f>
        <x:v>-0.007105204805711973</x:v>
      </x:c>
      <x:c r="K868" s="19" t="str">
        <x:v>Exp_2/EXP029/results/seed806884711_Relative_cutoff_1e-2.json</x:v>
      </x:c>
    </x:row>
    <x:row r="869" ht="15" hidden="0" customHeight="1">
      <x:c r="A869" s="3" t="str">
        <x:v>EXP029</x:v>
      </x:c>
      <x:c r="B869" s="3" t="str">
        <x:v>Exp. 2</x:v>
      </x:c>
      <x:c r="C869" s="18" t="n">
        <x:v>806884711</x:v>
      </x:c>
      <x:c r="D869" s="3" t="str">
        <x:v>Relative cutoff 1e-4</x:v>
      </x:c>
      <x:c r="E869" s="18" t="n">
        <x:v>200</x:v>
      </x:c>
      <x:c r="F869" s="21" t="n">
        <x:v>77.68183918206503</x:v>
      </x:c>
      <x:c r="G869" s="21" t="n">
        <x:f>F857</x:f>
        <x:v>77.68183918206503</x:v>
      </x:c>
      <x:c r="H869" s="21" t="n">
        <x:f>F863</x:f>
        <x:v>77.68183918206503</x:v>
      </x:c>
      <x:c r="I869" s="27" t="n">
        <x:f>IF(AND(ISNUMBER(G869),ISNUMBER(H869),H869&gt;0),G869/H869-1,"")</x:f>
        <x:v>0</x:v>
      </x:c>
      <x:c r="J869" s="27" t="n">
        <x:f>IF(AND(ISNUMBER(G869),F869&gt;0),G869/F869-1,"")</x:f>
        <x:v>0</x:v>
      </x:c>
      <x:c r="K869" s="19" t="str">
        <x:v>Exp_2/EXP029/results/seed806884711_Relative_cutoff_1e-4.json</x:v>
      </x:c>
    </x:row>
    <x:row r="870" ht="15" hidden="0" customHeight="1">
      <x:c r="A870" s="3" t="str">
        <x:v>EXP029</x:v>
      </x:c>
      <x:c r="B870" s="3" t="str">
        <x:v>Exp. 2</x:v>
      </x:c>
      <x:c r="C870" s="18" t="n">
        <x:v>954779777</x:v>
      </x:c>
      <x:c r="D870" s="3" t="str">
        <x:v>BBP</x:v>
      </x:c>
      <x:c r="E870" s="18" t="n">
        <x:v>200</x:v>
      </x:c>
      <x:c r="F870" s="21" t="n">
        <x:v>58.27971723016892</x:v>
      </x:c>
      <x:c r="G870" s="21" t="n">
        <x:f>F870</x:f>
        <x:v>58.27971723016892</x:v>
      </x:c>
      <x:c r="H870" s="21" t="n">
        <x:f>F876</x:f>
        <x:v>58.27971723016892</x:v>
      </x:c>
      <x:c r="I870" s="27" t="n">
        <x:f>IF(AND(ISNUMBER(G870),ISNUMBER(H870),H870&gt;0),G870/H870-1,"")</x:f>
        <x:v>0</x:v>
      </x:c>
      <x:c r="J870" s="27" t="n">
        <x:f>IF(AND(ISNUMBER(G870),F870&gt;0),G870/F870-1,"")</x:f>
        <x:v>0</x:v>
      </x:c>
      <x:c r="K870" s="19" t="str">
        <x:v>Exp_2/EXP029/results/seed954779777_BBP.json</x:v>
      </x:c>
    </x:row>
    <x:row r="871" ht="15" hidden="0" customHeight="1">
      <x:c r="A871" s="3" t="str">
        <x:v>EXP029</x:v>
      </x:c>
      <x:c r="B871" s="3" t="str">
        <x:v>Exp. 2</x:v>
      </x:c>
      <x:c r="C871" s="18" t="n">
        <x:v>954779777</x:v>
      </x:c>
      <x:c r="D871" s="3" t="str">
        <x:v>Relative cutoff 1e-5</x:v>
      </x:c>
      <x:c r="E871" s="18" t="n">
        <x:v>200</x:v>
      </x:c>
      <x:c r="F871" s="21" t="n">
        <x:v>58.27971723016892</x:v>
      </x:c>
      <x:c r="G871" s="21" t="n">
        <x:f>F870</x:f>
        <x:v>58.27971723016892</x:v>
      </x:c>
      <x:c r="H871" s="21" t="n">
        <x:f>F876</x:f>
        <x:v>58.27971723016892</x:v>
      </x:c>
      <x:c r="I871" s="27" t="n">
        <x:f>IF(AND(ISNUMBER(G871),ISNUMBER(H871),H871&gt;0),G871/H871-1,"")</x:f>
        <x:v>0</x:v>
      </x:c>
      <x:c r="J871" s="27" t="n">
        <x:f>IF(AND(ISNUMBER(G871),F871&gt;0),G871/F871-1,"")</x:f>
        <x:v>0</x:v>
      </x:c>
      <x:c r="K871" s="19" t="str">
        <x:v>Exp_2/EXP029/results/seed954779777_Relative_cutoff_1e-5.json</x:v>
      </x:c>
    </x:row>
    <x:row r="872" ht="15" hidden="0" customHeight="1">
      <x:c r="A872" s="3" t="str">
        <x:v>EXP029</x:v>
      </x:c>
      <x:c r="B872" s="3" t="str">
        <x:v>Exp. 2</x:v>
      </x:c>
      <x:c r="C872" s="18" t="n">
        <x:v>954779777</x:v>
      </x:c>
      <x:c r="D872" s="3" t="str">
        <x:v>NN-AGP (m=7)</x:v>
      </x:c>
      <x:c r="E872" s="18" t="n">
        <x:v>200</x:v>
      </x:c>
      <x:c r="F872" s="21" t="n">
        <x:v>68.74368781705235</x:v>
      </x:c>
      <x:c r="G872" s="21" t="n">
        <x:f>F870</x:f>
        <x:v>58.27971723016892</x:v>
      </x:c>
      <x:c r="H872" s="21" t="n">
        <x:f>F876</x:f>
        <x:v>58.27971723016892</x:v>
      </x:c>
      <x:c r="I872" s="27" t="n">
        <x:f>IF(AND(ISNUMBER(G872),ISNUMBER(H872),H872&gt;0),G872/H872-1,"")</x:f>
        <x:v>0</x:v>
      </x:c>
      <x:c r="J872" s="27" t="n">
        <x:f>IF(AND(ISNUMBER(G872),F872&gt;0),G872/F872-1,"")</x:f>
        <x:v>-0.15221718413959995</x:v>
      </x:c>
      <x:c r="K872" s="19" t="str">
        <x:v>Exp_2/EXP029/results/seed954779777_NN-AGP_m_7.json</x:v>
      </x:c>
    </x:row>
    <x:row r="873" ht="15" hidden="0" customHeight="1">
      <x:c r="A873" s="3" t="str">
        <x:v>EXP029</x:v>
      </x:c>
      <x:c r="B873" s="3" t="str">
        <x:v>Exp. 2</x:v>
      </x:c>
      <x:c r="C873" s="18" t="n">
        <x:v>954779777</x:v>
      </x:c>
      <x:c r="D873" s="3" t="str">
        <x:v>Fixed rank 10</x:v>
      </x:c>
      <x:c r="E873" s="18" t="n">
        <x:v>200</x:v>
      </x:c>
      <x:c r="F873" s="21" t="n">
        <x:v>63.573684953994295</x:v>
      </x:c>
      <x:c r="G873" s="21" t="n">
        <x:f>F870</x:f>
        <x:v>58.27971723016892</x:v>
      </x:c>
      <x:c r="H873" s="21" t="n">
        <x:f>F876</x:f>
        <x:v>58.27971723016892</x:v>
      </x:c>
      <x:c r="I873" s="27" t="n">
        <x:f>IF(AND(ISNUMBER(G873),ISNUMBER(H873),H873&gt;0),G873/H873-1,"")</x:f>
        <x:v>0</x:v>
      </x:c>
      <x:c r="J873" s="27" t="n">
        <x:f>IF(AND(ISNUMBER(G873),F873&gt;0),G873/F873-1,"")</x:f>
        <x:v>-0.0832729411179548</x:v>
      </x:c>
      <x:c r="K873" s="19" t="str">
        <x:v>Exp_2/EXP029/results/seed954779777_Fixed_rank_10.json</x:v>
      </x:c>
    </x:row>
    <x:row r="874" ht="15" hidden="0" customHeight="1">
      <x:c r="A874" s="3" t="str">
        <x:v>EXP029</x:v>
      </x:c>
      <x:c r="B874" s="3" t="str">
        <x:v>Exp. 2</x:v>
      </x:c>
      <x:c r="C874" s="18" t="n">
        <x:v>954779777</x:v>
      </x:c>
      <x:c r="D874" s="3" t="str">
        <x:v>Fixed rank 25</x:v>
      </x:c>
      <x:c r="E874" s="18" t="n">
        <x:v>200</x:v>
      </x:c>
      <x:c r="F874" s="21" t="n">
        <x:v>58.27971723016892</x:v>
      </x:c>
      <x:c r="G874" s="21" t="n">
        <x:f>F870</x:f>
        <x:v>58.27971723016892</x:v>
      </x:c>
      <x:c r="H874" s="21" t="n">
        <x:f>F876</x:f>
        <x:v>58.27971723016892</x:v>
      </x:c>
      <x:c r="I874" s="27" t="n">
        <x:f>IF(AND(ISNUMBER(G874),ISNUMBER(H874),H874&gt;0),G874/H874-1,"")</x:f>
        <x:v>0</x:v>
      </x:c>
      <x:c r="J874" s="27" t="n">
        <x:f>IF(AND(ISNUMBER(G874),F874&gt;0),G874/F874-1,"")</x:f>
        <x:v>0</x:v>
      </x:c>
      <x:c r="K874" s="19" t="str">
        <x:v>Exp_2/EXP029/results/seed954779777_Fixed_rank_25.json</x:v>
      </x:c>
    </x:row>
    <x:row r="875" ht="15" hidden="0" customHeight="1">
      <x:c r="A875" s="3" t="str">
        <x:v>EXP029</x:v>
      </x:c>
      <x:c r="B875" s="3" t="str">
        <x:v>Exp. 2</x:v>
      </x:c>
      <x:c r="C875" s="18" t="n">
        <x:v>954779777</x:v>
      </x:c>
      <x:c r="D875" s="3" t="str">
        <x:v>Relative cutoff 1e-6</x:v>
      </x:c>
      <x:c r="E875" s="18" t="n">
        <x:v>200</x:v>
      </x:c>
      <x:c r="F875" s="21" t="n">
        <x:v>58.27971723016892</x:v>
      </x:c>
      <x:c r="G875" s="21" t="n">
        <x:f>F870</x:f>
        <x:v>58.27971723016892</x:v>
      </x:c>
      <x:c r="H875" s="21" t="n">
        <x:f>F876</x:f>
        <x:v>58.27971723016892</x:v>
      </x:c>
      <x:c r="I875" s="27" t="n">
        <x:f>IF(AND(ISNUMBER(G875),ISNUMBER(H875),H875&gt;0),G875/H875-1,"")</x:f>
        <x:v>0</x:v>
      </x:c>
      <x:c r="J875" s="27" t="n">
        <x:f>IF(AND(ISNUMBER(G875),F875&gt;0),G875/F875-1,"")</x:f>
        <x:v>0</x:v>
      </x:c>
      <x:c r="K875" s="19" t="str">
        <x:v>Exp_2/EXP029/results/seed954779777_Relative_cutoff_1e-6.json</x:v>
      </x:c>
    </x:row>
    <x:row r="876" ht="15" hidden="0" customHeight="1">
      <x:c r="A876" s="3" t="str">
        <x:v>EXP029</x:v>
      </x:c>
      <x:c r="B876" s="3" t="str">
        <x:v>Exp. 2</x:v>
      </x:c>
      <x:c r="C876" s="18" t="n">
        <x:v>954779777</x:v>
      </x:c>
      <x:c r="D876" s="3" t="str">
        <x:v>Full</x:v>
      </x:c>
      <x:c r="E876" s="18" t="n">
        <x:v>200</x:v>
      </x:c>
      <x:c r="F876" s="21" t="n">
        <x:v>58.27971723016892</x:v>
      </x:c>
      <x:c r="G876" s="21" t="n">
        <x:f>F870</x:f>
        <x:v>58.27971723016892</x:v>
      </x:c>
      <x:c r="H876" s="21" t="n">
        <x:f>F876</x:f>
        <x:v>58.27971723016892</x:v>
      </x:c>
      <x:c r="I876" s="27" t="n">
        <x:f>IF(AND(ISNUMBER(G876),ISNUMBER(H876),H876&gt;0),G876/H876-1,"")</x:f>
        <x:v>0</x:v>
      </x:c>
      <x:c r="J876" s="27" t="n">
        <x:f>IF(AND(ISNUMBER(G876),F876&gt;0),G876/F876-1,"")</x:f>
        <x:v>0</x:v>
      </x:c>
      <x:c r="K876" s="19" t="str">
        <x:v>Exp_2/EXP029/results/seed954779777_Full.json</x:v>
      </x:c>
    </x:row>
    <x:row r="877" ht="15" hidden="0" customHeight="1">
      <x:c r="A877" s="3" t="str">
        <x:v>EXP029</x:v>
      </x:c>
      <x:c r="B877" s="3" t="str">
        <x:v>Exp. 2</x:v>
      </x:c>
      <x:c r="C877" s="18" t="n">
        <x:v>954779777</x:v>
      </x:c>
      <x:c r="D877" s="3" t="str">
        <x:v>GP-UCB (weighted sum)</x:v>
      </x:c>
      <x:c r="E877" s="18" t="n">
        <x:v>200</x:v>
      </x:c>
      <x:c r="F877" s="21" t="n">
        <x:v>73.3721138777926</x:v>
      </x:c>
      <x:c r="G877" s="21" t="n">
        <x:f>F870</x:f>
        <x:v>58.27971723016892</x:v>
      </x:c>
      <x:c r="H877" s="21" t="n">
        <x:f>F876</x:f>
        <x:v>58.27971723016892</x:v>
      </x:c>
      <x:c r="I877" s="27" t="n">
        <x:f>IF(AND(ISNUMBER(G877),ISNUMBER(H877),H877&gt;0),G877/H877-1,"")</x:f>
        <x:v>0</x:v>
      </x:c>
      <x:c r="J877" s="27" t="n">
        <x:f>IF(AND(ISNUMBER(G877),F877&gt;0),G877/F877-1,"")</x:f>
        <x:v>-0.20569663118553916</x:v>
      </x:c>
      <x:c r="K877" s="19" t="str">
        <x:v>Exp_2/EXP029/results/seed954779777_GP-UCB_weighted_sum.json</x:v>
      </x:c>
    </x:row>
    <x:row r="878" ht="15" hidden="0" customHeight="1">
      <x:c r="A878" s="3" t="str">
        <x:v>EXP029</x:v>
      </x:c>
      <x:c r="B878" s="3" t="str">
        <x:v>Exp. 2</x:v>
      </x:c>
      <x:c r="C878" s="18" t="n">
        <x:v>954779777</x:v>
      </x:c>
      <x:c r="D878" s="3" t="str">
        <x:v>GP-UCB (product)</x:v>
      </x:c>
      <x:c r="E878" s="18" t="n">
        <x:v>200</x:v>
      </x:c>
      <x:c r="F878" s="21" t="n">
        <x:v>70.70624806738107</x:v>
      </x:c>
      <x:c r="G878" s="21" t="n">
        <x:f>F870</x:f>
        <x:v>58.27971723016892</x:v>
      </x:c>
      <x:c r="H878" s="21" t="n">
        <x:f>F876</x:f>
        <x:v>58.27971723016892</x:v>
      </x:c>
      <x:c r="I878" s="27" t="n">
        <x:f>IF(AND(ISNUMBER(G878),ISNUMBER(H878),H878&gt;0),G878/H878-1,"")</x:f>
        <x:v>0</x:v>
      </x:c>
      <x:c r="J878" s="27" t="n">
        <x:f>IF(AND(ISNUMBER(G878),F878&gt;0),G878/F878-1,"")</x:f>
        <x:v>-0.17574869515590774</x:v>
      </x:c>
      <x:c r="K878" s="19" t="str">
        <x:v>Exp_2/EXP029/results/seed954779777_GP-UCB_product.json</x:v>
      </x:c>
    </x:row>
    <x:row r="879" ht="15" hidden="0" customHeight="1">
      <x:c r="A879" s="3" t="str">
        <x:v>EXP029</x:v>
      </x:c>
      <x:c r="B879" s="3" t="str">
        <x:v>Exp. 2</x:v>
      </x:c>
      <x:c r="C879" s="18" t="n">
        <x:v>954779777</x:v>
      </x:c>
      <x:c r="D879" s="3" t="str">
        <x:v>NeuralUCB</x:v>
      </x:c>
      <x:c r="E879" s="18" t="n">
        <x:v>200</x:v>
      </x:c>
      <x:c r="F879" s="21" t="n">
        <x:v>76.18744352937794</x:v>
      </x:c>
      <x:c r="G879" s="21" t="n">
        <x:f>F870</x:f>
        <x:v>58.27971723016892</x:v>
      </x:c>
      <x:c r="H879" s="21" t="n">
        <x:f>F876</x:f>
        <x:v>58.27971723016892</x:v>
      </x:c>
      <x:c r="I879" s="27" t="n">
        <x:f>IF(AND(ISNUMBER(G879),ISNUMBER(H879),H879&gt;0),G879/H879-1,"")</x:f>
        <x:v>0</x:v>
      </x:c>
      <x:c r="J879" s="27" t="n">
        <x:f>IF(AND(ISNUMBER(G879),F879&gt;0),G879/F879-1,"")</x:f>
        <x:v>-0.2350482634622566</x:v>
      </x:c>
      <x:c r="K879" s="19" t="str">
        <x:v>Exp_2/EXP029/results/seed954779777_NeuralUCB.json</x:v>
      </x:c>
    </x:row>
    <x:row r="880" ht="15" hidden="0" customHeight="1">
      <x:c r="A880" s="3" t="str">
        <x:v>EXP029</x:v>
      </x:c>
      <x:c r="B880" s="3" t="str">
        <x:v>Exp. 2</x:v>
      </x:c>
      <x:c r="C880" s="18" t="n">
        <x:v>954779777</x:v>
      </x:c>
      <x:c r="D880" s="3" t="str">
        <x:v>NN-UCB</x:v>
      </x:c>
      <x:c r="E880" s="18" t="n">
        <x:v>200</x:v>
      </x:c>
      <x:c r="F880" s="21" t="n">
        <x:v>74.59907092264616</x:v>
      </x:c>
      <x:c r="G880" s="21" t="n">
        <x:f>F870</x:f>
        <x:v>58.27971723016892</x:v>
      </x:c>
      <x:c r="H880" s="21" t="n">
        <x:f>F876</x:f>
        <x:v>58.27971723016892</x:v>
      </x:c>
      <x:c r="I880" s="27" t="n">
        <x:f>IF(AND(ISNUMBER(G880),ISNUMBER(H880),H880&gt;0),G880/H880-1,"")</x:f>
        <x:v>0</x:v>
      </x:c>
      <x:c r="J880" s="27" t="n">
        <x:f>IF(AND(ISNUMBER(G880),F880&gt;0),G880/F880-1,"")</x:f>
        <x:v>-0.2187608168659263</x:v>
      </x:c>
      <x:c r="K880" s="19" t="str">
        <x:v>Exp_2/EXP029/results/seed954779777_NN-UCB.json</x:v>
      </x:c>
    </x:row>
    <x:row r="881" ht="15" hidden="0" customHeight="1">
      <x:c r="A881" s="3" t="str">
        <x:v>EXP029</x:v>
      </x:c>
      <x:c r="B881" s="3" t="str">
        <x:v>Exp. 2</x:v>
      </x:c>
      <x:c r="C881" s="18" t="n">
        <x:v>954779777</x:v>
      </x:c>
      <x:c r="D881" s="3" t="str">
        <x:v>Relative cutoff 1e-2</x:v>
      </x:c>
      <x:c r="E881" s="18" t="n">
        <x:v>200</x:v>
      </x:c>
      <x:c r="F881" s="21" t="n">
        <x:v>64.56885827545591</x:v>
      </x:c>
      <x:c r="G881" s="21" t="n">
        <x:f>F870</x:f>
        <x:v>58.27971723016892</x:v>
      </x:c>
      <x:c r="H881" s="21" t="n">
        <x:f>F876</x:f>
        <x:v>58.27971723016892</x:v>
      </x:c>
      <x:c r="I881" s="27" t="n">
        <x:f>IF(AND(ISNUMBER(G881),ISNUMBER(H881),H881&gt;0),G881/H881-1,"")</x:f>
        <x:v>0</x:v>
      </x:c>
      <x:c r="J881" s="27" t="n">
        <x:f>IF(AND(ISNUMBER(G881),F881&gt;0),G881/F881-1,"")</x:f>
        <x:v>-0.09740207916418486</x:v>
      </x:c>
      <x:c r="K881" s="19" t="str">
        <x:v>Exp_2/EXP029/results/seed954779777_Relative_cutoff_1e-2.json</x:v>
      </x:c>
    </x:row>
    <x:row r="882" ht="15" hidden="0" customHeight="1">
      <x:c r="A882" s="3" t="str">
        <x:v>EXP029</x:v>
      </x:c>
      <x:c r="B882" s="3" t="str">
        <x:v>Exp. 2</x:v>
      </x:c>
      <x:c r="C882" s="18" t="n">
        <x:v>954779777</x:v>
      </x:c>
      <x:c r="D882" s="3" t="str">
        <x:v>Relative cutoff 1e-4</x:v>
      </x:c>
      <x:c r="E882" s="18" t="n">
        <x:v>200</x:v>
      </x:c>
      <x:c r="F882" s="21" t="n">
        <x:v>58.27971723016892</x:v>
      </x:c>
      <x:c r="G882" s="21" t="n">
        <x:f>F870</x:f>
        <x:v>58.27971723016892</x:v>
      </x:c>
      <x:c r="H882" s="21" t="n">
        <x:f>F876</x:f>
        <x:v>58.27971723016892</x:v>
      </x:c>
      <x:c r="I882" s="27" t="n">
        <x:f>IF(AND(ISNUMBER(G882),ISNUMBER(H882),H882&gt;0),G882/H882-1,"")</x:f>
        <x:v>0</x:v>
      </x:c>
      <x:c r="J882" s="27" t="n">
        <x:f>IF(AND(ISNUMBER(G882),F882&gt;0),G882/F882-1,"")</x:f>
        <x:v>0</x:v>
      </x:c>
      <x:c r="K882" s="19" t="str">
        <x:v>Exp_2/EXP029/results/seed954779777_Relative_cutoff_1e-4.json</x:v>
      </x:c>
    </x:row>
    <x:row r="883" ht="15" hidden="0" customHeight="1">
      <x:c r="A883" s="3" t="str">
        <x:v>EXP029</x:v>
      </x:c>
      <x:c r="B883" s="3" t="str">
        <x:v>Exp. 2</x:v>
      </x:c>
      <x:c r="C883" s="18" t="n">
        <x:v>1084613802</x:v>
      </x:c>
      <x:c r="D883" s="3" t="str">
        <x:v>BBP</x:v>
      </x:c>
      <x:c r="E883" s="18" t="n">
        <x:v>200</x:v>
      </x:c>
      <x:c r="F883" s="21" t="n">
        <x:v>61.75463990069174</x:v>
      </x:c>
      <x:c r="G883" s="21" t="n">
        <x:f>F883</x:f>
        <x:v>61.75463990069174</x:v>
      </x:c>
      <x:c r="H883" s="21" t="n">
        <x:f>F889</x:f>
        <x:v>61.938607192217944</x:v>
      </x:c>
      <x:c r="I883" s="27" t="n">
        <x:f>IF(AND(ISNUMBER(G883),ISNUMBER(H883),H883&gt;0),G883/H883-1,"")</x:f>
        <x:v>-0.0029701554469134805</x:v>
      </x:c>
      <x:c r="J883" s="27" t="n">
        <x:f>IF(AND(ISNUMBER(G883),F883&gt;0),G883/F883-1,"")</x:f>
        <x:v>0</x:v>
      </x:c>
      <x:c r="K883" s="19" t="str">
        <x:v>Exp_2/EXP029/results/seed1084613802_BBP.json</x:v>
      </x:c>
    </x:row>
    <x:row r="884" ht="15" hidden="0" customHeight="1">
      <x:c r="A884" s="3" t="str">
        <x:v>EXP029</x:v>
      </x:c>
      <x:c r="B884" s="3" t="str">
        <x:v>Exp. 2</x:v>
      </x:c>
      <x:c r="C884" s="18" t="n">
        <x:v>1084613802</x:v>
      </x:c>
      <x:c r="D884" s="3" t="str">
        <x:v>Relative cutoff 1e-5</x:v>
      </x:c>
      <x:c r="E884" s="18" t="n">
        <x:v>200</x:v>
      </x:c>
      <x:c r="F884" s="21" t="n">
        <x:v>61.75463990069174</x:v>
      </x:c>
      <x:c r="G884" s="21" t="n">
        <x:f>F883</x:f>
        <x:v>61.75463990069174</x:v>
      </x:c>
      <x:c r="H884" s="21" t="n">
        <x:f>F889</x:f>
        <x:v>61.938607192217944</x:v>
      </x:c>
      <x:c r="I884" s="27" t="n">
        <x:f>IF(AND(ISNUMBER(G884),ISNUMBER(H884),H884&gt;0),G884/H884-1,"")</x:f>
        <x:v>-0.0029701554469134805</x:v>
      </x:c>
      <x:c r="J884" s="27" t="n">
        <x:f>IF(AND(ISNUMBER(G884),F884&gt;0),G884/F884-1,"")</x:f>
        <x:v>0</x:v>
      </x:c>
      <x:c r="K884" s="19" t="str">
        <x:v>Exp_2/EXP029/results/seed1084613802_Relative_cutoff_1e-5.json</x:v>
      </x:c>
    </x:row>
    <x:row r="885" ht="15" hidden="0" customHeight="1">
      <x:c r="A885" s="3" t="str">
        <x:v>EXP029</x:v>
      </x:c>
      <x:c r="B885" s="3" t="str">
        <x:v>Exp. 2</x:v>
      </x:c>
      <x:c r="C885" s="18" t="n">
        <x:v>1084613802</x:v>
      </x:c>
      <x:c r="D885" s="3" t="str">
        <x:v>NN-AGP (m=7)</x:v>
      </x:c>
      <x:c r="E885" s="18" t="n">
        <x:v>200</x:v>
      </x:c>
      <x:c r="F885" s="21" t="n">
        <x:v>83.78652308633559</x:v>
      </x:c>
      <x:c r="G885" s="21" t="n">
        <x:f>F883</x:f>
        <x:v>61.75463990069174</x:v>
      </x:c>
      <x:c r="H885" s="21" t="n">
        <x:f>F889</x:f>
        <x:v>61.938607192217944</x:v>
      </x:c>
      <x:c r="I885" s="27" t="n">
        <x:f>IF(AND(ISNUMBER(G885),ISNUMBER(H885),H885&gt;0),G885/H885-1,"")</x:f>
        <x:v>-0.0029701554469134805</x:v>
      </x:c>
      <x:c r="J885" s="27" t="n">
        <x:f>IF(AND(ISNUMBER(G885),F885&gt;0),G885/F885-1,"")</x:f>
        <x:v>-0.2629525892003143</x:v>
      </x:c>
      <x:c r="K885" s="19" t="str">
        <x:v>Exp_2/EXP029/results/seed1084613802_NN-AGP_m_7.json</x:v>
      </x:c>
    </x:row>
    <x:row r="886" ht="15" hidden="0" customHeight="1">
      <x:c r="A886" s="3" t="str">
        <x:v>EXP029</x:v>
      </x:c>
      <x:c r="B886" s="3" t="str">
        <x:v>Exp. 2</x:v>
      </x:c>
      <x:c r="C886" s="18" t="n">
        <x:v>1084613802</x:v>
      </x:c>
      <x:c r="D886" s="3" t="str">
        <x:v>Fixed rank 10</x:v>
      </x:c>
      <x:c r="E886" s="18" t="n">
        <x:v>200</x:v>
      </x:c>
      <x:c r="F886" s="21" t="n">
        <x:v>60.230888121213944</x:v>
      </x:c>
      <x:c r="G886" s="21" t="n">
        <x:f>F883</x:f>
        <x:v>61.75463990069174</x:v>
      </x:c>
      <x:c r="H886" s="21" t="n">
        <x:f>F889</x:f>
        <x:v>61.938607192217944</x:v>
      </x:c>
      <x:c r="I886" s="27" t="n">
        <x:f>IF(AND(ISNUMBER(G886),ISNUMBER(H886),H886&gt;0),G886/H886-1,"")</x:f>
        <x:v>-0.0029701554469134805</x:v>
      </x:c>
      <x:c r="J886" s="27" t="n">
        <x:f>IF(AND(ISNUMBER(G886),F886&gt;0),G886/F886-1,"")</x:f>
        <x:v>0.025298510897120874</x:v>
      </x:c>
      <x:c r="K886" s="19" t="str">
        <x:v>Exp_2/EXP029/results/seed1084613802_Fixed_rank_10.json</x:v>
      </x:c>
    </x:row>
    <x:row r="887" ht="15" hidden="0" customHeight="1">
      <x:c r="A887" s="3" t="str">
        <x:v>EXP029</x:v>
      </x:c>
      <x:c r="B887" s="3" t="str">
        <x:v>Exp. 2</x:v>
      </x:c>
      <x:c r="C887" s="18" t="n">
        <x:v>1084613802</x:v>
      </x:c>
      <x:c r="D887" s="3" t="str">
        <x:v>Fixed rank 25</x:v>
      </x:c>
      <x:c r="E887" s="18" t="n">
        <x:v>200</x:v>
      </x:c>
      <x:c r="F887" s="21" t="n">
        <x:v>61.75463990069174</x:v>
      </x:c>
      <x:c r="G887" s="21" t="n">
        <x:f>F883</x:f>
        <x:v>61.75463990069174</x:v>
      </x:c>
      <x:c r="H887" s="21" t="n">
        <x:f>F889</x:f>
        <x:v>61.938607192217944</x:v>
      </x:c>
      <x:c r="I887" s="27" t="n">
        <x:f>IF(AND(ISNUMBER(G887),ISNUMBER(H887),H887&gt;0),G887/H887-1,"")</x:f>
        <x:v>-0.0029701554469134805</x:v>
      </x:c>
      <x:c r="J887" s="27" t="n">
        <x:f>IF(AND(ISNUMBER(G887),F887&gt;0),G887/F887-1,"")</x:f>
        <x:v>0</x:v>
      </x:c>
      <x:c r="K887" s="19" t="str">
        <x:v>Exp_2/EXP029/results/seed1084613802_Fixed_rank_25.json</x:v>
      </x:c>
    </x:row>
    <x:row r="888" ht="15" hidden="0" customHeight="1">
      <x:c r="A888" s="3" t="str">
        <x:v>EXP029</x:v>
      </x:c>
      <x:c r="B888" s="3" t="str">
        <x:v>Exp. 2</x:v>
      </x:c>
      <x:c r="C888" s="18" t="n">
        <x:v>1084613802</x:v>
      </x:c>
      <x:c r="D888" s="3" t="str">
        <x:v>Relative cutoff 1e-6</x:v>
      </x:c>
      <x:c r="E888" s="18" t="n">
        <x:v>200</x:v>
      </x:c>
      <x:c r="F888" s="21" t="n">
        <x:v>61.75463990069174</x:v>
      </x:c>
      <x:c r="G888" s="21" t="n">
        <x:f>F883</x:f>
        <x:v>61.75463990069174</x:v>
      </x:c>
      <x:c r="H888" s="21" t="n">
        <x:f>F889</x:f>
        <x:v>61.938607192217944</x:v>
      </x:c>
      <x:c r="I888" s="27" t="n">
        <x:f>IF(AND(ISNUMBER(G888),ISNUMBER(H888),H888&gt;0),G888/H888-1,"")</x:f>
        <x:v>-0.0029701554469134805</x:v>
      </x:c>
      <x:c r="J888" s="27" t="n">
        <x:f>IF(AND(ISNUMBER(G888),F888&gt;0),G888/F888-1,"")</x:f>
        <x:v>0</x:v>
      </x:c>
      <x:c r="K888" s="19" t="str">
        <x:v>Exp_2/EXP029/results/seed1084613802_Relative_cutoff_1e-6.json</x:v>
      </x:c>
    </x:row>
    <x:row r="889" ht="15" hidden="0" customHeight="1">
      <x:c r="A889" s="3" t="str">
        <x:v>EXP029</x:v>
      </x:c>
      <x:c r="B889" s="3" t="str">
        <x:v>Exp. 2</x:v>
      </x:c>
      <x:c r="C889" s="18" t="n">
        <x:v>1084613802</x:v>
      </x:c>
      <x:c r="D889" s="3" t="str">
        <x:v>Full</x:v>
      </x:c>
      <x:c r="E889" s="18" t="n">
        <x:v>200</x:v>
      </x:c>
      <x:c r="F889" s="21" t="n">
        <x:v>61.938607192217944</x:v>
      </x:c>
      <x:c r="G889" s="21" t="n">
        <x:f>F883</x:f>
        <x:v>61.75463990069174</x:v>
      </x:c>
      <x:c r="H889" s="21" t="n">
        <x:f>F889</x:f>
        <x:v>61.938607192217944</x:v>
      </x:c>
      <x:c r="I889" s="27" t="n">
        <x:f>IF(AND(ISNUMBER(G889),ISNUMBER(H889),H889&gt;0),G889/H889-1,"")</x:f>
        <x:v>-0.0029701554469134805</x:v>
      </x:c>
      <x:c r="J889" s="27" t="n">
        <x:f>IF(AND(ISNUMBER(G889),F889&gt;0),G889/F889-1,"")</x:f>
        <x:v>-0.0029701554469134805</x:v>
      </x:c>
      <x:c r="K889" s="19" t="str">
        <x:v>Exp_2/EXP029/results/seed1084613802_Full.json</x:v>
      </x:c>
    </x:row>
    <x:row r="890" ht="15" hidden="0" customHeight="1">
      <x:c r="A890" s="3" t="str">
        <x:v>EXP029</x:v>
      </x:c>
      <x:c r="B890" s="3" t="str">
        <x:v>Exp. 2</x:v>
      </x:c>
      <x:c r="C890" s="18" t="n">
        <x:v>1084613802</x:v>
      </x:c>
      <x:c r="D890" s="3" t="str">
        <x:v>GP-UCB (weighted sum)</x:v>
      </x:c>
      <x:c r="E890" s="18" t="n">
        <x:v>200</x:v>
      </x:c>
      <x:c r="F890" s="21" t="n">
        <x:v>96.1511623122762</x:v>
      </x:c>
      <x:c r="G890" s="21" t="n">
        <x:f>F883</x:f>
        <x:v>61.75463990069174</x:v>
      </x:c>
      <x:c r="H890" s="21" t="n">
        <x:f>F889</x:f>
        <x:v>61.938607192217944</x:v>
      </x:c>
      <x:c r="I890" s="27" t="n">
        <x:f>IF(AND(ISNUMBER(G890),ISNUMBER(H890),H890&gt;0),G890/H890-1,"")</x:f>
        <x:v>-0.0029701554469134805</x:v>
      </x:c>
      <x:c r="J890" s="27" t="n">
        <x:f>IF(AND(ISNUMBER(G890),F890&gt;0),G890/F890-1,"")</x:f>
        <x:v>-0.3577338181297559</x:v>
      </x:c>
      <x:c r="K890" s="19" t="str">
        <x:v>Exp_2/EXP029/results/seed1084613802_GP-UCB_weighted_sum.json</x:v>
      </x:c>
    </x:row>
    <x:row r="891" ht="15" hidden="0" customHeight="1">
      <x:c r="A891" s="3" t="str">
        <x:v>EXP029</x:v>
      </x:c>
      <x:c r="B891" s="3" t="str">
        <x:v>Exp. 2</x:v>
      </x:c>
      <x:c r="C891" s="18" t="n">
        <x:v>1084613802</x:v>
      </x:c>
      <x:c r="D891" s="3" t="str">
        <x:v>GP-UCB (product)</x:v>
      </x:c>
      <x:c r="E891" s="18" t="n">
        <x:v>200</x:v>
      </x:c>
      <x:c r="F891" s="21" t="n">
        <x:v>105.3737804904571</x:v>
      </x:c>
      <x:c r="G891" s="21" t="n">
        <x:f>F883</x:f>
        <x:v>61.75463990069174</x:v>
      </x:c>
      <x:c r="H891" s="21" t="n">
        <x:f>F889</x:f>
        <x:v>61.938607192217944</x:v>
      </x:c>
      <x:c r="I891" s="27" t="n">
        <x:f>IF(AND(ISNUMBER(G891),ISNUMBER(H891),H891&gt;0),G891/H891-1,"")</x:f>
        <x:v>-0.0029701554469134805</x:v>
      </x:c>
      <x:c r="J891" s="27" t="n">
        <x:f>IF(AND(ISNUMBER(G891),F891&gt;0),G891/F891-1,"")</x:f>
        <x:v>-0.4139468128289808</x:v>
      </x:c>
      <x:c r="K891" s="19" t="str">
        <x:v>Exp_2/EXP029/results/seed1084613802_GP-UCB_product.json</x:v>
      </x:c>
    </x:row>
    <x:row r="892" ht="15" hidden="0" customHeight="1">
      <x:c r="A892" s="3" t="str">
        <x:v>EXP029</x:v>
      </x:c>
      <x:c r="B892" s="3" t="str">
        <x:v>Exp. 2</x:v>
      </x:c>
      <x:c r="C892" s="18" t="n">
        <x:v>1084613802</x:v>
      </x:c>
      <x:c r="D892" s="3" t="str">
        <x:v>NeuralUCB</x:v>
      </x:c>
      <x:c r="E892" s="18" t="n">
        <x:v>200</x:v>
      </x:c>
      <x:c r="F892" s="21" t="n">
        <x:v>114.18721768898783</x:v>
      </x:c>
      <x:c r="G892" s="21" t="n">
        <x:f>F883</x:f>
        <x:v>61.75463990069174</x:v>
      </x:c>
      <x:c r="H892" s="21" t="n">
        <x:f>F889</x:f>
        <x:v>61.938607192217944</x:v>
      </x:c>
      <x:c r="I892" s="27" t="n">
        <x:f>IF(AND(ISNUMBER(G892),ISNUMBER(H892),H892&gt;0),G892/H892-1,"")</x:f>
        <x:v>-0.0029701554469134805</x:v>
      </x:c>
      <x:c r="J892" s="27" t="n">
        <x:f>IF(AND(ISNUMBER(G892),F892&gt;0),G892/F892-1,"")</x:f>
        <x:v>-0.4591807984244515</x:v>
      </x:c>
      <x:c r="K892" s="19" t="str">
        <x:v>Exp_2/EXP029/results/seed1084613802_NeuralUCB.json</x:v>
      </x:c>
    </x:row>
    <x:row r="893" ht="15" hidden="0" customHeight="1">
      <x:c r="A893" s="3" t="str">
        <x:v>EXP029</x:v>
      </x:c>
      <x:c r="B893" s="3" t="str">
        <x:v>Exp. 2</x:v>
      </x:c>
      <x:c r="C893" s="18" t="n">
        <x:v>1084613802</x:v>
      </x:c>
      <x:c r="D893" s="3" t="str">
        <x:v>NN-UCB</x:v>
      </x:c>
      <x:c r="E893" s="18" t="n">
        <x:v>200</x:v>
      </x:c>
      <x:c r="F893" s="21" t="n">
        <x:v>111.77746937950874</x:v>
      </x:c>
      <x:c r="G893" s="21" t="n">
        <x:f>F883</x:f>
        <x:v>61.75463990069174</x:v>
      </x:c>
      <x:c r="H893" s="21" t="n">
        <x:f>F889</x:f>
        <x:v>61.938607192217944</x:v>
      </x:c>
      <x:c r="I893" s="27" t="n">
        <x:f>IF(AND(ISNUMBER(G893),ISNUMBER(H893),H893&gt;0),G893/H893-1,"")</x:f>
        <x:v>-0.0029701554469134805</x:v>
      </x:c>
      <x:c r="J893" s="27" t="n">
        <x:f>IF(AND(ISNUMBER(G893),F893&gt;0),G893/F893-1,"")</x:f>
        <x:v>-0.44752157797542047</x:v>
      </x:c>
      <x:c r="K893" s="19" t="str">
        <x:v>Exp_2/EXP029/results/seed1084613802_NN-UCB.json</x:v>
      </x:c>
    </x:row>
    <x:row r="894" ht="15" hidden="0" customHeight="1">
      <x:c r="A894" s="3" t="str">
        <x:v>EXP029</x:v>
      </x:c>
      <x:c r="B894" s="3" t="str">
        <x:v>Exp. 2</x:v>
      </x:c>
      <x:c r="C894" s="18" t="n">
        <x:v>1084613802</x:v>
      </x:c>
      <x:c r="D894" s="3" t="str">
        <x:v>Relative cutoff 1e-2</x:v>
      </x:c>
      <x:c r="E894" s="18" t="n">
        <x:v>200</x:v>
      </x:c>
      <x:c r="F894" s="21" t="n">
        <x:v>62.0033969654057</x:v>
      </x:c>
      <x:c r="G894" s="21" t="n">
        <x:f>F883</x:f>
        <x:v>61.75463990069174</x:v>
      </x:c>
      <x:c r="H894" s="21" t="n">
        <x:f>F889</x:f>
        <x:v>61.938607192217944</x:v>
      </x:c>
      <x:c r="I894" s="27" t="n">
        <x:f>IF(AND(ISNUMBER(G894),ISNUMBER(H894),H894&gt;0),G894/H894-1,"")</x:f>
        <x:v>-0.0029701554469134805</x:v>
      </x:c>
      <x:c r="J894" s="27" t="n">
        <x:f>IF(AND(ISNUMBER(G894),F894&gt;0),G894/F894-1,"")</x:f>
        <x:v>-0.004011990905155582</x:v>
      </x:c>
      <x:c r="K894" s="19" t="str">
        <x:v>Exp_2/EXP029/results/seed1084613802_Relative_cutoff_1e-2.json</x:v>
      </x:c>
    </x:row>
    <x:row r="895" ht="15" hidden="0" customHeight="1">
      <x:c r="A895" s="3" t="str">
        <x:v>EXP029</x:v>
      </x:c>
      <x:c r="B895" s="3" t="str">
        <x:v>Exp. 2</x:v>
      </x:c>
      <x:c r="C895" s="18" t="n">
        <x:v>1084613802</x:v>
      </x:c>
      <x:c r="D895" s="3" t="str">
        <x:v>Relative cutoff 1e-4</x:v>
      </x:c>
      <x:c r="E895" s="18" t="n">
        <x:v>200</x:v>
      </x:c>
      <x:c r="F895" s="21" t="n">
        <x:v>59.48455605949112</x:v>
      </x:c>
      <x:c r="G895" s="21" t="n">
        <x:f>F883</x:f>
        <x:v>61.75463990069174</x:v>
      </x:c>
      <x:c r="H895" s="21" t="n">
        <x:f>F889</x:f>
        <x:v>61.938607192217944</x:v>
      </x:c>
      <x:c r="I895" s="27" t="n">
        <x:f>IF(AND(ISNUMBER(G895),ISNUMBER(H895),H895&gt;0),G895/H895-1,"")</x:f>
        <x:v>-0.0029701554469134805</x:v>
      </x:c>
      <x:c r="J895" s="27" t="n">
        <x:f>IF(AND(ISNUMBER(G895),F895&gt;0),G895/F895-1,"")</x:f>
        <x:v>0.03816257515531074</x:v>
      </x:c>
      <x:c r="K895" s="19" t="str">
        <x:v>Exp_2/EXP029/results/seed1084613802_Relative_cutoff_1e-4.json</x:v>
      </x:c>
    </x:row>
    <x:row r="896" ht="15" hidden="0" customHeight="1">
      <x:c r="A896" s="3" t="str">
        <x:v>EXP029</x:v>
      </x:c>
      <x:c r="B896" s="3" t="str">
        <x:v>Exp. 2</x:v>
      </x:c>
      <x:c r="C896" s="18" t="n">
        <x:v>1390358485</x:v>
      </x:c>
      <x:c r="D896" s="3" t="str">
        <x:v>BBP</x:v>
      </x:c>
      <x:c r="E896" s="18" t="n">
        <x:v>200</x:v>
      </x:c>
      <x:c r="F896" s="21" t="n">
        <x:v>44.54043365192232</x:v>
      </x:c>
      <x:c r="G896" s="21" t="n">
        <x:f>F896</x:f>
        <x:v>44.54043365192232</x:v>
      </x:c>
      <x:c r="H896" s="21" t="n">
        <x:f>F902</x:f>
        <x:v>44.54043365192232</x:v>
      </x:c>
      <x:c r="I896" s="27" t="n">
        <x:f>IF(AND(ISNUMBER(G896),ISNUMBER(H896),H896&gt;0),G896/H896-1,"")</x:f>
        <x:v>0</x:v>
      </x:c>
      <x:c r="J896" s="27" t="n">
        <x:f>IF(AND(ISNUMBER(G896),F896&gt;0),G896/F896-1,"")</x:f>
        <x:v>0</x:v>
      </x:c>
      <x:c r="K896" s="19" t="str">
        <x:v>Exp_2/EXP029/results/seed1390358485_BBP.json</x:v>
      </x:c>
    </x:row>
    <x:row r="897" ht="15" hidden="0" customHeight="1">
      <x:c r="A897" s="3" t="str">
        <x:v>EXP029</x:v>
      </x:c>
      <x:c r="B897" s="3" t="str">
        <x:v>Exp. 2</x:v>
      </x:c>
      <x:c r="C897" s="18" t="n">
        <x:v>1390358485</x:v>
      </x:c>
      <x:c r="D897" s="3" t="str">
        <x:v>Relative cutoff 1e-5</x:v>
      </x:c>
      <x:c r="E897" s="18" t="n">
        <x:v>200</x:v>
      </x:c>
      <x:c r="F897" s="21" t="n">
        <x:v>44.54043365192232</x:v>
      </x:c>
      <x:c r="G897" s="21" t="n">
        <x:f>F896</x:f>
        <x:v>44.54043365192232</x:v>
      </x:c>
      <x:c r="H897" s="21" t="n">
        <x:f>F902</x:f>
        <x:v>44.54043365192232</x:v>
      </x:c>
      <x:c r="I897" s="27" t="n">
        <x:f>IF(AND(ISNUMBER(G897),ISNUMBER(H897),H897&gt;0),G897/H897-1,"")</x:f>
        <x:v>0</x:v>
      </x:c>
      <x:c r="J897" s="27" t="n">
        <x:f>IF(AND(ISNUMBER(G897),F897&gt;0),G897/F897-1,"")</x:f>
        <x:v>0</x:v>
      </x:c>
      <x:c r="K897" s="19" t="str">
        <x:v>Exp_2/EXP029/results/seed1390358485_Relative_cutoff_1e-5.json</x:v>
      </x:c>
    </x:row>
    <x:row r="898" ht="15" hidden="0" customHeight="1">
      <x:c r="A898" s="3" t="str">
        <x:v>EXP029</x:v>
      </x:c>
      <x:c r="B898" s="3" t="str">
        <x:v>Exp. 2</x:v>
      </x:c>
      <x:c r="C898" s="18" t="n">
        <x:v>1390358485</x:v>
      </x:c>
      <x:c r="D898" s="3" t="str">
        <x:v>NN-AGP (m=7)</x:v>
      </x:c>
      <x:c r="E898" s="18" t="n">
        <x:v>200</x:v>
      </x:c>
      <x:c r="F898" s="21" t="n">
        <x:v>49.97809235610658</x:v>
      </x:c>
      <x:c r="G898" s="21" t="n">
        <x:f>F896</x:f>
        <x:v>44.54043365192232</x:v>
      </x:c>
      <x:c r="H898" s="21" t="n">
        <x:f>F902</x:f>
        <x:v>44.54043365192232</x:v>
      </x:c>
      <x:c r="I898" s="27" t="n">
        <x:f>IF(AND(ISNUMBER(G898),ISNUMBER(H898),H898&gt;0),G898/H898-1,"")</x:f>
        <x:v>0</x:v>
      </x:c>
      <x:c r="J898" s="27" t="n">
        <x:f>IF(AND(ISNUMBER(G898),F898&gt;0),G898/F898-1,"")</x:f>
        <x:v>-0.10880084548724989</x:v>
      </x:c>
      <x:c r="K898" s="19" t="str">
        <x:v>Exp_2/EXP029/results/seed1390358485_NN-AGP_m_7.json</x:v>
      </x:c>
    </x:row>
    <x:row r="899" ht="15" hidden="0" customHeight="1">
      <x:c r="A899" s="3" t="str">
        <x:v>EXP029</x:v>
      </x:c>
      <x:c r="B899" s="3" t="str">
        <x:v>Exp. 2</x:v>
      </x:c>
      <x:c r="C899" s="18" t="n">
        <x:v>1390358485</x:v>
      </x:c>
      <x:c r="D899" s="3" t="str">
        <x:v>Fixed rank 10</x:v>
      </x:c>
      <x:c r="E899" s="18" t="n">
        <x:v>200</x:v>
      </x:c>
      <x:c r="F899" s="21" t="n">
        <x:v>44.54043365192232</x:v>
      </x:c>
      <x:c r="G899" s="21" t="n">
        <x:f>F896</x:f>
        <x:v>44.54043365192232</x:v>
      </x:c>
      <x:c r="H899" s="21" t="n">
        <x:f>F902</x:f>
        <x:v>44.54043365192232</x:v>
      </x:c>
      <x:c r="I899" s="27" t="n">
        <x:f>IF(AND(ISNUMBER(G899),ISNUMBER(H899),H899&gt;0),G899/H899-1,"")</x:f>
        <x:v>0</x:v>
      </x:c>
      <x:c r="J899" s="27" t="n">
        <x:f>IF(AND(ISNUMBER(G899),F899&gt;0),G899/F899-1,"")</x:f>
        <x:v>0</x:v>
      </x:c>
      <x:c r="K899" s="19" t="str">
        <x:v>Exp_2/EXP029/results/seed1390358485_Fixed_rank_10.json</x:v>
      </x:c>
    </x:row>
    <x:row r="900" ht="15" hidden="0" customHeight="1">
      <x:c r="A900" s="3" t="str">
        <x:v>EXP029</x:v>
      </x:c>
      <x:c r="B900" s="3" t="str">
        <x:v>Exp. 2</x:v>
      </x:c>
      <x:c r="C900" s="18" t="n">
        <x:v>1390358485</x:v>
      </x:c>
      <x:c r="D900" s="3" t="str">
        <x:v>Fixed rank 25</x:v>
      </x:c>
      <x:c r="E900" s="18" t="n">
        <x:v>200</x:v>
      </x:c>
      <x:c r="F900" s="21" t="n">
        <x:v>44.54043365192232</x:v>
      </x:c>
      <x:c r="G900" s="21" t="n">
        <x:f>F896</x:f>
        <x:v>44.54043365192232</x:v>
      </x:c>
      <x:c r="H900" s="21" t="n">
        <x:f>F902</x:f>
        <x:v>44.54043365192232</x:v>
      </x:c>
      <x:c r="I900" s="27" t="n">
        <x:f>IF(AND(ISNUMBER(G900),ISNUMBER(H900),H900&gt;0),G900/H900-1,"")</x:f>
        <x:v>0</x:v>
      </x:c>
      <x:c r="J900" s="27" t="n">
        <x:f>IF(AND(ISNUMBER(G900),F900&gt;0),G900/F900-1,"")</x:f>
        <x:v>0</x:v>
      </x:c>
      <x:c r="K900" s="19" t="str">
        <x:v>Exp_2/EXP029/results/seed1390358485_Fixed_rank_25.json</x:v>
      </x:c>
    </x:row>
    <x:row r="901" ht="15" hidden="0" customHeight="1">
      <x:c r="A901" s="3" t="str">
        <x:v>EXP029</x:v>
      </x:c>
      <x:c r="B901" s="3" t="str">
        <x:v>Exp. 2</x:v>
      </x:c>
      <x:c r="C901" s="18" t="n">
        <x:v>1390358485</x:v>
      </x:c>
      <x:c r="D901" s="3" t="str">
        <x:v>Relative cutoff 1e-6</x:v>
      </x:c>
      <x:c r="E901" s="18" t="n">
        <x:v>200</x:v>
      </x:c>
      <x:c r="F901" s="21" t="n">
        <x:v>44.54043365192232</x:v>
      </x:c>
      <x:c r="G901" s="21" t="n">
        <x:f>F896</x:f>
        <x:v>44.54043365192232</x:v>
      </x:c>
      <x:c r="H901" s="21" t="n">
        <x:f>F902</x:f>
        <x:v>44.54043365192232</x:v>
      </x:c>
      <x:c r="I901" s="27" t="n">
        <x:f>IF(AND(ISNUMBER(G901),ISNUMBER(H901),H901&gt;0),G901/H901-1,"")</x:f>
        <x:v>0</x:v>
      </x:c>
      <x:c r="J901" s="27" t="n">
        <x:f>IF(AND(ISNUMBER(G901),F901&gt;0),G901/F901-1,"")</x:f>
        <x:v>0</x:v>
      </x:c>
      <x:c r="K901" s="19" t="str">
        <x:v>Exp_2/EXP029/results/seed1390358485_Relative_cutoff_1e-6.json</x:v>
      </x:c>
    </x:row>
    <x:row r="902" ht="15" hidden="0" customHeight="1">
      <x:c r="A902" s="3" t="str">
        <x:v>EXP029</x:v>
      </x:c>
      <x:c r="B902" s="3" t="str">
        <x:v>Exp. 2</x:v>
      </x:c>
      <x:c r="C902" s="18" t="n">
        <x:v>1390358485</x:v>
      </x:c>
      <x:c r="D902" s="3" t="str">
        <x:v>Full</x:v>
      </x:c>
      <x:c r="E902" s="18" t="n">
        <x:v>200</x:v>
      </x:c>
      <x:c r="F902" s="21" t="n">
        <x:v>44.54043365192232</x:v>
      </x:c>
      <x:c r="G902" s="21" t="n">
        <x:f>F896</x:f>
        <x:v>44.54043365192232</x:v>
      </x:c>
      <x:c r="H902" s="21" t="n">
        <x:f>F902</x:f>
        <x:v>44.54043365192232</x:v>
      </x:c>
      <x:c r="I902" s="27" t="n">
        <x:f>IF(AND(ISNUMBER(G902),ISNUMBER(H902),H902&gt;0),G902/H902-1,"")</x:f>
        <x:v>0</x:v>
      </x:c>
      <x:c r="J902" s="27" t="n">
        <x:f>IF(AND(ISNUMBER(G902),F902&gt;0),G902/F902-1,"")</x:f>
        <x:v>0</x:v>
      </x:c>
      <x:c r="K902" s="19" t="str">
        <x:v>Exp_2/EXP029/results/seed1390358485_Full.json</x:v>
      </x:c>
    </x:row>
    <x:row r="903" ht="15" hidden="0" customHeight="1">
      <x:c r="A903" s="3" t="str">
        <x:v>EXP029</x:v>
      </x:c>
      <x:c r="B903" s="3" t="str">
        <x:v>Exp. 2</x:v>
      </x:c>
      <x:c r="C903" s="18" t="n">
        <x:v>1390358485</x:v>
      </x:c>
      <x:c r="D903" s="3" t="str">
        <x:v>GP-UCB (weighted sum)</x:v>
      </x:c>
      <x:c r="E903" s="18" t="n">
        <x:v>200</x:v>
      </x:c>
      <x:c r="F903" s="21" t="n">
        <x:v>81.53382154808264</x:v>
      </x:c>
      <x:c r="G903" s="21" t="n">
        <x:f>F896</x:f>
        <x:v>44.54043365192232</x:v>
      </x:c>
      <x:c r="H903" s="21" t="n">
        <x:f>F902</x:f>
        <x:v>44.54043365192232</x:v>
      </x:c>
      <x:c r="I903" s="27" t="n">
        <x:f>IF(AND(ISNUMBER(G903),ISNUMBER(H903),H903&gt;0),G903/H903-1,"")</x:f>
        <x:v>0</x:v>
      </x:c>
      <x:c r="J903" s="27" t="n">
        <x:f>IF(AND(ISNUMBER(G903),F903&gt;0),G903/F903-1,"")</x:f>
        <x:v>-0.45371831215275915</x:v>
      </x:c>
      <x:c r="K903" s="19" t="str">
        <x:v>Exp_2/EXP029/results/seed1390358485_GP-UCB_weighted_sum.json</x:v>
      </x:c>
    </x:row>
    <x:row r="904" ht="15" hidden="0" customHeight="1">
      <x:c r="A904" s="3" t="str">
        <x:v>EXP029</x:v>
      </x:c>
      <x:c r="B904" s="3" t="str">
        <x:v>Exp. 2</x:v>
      </x:c>
      <x:c r="C904" s="18" t="n">
        <x:v>1390358485</x:v>
      </x:c>
      <x:c r="D904" s="3" t="str">
        <x:v>GP-UCB (product)</x:v>
      </x:c>
      <x:c r="E904" s="18" t="n">
        <x:v>200</x:v>
      </x:c>
      <x:c r="F904" s="21" t="n">
        <x:v>87.90991069633881</x:v>
      </x:c>
      <x:c r="G904" s="21" t="n">
        <x:f>F896</x:f>
        <x:v>44.54043365192232</x:v>
      </x:c>
      <x:c r="H904" s="21" t="n">
        <x:f>F902</x:f>
        <x:v>44.54043365192232</x:v>
      </x:c>
      <x:c r="I904" s="27" t="n">
        <x:f>IF(AND(ISNUMBER(G904),ISNUMBER(H904),H904&gt;0),G904/H904-1,"")</x:f>
        <x:v>0</x:v>
      </x:c>
      <x:c r="J904" s="27" t="n">
        <x:f>IF(AND(ISNUMBER(G904),F904&gt;0),G904/F904-1,"")</x:f>
        <x:v>-0.4933400193548678</x:v>
      </x:c>
      <x:c r="K904" s="19" t="str">
        <x:v>Exp_2/EXP029/results/seed1390358485_GP-UCB_product.json</x:v>
      </x:c>
    </x:row>
    <x:row r="905" ht="15" hidden="0" customHeight="1">
      <x:c r="A905" s="3" t="str">
        <x:v>EXP029</x:v>
      </x:c>
      <x:c r="B905" s="3" t="str">
        <x:v>Exp. 2</x:v>
      </x:c>
      <x:c r="C905" s="18" t="n">
        <x:v>1390358485</x:v>
      </x:c>
      <x:c r="D905" s="3" t="str">
        <x:v>NeuralUCB</x:v>
      </x:c>
      <x:c r="E905" s="18" t="n">
        <x:v>200</x:v>
      </x:c>
      <x:c r="F905" s="21" t="n">
        <x:v>79.10747391465486</x:v>
      </x:c>
      <x:c r="G905" s="21" t="n">
        <x:f>F896</x:f>
        <x:v>44.54043365192232</x:v>
      </x:c>
      <x:c r="H905" s="21" t="n">
        <x:f>F902</x:f>
        <x:v>44.54043365192232</x:v>
      </x:c>
      <x:c r="I905" s="27" t="n">
        <x:f>IF(AND(ISNUMBER(G905),ISNUMBER(H905),H905&gt;0),G905/H905-1,"")</x:f>
        <x:v>0</x:v>
      </x:c>
      <x:c r="J905" s="27" t="n">
        <x:f>IF(AND(ISNUMBER(G905),F905&gt;0),G905/F905-1,"")</x:f>
        <x:v>-0.4369630143926124</x:v>
      </x:c>
      <x:c r="K905" s="19" t="str">
        <x:v>Exp_2/EXP029/results/seed1390358485_NeuralUCB.json</x:v>
      </x:c>
    </x:row>
    <x:row r="906" ht="15" hidden="0" customHeight="1">
      <x:c r="A906" s="3" t="str">
        <x:v>EXP029</x:v>
      </x:c>
      <x:c r="B906" s="3" t="str">
        <x:v>Exp. 2</x:v>
      </x:c>
      <x:c r="C906" s="18" t="n">
        <x:v>1390358485</x:v>
      </x:c>
      <x:c r="D906" s="3" t="str">
        <x:v>NN-UCB</x:v>
      </x:c>
      <x:c r="E906" s="18" t="n">
        <x:v>200</x:v>
      </x:c>
      <x:c r="F906" s="21" t="n">
        <x:v>78.95443336773322</x:v>
      </x:c>
      <x:c r="G906" s="21" t="n">
        <x:f>F896</x:f>
        <x:v>44.54043365192232</x:v>
      </x:c>
      <x:c r="H906" s="21" t="n">
        <x:f>F902</x:f>
        <x:v>44.54043365192232</x:v>
      </x:c>
      <x:c r="I906" s="27" t="n">
        <x:f>IF(AND(ISNUMBER(G906),ISNUMBER(H906),H906&gt;0),G906/H906-1,"")</x:f>
        <x:v>0</x:v>
      </x:c>
      <x:c r="J906" s="27" t="n">
        <x:f>IF(AND(ISNUMBER(G906),F906&gt;0),G906/F906-1,"")</x:f>
        <x:v>-0.4358716572067133</x:v>
      </x:c>
      <x:c r="K906" s="19" t="str">
        <x:v>Exp_2/EXP029/results/seed1390358485_NN-UCB.json</x:v>
      </x:c>
    </x:row>
    <x:row r="907" ht="15" hidden="0" customHeight="1">
      <x:c r="A907" s="3" t="str">
        <x:v>EXP029</x:v>
      </x:c>
      <x:c r="B907" s="3" t="str">
        <x:v>Exp. 2</x:v>
      </x:c>
      <x:c r="C907" s="18" t="n">
        <x:v>1390358485</x:v>
      </x:c>
      <x:c r="D907" s="3" t="str">
        <x:v>Relative cutoff 1e-2</x:v>
      </x:c>
      <x:c r="E907" s="18" t="n">
        <x:v>200</x:v>
      </x:c>
      <x:c r="F907" s="21" t="n">
        <x:v>45.930045046620435</x:v>
      </x:c>
      <x:c r="G907" s="21" t="n">
        <x:f>F896</x:f>
        <x:v>44.54043365192232</x:v>
      </x:c>
      <x:c r="H907" s="21" t="n">
        <x:f>F902</x:f>
        <x:v>44.54043365192232</x:v>
      </x:c>
      <x:c r="I907" s="27" t="n">
        <x:f>IF(AND(ISNUMBER(G907),ISNUMBER(H907),H907&gt;0),G907/H907-1,"")</x:f>
        <x:v>0</x:v>
      </x:c>
      <x:c r="J907" s="27" t="n">
        <x:f>IF(AND(ISNUMBER(G907),F907&gt;0),G907/F907-1,"")</x:f>
        <x:v>-0.03025495388231414</x:v>
      </x:c>
      <x:c r="K907" s="19" t="str">
        <x:v>Exp_2/EXP029/results/seed1390358485_Relative_cutoff_1e-2.json</x:v>
      </x:c>
    </x:row>
    <x:row r="908" ht="15" hidden="0" customHeight="1">
      <x:c r="A908" s="3" t="str">
        <x:v>EXP029</x:v>
      </x:c>
      <x:c r="B908" s="3" t="str">
        <x:v>Exp. 2</x:v>
      </x:c>
      <x:c r="C908" s="18" t="n">
        <x:v>1390358485</x:v>
      </x:c>
      <x:c r="D908" s="3" t="str">
        <x:v>Relative cutoff 1e-4</x:v>
      </x:c>
      <x:c r="E908" s="18" t="n">
        <x:v>200</x:v>
      </x:c>
      <x:c r="F908" s="21" t="n">
        <x:v>45.304212454215104</x:v>
      </x:c>
      <x:c r="G908" s="21" t="n">
        <x:f>F896</x:f>
        <x:v>44.54043365192232</x:v>
      </x:c>
      <x:c r="H908" s="21" t="n">
        <x:f>F902</x:f>
        <x:v>44.54043365192232</x:v>
      </x:c>
      <x:c r="I908" s="27" t="n">
        <x:f>IF(AND(ISNUMBER(G908),ISNUMBER(H908),H908&gt;0),G908/H908-1,"")</x:f>
        <x:v>0</x:v>
      </x:c>
      <x:c r="J908" s="27" t="n">
        <x:f>IF(AND(ISNUMBER(G908),F908&gt;0),G908/F908-1,"")</x:f>
        <x:v>-0.01685889150075537</x:v>
      </x:c>
      <x:c r="K908" s="19" t="str">
        <x:v>Exp_2/EXP029/results/seed1390358485_Relative_cutoff_1e-4.json</x:v>
      </x:c>
    </x:row>
    <x:row r="909" ht="15" hidden="0" customHeight="1">
      <x:c r="A909" s="3" t="str">
        <x:v>EXP029</x:v>
      </x:c>
      <x:c r="B909" s="3" t="str">
        <x:v>Exp. 2</x:v>
      </x:c>
      <x:c r="C909" s="18" t="n">
        <x:v>1711112905</x:v>
      </x:c>
      <x:c r="D909" s="3" t="str">
        <x:v>BBP</x:v>
      </x:c>
      <x:c r="E909" s="18" t="n">
        <x:v>200</x:v>
      </x:c>
      <x:c r="F909" s="21" t="n">
        <x:v>48.15009100055834</x:v>
      </x:c>
      <x:c r="G909" s="21" t="n">
        <x:f>F909</x:f>
        <x:v>48.15009100055834</x:v>
      </x:c>
      <x:c r="H909" s="21" t="n">
        <x:f>F915</x:f>
        <x:v>48.15009100055834</x:v>
      </x:c>
      <x:c r="I909" s="27" t="n">
        <x:f>IF(AND(ISNUMBER(G909),ISNUMBER(H909),H909&gt;0),G909/H909-1,"")</x:f>
        <x:v>0</x:v>
      </x:c>
      <x:c r="J909" s="27" t="n">
        <x:f>IF(AND(ISNUMBER(G909),F909&gt;0),G909/F909-1,"")</x:f>
        <x:v>0</x:v>
      </x:c>
      <x:c r="K909" s="19" t="str">
        <x:v>Exp_2/EXP029/results/seed1711112905_BBP.json</x:v>
      </x:c>
    </x:row>
    <x:row r="910" ht="15" hidden="0" customHeight="1">
      <x:c r="A910" s="3" t="str">
        <x:v>EXP029</x:v>
      </x:c>
      <x:c r="B910" s="3" t="str">
        <x:v>Exp. 2</x:v>
      </x:c>
      <x:c r="C910" s="18" t="n">
        <x:v>1711112905</x:v>
      </x:c>
      <x:c r="D910" s="3" t="str">
        <x:v>Relative cutoff 1e-5</x:v>
      </x:c>
      <x:c r="E910" s="18" t="n">
        <x:v>200</x:v>
      </x:c>
      <x:c r="F910" s="21" t="n">
        <x:v>48.15009100055834</x:v>
      </x:c>
      <x:c r="G910" s="21" t="n">
        <x:f>F909</x:f>
        <x:v>48.15009100055834</x:v>
      </x:c>
      <x:c r="H910" s="21" t="n">
        <x:f>F915</x:f>
        <x:v>48.15009100055834</x:v>
      </x:c>
      <x:c r="I910" s="27" t="n">
        <x:f>IF(AND(ISNUMBER(G910),ISNUMBER(H910),H910&gt;0),G910/H910-1,"")</x:f>
        <x:v>0</x:v>
      </x:c>
      <x:c r="J910" s="27" t="n">
        <x:f>IF(AND(ISNUMBER(G910),F910&gt;0),G910/F910-1,"")</x:f>
        <x:v>0</x:v>
      </x:c>
      <x:c r="K910" s="19" t="str">
        <x:v>Exp_2/EXP029/results/seed1711112905_Relative_cutoff_1e-5.json</x:v>
      </x:c>
    </x:row>
    <x:row r="911" ht="15" hidden="0" customHeight="1">
      <x:c r="A911" s="3" t="str">
        <x:v>EXP029</x:v>
      </x:c>
      <x:c r="B911" s="3" t="str">
        <x:v>Exp. 2</x:v>
      </x:c>
      <x:c r="C911" s="18" t="n">
        <x:v>1711112905</x:v>
      </x:c>
      <x:c r="D911" s="3" t="str">
        <x:v>NN-AGP (m=7)</x:v>
      </x:c>
      <x:c r="E911" s="18" t="n">
        <x:v>200</x:v>
      </x:c>
      <x:c r="F911" s="21" t="n">
        <x:v>38.94067578984409</x:v>
      </x:c>
      <x:c r="G911" s="21" t="n">
        <x:f>F909</x:f>
        <x:v>48.15009100055834</x:v>
      </x:c>
      <x:c r="H911" s="21" t="n">
        <x:f>F915</x:f>
        <x:v>48.15009100055834</x:v>
      </x:c>
      <x:c r="I911" s="27" t="n">
        <x:f>IF(AND(ISNUMBER(G911),ISNUMBER(H911),H911&gt;0),G911/H911-1,"")</x:f>
        <x:v>0</x:v>
      </x:c>
      <x:c r="J911" s="27" t="n">
        <x:f>IF(AND(ISNUMBER(G911),F911&gt;0),G911/F911-1,"")</x:f>
        <x:v>0.23649859751833335</x:v>
      </x:c>
      <x:c r="K911" s="19" t="str">
        <x:v>Exp_2/EXP029/results/seed1711112905_NN-AGP_m_7.json</x:v>
      </x:c>
    </x:row>
    <x:row r="912" ht="15" hidden="0" customHeight="1">
      <x:c r="A912" s="3" t="str">
        <x:v>EXP029</x:v>
      </x:c>
      <x:c r="B912" s="3" t="str">
        <x:v>Exp. 2</x:v>
      </x:c>
      <x:c r="C912" s="18" t="n">
        <x:v>1711112905</x:v>
      </x:c>
      <x:c r="D912" s="3" t="str">
        <x:v>Fixed rank 10</x:v>
      </x:c>
      <x:c r="E912" s="18" t="n">
        <x:v>200</x:v>
      </x:c>
      <x:c r="F912" s="21" t="n">
        <x:v>48.15009100055834</x:v>
      </x:c>
      <x:c r="G912" s="21" t="n">
        <x:f>F909</x:f>
        <x:v>48.15009100055834</x:v>
      </x:c>
      <x:c r="H912" s="21" t="n">
        <x:f>F915</x:f>
        <x:v>48.15009100055834</x:v>
      </x:c>
      <x:c r="I912" s="27" t="n">
        <x:f>IF(AND(ISNUMBER(G912),ISNUMBER(H912),H912&gt;0),G912/H912-1,"")</x:f>
        <x:v>0</x:v>
      </x:c>
      <x:c r="J912" s="27" t="n">
        <x:f>IF(AND(ISNUMBER(G912),F912&gt;0),G912/F912-1,"")</x:f>
        <x:v>0</x:v>
      </x:c>
      <x:c r="K912" s="19" t="str">
        <x:v>Exp_2/EXP029/results/seed1711112905_Fixed_rank_10.json</x:v>
      </x:c>
    </x:row>
    <x:row r="913" ht="15" hidden="0" customHeight="1">
      <x:c r="A913" s="3" t="str">
        <x:v>EXP029</x:v>
      </x:c>
      <x:c r="B913" s="3" t="str">
        <x:v>Exp. 2</x:v>
      </x:c>
      <x:c r="C913" s="18" t="n">
        <x:v>1711112905</x:v>
      </x:c>
      <x:c r="D913" s="3" t="str">
        <x:v>Fixed rank 25</x:v>
      </x:c>
      <x:c r="E913" s="18" t="n">
        <x:v>200</x:v>
      </x:c>
      <x:c r="F913" s="21" t="n">
        <x:v>48.15009100055834</x:v>
      </x:c>
      <x:c r="G913" s="21" t="n">
        <x:f>F909</x:f>
        <x:v>48.15009100055834</x:v>
      </x:c>
      <x:c r="H913" s="21" t="n">
        <x:f>F915</x:f>
        <x:v>48.15009100055834</x:v>
      </x:c>
      <x:c r="I913" s="27" t="n">
        <x:f>IF(AND(ISNUMBER(G913),ISNUMBER(H913),H913&gt;0),G913/H913-1,"")</x:f>
        <x:v>0</x:v>
      </x:c>
      <x:c r="J913" s="27" t="n">
        <x:f>IF(AND(ISNUMBER(G913),F913&gt;0),G913/F913-1,"")</x:f>
        <x:v>0</x:v>
      </x:c>
      <x:c r="K913" s="19" t="str">
        <x:v>Exp_2/EXP029/results/seed1711112905_Fixed_rank_25.json</x:v>
      </x:c>
    </x:row>
    <x:row r="914" ht="15" hidden="0" customHeight="1">
      <x:c r="A914" s="3" t="str">
        <x:v>EXP029</x:v>
      </x:c>
      <x:c r="B914" s="3" t="str">
        <x:v>Exp. 2</x:v>
      </x:c>
      <x:c r="C914" s="18" t="n">
        <x:v>1711112905</x:v>
      </x:c>
      <x:c r="D914" s="3" t="str">
        <x:v>Relative cutoff 1e-6</x:v>
      </x:c>
      <x:c r="E914" s="18" t="n">
        <x:v>200</x:v>
      </x:c>
      <x:c r="F914" s="21" t="n">
        <x:v>48.15009100055834</x:v>
      </x:c>
      <x:c r="G914" s="21" t="n">
        <x:f>F909</x:f>
        <x:v>48.15009100055834</x:v>
      </x:c>
      <x:c r="H914" s="21" t="n">
        <x:f>F915</x:f>
        <x:v>48.15009100055834</x:v>
      </x:c>
      <x:c r="I914" s="27" t="n">
        <x:f>IF(AND(ISNUMBER(G914),ISNUMBER(H914),H914&gt;0),G914/H914-1,"")</x:f>
        <x:v>0</x:v>
      </x:c>
      <x:c r="J914" s="27" t="n">
        <x:f>IF(AND(ISNUMBER(G914),F914&gt;0),G914/F914-1,"")</x:f>
        <x:v>0</x:v>
      </x:c>
      <x:c r="K914" s="19" t="str">
        <x:v>Exp_2/EXP029/results/seed1711112905_Relative_cutoff_1e-6.json</x:v>
      </x:c>
    </x:row>
    <x:row r="915" ht="15" hidden="0" customHeight="1">
      <x:c r="A915" s="3" t="str">
        <x:v>EXP029</x:v>
      </x:c>
      <x:c r="B915" s="3" t="str">
        <x:v>Exp. 2</x:v>
      </x:c>
      <x:c r="C915" s="18" t="n">
        <x:v>1711112905</x:v>
      </x:c>
      <x:c r="D915" s="3" t="str">
        <x:v>Full</x:v>
      </x:c>
      <x:c r="E915" s="18" t="n">
        <x:v>200</x:v>
      </x:c>
      <x:c r="F915" s="21" t="n">
        <x:v>48.15009100055834</x:v>
      </x:c>
      <x:c r="G915" s="21" t="n">
        <x:f>F909</x:f>
        <x:v>48.15009100055834</x:v>
      </x:c>
      <x:c r="H915" s="21" t="n">
        <x:f>F915</x:f>
        <x:v>48.15009100055834</x:v>
      </x:c>
      <x:c r="I915" s="27" t="n">
        <x:f>IF(AND(ISNUMBER(G915),ISNUMBER(H915),H915&gt;0),G915/H915-1,"")</x:f>
        <x:v>0</x:v>
      </x:c>
      <x:c r="J915" s="27" t="n">
        <x:f>IF(AND(ISNUMBER(G915),F915&gt;0),G915/F915-1,"")</x:f>
        <x:v>0</x:v>
      </x:c>
      <x:c r="K915" s="19" t="str">
        <x:v>Exp_2/EXP029/results/seed1711112905_Full.json</x:v>
      </x:c>
    </x:row>
    <x:row r="916" ht="15" hidden="0" customHeight="1">
      <x:c r="A916" s="3" t="str">
        <x:v>EXP029</x:v>
      </x:c>
      <x:c r="B916" s="3" t="str">
        <x:v>Exp. 2</x:v>
      </x:c>
      <x:c r="C916" s="18" t="n">
        <x:v>1711112905</x:v>
      </x:c>
      <x:c r="D916" s="3" t="str">
        <x:v>GP-UCB (weighted sum)</x:v>
      </x:c>
      <x:c r="E916" s="18" t="n">
        <x:v>200</x:v>
      </x:c>
      <x:c r="F916" s="21" t="n">
        <x:v>74.47211320089703</x:v>
      </x:c>
      <x:c r="G916" s="21" t="n">
        <x:f>F909</x:f>
        <x:v>48.15009100055834</x:v>
      </x:c>
      <x:c r="H916" s="21" t="n">
        <x:f>F915</x:f>
        <x:v>48.15009100055834</x:v>
      </x:c>
      <x:c r="I916" s="27" t="n">
        <x:f>IF(AND(ISNUMBER(G916),ISNUMBER(H916),H916&gt;0),G916/H916-1,"")</x:f>
        <x:v>0</x:v>
      </x:c>
      <x:c r="J916" s="27" t="n">
        <x:f>IF(AND(ISNUMBER(G916),F916&gt;0),G916/F916-1,"")</x:f>
        <x:v>-0.353448036707808</x:v>
      </x:c>
      <x:c r="K916" s="19" t="str">
        <x:v>Exp_2/EXP029/results/seed1711112905_GP-UCB_weighted_sum.json</x:v>
      </x:c>
    </x:row>
    <x:row r="917" ht="15" hidden="0" customHeight="1">
      <x:c r="A917" s="3" t="str">
        <x:v>EXP029</x:v>
      </x:c>
      <x:c r="B917" s="3" t="str">
        <x:v>Exp. 2</x:v>
      </x:c>
      <x:c r="C917" s="18" t="n">
        <x:v>1711112905</x:v>
      </x:c>
      <x:c r="D917" s="3" t="str">
        <x:v>GP-UCB (product)</x:v>
      </x:c>
      <x:c r="E917" s="18" t="n">
        <x:v>200</x:v>
      </x:c>
      <x:c r="F917" s="21" t="n">
        <x:v>86.59692566837634</x:v>
      </x:c>
      <x:c r="G917" s="21" t="n">
        <x:f>F909</x:f>
        <x:v>48.15009100055834</x:v>
      </x:c>
      <x:c r="H917" s="21" t="n">
        <x:f>F915</x:f>
        <x:v>48.15009100055834</x:v>
      </x:c>
      <x:c r="I917" s="27" t="n">
        <x:f>IF(AND(ISNUMBER(G917),ISNUMBER(H917),H917&gt;0),G917/H917-1,"")</x:f>
        <x:v>0</x:v>
      </x:c>
      <x:c r="J917" s="27" t="n">
        <x:f>IF(AND(ISNUMBER(G917),F917&gt;0),G917/F917-1,"")</x:f>
        <x:v>-0.44397459114253635</x:v>
      </x:c>
      <x:c r="K917" s="19" t="str">
        <x:v>Exp_2/EXP029/results/seed1711112905_GP-UCB_product.json</x:v>
      </x:c>
    </x:row>
    <x:row r="918" ht="15" hidden="0" customHeight="1">
      <x:c r="A918" s="3" t="str">
        <x:v>EXP029</x:v>
      </x:c>
      <x:c r="B918" s="3" t="str">
        <x:v>Exp. 2</x:v>
      </x:c>
      <x:c r="C918" s="18" t="n">
        <x:v>1711112905</x:v>
      </x:c>
      <x:c r="D918" s="3" t="str">
        <x:v>NeuralUCB</x:v>
      </x:c>
      <x:c r="E918" s="18" t="n">
        <x:v>200</x:v>
      </x:c>
      <x:c r="F918" s="21" t="n">
        <x:v>66.76910944598575</x:v>
      </x:c>
      <x:c r="G918" s="21" t="n">
        <x:f>F909</x:f>
        <x:v>48.15009100055834</x:v>
      </x:c>
      <x:c r="H918" s="21" t="n">
        <x:f>F915</x:f>
        <x:v>48.15009100055834</x:v>
      </x:c>
      <x:c r="I918" s="27" t="n">
        <x:f>IF(AND(ISNUMBER(G918),ISNUMBER(H918),H918&gt;0),G918/H918-1,"")</x:f>
        <x:v>0</x:v>
      </x:c>
      <x:c r="J918" s="27" t="n">
        <x:f>IF(AND(ISNUMBER(G918),F918&gt;0),G918/F918-1,"")</x:f>
        <x:v>-0.2788567737374069</x:v>
      </x:c>
      <x:c r="K918" s="19" t="str">
        <x:v>Exp_2/EXP029/results/seed1711112905_NeuralUCB.json</x:v>
      </x:c>
    </x:row>
    <x:row r="919" ht="15" hidden="0" customHeight="1">
      <x:c r="A919" s="3" t="str">
        <x:v>EXP029</x:v>
      </x:c>
      <x:c r="B919" s="3" t="str">
        <x:v>Exp. 2</x:v>
      </x:c>
      <x:c r="C919" s="18" t="n">
        <x:v>1711112905</x:v>
      </x:c>
      <x:c r="D919" s="3" t="str">
        <x:v>NN-UCB</x:v>
      </x:c>
      <x:c r="E919" s="18" t="n">
        <x:v>200</x:v>
      </x:c>
      <x:c r="F919" s="21" t="n">
        <x:v>67.75476168893913</x:v>
      </x:c>
      <x:c r="G919" s="21" t="n">
        <x:f>F909</x:f>
        <x:v>48.15009100055834</x:v>
      </x:c>
      <x:c r="H919" s="21" t="n">
        <x:f>F915</x:f>
        <x:v>48.15009100055834</x:v>
      </x:c>
      <x:c r="I919" s="27" t="n">
        <x:f>IF(AND(ISNUMBER(G919),ISNUMBER(H919),H919&gt;0),G919/H919-1,"")</x:f>
        <x:v>0</x:v>
      </x:c>
      <x:c r="J919" s="27" t="n">
        <x:f>IF(AND(ISNUMBER(G919),F919&gt;0),G919/F919-1,"")</x:f>
        <x:v>-0.28934749676171057</x:v>
      </x:c>
      <x:c r="K919" s="19" t="str">
        <x:v>Exp_2/EXP029/results/seed1711112905_NN-UCB.json</x:v>
      </x:c>
    </x:row>
    <x:row r="920" ht="15" hidden="0" customHeight="1">
      <x:c r="A920" s="3" t="str">
        <x:v>EXP029</x:v>
      </x:c>
      <x:c r="B920" s="3" t="str">
        <x:v>Exp. 2</x:v>
      </x:c>
      <x:c r="C920" s="18" t="n">
        <x:v>1711112905</x:v>
      </x:c>
      <x:c r="D920" s="3" t="str">
        <x:v>Relative cutoff 1e-2</x:v>
      </x:c>
      <x:c r="E920" s="18" t="n">
        <x:v>200</x:v>
      </x:c>
      <x:c r="F920" s="21" t="n">
        <x:v>48.15009100055834</x:v>
      </x:c>
      <x:c r="G920" s="21" t="n">
        <x:f>F909</x:f>
        <x:v>48.15009100055834</x:v>
      </x:c>
      <x:c r="H920" s="21" t="n">
        <x:f>F915</x:f>
        <x:v>48.15009100055834</x:v>
      </x:c>
      <x:c r="I920" s="27" t="n">
        <x:f>IF(AND(ISNUMBER(G920),ISNUMBER(H920),H920&gt;0),G920/H920-1,"")</x:f>
        <x:v>0</x:v>
      </x:c>
      <x:c r="J920" s="27" t="n">
        <x:f>IF(AND(ISNUMBER(G920),F920&gt;0),G920/F920-1,"")</x:f>
        <x:v>0</x:v>
      </x:c>
      <x:c r="K920" s="19" t="str">
        <x:v>Exp_2/EXP029/results/seed1711112905_Relative_cutoff_1e-2.json</x:v>
      </x:c>
    </x:row>
    <x:row r="921" ht="15" hidden="0" customHeight="1">
      <x:c r="A921" s="3" t="str">
        <x:v>EXP029</x:v>
      </x:c>
      <x:c r="B921" s="3" t="str">
        <x:v>Exp. 2</x:v>
      </x:c>
      <x:c r="C921" s="18" t="n">
        <x:v>1711112905</x:v>
      </x:c>
      <x:c r="D921" s="3" t="str">
        <x:v>Relative cutoff 1e-4</x:v>
      </x:c>
      <x:c r="E921" s="18" t="n">
        <x:v>200</x:v>
      </x:c>
      <x:c r="F921" s="21" t="n">
        <x:v>48.15009100055834</x:v>
      </x:c>
      <x:c r="G921" s="21" t="n">
        <x:f>F909</x:f>
        <x:v>48.15009100055834</x:v>
      </x:c>
      <x:c r="H921" s="21" t="n">
        <x:f>F915</x:f>
        <x:v>48.15009100055834</x:v>
      </x:c>
      <x:c r="I921" s="27" t="n">
        <x:f>IF(AND(ISNUMBER(G921),ISNUMBER(H921),H921&gt;0),G921/H921-1,"")</x:f>
        <x:v>0</x:v>
      </x:c>
      <x:c r="J921" s="27" t="n">
        <x:f>IF(AND(ISNUMBER(G921),F921&gt;0),G921/F921-1,"")</x:f>
        <x:v>0</x:v>
      </x:c>
      <x:c r="K921" s="19" t="str">
        <x:v>Exp_2/EXP029/results/seed1711112905_Relative_cutoff_1e-4.json</x:v>
      </x:c>
    </x:row>
    <x:row r="922" ht="15" hidden="0" customHeight="1">
      <x:c r="A922" s="3" t="str">
        <x:v>EXP032</x:v>
      </x:c>
      <x:c r="B922" s="3" t="str">
        <x:v>Exp. 2</x:v>
      </x:c>
      <x:c r="C922" s="18" t="n">
        <x:v>1000</x:v>
      </x:c>
      <x:c r="D922" s="3" t="str">
        <x:v>Fixed rank 10</x:v>
      </x:c>
      <x:c r="E922" s="18" t="n">
        <x:v>200</x:v>
      </x:c>
      <x:c r="F922" s="21" t="n">
        <x:v>63.86912999032883</x:v>
      </x:c>
      <x:c r="G922" s="21" t="str">
        <x:f>""</x:f>
      </x:c>
      <x:c r="H922" s="21" t="n">
        <x:f>F925</x:f>
        <x:v>60.35855952720692</x:v>
      </x:c>
      <x:c r="I922" s="27" t="str">
        <x:f>IF(AND(ISNUMBER(G922),ISNUMBER(H922),H922&gt;0),G922/H922-1,"")</x:f>
      </x:c>
      <x:c r="J922" s="27" t="str">
        <x:f>IF(AND(ISNUMBER(G922),F922&gt;0),G922/F922-1,"")</x:f>
      </x:c>
      <x:c r="K922" s="19" t="str">
        <x:v>Exp_2/EXP032/results/seed1000_Fixed_rank_10.json</x:v>
      </x:c>
    </x:row>
    <x:row r="923" ht="15" hidden="0" customHeight="1">
      <x:c r="A923" s="3" t="str">
        <x:v>EXP032</x:v>
      </x:c>
      <x:c r="B923" s="3" t="str">
        <x:v>Exp. 2</x:v>
      </x:c>
      <x:c r="C923" s="18" t="n">
        <x:v>1000</x:v>
      </x:c>
      <x:c r="D923" s="3" t="str">
        <x:v>Fixed rank 3</x:v>
      </x:c>
      <x:c r="E923" s="18" t="n">
        <x:v>200</x:v>
      </x:c>
      <x:c r="F923" s="21" t="n">
        <x:v>63.041615709557455</x:v>
      </x:c>
      <x:c r="G923" s="21" t="str">
        <x:f>""</x:f>
      </x:c>
      <x:c r="H923" s="21" t="n">
        <x:f>F925</x:f>
        <x:v>60.35855952720692</x:v>
      </x:c>
      <x:c r="I923" s="27" t="str">
        <x:f>IF(AND(ISNUMBER(G923),ISNUMBER(H923),H923&gt;0),G923/H923-1,"")</x:f>
      </x:c>
      <x:c r="J923" s="27" t="str">
        <x:f>IF(AND(ISNUMBER(G923),F923&gt;0),G923/F923-1,"")</x:f>
      </x:c>
      <x:c r="K923" s="19" t="str">
        <x:v>Exp_2/EXP032/results/seed1000_Fixed_rank_3.json</x:v>
      </x:c>
    </x:row>
    <x:row r="924" ht="15" hidden="0" customHeight="1">
      <x:c r="A924" s="3" t="str">
        <x:v>EXP032</x:v>
      </x:c>
      <x:c r="B924" s="3" t="str">
        <x:v>Exp. 2</x:v>
      </x:c>
      <x:c r="C924" s="18" t="n">
        <x:v>1000</x:v>
      </x:c>
      <x:c r="D924" s="3" t="str">
        <x:v>Fixed rank 5</x:v>
      </x:c>
      <x:c r="E924" s="18" t="n">
        <x:v>200</x:v>
      </x:c>
      <x:c r="F924" s="21" t="n">
        <x:v>60.23400439767166</x:v>
      </x:c>
      <x:c r="G924" s="21" t="str">
        <x:f>""</x:f>
      </x:c>
      <x:c r="H924" s="21" t="n">
        <x:f>F925</x:f>
        <x:v>60.35855952720692</x:v>
      </x:c>
      <x:c r="I924" s="27" t="str">
        <x:f>IF(AND(ISNUMBER(G924),ISNUMBER(H924),H924&gt;0),G924/H924-1,"")</x:f>
      </x:c>
      <x:c r="J924" s="27" t="str">
        <x:f>IF(AND(ISNUMBER(G924),F924&gt;0),G924/F924-1,"")</x:f>
      </x:c>
      <x:c r="K924" s="19" t="str">
        <x:v>Exp_2/EXP032/results/seed1000_Fixed_rank_5.json</x:v>
      </x:c>
    </x:row>
    <x:row r="925" ht="15" hidden="0" customHeight="1">
      <x:c r="A925" s="3" t="str">
        <x:v>EXP032</x:v>
      </x:c>
      <x:c r="B925" s="3" t="str">
        <x:v>Exp. 2</x:v>
      </x:c>
      <x:c r="C925" s="18" t="n">
        <x:v>1000</x:v>
      </x:c>
      <x:c r="D925" s="3" t="str">
        <x:v>Full</x:v>
      </x:c>
      <x:c r="E925" s="18" t="n">
        <x:v>200</x:v>
      </x:c>
      <x:c r="F925" s="21" t="n">
        <x:v>60.35855952720692</x:v>
      </x:c>
      <x:c r="G925" s="21" t="str">
        <x:f>""</x:f>
      </x:c>
      <x:c r="H925" s="21" t="n">
        <x:f>F925</x:f>
        <x:v>60.35855952720692</x:v>
      </x:c>
      <x:c r="I925" s="27" t="str">
        <x:f>IF(AND(ISNUMBER(G925),ISNUMBER(H925),H925&gt;0),G925/H925-1,"")</x:f>
      </x:c>
      <x:c r="J925" s="27" t="str">
        <x:f>IF(AND(ISNUMBER(G925),F925&gt;0),G925/F925-1,"")</x:f>
      </x:c>
      <x:c r="K925" s="19" t="str">
        <x:v>Exp_2/EXP032/results/seed1000_Full.json</x:v>
      </x:c>
    </x:row>
    <x:row r="926" ht="15" hidden="0" customHeight="1">
      <x:c r="A926" s="3" t="str">
        <x:v>EXP032</x:v>
      </x:c>
      <x:c r="B926" s="3" t="str">
        <x:v>Exp. 2</x:v>
      </x:c>
      <x:c r="C926" s="18" t="n">
        <x:v>1000</x:v>
      </x:c>
      <x:c r="D926" s="3" t="str">
        <x:v>Relative cutoff 1e-2</x:v>
      </x:c>
      <x:c r="E926" s="18" t="n">
        <x:v>200</x:v>
      </x:c>
      <x:c r="F926" s="21" t="n">
        <x:v>61.288514778641805</x:v>
      </x:c>
      <x:c r="G926" s="21" t="str">
        <x:f>""</x:f>
      </x:c>
      <x:c r="H926" s="21" t="n">
        <x:f>F925</x:f>
        <x:v>60.35855952720692</x:v>
      </x:c>
      <x:c r="I926" s="27" t="str">
        <x:f>IF(AND(ISNUMBER(G926),ISNUMBER(H926),H926&gt;0),G926/H926-1,"")</x:f>
      </x:c>
      <x:c r="J926" s="27" t="str">
        <x:f>IF(AND(ISNUMBER(G926),F926&gt;0),G926/F926-1,"")</x:f>
      </x:c>
      <x:c r="K926" s="19" t="str">
        <x:v>Exp_2/EXP032/results/seed1000_Relative_cutoff_1e-2.json</x:v>
      </x:c>
    </x:row>
    <x:row r="927" ht="15" hidden="0" customHeight="1">
      <x:c r="A927" s="3" t="str">
        <x:v>EXP032</x:v>
      </x:c>
      <x:c r="B927" s="3" t="str">
        <x:v>Exp. 2</x:v>
      </x:c>
      <x:c r="C927" s="18" t="n">
        <x:v>1001</x:v>
      </x:c>
      <x:c r="D927" s="3" t="str">
        <x:v>Fixed rank 10</x:v>
      </x:c>
      <x:c r="E927" s="18" t="n">
        <x:v>200</x:v>
      </x:c>
      <x:c r="F927" s="21" t="n">
        <x:v>42.65557430835306</x:v>
      </x:c>
      <x:c r="G927" s="21" t="str">
        <x:f>""</x:f>
      </x:c>
      <x:c r="H927" s="21" t="n">
        <x:f>F930</x:f>
        <x:v>42.65557430835306</x:v>
      </x:c>
      <x:c r="I927" s="27" t="str">
        <x:f>IF(AND(ISNUMBER(G927),ISNUMBER(H927),H927&gt;0),G927/H927-1,"")</x:f>
      </x:c>
      <x:c r="J927" s="27" t="str">
        <x:f>IF(AND(ISNUMBER(G927),F927&gt;0),G927/F927-1,"")</x:f>
      </x:c>
      <x:c r="K927" s="19" t="str">
        <x:v>Exp_2/EXP032/results/seed1001_Fixed_rank_10.json</x:v>
      </x:c>
    </x:row>
    <x:row r="928" ht="15" hidden="0" customHeight="1">
      <x:c r="A928" s="3" t="str">
        <x:v>EXP032</x:v>
      </x:c>
      <x:c r="B928" s="3" t="str">
        <x:v>Exp. 2</x:v>
      </x:c>
      <x:c r="C928" s="18" t="n">
        <x:v>1001</x:v>
      </x:c>
      <x:c r="D928" s="3" t="str">
        <x:v>Fixed rank 3</x:v>
      </x:c>
      <x:c r="E928" s="18" t="n">
        <x:v>200</x:v>
      </x:c>
      <x:c r="F928" s="21" t="n">
        <x:v>43.226574378173204</x:v>
      </x:c>
      <x:c r="G928" s="21" t="str">
        <x:f>""</x:f>
      </x:c>
      <x:c r="H928" s="21" t="n">
        <x:f>F930</x:f>
        <x:v>42.65557430835306</x:v>
      </x:c>
      <x:c r="I928" s="27" t="str">
        <x:f>IF(AND(ISNUMBER(G928),ISNUMBER(H928),H928&gt;0),G928/H928-1,"")</x:f>
      </x:c>
      <x:c r="J928" s="27" t="str">
        <x:f>IF(AND(ISNUMBER(G928),F928&gt;0),G928/F928-1,"")</x:f>
      </x:c>
      <x:c r="K928" s="19" t="str">
        <x:v>Exp_2/EXP032/results/seed1001_Fixed_rank_3.json</x:v>
      </x:c>
    </x:row>
    <x:row r="929" ht="15" hidden="0" customHeight="1">
      <x:c r="A929" s="3" t="str">
        <x:v>EXP032</x:v>
      </x:c>
      <x:c r="B929" s="3" t="str">
        <x:v>Exp. 2</x:v>
      </x:c>
      <x:c r="C929" s="18" t="n">
        <x:v>1001</x:v>
      </x:c>
      <x:c r="D929" s="3" t="str">
        <x:v>Fixed rank 5</x:v>
      </x:c>
      <x:c r="E929" s="18" t="n">
        <x:v>200</x:v>
      </x:c>
      <x:c r="F929" s="21" t="n">
        <x:v>42.65557430835306</x:v>
      </x:c>
      <x:c r="G929" s="21" t="str">
        <x:f>""</x:f>
      </x:c>
      <x:c r="H929" s="21" t="n">
        <x:f>F930</x:f>
        <x:v>42.65557430835306</x:v>
      </x:c>
      <x:c r="I929" s="27" t="str">
        <x:f>IF(AND(ISNUMBER(G929),ISNUMBER(H929),H929&gt;0),G929/H929-1,"")</x:f>
      </x:c>
      <x:c r="J929" s="27" t="str">
        <x:f>IF(AND(ISNUMBER(G929),F929&gt;0),G929/F929-1,"")</x:f>
      </x:c>
      <x:c r="K929" s="19" t="str">
        <x:v>Exp_2/EXP032/results/seed1001_Fixed_rank_5.json</x:v>
      </x:c>
    </x:row>
    <x:row r="930" ht="15" hidden="0" customHeight="1">
      <x:c r="A930" s="3" t="str">
        <x:v>EXP032</x:v>
      </x:c>
      <x:c r="B930" s="3" t="str">
        <x:v>Exp. 2</x:v>
      </x:c>
      <x:c r="C930" s="18" t="n">
        <x:v>1001</x:v>
      </x:c>
      <x:c r="D930" s="3" t="str">
        <x:v>Full</x:v>
      </x:c>
      <x:c r="E930" s="18" t="n">
        <x:v>200</x:v>
      </x:c>
      <x:c r="F930" s="21" t="n">
        <x:v>42.65557430835306</x:v>
      </x:c>
      <x:c r="G930" s="21" t="str">
        <x:f>""</x:f>
      </x:c>
      <x:c r="H930" s="21" t="n">
        <x:f>F930</x:f>
        <x:v>42.65557430835306</x:v>
      </x:c>
      <x:c r="I930" s="27" t="str">
        <x:f>IF(AND(ISNUMBER(G930),ISNUMBER(H930),H930&gt;0),G930/H930-1,"")</x:f>
      </x:c>
      <x:c r="J930" s="27" t="str">
        <x:f>IF(AND(ISNUMBER(G930),F930&gt;0),G930/F930-1,"")</x:f>
      </x:c>
      <x:c r="K930" s="19" t="str">
        <x:v>Exp_2/EXP032/results/seed1001_Full.json</x:v>
      </x:c>
    </x:row>
    <x:row r="931" ht="15" hidden="0" customHeight="1">
      <x:c r="A931" s="3" t="str">
        <x:v>EXP032</x:v>
      </x:c>
      <x:c r="B931" s="3" t="str">
        <x:v>Exp. 2</x:v>
      </x:c>
      <x:c r="C931" s="18" t="n">
        <x:v>1001</x:v>
      </x:c>
      <x:c r="D931" s="3" t="str">
        <x:v>Relative cutoff 1e-2</x:v>
      </x:c>
      <x:c r="E931" s="18" t="n">
        <x:v>200</x:v>
      </x:c>
      <x:c r="F931" s="21" t="n">
        <x:v>39.48845084170729</x:v>
      </x:c>
      <x:c r="G931" s="21" t="str">
        <x:f>""</x:f>
      </x:c>
      <x:c r="H931" s="21" t="n">
        <x:f>F930</x:f>
        <x:v>42.65557430835306</x:v>
      </x:c>
      <x:c r="I931" s="27" t="str">
        <x:f>IF(AND(ISNUMBER(G931),ISNUMBER(H931),H931&gt;0),G931/H931-1,"")</x:f>
      </x:c>
      <x:c r="J931" s="27" t="str">
        <x:f>IF(AND(ISNUMBER(G931),F931&gt;0),G931/F931-1,"")</x:f>
      </x:c>
      <x:c r="K931" s="19" t="str">
        <x:v>Exp_2/EXP032/results/seed1001_Relative_cutoff_1e-2.json</x:v>
      </x:c>
    </x:row>
    <x:row r="932" ht="15" hidden="0" customHeight="1">
      <x:c r="A932" s="3" t="str">
        <x:v>EXP032</x:v>
      </x:c>
      <x:c r="B932" s="3" t="str">
        <x:v>Exp. 2</x:v>
      </x:c>
      <x:c r="C932" s="18" t="n">
        <x:v>1002</x:v>
      </x:c>
      <x:c r="D932" s="3" t="str">
        <x:v>Fixed rank 10</x:v>
      </x:c>
      <x:c r="E932" s="18" t="n">
        <x:v>200</x:v>
      </x:c>
      <x:c r="F932" s="21" t="n">
        <x:v>49.36399848007025</x:v>
      </x:c>
      <x:c r="G932" s="21" t="str">
        <x:f>""</x:f>
      </x:c>
      <x:c r="H932" s="21" t="n">
        <x:f>F935</x:f>
        <x:v>49.44773642285548</x:v>
      </x:c>
      <x:c r="I932" s="27" t="str">
        <x:f>IF(AND(ISNUMBER(G932),ISNUMBER(H932),H932&gt;0),G932/H932-1,"")</x:f>
      </x:c>
      <x:c r="J932" s="27" t="str">
        <x:f>IF(AND(ISNUMBER(G932),F932&gt;0),G932/F932-1,"")</x:f>
      </x:c>
      <x:c r="K932" s="19" t="str">
        <x:v>Exp_2/EXP032/results/seed1002_Fixed_rank_10.json</x:v>
      </x:c>
    </x:row>
    <x:row r="933" ht="15" hidden="0" customHeight="1">
      <x:c r="A933" s="3" t="str">
        <x:v>EXP032</x:v>
      </x:c>
      <x:c r="B933" s="3" t="str">
        <x:v>Exp. 2</x:v>
      </x:c>
      <x:c r="C933" s="18" t="n">
        <x:v>1002</x:v>
      </x:c>
      <x:c r="D933" s="3" t="str">
        <x:v>Fixed rank 3</x:v>
      </x:c>
      <x:c r="E933" s="18" t="n">
        <x:v>200</x:v>
      </x:c>
      <x:c r="F933" s="21" t="n">
        <x:v>49.24054318604408</x:v>
      </x:c>
      <x:c r="G933" s="21" t="str">
        <x:f>""</x:f>
      </x:c>
      <x:c r="H933" s="21" t="n">
        <x:f>F935</x:f>
        <x:v>49.44773642285548</x:v>
      </x:c>
      <x:c r="I933" s="27" t="str">
        <x:f>IF(AND(ISNUMBER(G933),ISNUMBER(H933),H933&gt;0),G933/H933-1,"")</x:f>
      </x:c>
      <x:c r="J933" s="27" t="str">
        <x:f>IF(AND(ISNUMBER(G933),F933&gt;0),G933/F933-1,"")</x:f>
      </x:c>
      <x:c r="K933" s="19" t="str">
        <x:v>Exp_2/EXP032/results/seed1002_Fixed_rank_3.json</x:v>
      </x:c>
    </x:row>
    <x:row r="934" ht="15" hidden="0" customHeight="1">
      <x:c r="A934" s="3" t="str">
        <x:v>EXP032</x:v>
      </x:c>
      <x:c r="B934" s="3" t="str">
        <x:v>Exp. 2</x:v>
      </x:c>
      <x:c r="C934" s="18" t="n">
        <x:v>1002</x:v>
      </x:c>
      <x:c r="D934" s="3" t="str">
        <x:v>Fixed rank 5</x:v>
      </x:c>
      <x:c r="E934" s="18" t="n">
        <x:v>200</x:v>
      </x:c>
      <x:c r="F934" s="21" t="n">
        <x:v>49.36399848007025</x:v>
      </x:c>
      <x:c r="G934" s="21" t="str">
        <x:f>""</x:f>
      </x:c>
      <x:c r="H934" s="21" t="n">
        <x:f>F935</x:f>
        <x:v>49.44773642285548</x:v>
      </x:c>
      <x:c r="I934" s="27" t="str">
        <x:f>IF(AND(ISNUMBER(G934),ISNUMBER(H934),H934&gt;0),G934/H934-1,"")</x:f>
      </x:c>
      <x:c r="J934" s="27" t="str">
        <x:f>IF(AND(ISNUMBER(G934),F934&gt;0),G934/F934-1,"")</x:f>
      </x:c>
      <x:c r="K934" s="19" t="str">
        <x:v>Exp_2/EXP032/results/seed1002_Fixed_rank_5.json</x:v>
      </x:c>
    </x:row>
    <x:row r="935" ht="15" hidden="0" customHeight="1">
      <x:c r="A935" s="3" t="str">
        <x:v>EXP032</x:v>
      </x:c>
      <x:c r="B935" s="3" t="str">
        <x:v>Exp. 2</x:v>
      </x:c>
      <x:c r="C935" s="18" t="n">
        <x:v>1002</x:v>
      </x:c>
      <x:c r="D935" s="3" t="str">
        <x:v>Full</x:v>
      </x:c>
      <x:c r="E935" s="18" t="n">
        <x:v>200</x:v>
      </x:c>
      <x:c r="F935" s="21" t="n">
        <x:v>49.44773642285548</x:v>
      </x:c>
      <x:c r="G935" s="21" t="str">
        <x:f>""</x:f>
      </x:c>
      <x:c r="H935" s="21" t="n">
        <x:f>F935</x:f>
        <x:v>49.44773642285548</x:v>
      </x:c>
      <x:c r="I935" s="27" t="str">
        <x:f>IF(AND(ISNUMBER(G935),ISNUMBER(H935),H935&gt;0),G935/H935-1,"")</x:f>
      </x:c>
      <x:c r="J935" s="27" t="str">
        <x:f>IF(AND(ISNUMBER(G935),F935&gt;0),G935/F935-1,"")</x:f>
      </x:c>
      <x:c r="K935" s="19" t="str">
        <x:v>Exp_2/EXP032/results/seed1002_Full.json</x:v>
      </x:c>
    </x:row>
    <x:row r="936" ht="15" hidden="0" customHeight="1">
      <x:c r="A936" s="3" t="str">
        <x:v>EXP032</x:v>
      </x:c>
      <x:c r="B936" s="3" t="str">
        <x:v>Exp. 2</x:v>
      </x:c>
      <x:c r="C936" s="18" t="n">
        <x:v>1002</x:v>
      </x:c>
      <x:c r="D936" s="3" t="str">
        <x:v>Relative cutoff 1e-2</x:v>
      </x:c>
      <x:c r="E936" s="18" t="n">
        <x:v>200</x:v>
      </x:c>
      <x:c r="F936" s="21" t="n">
        <x:v>49.45543011199287</x:v>
      </x:c>
      <x:c r="G936" s="21" t="str">
        <x:f>""</x:f>
      </x:c>
      <x:c r="H936" s="21" t="n">
        <x:f>F935</x:f>
        <x:v>49.44773642285548</x:v>
      </x:c>
      <x:c r="I936" s="27" t="str">
        <x:f>IF(AND(ISNUMBER(G936),ISNUMBER(H936),H936&gt;0),G936/H936-1,"")</x:f>
      </x:c>
      <x:c r="J936" s="27" t="str">
        <x:f>IF(AND(ISNUMBER(G936),F936&gt;0),G936/F936-1,"")</x:f>
      </x:c>
      <x:c r="K936" s="19" t="str">
        <x:v>Exp_2/EXP032/results/seed1002_Relative_cutoff_1e-2.json</x:v>
      </x:c>
    </x:row>
    <x:row r="937" ht="15" hidden="0" customHeight="1">
      <x:c r="A937" s="3" t="str">
        <x:v>EXP032</x:v>
      </x:c>
      <x:c r="B937" s="3" t="str">
        <x:v>Exp. 2</x:v>
      </x:c>
      <x:c r="C937" s="18" t="n">
        <x:v>1003</x:v>
      </x:c>
      <x:c r="D937" s="3" t="str">
        <x:v>Fixed rank 10</x:v>
      </x:c>
      <x:c r="E937" s="18" t="n">
        <x:v>200</x:v>
      </x:c>
      <x:c r="F937" s="21" t="n">
        <x:v>55.080913798605366</x:v>
      </x:c>
      <x:c r="G937" s="21" t="str">
        <x:f>""</x:f>
      </x:c>
      <x:c r="H937" s="21" t="n">
        <x:f>F940</x:f>
        <x:v>55.080913798605366</x:v>
      </x:c>
      <x:c r="I937" s="27" t="str">
        <x:f>IF(AND(ISNUMBER(G937),ISNUMBER(H937),H937&gt;0),G937/H937-1,"")</x:f>
      </x:c>
      <x:c r="J937" s="27" t="str">
        <x:f>IF(AND(ISNUMBER(G937),F937&gt;0),G937/F937-1,"")</x:f>
      </x:c>
      <x:c r="K937" s="19" t="str">
        <x:v>Exp_2/EXP032/results/seed1003_Fixed_rank_10.json</x:v>
      </x:c>
    </x:row>
    <x:row r="938" ht="15" hidden="0" customHeight="1">
      <x:c r="A938" s="3" t="str">
        <x:v>EXP032</x:v>
      </x:c>
      <x:c r="B938" s="3" t="str">
        <x:v>Exp. 2</x:v>
      </x:c>
      <x:c r="C938" s="18" t="n">
        <x:v>1003</x:v>
      </x:c>
      <x:c r="D938" s="3" t="str">
        <x:v>Fixed rank 3</x:v>
      </x:c>
      <x:c r="E938" s="18" t="n">
        <x:v>200</x:v>
      </x:c>
      <x:c r="F938" s="21" t="n">
        <x:v>52.98767783399625</x:v>
      </x:c>
      <x:c r="G938" s="21" t="str">
        <x:f>""</x:f>
      </x:c>
      <x:c r="H938" s="21" t="n">
        <x:f>F940</x:f>
        <x:v>55.080913798605366</x:v>
      </x:c>
      <x:c r="I938" s="27" t="str">
        <x:f>IF(AND(ISNUMBER(G938),ISNUMBER(H938),H938&gt;0),G938/H938-1,"")</x:f>
      </x:c>
      <x:c r="J938" s="27" t="str">
        <x:f>IF(AND(ISNUMBER(G938),F938&gt;0),G938/F938-1,"")</x:f>
      </x:c>
      <x:c r="K938" s="19" t="str">
        <x:v>Exp_2/EXP032/results/seed1003_Fixed_rank_3.json</x:v>
      </x:c>
    </x:row>
    <x:row r="939" ht="15" hidden="0" customHeight="1">
      <x:c r="A939" s="3" t="str">
        <x:v>EXP032</x:v>
      </x:c>
      <x:c r="B939" s="3" t="str">
        <x:v>Exp. 2</x:v>
      </x:c>
      <x:c r="C939" s="18" t="n">
        <x:v>1003</x:v>
      </x:c>
      <x:c r="D939" s="3" t="str">
        <x:v>Fixed rank 5</x:v>
      </x:c>
      <x:c r="E939" s="18" t="n">
        <x:v>200</x:v>
      </x:c>
      <x:c r="F939" s="21" t="n">
        <x:v>53.260028419385016</x:v>
      </x:c>
      <x:c r="G939" s="21" t="str">
        <x:f>""</x:f>
      </x:c>
      <x:c r="H939" s="21" t="n">
        <x:f>F940</x:f>
        <x:v>55.080913798605366</x:v>
      </x:c>
      <x:c r="I939" s="27" t="str">
        <x:f>IF(AND(ISNUMBER(G939),ISNUMBER(H939),H939&gt;0),G939/H939-1,"")</x:f>
      </x:c>
      <x:c r="J939" s="27" t="str">
        <x:f>IF(AND(ISNUMBER(G939),F939&gt;0),G939/F939-1,"")</x:f>
      </x:c>
      <x:c r="K939" s="19" t="str">
        <x:v>Exp_2/EXP032/results/seed1003_Fixed_rank_5.json</x:v>
      </x:c>
    </x:row>
    <x:row r="940" ht="15" hidden="0" customHeight="1">
      <x:c r="A940" s="3" t="str">
        <x:v>EXP032</x:v>
      </x:c>
      <x:c r="B940" s="3" t="str">
        <x:v>Exp. 2</x:v>
      </x:c>
      <x:c r="C940" s="18" t="n">
        <x:v>1003</x:v>
      </x:c>
      <x:c r="D940" s="3" t="str">
        <x:v>Full</x:v>
      </x:c>
      <x:c r="E940" s="18" t="n">
        <x:v>200</x:v>
      </x:c>
      <x:c r="F940" s="21" t="n">
        <x:v>55.080913798605366</x:v>
      </x:c>
      <x:c r="G940" s="21" t="str">
        <x:f>""</x:f>
      </x:c>
      <x:c r="H940" s="21" t="n">
        <x:f>F940</x:f>
        <x:v>55.080913798605366</x:v>
      </x:c>
      <x:c r="I940" s="27" t="str">
        <x:f>IF(AND(ISNUMBER(G940),ISNUMBER(H940),H940&gt;0),G940/H940-1,"")</x:f>
      </x:c>
      <x:c r="J940" s="27" t="str">
        <x:f>IF(AND(ISNUMBER(G940),F940&gt;0),G940/F940-1,"")</x:f>
      </x:c>
      <x:c r="K940" s="19" t="str">
        <x:v>Exp_2/EXP032/results/seed1003_Full.json</x:v>
      </x:c>
    </x:row>
    <x:row r="941" ht="15" hidden="0" customHeight="1">
      <x:c r="A941" s="3" t="str">
        <x:v>EXP032</x:v>
      </x:c>
      <x:c r="B941" s="3" t="str">
        <x:v>Exp. 2</x:v>
      </x:c>
      <x:c r="C941" s="18" t="n">
        <x:v>1003</x:v>
      </x:c>
      <x:c r="D941" s="3" t="str">
        <x:v>Relative cutoff 1e-2</x:v>
      </x:c>
      <x:c r="E941" s="18" t="n">
        <x:v>200</x:v>
      </x:c>
      <x:c r="F941" s="21" t="n">
        <x:v>52.213350223222385</x:v>
      </x:c>
      <x:c r="G941" s="21" t="str">
        <x:f>""</x:f>
      </x:c>
      <x:c r="H941" s="21" t="n">
        <x:f>F940</x:f>
        <x:v>55.080913798605366</x:v>
      </x:c>
      <x:c r="I941" s="27" t="str">
        <x:f>IF(AND(ISNUMBER(G941),ISNUMBER(H941),H941&gt;0),G941/H941-1,"")</x:f>
      </x:c>
      <x:c r="J941" s="27" t="str">
        <x:f>IF(AND(ISNUMBER(G941),F941&gt;0),G941/F941-1,"")</x:f>
      </x:c>
      <x:c r="K941" s="19" t="str">
        <x:v>Exp_2/EXP032/results/seed1003_Relative_cutoff_1e-2.json</x:v>
      </x:c>
    </x:row>
    <x:row r="942" ht="15" hidden="0" customHeight="1">
      <x:c r="A942" s="3" t="str">
        <x:v>EXP032</x:v>
      </x:c>
      <x:c r="B942" s="3" t="str">
        <x:v>Exp. 2</x:v>
      </x:c>
      <x:c r="C942" s="18" t="n">
        <x:v>1004</x:v>
      </x:c>
      <x:c r="D942" s="3" t="str">
        <x:v>Fixed rank 10</x:v>
      </x:c>
      <x:c r="E942" s="18" t="n">
        <x:v>200</x:v>
      </x:c>
      <x:c r="F942" s="21" t="n">
        <x:v>67.9673033359687</x:v>
      </x:c>
      <x:c r="G942" s="21" t="str">
        <x:f>""</x:f>
      </x:c>
      <x:c r="H942" s="21" t="n">
        <x:f>F945</x:f>
        <x:v>68.55618092849996</x:v>
      </x:c>
      <x:c r="I942" s="27" t="str">
        <x:f>IF(AND(ISNUMBER(G942),ISNUMBER(H942),H942&gt;0),G942/H942-1,"")</x:f>
      </x:c>
      <x:c r="J942" s="27" t="str">
        <x:f>IF(AND(ISNUMBER(G942),F942&gt;0),G942/F942-1,"")</x:f>
      </x:c>
      <x:c r="K942" s="19" t="str">
        <x:v>Exp_2/EXP032/results/seed1004_Fixed_rank_10.json</x:v>
      </x:c>
    </x:row>
    <x:row r="943" ht="15" hidden="0" customHeight="1">
      <x:c r="A943" s="3" t="str">
        <x:v>EXP032</x:v>
      </x:c>
      <x:c r="B943" s="3" t="str">
        <x:v>Exp. 2</x:v>
      </x:c>
      <x:c r="C943" s="18" t="n">
        <x:v>1004</x:v>
      </x:c>
      <x:c r="D943" s="3" t="str">
        <x:v>Fixed rank 3</x:v>
      </x:c>
      <x:c r="E943" s="18" t="n">
        <x:v>200</x:v>
      </x:c>
      <x:c r="F943" s="21" t="n">
        <x:v>65.25837271074266</x:v>
      </x:c>
      <x:c r="G943" s="21" t="str">
        <x:f>""</x:f>
      </x:c>
      <x:c r="H943" s="21" t="n">
        <x:f>F945</x:f>
        <x:v>68.55618092849996</x:v>
      </x:c>
      <x:c r="I943" s="27" t="str">
        <x:f>IF(AND(ISNUMBER(G943),ISNUMBER(H943),H943&gt;0),G943/H943-1,"")</x:f>
      </x:c>
      <x:c r="J943" s="27" t="str">
        <x:f>IF(AND(ISNUMBER(G943),F943&gt;0),G943/F943-1,"")</x:f>
      </x:c>
      <x:c r="K943" s="19" t="str">
        <x:v>Exp_2/EXP032/results/seed1004_Fixed_rank_3.json</x:v>
      </x:c>
    </x:row>
    <x:row r="944" ht="15" hidden="0" customHeight="1">
      <x:c r="A944" s="3" t="str">
        <x:v>EXP032</x:v>
      </x:c>
      <x:c r="B944" s="3" t="str">
        <x:v>Exp. 2</x:v>
      </x:c>
      <x:c r="C944" s="18" t="n">
        <x:v>1004</x:v>
      </x:c>
      <x:c r="D944" s="3" t="str">
        <x:v>Fixed rank 5</x:v>
      </x:c>
      <x:c r="E944" s="18" t="n">
        <x:v>200</x:v>
      </x:c>
      <x:c r="F944" s="21" t="n">
        <x:v>67.9673033359687</x:v>
      </x:c>
      <x:c r="G944" s="21" t="str">
        <x:f>""</x:f>
      </x:c>
      <x:c r="H944" s="21" t="n">
        <x:f>F945</x:f>
        <x:v>68.55618092849996</x:v>
      </x:c>
      <x:c r="I944" s="27" t="str">
        <x:f>IF(AND(ISNUMBER(G944),ISNUMBER(H944),H944&gt;0),G944/H944-1,"")</x:f>
      </x:c>
      <x:c r="J944" s="27" t="str">
        <x:f>IF(AND(ISNUMBER(G944),F944&gt;0),G944/F944-1,"")</x:f>
      </x:c>
      <x:c r="K944" s="19" t="str">
        <x:v>Exp_2/EXP032/results/seed1004_Fixed_rank_5.json</x:v>
      </x:c>
    </x:row>
    <x:row r="945" ht="15" hidden="0" customHeight="1">
      <x:c r="A945" s="3" t="str">
        <x:v>EXP032</x:v>
      </x:c>
      <x:c r="B945" s="3" t="str">
        <x:v>Exp. 2</x:v>
      </x:c>
      <x:c r="C945" s="18" t="n">
        <x:v>1004</x:v>
      </x:c>
      <x:c r="D945" s="3" t="str">
        <x:v>Full</x:v>
      </x:c>
      <x:c r="E945" s="18" t="n">
        <x:v>200</x:v>
      </x:c>
      <x:c r="F945" s="21" t="n">
        <x:v>68.55618092849996</x:v>
      </x:c>
      <x:c r="G945" s="21" t="str">
        <x:f>""</x:f>
      </x:c>
      <x:c r="H945" s="21" t="n">
        <x:f>F945</x:f>
        <x:v>68.55618092849996</x:v>
      </x:c>
      <x:c r="I945" s="27" t="str">
        <x:f>IF(AND(ISNUMBER(G945),ISNUMBER(H945),H945&gt;0),G945/H945-1,"")</x:f>
      </x:c>
      <x:c r="J945" s="27" t="str">
        <x:f>IF(AND(ISNUMBER(G945),F945&gt;0),G945/F945-1,"")</x:f>
      </x:c>
      <x:c r="K945" s="19" t="str">
        <x:v>Exp_2/EXP032/results/seed1004_Full.json</x:v>
      </x:c>
    </x:row>
    <x:row r="946" ht="15" hidden="0" customHeight="1">
      <x:c r="A946" s="3" t="str">
        <x:v>EXP032</x:v>
      </x:c>
      <x:c r="B946" s="3" t="str">
        <x:v>Exp. 2</x:v>
      </x:c>
      <x:c r="C946" s="18" t="n">
        <x:v>1004</x:v>
      </x:c>
      <x:c r="D946" s="3" t="str">
        <x:v>Relative cutoff 1e-2</x:v>
      </x:c>
      <x:c r="E946" s="18" t="n">
        <x:v>200</x:v>
      </x:c>
      <x:c r="F946" s="21" t="n">
        <x:v>69.88926247960306</x:v>
      </x:c>
      <x:c r="G946" s="21" t="str">
        <x:f>""</x:f>
      </x:c>
      <x:c r="H946" s="21" t="n">
        <x:f>F945</x:f>
        <x:v>68.55618092849996</x:v>
      </x:c>
      <x:c r="I946" s="27" t="str">
        <x:f>IF(AND(ISNUMBER(G946),ISNUMBER(H946),H946&gt;0),G946/H946-1,"")</x:f>
      </x:c>
      <x:c r="J946" s="27" t="str">
        <x:f>IF(AND(ISNUMBER(G946),F946&gt;0),G946/F946-1,"")</x:f>
      </x:c>
      <x:c r="K946" s="19" t="str">
        <x:v>Exp_2/EXP032/results/seed1004_Relative_cutoff_1e-2.json</x:v>
      </x:c>
    </x:row>
    <x:row r="947" ht="15" hidden="0" customHeight="1">
      <x:c r="A947" s="3" t="str">
        <x:v>EXP032</x:v>
      </x:c>
      <x:c r="B947" s="3" t="str">
        <x:v>Exp. 2</x:v>
      </x:c>
      <x:c r="C947" s="18" t="n">
        <x:v>1005</x:v>
      </x:c>
      <x:c r="D947" s="3" t="str">
        <x:v>Fixed rank 10</x:v>
      </x:c>
      <x:c r="E947" s="18" t="n">
        <x:v>200</x:v>
      </x:c>
      <x:c r="F947" s="21" t="n">
        <x:v>81.59640623726935</x:v>
      </x:c>
      <x:c r="G947" s="21" t="str">
        <x:f>""</x:f>
      </x:c>
      <x:c r="H947" s="21" t="n">
        <x:f>F950</x:f>
        <x:v>81.3067054629433</x:v>
      </x:c>
      <x:c r="I947" s="27" t="str">
        <x:f>IF(AND(ISNUMBER(G947),ISNUMBER(H947),H947&gt;0),G947/H947-1,"")</x:f>
      </x:c>
      <x:c r="J947" s="27" t="str">
        <x:f>IF(AND(ISNUMBER(G947),F947&gt;0),G947/F947-1,"")</x:f>
      </x:c>
      <x:c r="K947" s="19" t="str">
        <x:v>Exp_2/EXP032/results/seed1005_Fixed_rank_10.json</x:v>
      </x:c>
    </x:row>
    <x:row r="948" ht="15" hidden="0" customHeight="1">
      <x:c r="A948" s="3" t="str">
        <x:v>EXP032</x:v>
      </x:c>
      <x:c r="B948" s="3" t="str">
        <x:v>Exp. 2</x:v>
      </x:c>
      <x:c r="C948" s="18" t="n">
        <x:v>1005</x:v>
      </x:c>
      <x:c r="D948" s="3" t="str">
        <x:v>Fixed rank 3</x:v>
      </x:c>
      <x:c r="E948" s="18" t="n">
        <x:v>200</x:v>
      </x:c>
      <x:c r="F948" s="21" t="n">
        <x:v>79.66948086798753</x:v>
      </x:c>
      <x:c r="G948" s="21" t="str">
        <x:f>""</x:f>
      </x:c>
      <x:c r="H948" s="21" t="n">
        <x:f>F950</x:f>
        <x:v>81.3067054629433</x:v>
      </x:c>
      <x:c r="I948" s="27" t="str">
        <x:f>IF(AND(ISNUMBER(G948),ISNUMBER(H948),H948&gt;0),G948/H948-1,"")</x:f>
      </x:c>
      <x:c r="J948" s="27" t="str">
        <x:f>IF(AND(ISNUMBER(G948),F948&gt;0),G948/F948-1,"")</x:f>
      </x:c>
      <x:c r="K948" s="19" t="str">
        <x:v>Exp_2/EXP032/results/seed1005_Fixed_rank_3.json</x:v>
      </x:c>
    </x:row>
    <x:row r="949" ht="15" hidden="0" customHeight="1">
      <x:c r="A949" s="3" t="str">
        <x:v>EXP032</x:v>
      </x:c>
      <x:c r="B949" s="3" t="str">
        <x:v>Exp. 2</x:v>
      </x:c>
      <x:c r="C949" s="18" t="n">
        <x:v>1005</x:v>
      </x:c>
      <x:c r="D949" s="3" t="str">
        <x:v>Fixed rank 5</x:v>
      </x:c>
      <x:c r="E949" s="18" t="n">
        <x:v>200</x:v>
      </x:c>
      <x:c r="F949" s="21" t="n">
        <x:v>82.86376167411935</x:v>
      </x:c>
      <x:c r="G949" s="21" t="str">
        <x:f>""</x:f>
      </x:c>
      <x:c r="H949" s="21" t="n">
        <x:f>F950</x:f>
        <x:v>81.3067054629433</x:v>
      </x:c>
      <x:c r="I949" s="27" t="str">
        <x:f>IF(AND(ISNUMBER(G949),ISNUMBER(H949),H949&gt;0),G949/H949-1,"")</x:f>
      </x:c>
      <x:c r="J949" s="27" t="str">
        <x:f>IF(AND(ISNUMBER(G949),F949&gt;0),G949/F949-1,"")</x:f>
      </x:c>
      <x:c r="K949" s="19" t="str">
        <x:v>Exp_2/EXP032/results/seed1005_Fixed_rank_5.json</x:v>
      </x:c>
    </x:row>
    <x:row r="950" ht="15" hidden="0" customHeight="1">
      <x:c r="A950" s="3" t="str">
        <x:v>EXP032</x:v>
      </x:c>
      <x:c r="B950" s="3" t="str">
        <x:v>Exp. 2</x:v>
      </x:c>
      <x:c r="C950" s="18" t="n">
        <x:v>1005</x:v>
      </x:c>
      <x:c r="D950" s="3" t="str">
        <x:v>Full</x:v>
      </x:c>
      <x:c r="E950" s="18" t="n">
        <x:v>200</x:v>
      </x:c>
      <x:c r="F950" s="21" t="n">
        <x:v>81.3067054629433</x:v>
      </x:c>
      <x:c r="G950" s="21" t="str">
        <x:f>""</x:f>
      </x:c>
      <x:c r="H950" s="21" t="n">
        <x:f>F950</x:f>
        <x:v>81.3067054629433</x:v>
      </x:c>
      <x:c r="I950" s="27" t="str">
        <x:f>IF(AND(ISNUMBER(G950),ISNUMBER(H950),H950&gt;0),G950/H950-1,"")</x:f>
      </x:c>
      <x:c r="J950" s="27" t="str">
        <x:f>IF(AND(ISNUMBER(G950),F950&gt;0),G950/F950-1,"")</x:f>
      </x:c>
      <x:c r="K950" s="19" t="str">
        <x:v>Exp_2/EXP032/results/seed1005_Full.json</x:v>
      </x:c>
    </x:row>
    <x:row r="951" ht="15" hidden="0" customHeight="1">
      <x:c r="A951" s="3" t="str">
        <x:v>EXP032</x:v>
      </x:c>
      <x:c r="B951" s="3" t="str">
        <x:v>Exp. 2</x:v>
      </x:c>
      <x:c r="C951" s="18" t="n">
        <x:v>1005</x:v>
      </x:c>
      <x:c r="D951" s="3" t="str">
        <x:v>Relative cutoff 1e-2</x:v>
      </x:c>
      <x:c r="E951" s="18" t="n">
        <x:v>200</x:v>
      </x:c>
      <x:c r="F951" s="21" t="n">
        <x:v>79.66948086798753</x:v>
      </x:c>
      <x:c r="G951" s="21" t="str">
        <x:f>""</x:f>
      </x:c>
      <x:c r="H951" s="21" t="n">
        <x:f>F950</x:f>
        <x:v>81.3067054629433</x:v>
      </x:c>
      <x:c r="I951" s="27" t="str">
        <x:f>IF(AND(ISNUMBER(G951),ISNUMBER(H951),H951&gt;0),G951/H951-1,"")</x:f>
      </x:c>
      <x:c r="J951" s="27" t="str">
        <x:f>IF(AND(ISNUMBER(G951),F951&gt;0),G951/F951-1,"")</x:f>
      </x:c>
      <x:c r="K951" s="19" t="str">
        <x:v>Exp_2/EXP032/results/seed1005_Relative_cutoff_1e-2.json</x:v>
      </x:c>
    </x:row>
    <x:row r="952" ht="15" hidden="0" customHeight="1">
      <x:c r="A952" s="3" t="str">
        <x:v>EXP032</x:v>
      </x:c>
      <x:c r="B952" s="3" t="str">
        <x:v>Exp. 2</x:v>
      </x:c>
      <x:c r="C952" s="18" t="n">
        <x:v>1006</x:v>
      </x:c>
      <x:c r="D952" s="3" t="str">
        <x:v>Fixed rank 10</x:v>
      </x:c>
      <x:c r="E952" s="18" t="n">
        <x:v>200</x:v>
      </x:c>
      <x:c r="F952" s="21" t="n">
        <x:v>62.61693425691062</x:v>
      </x:c>
      <x:c r="G952" s="21" t="str">
        <x:f>""</x:f>
      </x:c>
      <x:c r="H952" s="21" t="n">
        <x:f>F955</x:f>
        <x:v>64.04856131272325</x:v>
      </x:c>
      <x:c r="I952" s="27" t="str">
        <x:f>IF(AND(ISNUMBER(G952),ISNUMBER(H952),H952&gt;0),G952/H952-1,"")</x:f>
      </x:c>
      <x:c r="J952" s="27" t="str">
        <x:f>IF(AND(ISNUMBER(G952),F952&gt;0),G952/F952-1,"")</x:f>
      </x:c>
      <x:c r="K952" s="19" t="str">
        <x:v>Exp_2/EXP032/results/seed1006_Fixed_rank_10.json</x:v>
      </x:c>
    </x:row>
    <x:row r="953" ht="15" hidden="0" customHeight="1">
      <x:c r="A953" s="3" t="str">
        <x:v>EXP032</x:v>
      </x:c>
      <x:c r="B953" s="3" t="str">
        <x:v>Exp. 2</x:v>
      </x:c>
      <x:c r="C953" s="18" t="n">
        <x:v>1006</x:v>
      </x:c>
      <x:c r="D953" s="3" t="str">
        <x:v>Fixed rank 3</x:v>
      </x:c>
      <x:c r="E953" s="18" t="n">
        <x:v>200</x:v>
      </x:c>
      <x:c r="F953" s="21" t="n">
        <x:v>65.90199838859186</x:v>
      </x:c>
      <x:c r="G953" s="21" t="str">
        <x:f>""</x:f>
      </x:c>
      <x:c r="H953" s="21" t="n">
        <x:f>F955</x:f>
        <x:v>64.04856131272325</x:v>
      </x:c>
      <x:c r="I953" s="27" t="str">
        <x:f>IF(AND(ISNUMBER(G953),ISNUMBER(H953),H953&gt;0),G953/H953-1,"")</x:f>
      </x:c>
      <x:c r="J953" s="27" t="str">
        <x:f>IF(AND(ISNUMBER(G953),F953&gt;0),G953/F953-1,"")</x:f>
      </x:c>
      <x:c r="K953" s="19" t="str">
        <x:v>Exp_2/EXP032/results/seed1006_Fixed_rank_3.json</x:v>
      </x:c>
    </x:row>
    <x:row r="954" ht="15" hidden="0" customHeight="1">
      <x:c r="A954" s="3" t="str">
        <x:v>EXP032</x:v>
      </x:c>
      <x:c r="B954" s="3" t="str">
        <x:v>Exp. 2</x:v>
      </x:c>
      <x:c r="C954" s="18" t="n">
        <x:v>1006</x:v>
      </x:c>
      <x:c r="D954" s="3" t="str">
        <x:v>Fixed rank 5</x:v>
      </x:c>
      <x:c r="E954" s="18" t="n">
        <x:v>200</x:v>
      </x:c>
      <x:c r="F954" s="21" t="n">
        <x:v>60.46361563672411</x:v>
      </x:c>
      <x:c r="G954" s="21" t="str">
        <x:f>""</x:f>
      </x:c>
      <x:c r="H954" s="21" t="n">
        <x:f>F955</x:f>
        <x:v>64.04856131272325</x:v>
      </x:c>
      <x:c r="I954" s="27" t="str">
        <x:f>IF(AND(ISNUMBER(G954),ISNUMBER(H954),H954&gt;0),G954/H954-1,"")</x:f>
      </x:c>
      <x:c r="J954" s="27" t="str">
        <x:f>IF(AND(ISNUMBER(G954),F954&gt;0),G954/F954-1,"")</x:f>
      </x:c>
      <x:c r="K954" s="19" t="str">
        <x:v>Exp_2/EXP032/results/seed1006_Fixed_rank_5.json</x:v>
      </x:c>
    </x:row>
    <x:row r="955" ht="15" hidden="0" customHeight="1">
      <x:c r="A955" s="3" t="str">
        <x:v>EXP032</x:v>
      </x:c>
      <x:c r="B955" s="3" t="str">
        <x:v>Exp. 2</x:v>
      </x:c>
      <x:c r="C955" s="18" t="n">
        <x:v>1006</x:v>
      </x:c>
      <x:c r="D955" s="3" t="str">
        <x:v>Full</x:v>
      </x:c>
      <x:c r="E955" s="18" t="n">
        <x:v>200</x:v>
      </x:c>
      <x:c r="F955" s="21" t="n">
        <x:v>64.04856131272325</x:v>
      </x:c>
      <x:c r="G955" s="21" t="str">
        <x:f>""</x:f>
      </x:c>
      <x:c r="H955" s="21" t="n">
        <x:f>F955</x:f>
        <x:v>64.04856131272325</x:v>
      </x:c>
      <x:c r="I955" s="27" t="str">
        <x:f>IF(AND(ISNUMBER(G955),ISNUMBER(H955),H955&gt;0),G955/H955-1,"")</x:f>
      </x:c>
      <x:c r="J955" s="27" t="str">
        <x:f>IF(AND(ISNUMBER(G955),F955&gt;0),G955/F955-1,"")</x:f>
      </x:c>
      <x:c r="K955" s="19" t="str">
        <x:v>Exp_2/EXP032/results/seed1006_Full.json</x:v>
      </x:c>
    </x:row>
    <x:row r="956" ht="15" hidden="0" customHeight="1">
      <x:c r="A956" s="3" t="str">
        <x:v>EXP032</x:v>
      </x:c>
      <x:c r="B956" s="3" t="str">
        <x:v>Exp. 2</x:v>
      </x:c>
      <x:c r="C956" s="18" t="n">
        <x:v>1006</x:v>
      </x:c>
      <x:c r="D956" s="3" t="str">
        <x:v>Relative cutoff 1e-2</x:v>
      </x:c>
      <x:c r="E956" s="18" t="n">
        <x:v>200</x:v>
      </x:c>
      <x:c r="F956" s="21" t="n">
        <x:v>61.87030051267969</x:v>
      </x:c>
      <x:c r="G956" s="21" t="str">
        <x:f>""</x:f>
      </x:c>
      <x:c r="H956" s="21" t="n">
        <x:f>F955</x:f>
        <x:v>64.04856131272325</x:v>
      </x:c>
      <x:c r="I956" s="27" t="str">
        <x:f>IF(AND(ISNUMBER(G956),ISNUMBER(H956),H956&gt;0),G956/H956-1,"")</x:f>
      </x:c>
      <x:c r="J956" s="27" t="str">
        <x:f>IF(AND(ISNUMBER(G956),F956&gt;0),G956/F956-1,"")</x:f>
      </x:c>
      <x:c r="K956" s="19" t="str">
        <x:v>Exp_2/EXP032/results/seed1006_Relative_cutoff_1e-2.json</x:v>
      </x:c>
    </x:row>
    <x:row r="957" ht="15" hidden="0" customHeight="1">
      <x:c r="A957" s="3" t="str">
        <x:v>EXP032</x:v>
      </x:c>
      <x:c r="B957" s="3" t="str">
        <x:v>Exp. 2</x:v>
      </x:c>
      <x:c r="C957" s="18" t="n">
        <x:v>1007</x:v>
      </x:c>
      <x:c r="D957" s="3" t="str">
        <x:v>Fixed rank 10</x:v>
      </x:c>
      <x:c r="E957" s="18" t="n">
        <x:v>200</x:v>
      </x:c>
      <x:c r="F957" s="21" t="n">
        <x:v>57.30866840270017</x:v>
      </x:c>
      <x:c r="G957" s="21" t="str">
        <x:f>""</x:f>
      </x:c>
      <x:c r="H957" s="21" t="n">
        <x:f>F960</x:f>
        <x:v>57.30866840270017</x:v>
      </x:c>
      <x:c r="I957" s="27" t="str">
        <x:f>IF(AND(ISNUMBER(G957),ISNUMBER(H957),H957&gt;0),G957/H957-1,"")</x:f>
      </x:c>
      <x:c r="J957" s="27" t="str">
        <x:f>IF(AND(ISNUMBER(G957),F957&gt;0),G957/F957-1,"")</x:f>
      </x:c>
      <x:c r="K957" s="19" t="str">
        <x:v>Exp_2/EXP032/results/seed1007_Fixed_rank_10.json</x:v>
      </x:c>
    </x:row>
    <x:row r="958" ht="15" hidden="0" customHeight="1">
      <x:c r="A958" s="3" t="str">
        <x:v>EXP032</x:v>
      </x:c>
      <x:c r="B958" s="3" t="str">
        <x:v>Exp. 2</x:v>
      </x:c>
      <x:c r="C958" s="18" t="n">
        <x:v>1007</x:v>
      </x:c>
      <x:c r="D958" s="3" t="str">
        <x:v>Fixed rank 3</x:v>
      </x:c>
      <x:c r="E958" s="18" t="n">
        <x:v>200</x:v>
      </x:c>
      <x:c r="F958" s="21" t="n">
        <x:v>72.03404753169076</x:v>
      </x:c>
      <x:c r="G958" s="21" t="str">
        <x:f>""</x:f>
      </x:c>
      <x:c r="H958" s="21" t="n">
        <x:f>F960</x:f>
        <x:v>57.30866840270017</x:v>
      </x:c>
      <x:c r="I958" s="27" t="str">
        <x:f>IF(AND(ISNUMBER(G958),ISNUMBER(H958),H958&gt;0),G958/H958-1,"")</x:f>
      </x:c>
      <x:c r="J958" s="27" t="str">
        <x:f>IF(AND(ISNUMBER(G958),F958&gt;0),G958/F958-1,"")</x:f>
      </x:c>
      <x:c r="K958" s="19" t="str">
        <x:v>Exp_2/EXP032/results/seed1007_Fixed_rank_3.json</x:v>
      </x:c>
    </x:row>
    <x:row r="959" ht="15" hidden="0" customHeight="1">
      <x:c r="A959" s="3" t="str">
        <x:v>EXP032</x:v>
      </x:c>
      <x:c r="B959" s="3" t="str">
        <x:v>Exp. 2</x:v>
      </x:c>
      <x:c r="C959" s="18" t="n">
        <x:v>1007</x:v>
      </x:c>
      <x:c r="D959" s="3" t="str">
        <x:v>Fixed rank 5</x:v>
      </x:c>
      <x:c r="E959" s="18" t="n">
        <x:v>200</x:v>
      </x:c>
      <x:c r="F959" s="21" t="n">
        <x:v>57.051576028926725</x:v>
      </x:c>
      <x:c r="G959" s="21" t="str">
        <x:f>""</x:f>
      </x:c>
      <x:c r="H959" s="21" t="n">
        <x:f>F960</x:f>
        <x:v>57.30866840270017</x:v>
      </x:c>
      <x:c r="I959" s="27" t="str">
        <x:f>IF(AND(ISNUMBER(G959),ISNUMBER(H959),H959&gt;0),G959/H959-1,"")</x:f>
      </x:c>
      <x:c r="J959" s="27" t="str">
        <x:f>IF(AND(ISNUMBER(G959),F959&gt;0),G959/F959-1,"")</x:f>
      </x:c>
      <x:c r="K959" s="19" t="str">
        <x:v>Exp_2/EXP032/results/seed1007_Fixed_rank_5.json</x:v>
      </x:c>
    </x:row>
    <x:row r="960" ht="15" hidden="0" customHeight="1">
      <x:c r="A960" s="3" t="str">
        <x:v>EXP032</x:v>
      </x:c>
      <x:c r="B960" s="3" t="str">
        <x:v>Exp. 2</x:v>
      </x:c>
      <x:c r="C960" s="18" t="n">
        <x:v>1007</x:v>
      </x:c>
      <x:c r="D960" s="3" t="str">
        <x:v>Full</x:v>
      </x:c>
      <x:c r="E960" s="18" t="n">
        <x:v>200</x:v>
      </x:c>
      <x:c r="F960" s="21" t="n">
        <x:v>57.30866840270017</x:v>
      </x:c>
      <x:c r="G960" s="21" t="str">
        <x:f>""</x:f>
      </x:c>
      <x:c r="H960" s="21" t="n">
        <x:f>F960</x:f>
        <x:v>57.30866840270017</x:v>
      </x:c>
      <x:c r="I960" s="27" t="str">
        <x:f>IF(AND(ISNUMBER(G960),ISNUMBER(H960),H960&gt;0),G960/H960-1,"")</x:f>
      </x:c>
      <x:c r="J960" s="27" t="str">
        <x:f>IF(AND(ISNUMBER(G960),F960&gt;0),G960/F960-1,"")</x:f>
      </x:c>
      <x:c r="K960" s="19" t="str">
        <x:v>Exp_2/EXP032/results/seed1007_Full.json</x:v>
      </x:c>
    </x:row>
    <x:row r="961" ht="15" hidden="0" customHeight="1">
      <x:c r="A961" s="3" t="str">
        <x:v>EXP032</x:v>
      </x:c>
      <x:c r="B961" s="3" t="str">
        <x:v>Exp. 2</x:v>
      </x:c>
      <x:c r="C961" s="18" t="n">
        <x:v>1007</x:v>
      </x:c>
      <x:c r="D961" s="3" t="str">
        <x:v>Relative cutoff 1e-2</x:v>
      </x:c>
      <x:c r="E961" s="18" t="n">
        <x:v>200</x:v>
      </x:c>
      <x:c r="F961" s="21" t="n">
        <x:v>54.92775389251169</x:v>
      </x:c>
      <x:c r="G961" s="21" t="str">
        <x:f>""</x:f>
      </x:c>
      <x:c r="H961" s="21" t="n">
        <x:f>F960</x:f>
        <x:v>57.30866840270017</x:v>
      </x:c>
      <x:c r="I961" s="27" t="str">
        <x:f>IF(AND(ISNUMBER(G961),ISNUMBER(H961),H961&gt;0),G961/H961-1,"")</x:f>
      </x:c>
      <x:c r="J961" s="27" t="str">
        <x:f>IF(AND(ISNUMBER(G961),F961&gt;0),G961/F961-1,"")</x:f>
      </x:c>
      <x:c r="K961" s="19" t="str">
        <x:v>Exp_2/EXP032/results/seed1007_Relative_cutoff_1e-2.json</x:v>
      </x:c>
    </x:row>
    <x:row r="962" ht="15" hidden="0" customHeight="1">
      <x:c r="A962" s="3" t="str">
        <x:v>EXP032</x:v>
      </x:c>
      <x:c r="B962" s="3" t="str">
        <x:v>Exp. 2</x:v>
      </x:c>
      <x:c r="C962" s="18" t="n">
        <x:v>1008</x:v>
      </x:c>
      <x:c r="D962" s="3" t="str">
        <x:v>Fixed rank 10</x:v>
      </x:c>
      <x:c r="E962" s="18" t="n">
        <x:v>200</x:v>
      </x:c>
      <x:c r="F962" s="21" t="n">
        <x:v>64.88535615499062</x:v>
      </x:c>
      <x:c r="G962" s="21" t="str">
        <x:f>""</x:f>
      </x:c>
      <x:c r="H962" s="21" t="n">
        <x:f>F965</x:f>
        <x:v>64.71024637771673</x:v>
      </x:c>
      <x:c r="I962" s="27" t="str">
        <x:f>IF(AND(ISNUMBER(G962),ISNUMBER(H962),H962&gt;0),G962/H962-1,"")</x:f>
      </x:c>
      <x:c r="J962" s="27" t="str">
        <x:f>IF(AND(ISNUMBER(G962),F962&gt;0),G962/F962-1,"")</x:f>
      </x:c>
      <x:c r="K962" s="19" t="str">
        <x:v>Exp_2/EXP032/results/seed1008_Fixed_rank_10.json</x:v>
      </x:c>
    </x:row>
    <x:row r="963" ht="15" hidden="0" customHeight="1">
      <x:c r="A963" s="3" t="str">
        <x:v>EXP032</x:v>
      </x:c>
      <x:c r="B963" s="3" t="str">
        <x:v>Exp. 2</x:v>
      </x:c>
      <x:c r="C963" s="18" t="n">
        <x:v>1008</x:v>
      </x:c>
      <x:c r="D963" s="3" t="str">
        <x:v>Fixed rank 3</x:v>
      </x:c>
      <x:c r="E963" s="18" t="n">
        <x:v>200</x:v>
      </x:c>
      <x:c r="F963" s="21" t="n">
        <x:v>61.4735437414808</x:v>
      </x:c>
      <x:c r="G963" s="21" t="str">
        <x:f>""</x:f>
      </x:c>
      <x:c r="H963" s="21" t="n">
        <x:f>F965</x:f>
        <x:v>64.71024637771673</x:v>
      </x:c>
      <x:c r="I963" s="27" t="str">
        <x:f>IF(AND(ISNUMBER(G963),ISNUMBER(H963),H963&gt;0),G963/H963-1,"")</x:f>
      </x:c>
      <x:c r="J963" s="27" t="str">
        <x:f>IF(AND(ISNUMBER(G963),F963&gt;0),G963/F963-1,"")</x:f>
      </x:c>
      <x:c r="K963" s="19" t="str">
        <x:v>Exp_2/EXP032/results/seed1008_Fixed_rank_3.json</x:v>
      </x:c>
    </x:row>
    <x:row r="964" ht="15" hidden="0" customHeight="1">
      <x:c r="A964" s="3" t="str">
        <x:v>EXP032</x:v>
      </x:c>
      <x:c r="B964" s="3" t="str">
        <x:v>Exp. 2</x:v>
      </x:c>
      <x:c r="C964" s="18" t="n">
        <x:v>1008</x:v>
      </x:c>
      <x:c r="D964" s="3" t="str">
        <x:v>Fixed rank 5</x:v>
      </x:c>
      <x:c r="E964" s="18" t="n">
        <x:v>200</x:v>
      </x:c>
      <x:c r="F964" s="21" t="n">
        <x:v>54.714596174124445</x:v>
      </x:c>
      <x:c r="G964" s="21" t="str">
        <x:f>""</x:f>
      </x:c>
      <x:c r="H964" s="21" t="n">
        <x:f>F965</x:f>
        <x:v>64.71024637771673</x:v>
      </x:c>
      <x:c r="I964" s="27" t="str">
        <x:f>IF(AND(ISNUMBER(G964),ISNUMBER(H964),H964&gt;0),G964/H964-1,"")</x:f>
      </x:c>
      <x:c r="J964" s="27" t="str">
        <x:f>IF(AND(ISNUMBER(G964),F964&gt;0),G964/F964-1,"")</x:f>
      </x:c>
      <x:c r="K964" s="19" t="str">
        <x:v>Exp_2/EXP032/results/seed1008_Fixed_rank_5.json</x:v>
      </x:c>
    </x:row>
    <x:row r="965" ht="15" hidden="0" customHeight="1">
      <x:c r="A965" s="3" t="str">
        <x:v>EXP032</x:v>
      </x:c>
      <x:c r="B965" s="3" t="str">
        <x:v>Exp. 2</x:v>
      </x:c>
      <x:c r="C965" s="18" t="n">
        <x:v>1008</x:v>
      </x:c>
      <x:c r="D965" s="3" t="str">
        <x:v>Full</x:v>
      </x:c>
      <x:c r="E965" s="18" t="n">
        <x:v>200</x:v>
      </x:c>
      <x:c r="F965" s="21" t="n">
        <x:v>64.71024637771673</x:v>
      </x:c>
      <x:c r="G965" s="21" t="str">
        <x:f>""</x:f>
      </x:c>
      <x:c r="H965" s="21" t="n">
        <x:f>F965</x:f>
        <x:v>64.71024637771673</x:v>
      </x:c>
      <x:c r="I965" s="27" t="str">
        <x:f>IF(AND(ISNUMBER(G965),ISNUMBER(H965),H965&gt;0),G965/H965-1,"")</x:f>
      </x:c>
      <x:c r="J965" s="27" t="str">
        <x:f>IF(AND(ISNUMBER(G965),F965&gt;0),G965/F965-1,"")</x:f>
      </x:c>
      <x:c r="K965" s="19" t="str">
        <x:v>Exp_2/EXP032/results/seed1008_Full.json</x:v>
      </x:c>
    </x:row>
    <x:row r="966" ht="15" hidden="0" customHeight="1">
      <x:c r="A966" s="3" t="str">
        <x:v>EXP032</x:v>
      </x:c>
      <x:c r="B966" s="3" t="str">
        <x:v>Exp. 2</x:v>
      </x:c>
      <x:c r="C966" s="18" t="n">
        <x:v>1008</x:v>
      </x:c>
      <x:c r="D966" s="3" t="str">
        <x:v>Relative cutoff 1e-2</x:v>
      </x:c>
      <x:c r="E966" s="18" t="n">
        <x:v>200</x:v>
      </x:c>
      <x:c r="F966" s="21" t="n">
        <x:v>57.198714210330856</x:v>
      </x:c>
      <x:c r="G966" s="21" t="str">
        <x:f>""</x:f>
      </x:c>
      <x:c r="H966" s="21" t="n">
        <x:f>F965</x:f>
        <x:v>64.71024637771673</x:v>
      </x:c>
      <x:c r="I966" s="27" t="str">
        <x:f>IF(AND(ISNUMBER(G966),ISNUMBER(H966),H966&gt;0),G966/H966-1,"")</x:f>
      </x:c>
      <x:c r="J966" s="27" t="str">
        <x:f>IF(AND(ISNUMBER(G966),F966&gt;0),G966/F966-1,"")</x:f>
      </x:c>
      <x:c r="K966" s="19" t="str">
        <x:v>Exp_2/EXP032/results/seed1008_Relative_cutoff_1e-2.json</x:v>
      </x:c>
    </x:row>
    <x:row r="967" ht="15" hidden="0" customHeight="1">
      <x:c r="A967" s="3" t="str">
        <x:v>EXP032</x:v>
      </x:c>
      <x:c r="B967" s="3" t="str">
        <x:v>Exp. 2</x:v>
      </x:c>
      <x:c r="C967" s="18" t="n">
        <x:v>1009</x:v>
      </x:c>
      <x:c r="D967" s="3" t="str">
        <x:v>Fixed rank 10</x:v>
      </x:c>
      <x:c r="E967" s="18" t="n">
        <x:v>200</x:v>
      </x:c>
      <x:c r="F967" s="21" t="n">
        <x:v>76.16785133897197</x:v>
      </x:c>
      <x:c r="G967" s="21" t="str">
        <x:f>""</x:f>
      </x:c>
      <x:c r="H967" s="21" t="n">
        <x:f>F970</x:f>
        <x:v>79.64791694271834</x:v>
      </x:c>
      <x:c r="I967" s="27" t="str">
        <x:f>IF(AND(ISNUMBER(G967),ISNUMBER(H967),H967&gt;0),G967/H967-1,"")</x:f>
      </x:c>
      <x:c r="J967" s="27" t="str">
        <x:f>IF(AND(ISNUMBER(G967),F967&gt;0),G967/F967-1,"")</x:f>
      </x:c>
      <x:c r="K967" s="19" t="str">
        <x:v>Exp_2/EXP032/results/seed1009_Fixed_rank_10.json</x:v>
      </x:c>
    </x:row>
    <x:row r="968" ht="15" hidden="0" customHeight="1">
      <x:c r="A968" s="3" t="str">
        <x:v>EXP032</x:v>
      </x:c>
      <x:c r="B968" s="3" t="str">
        <x:v>Exp. 2</x:v>
      </x:c>
      <x:c r="C968" s="18" t="n">
        <x:v>1009</x:v>
      </x:c>
      <x:c r="D968" s="3" t="str">
        <x:v>Fixed rank 3</x:v>
      </x:c>
      <x:c r="E968" s="18" t="n">
        <x:v>200</x:v>
      </x:c>
      <x:c r="F968" s="21" t="n">
        <x:v>80.82489344908967</x:v>
      </x:c>
      <x:c r="G968" s="21" t="str">
        <x:f>""</x:f>
      </x:c>
      <x:c r="H968" s="21" t="n">
        <x:f>F970</x:f>
        <x:v>79.64791694271834</x:v>
      </x:c>
      <x:c r="I968" s="27" t="str">
        <x:f>IF(AND(ISNUMBER(G968),ISNUMBER(H968),H968&gt;0),G968/H968-1,"")</x:f>
      </x:c>
      <x:c r="J968" s="27" t="str">
        <x:f>IF(AND(ISNUMBER(G968),F968&gt;0),G968/F968-1,"")</x:f>
      </x:c>
      <x:c r="K968" s="19" t="str">
        <x:v>Exp_2/EXP032/results/seed1009_Fixed_rank_3.json</x:v>
      </x:c>
    </x:row>
    <x:row r="969" ht="15" hidden="0" customHeight="1">
      <x:c r="A969" s="3" t="str">
        <x:v>EXP032</x:v>
      </x:c>
      <x:c r="B969" s="3" t="str">
        <x:v>Exp. 2</x:v>
      </x:c>
      <x:c r="C969" s="18" t="n">
        <x:v>1009</x:v>
      </x:c>
      <x:c r="D969" s="3" t="str">
        <x:v>Fixed rank 5</x:v>
      </x:c>
      <x:c r="E969" s="18" t="n">
        <x:v>200</x:v>
      </x:c>
      <x:c r="F969" s="21" t="n">
        <x:v>77.07708052973993</x:v>
      </x:c>
      <x:c r="G969" s="21" t="str">
        <x:f>""</x:f>
      </x:c>
      <x:c r="H969" s="21" t="n">
        <x:f>F970</x:f>
        <x:v>79.64791694271834</x:v>
      </x:c>
      <x:c r="I969" s="27" t="str">
        <x:f>IF(AND(ISNUMBER(G969),ISNUMBER(H969),H969&gt;0),G969/H969-1,"")</x:f>
      </x:c>
      <x:c r="J969" s="27" t="str">
        <x:f>IF(AND(ISNUMBER(G969),F969&gt;0),G969/F969-1,"")</x:f>
      </x:c>
      <x:c r="K969" s="19" t="str">
        <x:v>Exp_2/EXP032/results/seed1009_Fixed_rank_5.json</x:v>
      </x:c>
    </x:row>
    <x:row r="970" ht="15" hidden="0" customHeight="1">
      <x:c r="A970" s="3" t="str">
        <x:v>EXP032</x:v>
      </x:c>
      <x:c r="B970" s="3" t="str">
        <x:v>Exp. 2</x:v>
      </x:c>
      <x:c r="C970" s="18" t="n">
        <x:v>1009</x:v>
      </x:c>
      <x:c r="D970" s="3" t="str">
        <x:v>Full</x:v>
      </x:c>
      <x:c r="E970" s="18" t="n">
        <x:v>200</x:v>
      </x:c>
      <x:c r="F970" s="21" t="n">
        <x:v>79.64791694271834</x:v>
      </x:c>
      <x:c r="G970" s="21" t="str">
        <x:f>""</x:f>
      </x:c>
      <x:c r="H970" s="21" t="n">
        <x:f>F970</x:f>
        <x:v>79.64791694271834</x:v>
      </x:c>
      <x:c r="I970" s="27" t="str">
        <x:f>IF(AND(ISNUMBER(G970),ISNUMBER(H970),H970&gt;0),G970/H970-1,"")</x:f>
      </x:c>
      <x:c r="J970" s="27" t="str">
        <x:f>IF(AND(ISNUMBER(G970),F970&gt;0),G970/F970-1,"")</x:f>
      </x:c>
      <x:c r="K970" s="19" t="str">
        <x:v>Exp_2/EXP032/results/seed1009_Full.json</x:v>
      </x:c>
    </x:row>
    <x:row r="971" ht="15" hidden="0" customHeight="1">
      <x:c r="A971" s="3" t="str">
        <x:v>EXP032</x:v>
      </x:c>
      <x:c r="B971" s="3" t="str">
        <x:v>Exp. 2</x:v>
      </x:c>
      <x:c r="C971" s="18" t="n">
        <x:v>1009</x:v>
      </x:c>
      <x:c r="D971" s="3" t="str">
        <x:v>Relative cutoff 1e-2</x:v>
      </x:c>
      <x:c r="E971" s="18" t="n">
        <x:v>200</x:v>
      </x:c>
      <x:c r="F971" s="21" t="n">
        <x:v>80.82489344908967</x:v>
      </x:c>
      <x:c r="G971" s="21" t="str">
        <x:f>""</x:f>
      </x:c>
      <x:c r="H971" s="21" t="n">
        <x:f>F970</x:f>
        <x:v>79.64791694271834</x:v>
      </x:c>
      <x:c r="I971" s="27" t="str">
        <x:f>IF(AND(ISNUMBER(G971),ISNUMBER(H971),H971&gt;0),G971/H971-1,"")</x:f>
      </x:c>
      <x:c r="J971" s="27" t="str">
        <x:f>IF(AND(ISNUMBER(G971),F971&gt;0),G971/F971-1,"")</x:f>
      </x:c>
      <x:c r="K971" s="19" t="str">
        <x:v>Exp_2/EXP032/results/seed1009_Relative_cutoff_1e-2.json</x:v>
      </x:c>
    </x:row>
    <x:row r="972" ht="15" hidden="0" customHeight="1">
      <x:c r="A972" s="3" t="str">
        <x:v>EXP032</x:v>
      </x:c>
      <x:c r="B972" s="3" t="str">
        <x:v>Exp. 2</x:v>
      </x:c>
      <x:c r="C972" s="18" t="n">
        <x:v>1010</x:v>
      </x:c>
      <x:c r="D972" s="3" t="str">
        <x:v>Fixed rank 10</x:v>
      </x:c>
      <x:c r="E972" s="18" t="n">
        <x:v>200</x:v>
      </x:c>
      <x:c r="F972" s="21" t="n">
        <x:v>61.40022360780085</x:v>
      </x:c>
      <x:c r="G972" s="21" t="str">
        <x:f>""</x:f>
      </x:c>
      <x:c r="H972" s="21" t="n">
        <x:f>F975</x:f>
        <x:v>61.18344517928961</x:v>
      </x:c>
      <x:c r="I972" s="27" t="str">
        <x:f>IF(AND(ISNUMBER(G972),ISNUMBER(H972),H972&gt;0),G972/H972-1,"")</x:f>
      </x:c>
      <x:c r="J972" s="27" t="str">
        <x:f>IF(AND(ISNUMBER(G972),F972&gt;0),G972/F972-1,"")</x:f>
      </x:c>
      <x:c r="K972" s="19" t="str">
        <x:v>Exp_2/EXP032/results/seed1010_Fixed_rank_10.json</x:v>
      </x:c>
    </x:row>
    <x:row r="973" ht="15" hidden="0" customHeight="1">
      <x:c r="A973" s="3" t="str">
        <x:v>EXP032</x:v>
      </x:c>
      <x:c r="B973" s="3" t="str">
        <x:v>Exp. 2</x:v>
      </x:c>
      <x:c r="C973" s="18" t="n">
        <x:v>1010</x:v>
      </x:c>
      <x:c r="D973" s="3" t="str">
        <x:v>Fixed rank 3</x:v>
      </x:c>
      <x:c r="E973" s="18" t="n">
        <x:v>200</x:v>
      </x:c>
      <x:c r="F973" s="21" t="n">
        <x:v>59.37211315672706</x:v>
      </x:c>
      <x:c r="G973" s="21" t="str">
        <x:f>""</x:f>
      </x:c>
      <x:c r="H973" s="21" t="n">
        <x:f>F975</x:f>
        <x:v>61.18344517928961</x:v>
      </x:c>
      <x:c r="I973" s="27" t="str">
        <x:f>IF(AND(ISNUMBER(G973),ISNUMBER(H973),H973&gt;0),G973/H973-1,"")</x:f>
      </x:c>
      <x:c r="J973" s="27" t="str">
        <x:f>IF(AND(ISNUMBER(G973),F973&gt;0),G973/F973-1,"")</x:f>
      </x:c>
      <x:c r="K973" s="19" t="str">
        <x:v>Exp_2/EXP032/results/seed1010_Fixed_rank_3.json</x:v>
      </x:c>
    </x:row>
    <x:row r="974" ht="15" hidden="0" customHeight="1">
      <x:c r="A974" s="3" t="str">
        <x:v>EXP032</x:v>
      </x:c>
      <x:c r="B974" s="3" t="str">
        <x:v>Exp. 2</x:v>
      </x:c>
      <x:c r="C974" s="18" t="n">
        <x:v>1010</x:v>
      </x:c>
      <x:c r="D974" s="3" t="str">
        <x:v>Fixed rank 5</x:v>
      </x:c>
      <x:c r="E974" s="18" t="n">
        <x:v>200</x:v>
      </x:c>
      <x:c r="F974" s="21" t="n">
        <x:v>61.40022360780085</x:v>
      </x:c>
      <x:c r="G974" s="21" t="str">
        <x:f>""</x:f>
      </x:c>
      <x:c r="H974" s="21" t="n">
        <x:f>F975</x:f>
        <x:v>61.18344517928961</x:v>
      </x:c>
      <x:c r="I974" s="27" t="str">
        <x:f>IF(AND(ISNUMBER(G974),ISNUMBER(H974),H974&gt;0),G974/H974-1,"")</x:f>
      </x:c>
      <x:c r="J974" s="27" t="str">
        <x:f>IF(AND(ISNUMBER(G974),F974&gt;0),G974/F974-1,"")</x:f>
      </x:c>
      <x:c r="K974" s="19" t="str">
        <x:v>Exp_2/EXP032/results/seed1010_Fixed_rank_5.json</x:v>
      </x:c>
    </x:row>
    <x:row r="975" ht="15" hidden="0" customHeight="1">
      <x:c r="A975" s="3" t="str">
        <x:v>EXP032</x:v>
      </x:c>
      <x:c r="B975" s="3" t="str">
        <x:v>Exp. 2</x:v>
      </x:c>
      <x:c r="C975" s="18" t="n">
        <x:v>1010</x:v>
      </x:c>
      <x:c r="D975" s="3" t="str">
        <x:v>Full</x:v>
      </x:c>
      <x:c r="E975" s="18" t="n">
        <x:v>200</x:v>
      </x:c>
      <x:c r="F975" s="21" t="n">
        <x:v>61.18344517928961</x:v>
      </x:c>
      <x:c r="G975" s="21" t="str">
        <x:f>""</x:f>
      </x:c>
      <x:c r="H975" s="21" t="n">
        <x:f>F975</x:f>
        <x:v>61.18344517928961</x:v>
      </x:c>
      <x:c r="I975" s="27" t="str">
        <x:f>IF(AND(ISNUMBER(G975),ISNUMBER(H975),H975&gt;0),G975/H975-1,"")</x:f>
      </x:c>
      <x:c r="J975" s="27" t="str">
        <x:f>IF(AND(ISNUMBER(G975),F975&gt;0),G975/F975-1,"")</x:f>
      </x:c>
      <x:c r="K975" s="19" t="str">
        <x:v>Exp_2/EXP032/results/seed1010_Full.json</x:v>
      </x:c>
    </x:row>
    <x:row r="976" ht="15" hidden="0" customHeight="1">
      <x:c r="A976" s="3" t="str">
        <x:v>EXP032</x:v>
      </x:c>
      <x:c r="B976" s="3" t="str">
        <x:v>Exp. 2</x:v>
      </x:c>
      <x:c r="C976" s="18" t="n">
        <x:v>1010</x:v>
      </x:c>
      <x:c r="D976" s="3" t="str">
        <x:v>Relative cutoff 1e-2</x:v>
      </x:c>
      <x:c r="E976" s="18" t="n">
        <x:v>200</x:v>
      </x:c>
      <x:c r="F976" s="21" t="n">
        <x:v>61.40022360780085</x:v>
      </x:c>
      <x:c r="G976" s="21" t="str">
        <x:f>""</x:f>
      </x:c>
      <x:c r="H976" s="21" t="n">
        <x:f>F975</x:f>
        <x:v>61.18344517928961</x:v>
      </x:c>
      <x:c r="I976" s="27" t="str">
        <x:f>IF(AND(ISNUMBER(G976),ISNUMBER(H976),H976&gt;0),G976/H976-1,"")</x:f>
      </x:c>
      <x:c r="J976" s="27" t="str">
        <x:f>IF(AND(ISNUMBER(G976),F976&gt;0),G976/F976-1,"")</x:f>
      </x:c>
      <x:c r="K976" s="19" t="str">
        <x:v>Exp_2/EXP032/results/seed1010_Relative_cutoff_1e-2.json</x:v>
      </x:c>
    </x:row>
    <x:row r="977" ht="15" hidden="0" customHeight="1">
      <x:c r="A977" s="3" t="str">
        <x:v>EXP032</x:v>
      </x:c>
      <x:c r="B977" s="3" t="str">
        <x:v>Exp. 2</x:v>
      </x:c>
      <x:c r="C977" s="18" t="n">
        <x:v>1011</x:v>
      </x:c>
      <x:c r="D977" s="3" t="str">
        <x:v>Fixed rank 10</x:v>
      </x:c>
      <x:c r="E977" s="18" t="n">
        <x:v>200</x:v>
      </x:c>
      <x:c r="F977" s="21" t="n">
        <x:v>74.63758781760026</x:v>
      </x:c>
      <x:c r="G977" s="21" t="str">
        <x:f>""</x:f>
      </x:c>
      <x:c r="H977" s="21" t="n">
        <x:f>F980</x:f>
        <x:v>74.63758781760026</x:v>
      </x:c>
      <x:c r="I977" s="27" t="str">
        <x:f>IF(AND(ISNUMBER(G977),ISNUMBER(H977),H977&gt;0),G977/H977-1,"")</x:f>
      </x:c>
      <x:c r="J977" s="27" t="str">
        <x:f>IF(AND(ISNUMBER(G977),F977&gt;0),G977/F977-1,"")</x:f>
      </x:c>
      <x:c r="K977" s="19" t="str">
        <x:v>Exp_2/EXP032/results/seed1011_Fixed_rank_10.json</x:v>
      </x:c>
    </x:row>
    <x:row r="978" ht="15" hidden="0" customHeight="1">
      <x:c r="A978" s="3" t="str">
        <x:v>EXP032</x:v>
      </x:c>
      <x:c r="B978" s="3" t="str">
        <x:v>Exp. 2</x:v>
      </x:c>
      <x:c r="C978" s="18" t="n">
        <x:v>1011</x:v>
      </x:c>
      <x:c r="D978" s="3" t="str">
        <x:v>Fixed rank 3</x:v>
      </x:c>
      <x:c r="E978" s="18" t="n">
        <x:v>200</x:v>
      </x:c>
      <x:c r="F978" s="21" t="n">
        <x:v>74.45213638493433</x:v>
      </x:c>
      <x:c r="G978" s="21" t="str">
        <x:f>""</x:f>
      </x:c>
      <x:c r="H978" s="21" t="n">
        <x:f>F980</x:f>
        <x:v>74.63758781760026</x:v>
      </x:c>
      <x:c r="I978" s="27" t="str">
        <x:f>IF(AND(ISNUMBER(G978),ISNUMBER(H978),H978&gt;0),G978/H978-1,"")</x:f>
      </x:c>
      <x:c r="J978" s="27" t="str">
        <x:f>IF(AND(ISNUMBER(G978),F978&gt;0),G978/F978-1,"")</x:f>
      </x:c>
      <x:c r="K978" s="19" t="str">
        <x:v>Exp_2/EXP032/results/seed1011_Fixed_rank_3.json</x:v>
      </x:c>
    </x:row>
    <x:row r="979" ht="15" hidden="0" customHeight="1">
      <x:c r="A979" s="3" t="str">
        <x:v>EXP032</x:v>
      </x:c>
      <x:c r="B979" s="3" t="str">
        <x:v>Exp. 2</x:v>
      </x:c>
      <x:c r="C979" s="18" t="n">
        <x:v>1011</x:v>
      </x:c>
      <x:c r="D979" s="3" t="str">
        <x:v>Fixed rank 5</x:v>
      </x:c>
      <x:c r="E979" s="18" t="n">
        <x:v>200</x:v>
      </x:c>
      <x:c r="F979" s="21" t="n">
        <x:v>74.63758781760026</x:v>
      </x:c>
      <x:c r="G979" s="21" t="str">
        <x:f>""</x:f>
      </x:c>
      <x:c r="H979" s="21" t="n">
        <x:f>F980</x:f>
        <x:v>74.63758781760026</x:v>
      </x:c>
      <x:c r="I979" s="27" t="str">
        <x:f>IF(AND(ISNUMBER(G979),ISNUMBER(H979),H979&gt;0),G979/H979-1,"")</x:f>
      </x:c>
      <x:c r="J979" s="27" t="str">
        <x:f>IF(AND(ISNUMBER(G979),F979&gt;0),G979/F979-1,"")</x:f>
      </x:c>
      <x:c r="K979" s="19" t="str">
        <x:v>Exp_2/EXP032/results/seed1011_Fixed_rank_5.json</x:v>
      </x:c>
    </x:row>
    <x:row r="980" ht="15" hidden="0" customHeight="1">
      <x:c r="A980" s="3" t="str">
        <x:v>EXP032</x:v>
      </x:c>
      <x:c r="B980" s="3" t="str">
        <x:v>Exp. 2</x:v>
      </x:c>
      <x:c r="C980" s="18" t="n">
        <x:v>1011</x:v>
      </x:c>
      <x:c r="D980" s="3" t="str">
        <x:v>Full</x:v>
      </x:c>
      <x:c r="E980" s="18" t="n">
        <x:v>200</x:v>
      </x:c>
      <x:c r="F980" s="21" t="n">
        <x:v>74.63758781760026</x:v>
      </x:c>
      <x:c r="G980" s="21" t="str">
        <x:f>""</x:f>
      </x:c>
      <x:c r="H980" s="21" t="n">
        <x:f>F980</x:f>
        <x:v>74.63758781760026</x:v>
      </x:c>
      <x:c r="I980" s="27" t="str">
        <x:f>IF(AND(ISNUMBER(G980),ISNUMBER(H980),H980&gt;0),G980/H980-1,"")</x:f>
      </x:c>
      <x:c r="J980" s="27" t="str">
        <x:f>IF(AND(ISNUMBER(G980),F980&gt;0),G980/F980-1,"")</x:f>
      </x:c>
      <x:c r="K980" s="19" t="str">
        <x:v>Exp_2/EXP032/results/seed1011_Full.json</x:v>
      </x:c>
    </x:row>
    <x:row r="981" ht="15" hidden="0" customHeight="1">
      <x:c r="A981" s="3" t="str">
        <x:v>EXP032</x:v>
      </x:c>
      <x:c r="B981" s="3" t="str">
        <x:v>Exp. 2</x:v>
      </x:c>
      <x:c r="C981" s="18" t="n">
        <x:v>1011</x:v>
      </x:c>
      <x:c r="D981" s="3" t="str">
        <x:v>Relative cutoff 1e-2</x:v>
      </x:c>
      <x:c r="E981" s="18" t="n">
        <x:v>200</x:v>
      </x:c>
      <x:c r="F981" s="21" t="n">
        <x:v>80.03152263896433</x:v>
      </x:c>
      <x:c r="G981" s="21" t="str">
        <x:f>""</x:f>
      </x:c>
      <x:c r="H981" s="21" t="n">
        <x:f>F980</x:f>
        <x:v>74.63758781760026</x:v>
      </x:c>
      <x:c r="I981" s="27" t="str">
        <x:f>IF(AND(ISNUMBER(G981),ISNUMBER(H981),H981&gt;0),G981/H981-1,"")</x:f>
      </x:c>
      <x:c r="J981" s="27" t="str">
        <x:f>IF(AND(ISNUMBER(G981),F981&gt;0),G981/F981-1,"")</x:f>
      </x:c>
      <x:c r="K981" s="19" t="str">
        <x:v>Exp_2/EXP032/results/seed1011_Relative_cutoff_1e-2.json</x:v>
      </x:c>
    </x:row>
    <x:row r="982" ht="15" hidden="0" customHeight="1">
      <x:c r="A982" s="3" t="str">
        <x:v>EXP032</x:v>
      </x:c>
      <x:c r="B982" s="3" t="str">
        <x:v>Exp. 2</x:v>
      </x:c>
      <x:c r="C982" s="18" t="n">
        <x:v>1012</x:v>
      </x:c>
      <x:c r="D982" s="3" t="str">
        <x:v>Fixed rank 10</x:v>
      </x:c>
      <x:c r="E982" s="18" t="n">
        <x:v>200</x:v>
      </x:c>
      <x:c r="F982" s="21" t="n">
        <x:v>57.94701197130428</x:v>
      </x:c>
      <x:c r="G982" s="21" t="str">
        <x:f>""</x:f>
      </x:c>
      <x:c r="H982" s="21" t="n">
        <x:f>F985</x:f>
        <x:v>54.66415468949733</x:v>
      </x:c>
      <x:c r="I982" s="27" t="str">
        <x:f>IF(AND(ISNUMBER(G982),ISNUMBER(H982),H982&gt;0),G982/H982-1,"")</x:f>
      </x:c>
      <x:c r="J982" s="27" t="str">
        <x:f>IF(AND(ISNUMBER(G982),F982&gt;0),G982/F982-1,"")</x:f>
      </x:c>
      <x:c r="K982" s="19" t="str">
        <x:v>Exp_2/EXP032/results/seed1012_Fixed_rank_10.json</x:v>
      </x:c>
    </x:row>
    <x:row r="983" ht="15" hidden="0" customHeight="1">
      <x:c r="A983" s="3" t="str">
        <x:v>EXP032</x:v>
      </x:c>
      <x:c r="B983" s="3" t="str">
        <x:v>Exp. 2</x:v>
      </x:c>
      <x:c r="C983" s="18" t="n">
        <x:v>1012</x:v>
      </x:c>
      <x:c r="D983" s="3" t="str">
        <x:v>Fixed rank 3</x:v>
      </x:c>
      <x:c r="E983" s="18" t="n">
        <x:v>200</x:v>
      </x:c>
      <x:c r="F983" s="21" t="n">
        <x:v>55.177421088517995</x:v>
      </x:c>
      <x:c r="G983" s="21" t="str">
        <x:f>""</x:f>
      </x:c>
      <x:c r="H983" s="21" t="n">
        <x:f>F985</x:f>
        <x:v>54.66415468949733</x:v>
      </x:c>
      <x:c r="I983" s="27" t="str">
        <x:f>IF(AND(ISNUMBER(G983),ISNUMBER(H983),H983&gt;0),G983/H983-1,"")</x:f>
      </x:c>
      <x:c r="J983" s="27" t="str">
        <x:f>IF(AND(ISNUMBER(G983),F983&gt;0),G983/F983-1,"")</x:f>
      </x:c>
      <x:c r="K983" s="19" t="str">
        <x:v>Exp_2/EXP032/results/seed1012_Fixed_rank_3.json</x:v>
      </x:c>
    </x:row>
    <x:row r="984" ht="15" hidden="0" customHeight="1">
      <x:c r="A984" s="3" t="str">
        <x:v>EXP032</x:v>
      </x:c>
      <x:c r="B984" s="3" t="str">
        <x:v>Exp. 2</x:v>
      </x:c>
      <x:c r="C984" s="18" t="n">
        <x:v>1012</x:v>
      </x:c>
      <x:c r="D984" s="3" t="str">
        <x:v>Fixed rank 5</x:v>
      </x:c>
      <x:c r="E984" s="18" t="n">
        <x:v>200</x:v>
      </x:c>
      <x:c r="F984" s="21" t="n">
        <x:v>56.42711183042609</x:v>
      </x:c>
      <x:c r="G984" s="21" t="str">
        <x:f>""</x:f>
      </x:c>
      <x:c r="H984" s="21" t="n">
        <x:f>F985</x:f>
        <x:v>54.66415468949733</x:v>
      </x:c>
      <x:c r="I984" s="27" t="str">
        <x:f>IF(AND(ISNUMBER(G984),ISNUMBER(H984),H984&gt;0),G984/H984-1,"")</x:f>
      </x:c>
      <x:c r="J984" s="27" t="str">
        <x:f>IF(AND(ISNUMBER(G984),F984&gt;0),G984/F984-1,"")</x:f>
      </x:c>
      <x:c r="K984" s="19" t="str">
        <x:v>Exp_2/EXP032/results/seed1012_Fixed_rank_5.json</x:v>
      </x:c>
    </x:row>
    <x:row r="985" ht="15" hidden="0" customHeight="1">
      <x:c r="A985" s="3" t="str">
        <x:v>EXP032</x:v>
      </x:c>
      <x:c r="B985" s="3" t="str">
        <x:v>Exp. 2</x:v>
      </x:c>
      <x:c r="C985" s="18" t="n">
        <x:v>1012</x:v>
      </x:c>
      <x:c r="D985" s="3" t="str">
        <x:v>Full</x:v>
      </x:c>
      <x:c r="E985" s="18" t="n">
        <x:v>200</x:v>
      </x:c>
      <x:c r="F985" s="21" t="n">
        <x:v>54.66415468949733</x:v>
      </x:c>
      <x:c r="G985" s="21" t="str">
        <x:f>""</x:f>
      </x:c>
      <x:c r="H985" s="21" t="n">
        <x:f>F985</x:f>
        <x:v>54.66415468949733</x:v>
      </x:c>
      <x:c r="I985" s="27" t="str">
        <x:f>IF(AND(ISNUMBER(G985),ISNUMBER(H985),H985&gt;0),G985/H985-1,"")</x:f>
      </x:c>
      <x:c r="J985" s="27" t="str">
        <x:f>IF(AND(ISNUMBER(G985),F985&gt;0),G985/F985-1,"")</x:f>
      </x:c>
      <x:c r="K985" s="19" t="str">
        <x:v>Exp_2/EXP032/results/seed1012_Full.json</x:v>
      </x:c>
    </x:row>
    <x:row r="986" ht="15" hidden="0" customHeight="1">
      <x:c r="A986" s="3" t="str">
        <x:v>EXP032</x:v>
      </x:c>
      <x:c r="B986" s="3" t="str">
        <x:v>Exp. 2</x:v>
      </x:c>
      <x:c r="C986" s="18" t="n">
        <x:v>1012</x:v>
      </x:c>
      <x:c r="D986" s="3" t="str">
        <x:v>Relative cutoff 1e-2</x:v>
      </x:c>
      <x:c r="E986" s="18" t="n">
        <x:v>200</x:v>
      </x:c>
      <x:c r="F986" s="21" t="n">
        <x:v>53.484345011131296</x:v>
      </x:c>
      <x:c r="G986" s="21" t="str">
        <x:f>""</x:f>
      </x:c>
      <x:c r="H986" s="21" t="n">
        <x:f>F985</x:f>
        <x:v>54.66415468949733</x:v>
      </x:c>
      <x:c r="I986" s="27" t="str">
        <x:f>IF(AND(ISNUMBER(G986),ISNUMBER(H986),H986&gt;0),G986/H986-1,"")</x:f>
      </x:c>
      <x:c r="J986" s="27" t="str">
        <x:f>IF(AND(ISNUMBER(G986),F986&gt;0),G986/F986-1,"")</x:f>
      </x:c>
      <x:c r="K986" s="19" t="str">
        <x:v>Exp_2/EXP032/results/seed1012_Relative_cutoff_1e-2.json</x:v>
      </x:c>
    </x:row>
    <x:row r="987" ht="15" hidden="0" customHeight="1">
      <x:c r="A987" s="3" t="str">
        <x:v>EXP032</x:v>
      </x:c>
      <x:c r="B987" s="3" t="str">
        <x:v>Exp. 2</x:v>
      </x:c>
      <x:c r="C987" s="18" t="n">
        <x:v>1013</x:v>
      </x:c>
      <x:c r="D987" s="3" t="str">
        <x:v>Fixed rank 10</x:v>
      </x:c>
      <x:c r="E987" s="18" t="n">
        <x:v>200</x:v>
      </x:c>
      <x:c r="F987" s="21" t="n">
        <x:v>80.84073627646569</x:v>
      </x:c>
      <x:c r="G987" s="21" t="str">
        <x:f>""</x:f>
      </x:c>
      <x:c r="H987" s="21" t="n">
        <x:f>F990</x:f>
        <x:v>79.35792060500837</x:v>
      </x:c>
      <x:c r="I987" s="27" t="str">
        <x:f>IF(AND(ISNUMBER(G987),ISNUMBER(H987),H987&gt;0),G987/H987-1,"")</x:f>
      </x:c>
      <x:c r="J987" s="27" t="str">
        <x:f>IF(AND(ISNUMBER(G987),F987&gt;0),G987/F987-1,"")</x:f>
      </x:c>
      <x:c r="K987" s="19" t="str">
        <x:v>Exp_2/EXP032/results/seed1013_Fixed_rank_10.json</x:v>
      </x:c>
    </x:row>
    <x:row r="988" ht="15" hidden="0" customHeight="1">
      <x:c r="A988" s="3" t="str">
        <x:v>EXP032</x:v>
      </x:c>
      <x:c r="B988" s="3" t="str">
        <x:v>Exp. 2</x:v>
      </x:c>
      <x:c r="C988" s="18" t="n">
        <x:v>1013</x:v>
      </x:c>
      <x:c r="D988" s="3" t="str">
        <x:v>Fixed rank 3</x:v>
      </x:c>
      <x:c r="E988" s="18" t="n">
        <x:v>200</x:v>
      </x:c>
      <x:c r="F988" s="21" t="n">
        <x:v>80.58809876309573</x:v>
      </x:c>
      <x:c r="G988" s="21" t="str">
        <x:f>""</x:f>
      </x:c>
      <x:c r="H988" s="21" t="n">
        <x:f>F990</x:f>
        <x:v>79.35792060500837</x:v>
      </x:c>
      <x:c r="I988" s="27" t="str">
        <x:f>IF(AND(ISNUMBER(G988),ISNUMBER(H988),H988&gt;0),G988/H988-1,"")</x:f>
      </x:c>
      <x:c r="J988" s="27" t="str">
        <x:f>IF(AND(ISNUMBER(G988),F988&gt;0),G988/F988-1,"")</x:f>
      </x:c>
      <x:c r="K988" s="19" t="str">
        <x:v>Exp_2/EXP032/results/seed1013_Fixed_rank_3.json</x:v>
      </x:c>
    </x:row>
    <x:row r="989" ht="15" hidden="0" customHeight="1">
      <x:c r="A989" s="3" t="str">
        <x:v>EXP032</x:v>
      </x:c>
      <x:c r="B989" s="3" t="str">
        <x:v>Exp. 2</x:v>
      </x:c>
      <x:c r="C989" s="18" t="n">
        <x:v>1013</x:v>
      </x:c>
      <x:c r="D989" s="3" t="str">
        <x:v>Fixed rank 5</x:v>
      </x:c>
      <x:c r="E989" s="18" t="n">
        <x:v>200</x:v>
      </x:c>
      <x:c r="F989" s="21" t="n">
        <x:v>79.16338085878657</x:v>
      </x:c>
      <x:c r="G989" s="21" t="str">
        <x:f>""</x:f>
      </x:c>
      <x:c r="H989" s="21" t="n">
        <x:f>F990</x:f>
        <x:v>79.35792060500837</x:v>
      </x:c>
      <x:c r="I989" s="27" t="str">
        <x:f>IF(AND(ISNUMBER(G989),ISNUMBER(H989),H989&gt;0),G989/H989-1,"")</x:f>
      </x:c>
      <x:c r="J989" s="27" t="str">
        <x:f>IF(AND(ISNUMBER(G989),F989&gt;0),G989/F989-1,"")</x:f>
      </x:c>
      <x:c r="K989" s="19" t="str">
        <x:v>Exp_2/EXP032/results/seed1013_Fixed_rank_5.json</x:v>
      </x:c>
    </x:row>
    <x:row r="990" ht="15" hidden="0" customHeight="1">
      <x:c r="A990" s="3" t="str">
        <x:v>EXP032</x:v>
      </x:c>
      <x:c r="B990" s="3" t="str">
        <x:v>Exp. 2</x:v>
      </x:c>
      <x:c r="C990" s="18" t="n">
        <x:v>1013</x:v>
      </x:c>
      <x:c r="D990" s="3" t="str">
        <x:v>Full</x:v>
      </x:c>
      <x:c r="E990" s="18" t="n">
        <x:v>200</x:v>
      </x:c>
      <x:c r="F990" s="21" t="n">
        <x:v>79.35792060500837</x:v>
      </x:c>
      <x:c r="G990" s="21" t="str">
        <x:f>""</x:f>
      </x:c>
      <x:c r="H990" s="21" t="n">
        <x:f>F990</x:f>
        <x:v>79.35792060500837</x:v>
      </x:c>
      <x:c r="I990" s="27" t="str">
        <x:f>IF(AND(ISNUMBER(G990),ISNUMBER(H990),H990&gt;0),G990/H990-1,"")</x:f>
      </x:c>
      <x:c r="J990" s="27" t="str">
        <x:f>IF(AND(ISNUMBER(G990),F990&gt;0),G990/F990-1,"")</x:f>
      </x:c>
      <x:c r="K990" s="19" t="str">
        <x:v>Exp_2/EXP032/results/seed1013_Full.json</x:v>
      </x:c>
    </x:row>
    <x:row r="991" ht="15" hidden="0" customHeight="1">
      <x:c r="A991" s="3" t="str">
        <x:v>EXP032</x:v>
      </x:c>
      <x:c r="B991" s="3" t="str">
        <x:v>Exp. 2</x:v>
      </x:c>
      <x:c r="C991" s="18" t="n">
        <x:v>1013</x:v>
      </x:c>
      <x:c r="D991" s="3" t="str">
        <x:v>Relative cutoff 1e-2</x:v>
      </x:c>
      <x:c r="E991" s="18" t="n">
        <x:v>200</x:v>
      </x:c>
      <x:c r="F991" s="21" t="n">
        <x:v>79.51692651067555</x:v>
      </x:c>
      <x:c r="G991" s="21" t="str">
        <x:f>""</x:f>
      </x:c>
      <x:c r="H991" s="21" t="n">
        <x:f>F990</x:f>
        <x:v>79.35792060500837</x:v>
      </x:c>
      <x:c r="I991" s="27" t="str">
        <x:f>IF(AND(ISNUMBER(G991),ISNUMBER(H991),H991&gt;0),G991/H991-1,"")</x:f>
      </x:c>
      <x:c r="J991" s="27" t="str">
        <x:f>IF(AND(ISNUMBER(G991),F991&gt;0),G991/F991-1,"")</x:f>
      </x:c>
      <x:c r="K991" s="19" t="str">
        <x:v>Exp_2/EXP032/results/seed1013_Relative_cutoff_1e-2.json</x:v>
      </x:c>
    </x:row>
    <x:row r="992" ht="15" hidden="0" customHeight="1">
      <x:c r="A992" s="3" t="str">
        <x:v>EXP032</x:v>
      </x:c>
      <x:c r="B992" s="3" t="str">
        <x:v>Exp. 2</x:v>
      </x:c>
      <x:c r="C992" s="18" t="n">
        <x:v>1014</x:v>
      </x:c>
      <x:c r="D992" s="3" t="str">
        <x:v>Fixed rank 10</x:v>
      </x:c>
      <x:c r="E992" s="18" t="n">
        <x:v>200</x:v>
      </x:c>
      <x:c r="F992" s="21" t="n">
        <x:v>59.549408584749536</x:v>
      </x:c>
      <x:c r="G992" s="21" t="str">
        <x:f>""</x:f>
      </x:c>
      <x:c r="H992" s="21" t="n">
        <x:f>F995</x:f>
        <x:v>60.05217234090043</x:v>
      </x:c>
      <x:c r="I992" s="27" t="str">
        <x:f>IF(AND(ISNUMBER(G992),ISNUMBER(H992),H992&gt;0),G992/H992-1,"")</x:f>
      </x:c>
      <x:c r="J992" s="27" t="str">
        <x:f>IF(AND(ISNUMBER(G992),F992&gt;0),G992/F992-1,"")</x:f>
      </x:c>
      <x:c r="K992" s="19" t="str">
        <x:v>Exp_2/EXP032/results/seed1014_Fixed_rank_10.json</x:v>
      </x:c>
    </x:row>
    <x:row r="993" ht="15" hidden="0" customHeight="1">
      <x:c r="A993" s="3" t="str">
        <x:v>EXP032</x:v>
      </x:c>
      <x:c r="B993" s="3" t="str">
        <x:v>Exp. 2</x:v>
      </x:c>
      <x:c r="C993" s="18" t="n">
        <x:v>1014</x:v>
      </x:c>
      <x:c r="D993" s="3" t="str">
        <x:v>Fixed rank 3</x:v>
      </x:c>
      <x:c r="E993" s="18" t="n">
        <x:v>200</x:v>
      </x:c>
      <x:c r="F993" s="21" t="n">
        <x:v>57.876422253917596</x:v>
      </x:c>
      <x:c r="G993" s="21" t="str">
        <x:f>""</x:f>
      </x:c>
      <x:c r="H993" s="21" t="n">
        <x:f>F995</x:f>
        <x:v>60.05217234090043</x:v>
      </x:c>
      <x:c r="I993" s="27" t="str">
        <x:f>IF(AND(ISNUMBER(G993),ISNUMBER(H993),H993&gt;0),G993/H993-1,"")</x:f>
      </x:c>
      <x:c r="J993" s="27" t="str">
        <x:f>IF(AND(ISNUMBER(G993),F993&gt;0),G993/F993-1,"")</x:f>
      </x:c>
      <x:c r="K993" s="19" t="str">
        <x:v>Exp_2/EXP032/results/seed1014_Fixed_rank_3.json</x:v>
      </x:c>
    </x:row>
    <x:row r="994" ht="15" hidden="0" customHeight="1">
      <x:c r="A994" s="3" t="str">
        <x:v>EXP032</x:v>
      </x:c>
      <x:c r="B994" s="3" t="str">
        <x:v>Exp. 2</x:v>
      </x:c>
      <x:c r="C994" s="18" t="n">
        <x:v>1014</x:v>
      </x:c>
      <x:c r="D994" s="3" t="str">
        <x:v>Fixed rank 5</x:v>
      </x:c>
      <x:c r="E994" s="18" t="n">
        <x:v>200</x:v>
      </x:c>
      <x:c r="F994" s="21" t="n">
        <x:v>59.549408584749536</x:v>
      </x:c>
      <x:c r="G994" s="21" t="str">
        <x:f>""</x:f>
      </x:c>
      <x:c r="H994" s="21" t="n">
        <x:f>F995</x:f>
        <x:v>60.05217234090043</x:v>
      </x:c>
      <x:c r="I994" s="27" t="str">
        <x:f>IF(AND(ISNUMBER(G994),ISNUMBER(H994),H994&gt;0),G994/H994-1,"")</x:f>
      </x:c>
      <x:c r="J994" s="27" t="str">
        <x:f>IF(AND(ISNUMBER(G994),F994&gt;0),G994/F994-1,"")</x:f>
      </x:c>
      <x:c r="K994" s="19" t="str">
        <x:v>Exp_2/EXP032/results/seed1014_Fixed_rank_5.json</x:v>
      </x:c>
    </x:row>
    <x:row r="995" ht="15" hidden="0" customHeight="1">
      <x:c r="A995" s="3" t="str">
        <x:v>EXP032</x:v>
      </x:c>
      <x:c r="B995" s="3" t="str">
        <x:v>Exp. 2</x:v>
      </x:c>
      <x:c r="C995" s="18" t="n">
        <x:v>1014</x:v>
      </x:c>
      <x:c r="D995" s="3" t="str">
        <x:v>Full</x:v>
      </x:c>
      <x:c r="E995" s="18" t="n">
        <x:v>200</x:v>
      </x:c>
      <x:c r="F995" s="21" t="n">
        <x:v>60.05217234090043</x:v>
      </x:c>
      <x:c r="G995" s="21" t="str">
        <x:f>""</x:f>
      </x:c>
      <x:c r="H995" s="21" t="n">
        <x:f>F995</x:f>
        <x:v>60.05217234090043</x:v>
      </x:c>
      <x:c r="I995" s="27" t="str">
        <x:f>IF(AND(ISNUMBER(G995),ISNUMBER(H995),H995&gt;0),G995/H995-1,"")</x:f>
      </x:c>
      <x:c r="J995" s="27" t="str">
        <x:f>IF(AND(ISNUMBER(G995),F995&gt;0),G995/F995-1,"")</x:f>
      </x:c>
      <x:c r="K995" s="19" t="str">
        <x:v>Exp_2/EXP032/results/seed1014_Full.json</x:v>
      </x:c>
    </x:row>
    <x:row r="996" ht="15" hidden="0" customHeight="1">
      <x:c r="A996" s="3" t="str">
        <x:v>EXP032</x:v>
      </x:c>
      <x:c r="B996" s="3" t="str">
        <x:v>Exp. 2</x:v>
      </x:c>
      <x:c r="C996" s="18" t="n">
        <x:v>1014</x:v>
      </x:c>
      <x:c r="D996" s="3" t="str">
        <x:v>Relative cutoff 1e-2</x:v>
      </x:c>
      <x:c r="E996" s="18" t="n">
        <x:v>200</x:v>
      </x:c>
      <x:c r="F996" s="21" t="n">
        <x:v>57.876422253917596</x:v>
      </x:c>
      <x:c r="G996" s="21" t="str">
        <x:f>""</x:f>
      </x:c>
      <x:c r="H996" s="21" t="n">
        <x:f>F995</x:f>
        <x:v>60.05217234090043</x:v>
      </x:c>
      <x:c r="I996" s="27" t="str">
        <x:f>IF(AND(ISNUMBER(G996),ISNUMBER(H996),H996&gt;0),G996/H996-1,"")</x:f>
      </x:c>
      <x:c r="J996" s="27" t="str">
        <x:f>IF(AND(ISNUMBER(G996),F996&gt;0),G996/F996-1,"")</x:f>
      </x:c>
      <x:c r="K996" s="19" t="str">
        <x:v>Exp_2/EXP032/results/seed1014_Relative_cutoff_1e-2.json</x:v>
      </x:c>
    </x:row>
    <x:row r="997" ht="15" hidden="0" customHeight="1">
      <x:c r="A997" s="3" t="str">
        <x:v>EXP032</x:v>
      </x:c>
      <x:c r="B997" s="3" t="str">
        <x:v>Exp. 2</x:v>
      </x:c>
      <x:c r="C997" s="18" t="n">
        <x:v>1015</x:v>
      </x:c>
      <x:c r="D997" s="3" t="str">
        <x:v>Fixed rank 10</x:v>
      </x:c>
      <x:c r="E997" s="18" t="n">
        <x:v>200</x:v>
      </x:c>
      <x:c r="F997" s="21" t="n">
        <x:v>80.65119978566707</x:v>
      </x:c>
      <x:c r="G997" s="21" t="str">
        <x:f>""</x:f>
      </x:c>
      <x:c r="H997" s="21" t="n">
        <x:f>F1000</x:f>
        <x:v>84.22584141915334</x:v>
      </x:c>
      <x:c r="I997" s="27" t="str">
        <x:f>IF(AND(ISNUMBER(G997),ISNUMBER(H997),H997&gt;0),G997/H997-1,"")</x:f>
      </x:c>
      <x:c r="J997" s="27" t="str">
        <x:f>IF(AND(ISNUMBER(G997),F997&gt;0),G997/F997-1,"")</x:f>
      </x:c>
      <x:c r="K997" s="19" t="str">
        <x:v>Exp_2/EXP032/results/seed1015_Fixed_rank_10.json</x:v>
      </x:c>
    </x:row>
    <x:row r="998" ht="15" hidden="0" customHeight="1">
      <x:c r="A998" s="3" t="str">
        <x:v>EXP032</x:v>
      </x:c>
      <x:c r="B998" s="3" t="str">
        <x:v>Exp. 2</x:v>
      </x:c>
      <x:c r="C998" s="18" t="n">
        <x:v>1015</x:v>
      </x:c>
      <x:c r="D998" s="3" t="str">
        <x:v>Fixed rank 3</x:v>
      </x:c>
      <x:c r="E998" s="18" t="n">
        <x:v>200</x:v>
      </x:c>
      <x:c r="F998" s="21" t="n">
        <x:v>88.6795359121545</x:v>
      </x:c>
      <x:c r="G998" s="21" t="str">
        <x:f>""</x:f>
      </x:c>
      <x:c r="H998" s="21" t="n">
        <x:f>F1000</x:f>
        <x:v>84.22584141915334</x:v>
      </x:c>
      <x:c r="I998" s="27" t="str">
        <x:f>IF(AND(ISNUMBER(G998),ISNUMBER(H998),H998&gt;0),G998/H998-1,"")</x:f>
      </x:c>
      <x:c r="J998" s="27" t="str">
        <x:f>IF(AND(ISNUMBER(G998),F998&gt;0),G998/F998-1,"")</x:f>
      </x:c>
      <x:c r="K998" s="19" t="str">
        <x:v>Exp_2/EXP032/results/seed1015_Fixed_rank_3.json</x:v>
      </x:c>
    </x:row>
    <x:row r="999" ht="15" hidden="0" customHeight="1">
      <x:c r="A999" s="3" t="str">
        <x:v>EXP032</x:v>
      </x:c>
      <x:c r="B999" s="3" t="str">
        <x:v>Exp. 2</x:v>
      </x:c>
      <x:c r="C999" s="18" t="n">
        <x:v>1015</x:v>
      </x:c>
      <x:c r="D999" s="3" t="str">
        <x:v>Fixed rank 5</x:v>
      </x:c>
      <x:c r="E999" s="18" t="n">
        <x:v>200</x:v>
      </x:c>
      <x:c r="F999" s="21" t="n">
        <x:v>91.76071627146995</x:v>
      </x:c>
      <x:c r="G999" s="21" t="str">
        <x:f>""</x:f>
      </x:c>
      <x:c r="H999" s="21" t="n">
        <x:f>F1000</x:f>
        <x:v>84.22584141915334</x:v>
      </x:c>
      <x:c r="I999" s="27" t="str">
        <x:f>IF(AND(ISNUMBER(G999),ISNUMBER(H999),H999&gt;0),G999/H999-1,"")</x:f>
      </x:c>
      <x:c r="J999" s="27" t="str">
        <x:f>IF(AND(ISNUMBER(G999),F999&gt;0),G999/F999-1,"")</x:f>
      </x:c>
      <x:c r="K999" s="19" t="str">
        <x:v>Exp_2/EXP032/results/seed1015_Fixed_rank_5.json</x:v>
      </x:c>
    </x:row>
    <x:row r="1000" ht="15" hidden="0" customHeight="1">
      <x:c r="A1000" s="3" t="str">
        <x:v>EXP032</x:v>
      </x:c>
      <x:c r="B1000" s="3" t="str">
        <x:v>Exp. 2</x:v>
      </x:c>
      <x:c r="C1000" s="18" t="n">
        <x:v>1015</x:v>
      </x:c>
      <x:c r="D1000" s="3" t="str">
        <x:v>Full</x:v>
      </x:c>
      <x:c r="E1000" s="18" t="n">
        <x:v>200</x:v>
      </x:c>
      <x:c r="F1000" s="21" t="n">
        <x:v>84.22584141915334</x:v>
      </x:c>
      <x:c r="G1000" s="21" t="str">
        <x:f>""</x:f>
      </x:c>
      <x:c r="H1000" s="21" t="n">
        <x:f>F1000</x:f>
        <x:v>84.22584141915334</x:v>
      </x:c>
      <x:c r="I1000" s="27" t="str">
        <x:f>IF(AND(ISNUMBER(G1000),ISNUMBER(H1000),H1000&gt;0),G1000/H1000-1,"")</x:f>
      </x:c>
      <x:c r="J1000" s="27" t="str">
        <x:f>IF(AND(ISNUMBER(G1000),F1000&gt;0),G1000/F1000-1,"")</x:f>
      </x:c>
      <x:c r="K1000" s="19" t="str">
        <x:v>Exp_2/EXP032/results/seed1015_Full.json</x:v>
      </x:c>
    </x:row>
    <x:row r="1001" ht="15" hidden="0" customHeight="1">
      <x:c r="A1001" s="3" t="str">
        <x:v>EXP032</x:v>
      </x:c>
      <x:c r="B1001" s="3" t="str">
        <x:v>Exp. 2</x:v>
      </x:c>
      <x:c r="C1001" s="18" t="n">
        <x:v>1015</x:v>
      </x:c>
      <x:c r="D1001" s="3" t="str">
        <x:v>Relative cutoff 1e-2</x:v>
      </x:c>
      <x:c r="E1001" s="18" t="n">
        <x:v>200</x:v>
      </x:c>
      <x:c r="F1001" s="21" t="n">
        <x:v>89.32578204646715</x:v>
      </x:c>
      <x:c r="G1001" s="21" t="str">
        <x:f>""</x:f>
      </x:c>
      <x:c r="H1001" s="21" t="n">
        <x:f>F1000</x:f>
        <x:v>84.22584141915334</x:v>
      </x:c>
      <x:c r="I1001" s="27" t="str">
        <x:f>IF(AND(ISNUMBER(G1001),ISNUMBER(H1001),H1001&gt;0),G1001/H1001-1,"")</x:f>
      </x:c>
      <x:c r="J1001" s="27" t="str">
        <x:f>IF(AND(ISNUMBER(G1001),F1001&gt;0),G1001/F1001-1,"")</x:f>
      </x:c>
      <x:c r="K1001" s="19" t="str">
        <x:v>Exp_2/EXP032/results/seed1015_Relative_cutoff_1e-2.json</x:v>
      </x:c>
    </x:row>
    <x:row r="1002" ht="15" hidden="0" customHeight="1">
      <x:c r="A1002" s="3" t="str">
        <x:v>EXP032</x:v>
      </x:c>
      <x:c r="B1002" s="3" t="str">
        <x:v>Exp. 2</x:v>
      </x:c>
      <x:c r="C1002" s="18" t="n">
        <x:v>1016</x:v>
      </x:c>
      <x:c r="D1002" s="3" t="str">
        <x:v>Fixed rank 10</x:v>
      </x:c>
      <x:c r="E1002" s="18" t="n">
        <x:v>200</x:v>
      </x:c>
      <x:c r="F1002" s="21" t="n">
        <x:v>68.07076474882723</x:v>
      </x:c>
      <x:c r="G1002" s="21" t="str">
        <x:f>""</x:f>
      </x:c>
      <x:c r="H1002" s="21" t="n">
        <x:f>F1005</x:f>
        <x:v>68.32520485730164</x:v>
      </x:c>
      <x:c r="I1002" s="27" t="str">
        <x:f>IF(AND(ISNUMBER(G1002),ISNUMBER(H1002),H1002&gt;0),G1002/H1002-1,"")</x:f>
      </x:c>
      <x:c r="J1002" s="27" t="str">
        <x:f>IF(AND(ISNUMBER(G1002),F1002&gt;0),G1002/F1002-1,"")</x:f>
      </x:c>
      <x:c r="K1002" s="19" t="str">
        <x:v>Exp_2/EXP032/results/seed1016_Fixed_rank_10.json</x:v>
      </x:c>
    </x:row>
    <x:row r="1003" ht="15" hidden="0" customHeight="1">
      <x:c r="A1003" s="3" t="str">
        <x:v>EXP032</x:v>
      </x:c>
      <x:c r="B1003" s="3" t="str">
        <x:v>Exp. 2</x:v>
      </x:c>
      <x:c r="C1003" s="18" t="n">
        <x:v>1016</x:v>
      </x:c>
      <x:c r="D1003" s="3" t="str">
        <x:v>Fixed rank 3</x:v>
      </x:c>
      <x:c r="E1003" s="18" t="n">
        <x:v>200</x:v>
      </x:c>
      <x:c r="F1003" s="21" t="n">
        <x:v>70.03155508095757</x:v>
      </x:c>
      <x:c r="G1003" s="21" t="str">
        <x:f>""</x:f>
      </x:c>
      <x:c r="H1003" s="21" t="n">
        <x:f>F1005</x:f>
        <x:v>68.32520485730164</x:v>
      </x:c>
      <x:c r="I1003" s="27" t="str">
        <x:f>IF(AND(ISNUMBER(G1003),ISNUMBER(H1003),H1003&gt;0),G1003/H1003-1,"")</x:f>
      </x:c>
      <x:c r="J1003" s="27" t="str">
        <x:f>IF(AND(ISNUMBER(G1003),F1003&gt;0),G1003/F1003-1,"")</x:f>
      </x:c>
      <x:c r="K1003" s="19" t="str">
        <x:v>Exp_2/EXP032/results/seed1016_Fixed_rank_3.json</x:v>
      </x:c>
    </x:row>
    <x:row r="1004" ht="15" hidden="0" customHeight="1">
      <x:c r="A1004" s="3" t="str">
        <x:v>EXP032</x:v>
      </x:c>
      <x:c r="B1004" s="3" t="str">
        <x:v>Exp. 2</x:v>
      </x:c>
      <x:c r="C1004" s="18" t="n">
        <x:v>1016</x:v>
      </x:c>
      <x:c r="D1004" s="3" t="str">
        <x:v>Fixed rank 5</x:v>
      </x:c>
      <x:c r="E1004" s="18" t="n">
        <x:v>200</x:v>
      </x:c>
      <x:c r="F1004" s="21" t="n">
        <x:v>67.13831678610993</x:v>
      </x:c>
      <x:c r="G1004" s="21" t="str">
        <x:f>""</x:f>
      </x:c>
      <x:c r="H1004" s="21" t="n">
        <x:f>F1005</x:f>
        <x:v>68.32520485730164</x:v>
      </x:c>
      <x:c r="I1004" s="27" t="str">
        <x:f>IF(AND(ISNUMBER(G1004),ISNUMBER(H1004),H1004&gt;0),G1004/H1004-1,"")</x:f>
      </x:c>
      <x:c r="J1004" s="27" t="str">
        <x:f>IF(AND(ISNUMBER(G1004),F1004&gt;0),G1004/F1004-1,"")</x:f>
      </x:c>
      <x:c r="K1004" s="19" t="str">
        <x:v>Exp_2/EXP032/results/seed1016_Fixed_rank_5.json</x:v>
      </x:c>
    </x:row>
    <x:row r="1005" ht="15" hidden="0" customHeight="1">
      <x:c r="A1005" s="3" t="str">
        <x:v>EXP032</x:v>
      </x:c>
      <x:c r="B1005" s="3" t="str">
        <x:v>Exp. 2</x:v>
      </x:c>
      <x:c r="C1005" s="18" t="n">
        <x:v>1016</x:v>
      </x:c>
      <x:c r="D1005" s="3" t="str">
        <x:v>Full</x:v>
      </x:c>
      <x:c r="E1005" s="18" t="n">
        <x:v>200</x:v>
      </x:c>
      <x:c r="F1005" s="21" t="n">
        <x:v>68.32520485730164</x:v>
      </x:c>
      <x:c r="G1005" s="21" t="str">
        <x:f>""</x:f>
      </x:c>
      <x:c r="H1005" s="21" t="n">
        <x:f>F1005</x:f>
        <x:v>68.32520485730164</x:v>
      </x:c>
      <x:c r="I1005" s="27" t="str">
        <x:f>IF(AND(ISNUMBER(G1005),ISNUMBER(H1005),H1005&gt;0),G1005/H1005-1,"")</x:f>
      </x:c>
      <x:c r="J1005" s="27" t="str">
        <x:f>IF(AND(ISNUMBER(G1005),F1005&gt;0),G1005/F1005-1,"")</x:f>
      </x:c>
      <x:c r="K1005" s="19" t="str">
        <x:v>Exp_2/EXP032/results/seed1016_Full.json</x:v>
      </x:c>
    </x:row>
    <x:row r="1006" ht="15" hidden="0" customHeight="1">
      <x:c r="A1006" s="3" t="str">
        <x:v>EXP032</x:v>
      </x:c>
      <x:c r="B1006" s="3" t="str">
        <x:v>Exp. 2</x:v>
      </x:c>
      <x:c r="C1006" s="18" t="n">
        <x:v>1016</x:v>
      </x:c>
      <x:c r="D1006" s="3" t="str">
        <x:v>Relative cutoff 1e-2</x:v>
      </x:c>
      <x:c r="E1006" s="18" t="n">
        <x:v>200</x:v>
      </x:c>
      <x:c r="F1006" s="21" t="n">
        <x:v>70.03155508095757</x:v>
      </x:c>
      <x:c r="G1006" s="21" t="str">
        <x:f>""</x:f>
      </x:c>
      <x:c r="H1006" s="21" t="n">
        <x:f>F1005</x:f>
        <x:v>68.32520485730164</x:v>
      </x:c>
      <x:c r="I1006" s="27" t="str">
        <x:f>IF(AND(ISNUMBER(G1006),ISNUMBER(H1006),H1006&gt;0),G1006/H1006-1,"")</x:f>
      </x:c>
      <x:c r="J1006" s="27" t="str">
        <x:f>IF(AND(ISNUMBER(G1006),F1006&gt;0),G1006/F1006-1,"")</x:f>
      </x:c>
      <x:c r="K1006" s="19" t="str">
        <x:v>Exp_2/EXP032/results/seed1016_Relative_cutoff_1e-2.json</x:v>
      </x:c>
    </x:row>
    <x:row r="1007" ht="15" hidden="0" customHeight="1">
      <x:c r="A1007" s="3" t="str">
        <x:v>EXP032</x:v>
      </x:c>
      <x:c r="B1007" s="3" t="str">
        <x:v>Exp. 2</x:v>
      </x:c>
      <x:c r="C1007" s="18" t="n">
        <x:v>1017</x:v>
      </x:c>
      <x:c r="D1007" s="3" t="str">
        <x:v>Fixed rank 10</x:v>
      </x:c>
      <x:c r="E1007" s="18" t="n">
        <x:v>200</x:v>
      </x:c>
      <x:c r="F1007" s="21" t="n">
        <x:v>48.45065243941154</x:v>
      </x:c>
      <x:c r="G1007" s="21" t="str">
        <x:f>""</x:f>
      </x:c>
      <x:c r="H1007" s="21" t="n">
        <x:f>F1010</x:f>
        <x:v>49.01606738671171</x:v>
      </x:c>
      <x:c r="I1007" s="27" t="str">
        <x:f>IF(AND(ISNUMBER(G1007),ISNUMBER(H1007),H1007&gt;0),G1007/H1007-1,"")</x:f>
      </x:c>
      <x:c r="J1007" s="27" t="str">
        <x:f>IF(AND(ISNUMBER(G1007),F1007&gt;0),G1007/F1007-1,"")</x:f>
      </x:c>
      <x:c r="K1007" s="19" t="str">
        <x:v>Exp_2/EXP032/results/seed1017_Fixed_rank_10.json</x:v>
      </x:c>
    </x:row>
    <x:row r="1008" ht="15" hidden="0" customHeight="1">
      <x:c r="A1008" s="3" t="str">
        <x:v>EXP032</x:v>
      </x:c>
      <x:c r="B1008" s="3" t="str">
        <x:v>Exp. 2</x:v>
      </x:c>
      <x:c r="C1008" s="18" t="n">
        <x:v>1017</x:v>
      </x:c>
      <x:c r="D1008" s="3" t="str">
        <x:v>Fixed rank 3</x:v>
      </x:c>
      <x:c r="E1008" s="18" t="n">
        <x:v>200</x:v>
      </x:c>
      <x:c r="F1008" s="21" t="n">
        <x:v>46.82992825861917</x:v>
      </x:c>
      <x:c r="G1008" s="21" t="str">
        <x:f>""</x:f>
      </x:c>
      <x:c r="H1008" s="21" t="n">
        <x:f>F1010</x:f>
        <x:v>49.01606738671171</x:v>
      </x:c>
      <x:c r="I1008" s="27" t="str">
        <x:f>IF(AND(ISNUMBER(G1008),ISNUMBER(H1008),H1008&gt;0),G1008/H1008-1,"")</x:f>
      </x:c>
      <x:c r="J1008" s="27" t="str">
        <x:f>IF(AND(ISNUMBER(G1008),F1008&gt;0),G1008/F1008-1,"")</x:f>
      </x:c>
      <x:c r="K1008" s="19" t="str">
        <x:v>Exp_2/EXP032/results/seed1017_Fixed_rank_3.json</x:v>
      </x:c>
    </x:row>
    <x:row r="1009" ht="15" hidden="0" customHeight="1">
      <x:c r="A1009" s="3" t="str">
        <x:v>EXP032</x:v>
      </x:c>
      <x:c r="B1009" s="3" t="str">
        <x:v>Exp. 2</x:v>
      </x:c>
      <x:c r="C1009" s="18" t="n">
        <x:v>1017</x:v>
      </x:c>
      <x:c r="D1009" s="3" t="str">
        <x:v>Fixed rank 5</x:v>
      </x:c>
      <x:c r="E1009" s="18" t="n">
        <x:v>200</x:v>
      </x:c>
      <x:c r="F1009" s="21" t="n">
        <x:v>48.040413618005914</x:v>
      </x:c>
      <x:c r="G1009" s="21" t="str">
        <x:f>""</x:f>
      </x:c>
      <x:c r="H1009" s="21" t="n">
        <x:f>F1010</x:f>
        <x:v>49.01606738671171</x:v>
      </x:c>
      <x:c r="I1009" s="27" t="str">
        <x:f>IF(AND(ISNUMBER(G1009),ISNUMBER(H1009),H1009&gt;0),G1009/H1009-1,"")</x:f>
      </x:c>
      <x:c r="J1009" s="27" t="str">
        <x:f>IF(AND(ISNUMBER(G1009),F1009&gt;0),G1009/F1009-1,"")</x:f>
      </x:c>
      <x:c r="K1009" s="19" t="str">
        <x:v>Exp_2/EXP032/results/seed1017_Fixed_rank_5.json</x:v>
      </x:c>
    </x:row>
    <x:row r="1010" ht="15" hidden="0" customHeight="1">
      <x:c r="A1010" s="3" t="str">
        <x:v>EXP032</x:v>
      </x:c>
      <x:c r="B1010" s="3" t="str">
        <x:v>Exp. 2</x:v>
      </x:c>
      <x:c r="C1010" s="18" t="n">
        <x:v>1017</x:v>
      </x:c>
      <x:c r="D1010" s="3" t="str">
        <x:v>Full</x:v>
      </x:c>
      <x:c r="E1010" s="18" t="n">
        <x:v>200</x:v>
      </x:c>
      <x:c r="F1010" s="21" t="n">
        <x:v>49.01606738671171</x:v>
      </x:c>
      <x:c r="G1010" s="21" t="str">
        <x:f>""</x:f>
      </x:c>
      <x:c r="H1010" s="21" t="n">
        <x:f>F1010</x:f>
        <x:v>49.01606738671171</x:v>
      </x:c>
      <x:c r="I1010" s="27" t="str">
        <x:f>IF(AND(ISNUMBER(G1010),ISNUMBER(H1010),H1010&gt;0),G1010/H1010-1,"")</x:f>
      </x:c>
      <x:c r="J1010" s="27" t="str">
        <x:f>IF(AND(ISNUMBER(G1010),F1010&gt;0),G1010/F1010-1,"")</x:f>
      </x:c>
      <x:c r="K1010" s="19" t="str">
        <x:v>Exp_2/EXP032/results/seed1017_Full.json</x:v>
      </x:c>
    </x:row>
    <x:row r="1011" ht="15" hidden="0" customHeight="1">
      <x:c r="A1011" s="3" t="str">
        <x:v>EXP032</x:v>
      </x:c>
      <x:c r="B1011" s="3" t="str">
        <x:v>Exp. 2</x:v>
      </x:c>
      <x:c r="C1011" s="18" t="n">
        <x:v>1017</x:v>
      </x:c>
      <x:c r="D1011" s="3" t="str">
        <x:v>Relative cutoff 1e-2</x:v>
      </x:c>
      <x:c r="E1011" s="18" t="n">
        <x:v>200</x:v>
      </x:c>
      <x:c r="F1011" s="21" t="n">
        <x:v>46.82992825861917</x:v>
      </x:c>
      <x:c r="G1011" s="21" t="str">
        <x:f>""</x:f>
      </x:c>
      <x:c r="H1011" s="21" t="n">
        <x:f>F1010</x:f>
        <x:v>49.01606738671171</x:v>
      </x:c>
      <x:c r="I1011" s="27" t="str">
        <x:f>IF(AND(ISNUMBER(G1011),ISNUMBER(H1011),H1011&gt;0),G1011/H1011-1,"")</x:f>
      </x:c>
      <x:c r="J1011" s="27" t="str">
        <x:f>IF(AND(ISNUMBER(G1011),F1011&gt;0),G1011/F1011-1,"")</x:f>
      </x:c>
      <x:c r="K1011" s="19" t="str">
        <x:v>Exp_2/EXP032/results/seed1017_Relative_cutoff_1e-2.json</x:v>
      </x:c>
    </x:row>
    <x:row r="1012" ht="15" hidden="0" customHeight="1">
      <x:c r="A1012" s="3" t="str">
        <x:v>EXP032</x:v>
      </x:c>
      <x:c r="B1012" s="3" t="str">
        <x:v>Exp. 2</x:v>
      </x:c>
      <x:c r="C1012" s="18" t="n">
        <x:v>1018</x:v>
      </x:c>
      <x:c r="D1012" s="3" t="str">
        <x:v>Fixed rank 10</x:v>
      </x:c>
      <x:c r="E1012" s="18" t="n">
        <x:v>200</x:v>
      </x:c>
      <x:c r="F1012" s="21" t="n">
        <x:v>48.52856445860189</x:v>
      </x:c>
      <x:c r="G1012" s="21" t="str">
        <x:f>""</x:f>
      </x:c>
      <x:c r="H1012" s="21" t="n">
        <x:f>F1015</x:f>
        <x:v>48.52856445860189</x:v>
      </x:c>
      <x:c r="I1012" s="27" t="str">
        <x:f>IF(AND(ISNUMBER(G1012),ISNUMBER(H1012),H1012&gt;0),G1012/H1012-1,"")</x:f>
      </x:c>
      <x:c r="J1012" s="27" t="str">
        <x:f>IF(AND(ISNUMBER(G1012),F1012&gt;0),G1012/F1012-1,"")</x:f>
      </x:c>
      <x:c r="K1012" s="19" t="str">
        <x:v>Exp_2/EXP032/results/seed1018_Fixed_rank_10.json</x:v>
      </x:c>
    </x:row>
    <x:row r="1013" ht="15" hidden="0" customHeight="1">
      <x:c r="A1013" s="3" t="str">
        <x:v>EXP032</x:v>
      </x:c>
      <x:c r="B1013" s="3" t="str">
        <x:v>Exp. 2</x:v>
      </x:c>
      <x:c r="C1013" s="18" t="n">
        <x:v>1018</x:v>
      </x:c>
      <x:c r="D1013" s="3" t="str">
        <x:v>Fixed rank 3</x:v>
      </x:c>
      <x:c r="E1013" s="18" t="n">
        <x:v>200</x:v>
      </x:c>
      <x:c r="F1013" s="21" t="n">
        <x:v>48.80749203496793</x:v>
      </x:c>
      <x:c r="G1013" s="21" t="str">
        <x:f>""</x:f>
      </x:c>
      <x:c r="H1013" s="21" t="n">
        <x:f>F1015</x:f>
        <x:v>48.52856445860189</x:v>
      </x:c>
      <x:c r="I1013" s="27" t="str">
        <x:f>IF(AND(ISNUMBER(G1013),ISNUMBER(H1013),H1013&gt;0),G1013/H1013-1,"")</x:f>
      </x:c>
      <x:c r="J1013" s="27" t="str">
        <x:f>IF(AND(ISNUMBER(G1013),F1013&gt;0),G1013/F1013-1,"")</x:f>
      </x:c>
      <x:c r="K1013" s="19" t="str">
        <x:v>Exp_2/EXP032/results/seed1018_Fixed_rank_3.json</x:v>
      </x:c>
    </x:row>
    <x:row r="1014" ht="15" hidden="0" customHeight="1">
      <x:c r="A1014" s="3" t="str">
        <x:v>EXP032</x:v>
      </x:c>
      <x:c r="B1014" s="3" t="str">
        <x:v>Exp. 2</x:v>
      </x:c>
      <x:c r="C1014" s="18" t="n">
        <x:v>1018</x:v>
      </x:c>
      <x:c r="D1014" s="3" t="str">
        <x:v>Fixed rank 5</x:v>
      </x:c>
      <x:c r="E1014" s="18" t="n">
        <x:v>200</x:v>
      </x:c>
      <x:c r="F1014" s="21" t="n">
        <x:v>48.52856445860189</x:v>
      </x:c>
      <x:c r="G1014" s="21" t="str">
        <x:f>""</x:f>
      </x:c>
      <x:c r="H1014" s="21" t="n">
        <x:f>F1015</x:f>
        <x:v>48.52856445860189</x:v>
      </x:c>
      <x:c r="I1014" s="27" t="str">
        <x:f>IF(AND(ISNUMBER(G1014),ISNUMBER(H1014),H1014&gt;0),G1014/H1014-1,"")</x:f>
      </x:c>
      <x:c r="J1014" s="27" t="str">
        <x:f>IF(AND(ISNUMBER(G1014),F1014&gt;0),G1014/F1014-1,"")</x:f>
      </x:c>
      <x:c r="K1014" s="19" t="str">
        <x:v>Exp_2/EXP032/results/seed1018_Fixed_rank_5.json</x:v>
      </x:c>
    </x:row>
    <x:row r="1015" ht="15" hidden="0" customHeight="1">
      <x:c r="A1015" s="3" t="str">
        <x:v>EXP032</x:v>
      </x:c>
      <x:c r="B1015" s="3" t="str">
        <x:v>Exp. 2</x:v>
      </x:c>
      <x:c r="C1015" s="18" t="n">
        <x:v>1018</x:v>
      </x:c>
      <x:c r="D1015" s="3" t="str">
        <x:v>Full</x:v>
      </x:c>
      <x:c r="E1015" s="18" t="n">
        <x:v>200</x:v>
      </x:c>
      <x:c r="F1015" s="21" t="n">
        <x:v>48.52856445860189</x:v>
      </x:c>
      <x:c r="G1015" s="21" t="str">
        <x:f>""</x:f>
      </x:c>
      <x:c r="H1015" s="21" t="n">
        <x:f>F1015</x:f>
        <x:v>48.52856445860189</x:v>
      </x:c>
      <x:c r="I1015" s="27" t="str">
        <x:f>IF(AND(ISNUMBER(G1015),ISNUMBER(H1015),H1015&gt;0),G1015/H1015-1,"")</x:f>
      </x:c>
      <x:c r="J1015" s="27" t="str">
        <x:f>IF(AND(ISNUMBER(G1015),F1015&gt;0),G1015/F1015-1,"")</x:f>
      </x:c>
      <x:c r="K1015" s="19" t="str">
        <x:v>Exp_2/EXP032/results/seed1018_Full.json</x:v>
      </x:c>
    </x:row>
    <x:row r="1016" ht="15" hidden="0" customHeight="1">
      <x:c r="A1016" s="3" t="str">
        <x:v>EXP032</x:v>
      </x:c>
      <x:c r="B1016" s="3" t="str">
        <x:v>Exp. 2</x:v>
      </x:c>
      <x:c r="C1016" s="18" t="n">
        <x:v>1018</x:v>
      </x:c>
      <x:c r="D1016" s="3" t="str">
        <x:v>Relative cutoff 1e-2</x:v>
      </x:c>
      <x:c r="E1016" s="18" t="n">
        <x:v>200</x:v>
      </x:c>
      <x:c r="F1016" s="21" t="n">
        <x:v>48.80749203496793</x:v>
      </x:c>
      <x:c r="G1016" s="21" t="str">
        <x:f>""</x:f>
      </x:c>
      <x:c r="H1016" s="21" t="n">
        <x:f>F1015</x:f>
        <x:v>48.52856445860189</x:v>
      </x:c>
      <x:c r="I1016" s="27" t="str">
        <x:f>IF(AND(ISNUMBER(G1016),ISNUMBER(H1016),H1016&gt;0),G1016/H1016-1,"")</x:f>
      </x:c>
      <x:c r="J1016" s="27" t="str">
        <x:f>IF(AND(ISNUMBER(G1016),F1016&gt;0),G1016/F1016-1,"")</x:f>
      </x:c>
      <x:c r="K1016" s="19" t="str">
        <x:v>Exp_2/EXP032/results/seed1018_Relative_cutoff_1e-2.json</x:v>
      </x:c>
    </x:row>
    <x:row r="1017" ht="15" hidden="0" customHeight="1">
      <x:c r="A1017" s="3" t="str">
        <x:v>EXP032</x:v>
      </x:c>
      <x:c r="B1017" s="3" t="str">
        <x:v>Exp. 2</x:v>
      </x:c>
      <x:c r="C1017" s="18" t="n">
        <x:v>1019</x:v>
      </x:c>
      <x:c r="D1017" s="3" t="str">
        <x:v>Fixed rank 10</x:v>
      </x:c>
      <x:c r="E1017" s="18" t="n">
        <x:v>200</x:v>
      </x:c>
      <x:c r="F1017" s="21" t="n">
        <x:v>47.873754581289596</x:v>
      </x:c>
      <x:c r="G1017" s="21" t="str">
        <x:f>""</x:f>
      </x:c>
      <x:c r="H1017" s="21" t="n">
        <x:f>F1020</x:f>
        <x:v>47.873754581289596</x:v>
      </x:c>
      <x:c r="I1017" s="27" t="str">
        <x:f>IF(AND(ISNUMBER(G1017),ISNUMBER(H1017),H1017&gt;0),G1017/H1017-1,"")</x:f>
      </x:c>
      <x:c r="J1017" s="27" t="str">
        <x:f>IF(AND(ISNUMBER(G1017),F1017&gt;0),G1017/F1017-1,"")</x:f>
      </x:c>
      <x:c r="K1017" s="19" t="str">
        <x:v>Exp_2/EXP032/results/seed1019_Fixed_rank_10.json</x:v>
      </x:c>
    </x:row>
    <x:row r="1018" ht="15" hidden="0" customHeight="1">
      <x:c r="A1018" s="3" t="str">
        <x:v>EXP032</x:v>
      </x:c>
      <x:c r="B1018" s="3" t="str">
        <x:v>Exp. 2</x:v>
      </x:c>
      <x:c r="C1018" s="18" t="n">
        <x:v>1019</x:v>
      </x:c>
      <x:c r="D1018" s="3" t="str">
        <x:v>Fixed rank 3</x:v>
      </x:c>
      <x:c r="E1018" s="18" t="n">
        <x:v>200</x:v>
      </x:c>
      <x:c r="F1018" s="21" t="n">
        <x:v>48.88595656177899</x:v>
      </x:c>
      <x:c r="G1018" s="21" t="str">
        <x:f>""</x:f>
      </x:c>
      <x:c r="H1018" s="21" t="n">
        <x:f>F1020</x:f>
        <x:v>47.873754581289596</x:v>
      </x:c>
      <x:c r="I1018" s="27" t="str">
        <x:f>IF(AND(ISNUMBER(G1018),ISNUMBER(H1018),H1018&gt;0),G1018/H1018-1,"")</x:f>
      </x:c>
      <x:c r="J1018" s="27" t="str">
        <x:f>IF(AND(ISNUMBER(G1018),F1018&gt;0),G1018/F1018-1,"")</x:f>
      </x:c>
      <x:c r="K1018" s="19" t="str">
        <x:v>Exp_2/EXP032/results/seed1019_Fixed_rank_3.json</x:v>
      </x:c>
    </x:row>
    <x:row r="1019" ht="15" hidden="0" customHeight="1">
      <x:c r="A1019" s="3" t="str">
        <x:v>EXP032</x:v>
      </x:c>
      <x:c r="B1019" s="3" t="str">
        <x:v>Exp. 2</x:v>
      </x:c>
      <x:c r="C1019" s="18" t="n">
        <x:v>1019</x:v>
      </x:c>
      <x:c r="D1019" s="3" t="str">
        <x:v>Fixed rank 5</x:v>
      </x:c>
      <x:c r="E1019" s="18" t="n">
        <x:v>200</x:v>
      </x:c>
      <x:c r="F1019" s="21" t="n">
        <x:v>48.88595656177899</x:v>
      </x:c>
      <x:c r="G1019" s="21" t="str">
        <x:f>""</x:f>
      </x:c>
      <x:c r="H1019" s="21" t="n">
        <x:f>F1020</x:f>
        <x:v>47.873754581289596</x:v>
      </x:c>
      <x:c r="I1019" s="27" t="str">
        <x:f>IF(AND(ISNUMBER(G1019),ISNUMBER(H1019),H1019&gt;0),G1019/H1019-1,"")</x:f>
      </x:c>
      <x:c r="J1019" s="27" t="str">
        <x:f>IF(AND(ISNUMBER(G1019),F1019&gt;0),G1019/F1019-1,"")</x:f>
      </x:c>
      <x:c r="K1019" s="19" t="str">
        <x:v>Exp_2/EXP032/results/seed1019_Fixed_rank_5.json</x:v>
      </x:c>
    </x:row>
    <x:row r="1020" ht="15" hidden="0" customHeight="1">
      <x:c r="A1020" s="3" t="str">
        <x:v>EXP032</x:v>
      </x:c>
      <x:c r="B1020" s="3" t="str">
        <x:v>Exp. 2</x:v>
      </x:c>
      <x:c r="C1020" s="18" t="n">
        <x:v>1019</x:v>
      </x:c>
      <x:c r="D1020" s="3" t="str">
        <x:v>Full</x:v>
      </x:c>
      <x:c r="E1020" s="18" t="n">
        <x:v>200</x:v>
      </x:c>
      <x:c r="F1020" s="21" t="n">
        <x:v>47.873754581289596</x:v>
      </x:c>
      <x:c r="G1020" s="21" t="str">
        <x:f>""</x:f>
      </x:c>
      <x:c r="H1020" s="21" t="n">
        <x:f>F1020</x:f>
        <x:v>47.873754581289596</x:v>
      </x:c>
      <x:c r="I1020" s="27" t="str">
        <x:f>IF(AND(ISNUMBER(G1020),ISNUMBER(H1020),H1020&gt;0),G1020/H1020-1,"")</x:f>
      </x:c>
      <x:c r="J1020" s="27" t="str">
        <x:f>IF(AND(ISNUMBER(G1020),F1020&gt;0),G1020/F1020-1,"")</x:f>
      </x:c>
      <x:c r="K1020" s="19" t="str">
        <x:v>Exp_2/EXP032/results/seed1019_Full.json</x:v>
      </x:c>
    </x:row>
    <x:row r="1021" ht="15" hidden="0" customHeight="1">
      <x:c r="A1021" s="3" t="str">
        <x:v>EXP032</x:v>
      </x:c>
      <x:c r="B1021" s="3" t="str">
        <x:v>Exp. 2</x:v>
      </x:c>
      <x:c r="C1021" s="18" t="n">
        <x:v>1019</x:v>
      </x:c>
      <x:c r="D1021" s="3" t="str">
        <x:v>Relative cutoff 1e-2</x:v>
      </x:c>
      <x:c r="E1021" s="18" t="n">
        <x:v>200</x:v>
      </x:c>
      <x:c r="F1021" s="21" t="n">
        <x:v>48.88595656177899</x:v>
      </x:c>
      <x:c r="G1021" s="21" t="str">
        <x:f>""</x:f>
      </x:c>
      <x:c r="H1021" s="21" t="n">
        <x:f>F1020</x:f>
        <x:v>47.873754581289596</x:v>
      </x:c>
      <x:c r="I1021" s="27" t="str">
        <x:f>IF(AND(ISNUMBER(G1021),ISNUMBER(H1021),H1021&gt;0),G1021/H1021-1,"")</x:f>
      </x:c>
      <x:c r="J1021" s="27" t="str">
        <x:f>IF(AND(ISNUMBER(G1021),F1021&gt;0),G1021/F1021-1,"")</x:f>
      </x:c>
      <x:c r="K1021" s="19" t="str">
        <x:v>Exp_2/EXP032/results/seed1019_Relative_cutoff_1e-2.json</x:v>
      </x:c>
    </x:row>
    <x:row r="1022" ht="15" hidden="0" customHeight="1">
      <x:c r="A1022" s="3" t="str">
        <x:v>EXP035</x:v>
      </x:c>
      <x:c r="B1022" s="3" t="str">
        <x:v>Exp. 3</x:v>
      </x:c>
      <x:c r="C1022" s="18" t="n">
        <x:v>20284363</x:v>
      </x:c>
      <x:c r="D1022" s="3" t="str">
        <x:v>BBP</x:v>
      </x:c>
      <x:c r="E1022" s="18" t="n">
        <x:v>200</x:v>
      </x:c>
      <x:c r="F1022" s="21" t="n">
        <x:v>601.7469076278543</x:v>
      </x:c>
      <x:c r="G1022" s="21" t="n">
        <x:f>F1022</x:f>
        <x:v>601.7469076278543</x:v>
      </x:c>
      <x:c r="H1022" s="21" t="n">
        <x:f>F1027</x:f>
        <x:v>601.7469076278543</x:v>
      </x:c>
      <x:c r="I1022" s="27" t="n">
        <x:f>IF(AND(ISNUMBER(G1022),ISNUMBER(H1022),H1022&gt;0),G1022/H1022-1,"")</x:f>
        <x:v>0</x:v>
      </x:c>
      <x:c r="J1022" s="27" t="n">
        <x:f>IF(AND(ISNUMBER(G1022),F1022&gt;0),G1022/F1022-1,"")</x:f>
        <x:v>0</x:v>
      </x:c>
      <x:c r="K1022" s="19" t="str">
        <x:v>Exp_3/EXP035/results/seed20284363_BBP.json</x:v>
      </x:c>
    </x:row>
    <x:row r="1023" ht="15" hidden="0" customHeight="1">
      <x:c r="A1023" s="3" t="str">
        <x:v>EXP035</x:v>
      </x:c>
      <x:c r="B1023" s="3" t="str">
        <x:v>Exp. 3</x:v>
      </x:c>
      <x:c r="C1023" s="18" t="n">
        <x:v>20284363</x:v>
      </x:c>
      <x:c r="D1023" s="3" t="str">
        <x:v>Relative cutoff 1e-5</x:v>
      </x:c>
      <x:c r="E1023" s="18" t="n">
        <x:v>200</x:v>
      </x:c>
      <x:c r="F1023" s="21" t="n">
        <x:v>601.7469076278543</x:v>
      </x:c>
      <x:c r="G1023" s="21" t="n">
        <x:f>F1022</x:f>
        <x:v>601.7469076278543</x:v>
      </x:c>
      <x:c r="H1023" s="21" t="n">
        <x:f>F1027</x:f>
        <x:v>601.7469076278543</x:v>
      </x:c>
      <x:c r="I1023" s="27" t="n">
        <x:f>IF(AND(ISNUMBER(G1023),ISNUMBER(H1023),H1023&gt;0),G1023/H1023-1,"")</x:f>
        <x:v>0</x:v>
      </x:c>
      <x:c r="J1023" s="27" t="n">
        <x:f>IF(AND(ISNUMBER(G1023),F1023&gt;0),G1023/F1023-1,"")</x:f>
        <x:v>0</x:v>
      </x:c>
      <x:c r="K1023" s="19" t="str">
        <x:v>Exp_3/EXP035/results/seed20284363_Relative_cutoff_1e-5.json</x:v>
      </x:c>
    </x:row>
    <x:row r="1024" ht="15" hidden="0" customHeight="1">
      <x:c r="A1024" s="3" t="str">
        <x:v>EXP035</x:v>
      </x:c>
      <x:c r="B1024" s="3" t="str">
        <x:v>Exp. 3</x:v>
      </x:c>
      <x:c r="C1024" s="18" t="n">
        <x:v>20284363</x:v>
      </x:c>
      <x:c r="D1024" s="3" t="str">
        <x:v>Fixed rank 10</x:v>
      </x:c>
      <x:c r="E1024" s="18" t="n">
        <x:v>200</x:v>
      </x:c>
      <x:c r="F1024" s="21" t="n">
        <x:v>601.7469076278543</x:v>
      </x:c>
      <x:c r="G1024" s="21" t="n">
        <x:f>F1022</x:f>
        <x:v>601.7469076278543</x:v>
      </x:c>
      <x:c r="H1024" s="21" t="n">
        <x:f>F1027</x:f>
        <x:v>601.7469076278543</x:v>
      </x:c>
      <x:c r="I1024" s="27" t="n">
        <x:f>IF(AND(ISNUMBER(G1024),ISNUMBER(H1024),H1024&gt;0),G1024/H1024-1,"")</x:f>
        <x:v>0</x:v>
      </x:c>
      <x:c r="J1024" s="27" t="n">
        <x:f>IF(AND(ISNUMBER(G1024),F1024&gt;0),G1024/F1024-1,"")</x:f>
        <x:v>0</x:v>
      </x:c>
      <x:c r="K1024" s="19" t="str">
        <x:v>Exp_3/EXP035/results/seed20284363_Fixed_rank_10.json</x:v>
      </x:c>
    </x:row>
    <x:row r="1025" ht="15" hidden="0" customHeight="1">
      <x:c r="A1025" s="3" t="str">
        <x:v>EXP035</x:v>
      </x:c>
      <x:c r="B1025" s="3" t="str">
        <x:v>Exp. 3</x:v>
      </x:c>
      <x:c r="C1025" s="18" t="n">
        <x:v>20284363</x:v>
      </x:c>
      <x:c r="D1025" s="3" t="str">
        <x:v>Fixed rank 25</x:v>
      </x:c>
      <x:c r="E1025" s="18" t="n">
        <x:v>200</x:v>
      </x:c>
      <x:c r="F1025" s="21" t="n">
        <x:v>601.7469076278543</x:v>
      </x:c>
      <x:c r="G1025" s="21" t="n">
        <x:f>F1022</x:f>
        <x:v>601.7469076278543</x:v>
      </x:c>
      <x:c r="H1025" s="21" t="n">
        <x:f>F1027</x:f>
        <x:v>601.7469076278543</x:v>
      </x:c>
      <x:c r="I1025" s="27" t="n">
        <x:f>IF(AND(ISNUMBER(G1025),ISNUMBER(H1025),H1025&gt;0),G1025/H1025-1,"")</x:f>
        <x:v>0</x:v>
      </x:c>
      <x:c r="J1025" s="27" t="n">
        <x:f>IF(AND(ISNUMBER(G1025),F1025&gt;0),G1025/F1025-1,"")</x:f>
        <x:v>0</x:v>
      </x:c>
      <x:c r="K1025" s="19" t="str">
        <x:v>Exp_3/EXP035/results/seed20284363_Fixed_rank_25.json</x:v>
      </x:c>
    </x:row>
    <x:row r="1026" ht="15" hidden="0" customHeight="1">
      <x:c r="A1026" s="3" t="str">
        <x:v>EXP035</x:v>
      </x:c>
      <x:c r="B1026" s="3" t="str">
        <x:v>Exp. 3</x:v>
      </x:c>
      <x:c r="C1026" s="18" t="n">
        <x:v>20284363</x:v>
      </x:c>
      <x:c r="D1026" s="3" t="str">
        <x:v>Relative cutoff 1e-6</x:v>
      </x:c>
      <x:c r="E1026" s="18" t="n">
        <x:v>200</x:v>
      </x:c>
      <x:c r="F1026" s="21" t="n">
        <x:v>601.7469076278543</x:v>
      </x:c>
      <x:c r="G1026" s="21" t="n">
        <x:f>F1022</x:f>
        <x:v>601.7469076278543</x:v>
      </x:c>
      <x:c r="H1026" s="21" t="n">
        <x:f>F1027</x:f>
        <x:v>601.7469076278543</x:v>
      </x:c>
      <x:c r="I1026" s="27" t="n">
        <x:f>IF(AND(ISNUMBER(G1026),ISNUMBER(H1026),H1026&gt;0),G1026/H1026-1,"")</x:f>
        <x:v>0</x:v>
      </x:c>
      <x:c r="J1026" s="27" t="n">
        <x:f>IF(AND(ISNUMBER(G1026),F1026&gt;0),G1026/F1026-1,"")</x:f>
        <x:v>0</x:v>
      </x:c>
      <x:c r="K1026" s="19" t="str">
        <x:v>Exp_3/EXP035/results/seed20284363_Relative_cutoff_1e-6.json</x:v>
      </x:c>
    </x:row>
    <x:row r="1027" ht="15" hidden="0" customHeight="1">
      <x:c r="A1027" s="3" t="str">
        <x:v>EXP035</x:v>
      </x:c>
      <x:c r="B1027" s="3" t="str">
        <x:v>Exp. 3</x:v>
      </x:c>
      <x:c r="C1027" s="18" t="n">
        <x:v>20284363</x:v>
      </x:c>
      <x:c r="D1027" s="3" t="str">
        <x:v>Full</x:v>
      </x:c>
      <x:c r="E1027" s="18" t="n">
        <x:v>200</x:v>
      </x:c>
      <x:c r="F1027" s="21" t="n">
        <x:v>601.7469076278543</x:v>
      </x:c>
      <x:c r="G1027" s="21" t="n">
        <x:f>F1022</x:f>
        <x:v>601.7469076278543</x:v>
      </x:c>
      <x:c r="H1027" s="21" t="n">
        <x:f>F1027</x:f>
        <x:v>601.7469076278543</x:v>
      </x:c>
      <x:c r="I1027" s="27" t="n">
        <x:f>IF(AND(ISNUMBER(G1027),ISNUMBER(H1027),H1027&gt;0),G1027/H1027-1,"")</x:f>
        <x:v>0</x:v>
      </x:c>
      <x:c r="J1027" s="27" t="n">
        <x:f>IF(AND(ISNUMBER(G1027),F1027&gt;0),G1027/F1027-1,"")</x:f>
        <x:v>0</x:v>
      </x:c>
      <x:c r="K1027" s="19" t="str">
        <x:v>Exp_3/EXP035/results/seed20284363_Full.json</x:v>
      </x:c>
    </x:row>
    <x:row r="1028" ht="15" hidden="0" customHeight="1">
      <x:c r="A1028" s="3" t="str">
        <x:v>EXP035</x:v>
      </x:c>
      <x:c r="B1028" s="3" t="str">
        <x:v>Exp. 3</x:v>
      </x:c>
      <x:c r="C1028" s="18" t="n">
        <x:v>20284363</x:v>
      </x:c>
      <x:c r="D1028" s="3" t="str">
        <x:v>Relative cutoff 1e-2</x:v>
      </x:c>
      <x:c r="E1028" s="18" t="n">
        <x:v>200</x:v>
      </x:c>
      <x:c r="F1028" s="21" t="n">
        <x:v>612.7564300755135</x:v>
      </x:c>
      <x:c r="G1028" s="21" t="n">
        <x:f>F1022</x:f>
        <x:v>601.7469076278543</x:v>
      </x:c>
      <x:c r="H1028" s="21" t="n">
        <x:f>F1027</x:f>
        <x:v>601.7469076278543</x:v>
      </x:c>
      <x:c r="I1028" s="27" t="n">
        <x:f>IF(AND(ISNUMBER(G1028),ISNUMBER(H1028),H1028&gt;0),G1028/H1028-1,"")</x:f>
        <x:v>0</x:v>
      </x:c>
      <x:c r="J1028" s="27" t="n">
        <x:f>IF(AND(ISNUMBER(G1028),F1028&gt;0),G1028/F1028-1,"")</x:f>
        <x:v>-0.01796720835112653</x:v>
      </x:c>
      <x:c r="K1028" s="19" t="str">
        <x:v>Exp_3/EXP035/results/seed20284363_Relative_cutoff_1e-2.json</x:v>
      </x:c>
    </x:row>
    <x:row r="1029" ht="15" hidden="0" customHeight="1">
      <x:c r="A1029" s="3" t="str">
        <x:v>EXP035</x:v>
      </x:c>
      <x:c r="B1029" s="3" t="str">
        <x:v>Exp. 3</x:v>
      </x:c>
      <x:c r="C1029" s="18" t="n">
        <x:v>20284363</x:v>
      </x:c>
      <x:c r="D1029" s="3" t="str">
        <x:v>Relative cutoff 1e-4</x:v>
      </x:c>
      <x:c r="E1029" s="18" t="n">
        <x:v>200</x:v>
      </x:c>
      <x:c r="F1029" s="21" t="n">
        <x:v>601.7469076278543</x:v>
      </x:c>
      <x:c r="G1029" s="21" t="n">
        <x:f>F1022</x:f>
        <x:v>601.7469076278543</x:v>
      </x:c>
      <x:c r="H1029" s="21" t="n">
        <x:f>F1027</x:f>
        <x:v>601.7469076278543</x:v>
      </x:c>
      <x:c r="I1029" s="27" t="n">
        <x:f>IF(AND(ISNUMBER(G1029),ISNUMBER(H1029),H1029&gt;0),G1029/H1029-1,"")</x:f>
        <x:v>0</x:v>
      </x:c>
      <x:c r="J1029" s="27" t="n">
        <x:f>IF(AND(ISNUMBER(G1029),F1029&gt;0),G1029/F1029-1,"")</x:f>
        <x:v>0</x:v>
      </x:c>
      <x:c r="K1029" s="19" t="str">
        <x:v>Exp_3/EXP035/results/seed20284363_Relative_cutoff_1e-4.json</x:v>
      </x:c>
    </x:row>
    <x:row r="1030" ht="15" hidden="0" customHeight="1">
      <x:c r="A1030" s="3" t="str">
        <x:v>EXP035</x:v>
      </x:c>
      <x:c r="B1030" s="3" t="str">
        <x:v>Exp. 3</x:v>
      </x:c>
      <x:c r="C1030" s="18" t="n">
        <x:v>151801615</x:v>
      </x:c>
      <x:c r="D1030" s="3" t="str">
        <x:v>BBP</x:v>
      </x:c>
      <x:c r="E1030" s="18" t="n">
        <x:v>200</x:v>
      </x:c>
      <x:c r="F1030" s="21" t="n">
        <x:v>682.7076226746349</x:v>
      </x:c>
      <x:c r="G1030" s="21" t="n">
        <x:f>F1030</x:f>
        <x:v>682.7076226746349</x:v>
      </x:c>
      <x:c r="H1030" s="21" t="n">
        <x:f>F1035</x:f>
        <x:v>682.7076226746349</x:v>
      </x:c>
      <x:c r="I1030" s="27" t="n">
        <x:f>IF(AND(ISNUMBER(G1030),ISNUMBER(H1030),H1030&gt;0),G1030/H1030-1,"")</x:f>
        <x:v>0</x:v>
      </x:c>
      <x:c r="J1030" s="27" t="n">
        <x:f>IF(AND(ISNUMBER(G1030),F1030&gt;0),G1030/F1030-1,"")</x:f>
        <x:v>0</x:v>
      </x:c>
      <x:c r="K1030" s="19" t="str">
        <x:v>Exp_3/EXP035/results/seed151801615_BBP.json</x:v>
      </x:c>
    </x:row>
    <x:row r="1031" ht="15" hidden="0" customHeight="1">
      <x:c r="A1031" s="3" t="str">
        <x:v>EXP035</x:v>
      </x:c>
      <x:c r="B1031" s="3" t="str">
        <x:v>Exp. 3</x:v>
      </x:c>
      <x:c r="C1031" s="18" t="n">
        <x:v>151801615</x:v>
      </x:c>
      <x:c r="D1031" s="3" t="str">
        <x:v>Relative cutoff 1e-5</x:v>
      </x:c>
      <x:c r="E1031" s="18" t="n">
        <x:v>200</x:v>
      </x:c>
      <x:c r="F1031" s="21" t="n">
        <x:v>682.7076226746349</x:v>
      </x:c>
      <x:c r="G1031" s="21" t="n">
        <x:f>F1030</x:f>
        <x:v>682.7076226746349</x:v>
      </x:c>
      <x:c r="H1031" s="21" t="n">
        <x:f>F1035</x:f>
        <x:v>682.7076226746349</x:v>
      </x:c>
      <x:c r="I1031" s="27" t="n">
        <x:f>IF(AND(ISNUMBER(G1031),ISNUMBER(H1031),H1031&gt;0),G1031/H1031-1,"")</x:f>
        <x:v>0</x:v>
      </x:c>
      <x:c r="J1031" s="27" t="n">
        <x:f>IF(AND(ISNUMBER(G1031),F1031&gt;0),G1031/F1031-1,"")</x:f>
        <x:v>0</x:v>
      </x:c>
      <x:c r="K1031" s="19" t="str">
        <x:v>Exp_3/EXP035/results/seed151801615_Relative_cutoff_1e-5.json</x:v>
      </x:c>
    </x:row>
    <x:row r="1032" ht="15" hidden="0" customHeight="1">
      <x:c r="A1032" s="3" t="str">
        <x:v>EXP035</x:v>
      </x:c>
      <x:c r="B1032" s="3" t="str">
        <x:v>Exp. 3</x:v>
      </x:c>
      <x:c r="C1032" s="18" t="n">
        <x:v>151801615</x:v>
      </x:c>
      <x:c r="D1032" s="3" t="str">
        <x:v>Fixed rank 10</x:v>
      </x:c>
      <x:c r="E1032" s="18" t="n">
        <x:v>200</x:v>
      </x:c>
      <x:c r="F1032" s="21" t="n">
        <x:v>682.7076226746349</x:v>
      </x:c>
      <x:c r="G1032" s="21" t="n">
        <x:f>F1030</x:f>
        <x:v>682.7076226746349</x:v>
      </x:c>
      <x:c r="H1032" s="21" t="n">
        <x:f>F1035</x:f>
        <x:v>682.7076226746349</x:v>
      </x:c>
      <x:c r="I1032" s="27" t="n">
        <x:f>IF(AND(ISNUMBER(G1032),ISNUMBER(H1032),H1032&gt;0),G1032/H1032-1,"")</x:f>
        <x:v>0</x:v>
      </x:c>
      <x:c r="J1032" s="27" t="n">
        <x:f>IF(AND(ISNUMBER(G1032),F1032&gt;0),G1032/F1032-1,"")</x:f>
        <x:v>0</x:v>
      </x:c>
      <x:c r="K1032" s="19" t="str">
        <x:v>Exp_3/EXP035/results/seed151801615_Fixed_rank_10.json</x:v>
      </x:c>
    </x:row>
    <x:row r="1033" ht="15" hidden="0" customHeight="1">
      <x:c r="A1033" s="3" t="str">
        <x:v>EXP035</x:v>
      </x:c>
      <x:c r="B1033" s="3" t="str">
        <x:v>Exp. 3</x:v>
      </x:c>
      <x:c r="C1033" s="18" t="n">
        <x:v>151801615</x:v>
      </x:c>
      <x:c r="D1033" s="3" t="str">
        <x:v>Fixed rank 25</x:v>
      </x:c>
      <x:c r="E1033" s="18" t="n">
        <x:v>200</x:v>
      </x:c>
      <x:c r="F1033" s="21" t="n">
        <x:v>682.7076226746349</x:v>
      </x:c>
      <x:c r="G1033" s="21" t="n">
        <x:f>F1030</x:f>
        <x:v>682.7076226746349</x:v>
      </x:c>
      <x:c r="H1033" s="21" t="n">
        <x:f>F1035</x:f>
        <x:v>682.7076226746349</x:v>
      </x:c>
      <x:c r="I1033" s="27" t="n">
        <x:f>IF(AND(ISNUMBER(G1033),ISNUMBER(H1033),H1033&gt;0),G1033/H1033-1,"")</x:f>
        <x:v>0</x:v>
      </x:c>
      <x:c r="J1033" s="27" t="n">
        <x:f>IF(AND(ISNUMBER(G1033),F1033&gt;0),G1033/F1033-1,"")</x:f>
        <x:v>0</x:v>
      </x:c>
      <x:c r="K1033" s="19" t="str">
        <x:v>Exp_3/EXP035/results/seed151801615_Fixed_rank_25.json</x:v>
      </x:c>
    </x:row>
    <x:row r="1034" ht="15" hidden="0" customHeight="1">
      <x:c r="A1034" s="3" t="str">
        <x:v>EXP035</x:v>
      </x:c>
      <x:c r="B1034" s="3" t="str">
        <x:v>Exp. 3</x:v>
      </x:c>
      <x:c r="C1034" s="18" t="n">
        <x:v>151801615</x:v>
      </x:c>
      <x:c r="D1034" s="3" t="str">
        <x:v>Relative cutoff 1e-6</x:v>
      </x:c>
      <x:c r="E1034" s="18" t="n">
        <x:v>200</x:v>
      </x:c>
      <x:c r="F1034" s="21" t="n">
        <x:v>682.7076226746349</x:v>
      </x:c>
      <x:c r="G1034" s="21" t="n">
        <x:f>F1030</x:f>
        <x:v>682.7076226746349</x:v>
      </x:c>
      <x:c r="H1034" s="21" t="n">
        <x:f>F1035</x:f>
        <x:v>682.7076226746349</x:v>
      </x:c>
      <x:c r="I1034" s="27" t="n">
        <x:f>IF(AND(ISNUMBER(G1034),ISNUMBER(H1034),H1034&gt;0),G1034/H1034-1,"")</x:f>
        <x:v>0</x:v>
      </x:c>
      <x:c r="J1034" s="27" t="n">
        <x:f>IF(AND(ISNUMBER(G1034),F1034&gt;0),G1034/F1034-1,"")</x:f>
        <x:v>0</x:v>
      </x:c>
      <x:c r="K1034" s="19" t="str">
        <x:v>Exp_3/EXP035/results/seed151801615_Relative_cutoff_1e-6.json</x:v>
      </x:c>
    </x:row>
    <x:row r="1035" ht="15" hidden="0" customHeight="1">
      <x:c r="A1035" s="3" t="str">
        <x:v>EXP035</x:v>
      </x:c>
      <x:c r="B1035" s="3" t="str">
        <x:v>Exp. 3</x:v>
      </x:c>
      <x:c r="C1035" s="18" t="n">
        <x:v>151801615</x:v>
      </x:c>
      <x:c r="D1035" s="3" t="str">
        <x:v>Full</x:v>
      </x:c>
      <x:c r="E1035" s="18" t="n">
        <x:v>200</x:v>
      </x:c>
      <x:c r="F1035" s="21" t="n">
        <x:v>682.7076226746349</x:v>
      </x:c>
      <x:c r="G1035" s="21" t="n">
        <x:f>F1030</x:f>
        <x:v>682.7076226746349</x:v>
      </x:c>
      <x:c r="H1035" s="21" t="n">
        <x:f>F1035</x:f>
        <x:v>682.7076226746349</x:v>
      </x:c>
      <x:c r="I1035" s="27" t="n">
        <x:f>IF(AND(ISNUMBER(G1035),ISNUMBER(H1035),H1035&gt;0),G1035/H1035-1,"")</x:f>
        <x:v>0</x:v>
      </x:c>
      <x:c r="J1035" s="27" t="n">
        <x:f>IF(AND(ISNUMBER(G1035),F1035&gt;0),G1035/F1035-1,"")</x:f>
        <x:v>0</x:v>
      </x:c>
      <x:c r="K1035" s="19" t="str">
        <x:v>Exp_3/EXP035/results/seed151801615_Full.json</x:v>
      </x:c>
    </x:row>
    <x:row r="1036" ht="15" hidden="0" customHeight="1">
      <x:c r="A1036" s="3" t="str">
        <x:v>EXP035</x:v>
      </x:c>
      <x:c r="B1036" s="3" t="str">
        <x:v>Exp. 3</x:v>
      </x:c>
      <x:c r="C1036" s="18" t="n">
        <x:v>151801615</x:v>
      </x:c>
      <x:c r="D1036" s="3" t="str">
        <x:v>Relative cutoff 1e-2</x:v>
      </x:c>
      <x:c r="E1036" s="18" t="n">
        <x:v>200</x:v>
      </x:c>
      <x:c r="F1036" s="21" t="n">
        <x:v>684.7065534409018</x:v>
      </x:c>
      <x:c r="G1036" s="21" t="n">
        <x:f>F1030</x:f>
        <x:v>682.7076226746349</x:v>
      </x:c>
      <x:c r="H1036" s="21" t="n">
        <x:f>F1035</x:f>
        <x:v>682.7076226746349</x:v>
      </x:c>
      <x:c r="I1036" s="27" t="n">
        <x:f>IF(AND(ISNUMBER(G1036),ISNUMBER(H1036),H1036&gt;0),G1036/H1036-1,"")</x:f>
        <x:v>0</x:v>
      </x:c>
      <x:c r="J1036" s="27" t="n">
        <x:f>IF(AND(ISNUMBER(G1036),F1036&gt;0),G1036/F1036-1,"")</x:f>
        <x:v>-0.0029193977423197515</x:v>
      </x:c>
      <x:c r="K1036" s="19" t="str">
        <x:v>Exp_3/EXP035/results/seed151801615_Relative_cutoff_1e-2.json</x:v>
      </x:c>
    </x:row>
    <x:row r="1037" ht="15" hidden="0" customHeight="1">
      <x:c r="A1037" s="3" t="str">
        <x:v>EXP035</x:v>
      </x:c>
      <x:c r="B1037" s="3" t="str">
        <x:v>Exp. 3</x:v>
      </x:c>
      <x:c r="C1037" s="18" t="n">
        <x:v>151801615</x:v>
      </x:c>
      <x:c r="D1037" s="3" t="str">
        <x:v>Relative cutoff 1e-4</x:v>
      </x:c>
      <x:c r="E1037" s="18" t="n">
        <x:v>200</x:v>
      </x:c>
      <x:c r="F1037" s="21" t="n">
        <x:v>682.7076226746349</x:v>
      </x:c>
      <x:c r="G1037" s="21" t="n">
        <x:f>F1030</x:f>
        <x:v>682.7076226746349</x:v>
      </x:c>
      <x:c r="H1037" s="21" t="n">
        <x:f>F1035</x:f>
        <x:v>682.7076226746349</x:v>
      </x:c>
      <x:c r="I1037" s="27" t="n">
        <x:f>IF(AND(ISNUMBER(G1037),ISNUMBER(H1037),H1037&gt;0),G1037/H1037-1,"")</x:f>
        <x:v>0</x:v>
      </x:c>
      <x:c r="J1037" s="27" t="n">
        <x:f>IF(AND(ISNUMBER(G1037),F1037&gt;0),G1037/F1037-1,"")</x:f>
        <x:v>0</x:v>
      </x:c>
      <x:c r="K1037" s="19" t="str">
        <x:v>Exp_3/EXP035/results/seed151801615_Relative_cutoff_1e-4.json</x:v>
      </x:c>
    </x:row>
    <x:row r="1038" ht="15" hidden="0" customHeight="1">
      <x:c r="A1038" s="3" t="str">
        <x:v>EXP035</x:v>
      </x:c>
      <x:c r="B1038" s="3" t="str">
        <x:v>Exp. 3</x:v>
      </x:c>
      <x:c r="C1038" s="18" t="n">
        <x:v>159359747</x:v>
      </x:c>
      <x:c r="D1038" s="3" t="str">
        <x:v>BBP</x:v>
      </x:c>
      <x:c r="E1038" s="18" t="n">
        <x:v>200</x:v>
      </x:c>
      <x:c r="F1038" s="21" t="n">
        <x:v>640.0062412560056</x:v>
      </x:c>
      <x:c r="G1038" s="21" t="n">
        <x:f>F1038</x:f>
        <x:v>640.0062412560056</x:v>
      </x:c>
      <x:c r="H1038" s="21" t="n">
        <x:f>F1043</x:f>
        <x:v>640.0062412560056</x:v>
      </x:c>
      <x:c r="I1038" s="27" t="n">
        <x:f>IF(AND(ISNUMBER(G1038),ISNUMBER(H1038),H1038&gt;0),G1038/H1038-1,"")</x:f>
        <x:v>0</x:v>
      </x:c>
      <x:c r="J1038" s="27" t="n">
        <x:f>IF(AND(ISNUMBER(G1038),F1038&gt;0),G1038/F1038-1,"")</x:f>
        <x:v>0</x:v>
      </x:c>
      <x:c r="K1038" s="19" t="str">
        <x:v>Exp_3/EXP035/results/seed159359747_BBP.json</x:v>
      </x:c>
    </x:row>
    <x:row r="1039" ht="15" hidden="0" customHeight="1">
      <x:c r="A1039" s="3" t="str">
        <x:v>EXP035</x:v>
      </x:c>
      <x:c r="B1039" s="3" t="str">
        <x:v>Exp. 3</x:v>
      </x:c>
      <x:c r="C1039" s="18" t="n">
        <x:v>159359747</x:v>
      </x:c>
      <x:c r="D1039" s="3" t="str">
        <x:v>Relative cutoff 1e-5</x:v>
      </x:c>
      <x:c r="E1039" s="18" t="n">
        <x:v>200</x:v>
      </x:c>
      <x:c r="F1039" s="21" t="n">
        <x:v>640.0062412560056</x:v>
      </x:c>
      <x:c r="G1039" s="21" t="n">
        <x:f>F1038</x:f>
        <x:v>640.0062412560056</x:v>
      </x:c>
      <x:c r="H1039" s="21" t="n">
        <x:f>F1043</x:f>
        <x:v>640.0062412560056</x:v>
      </x:c>
      <x:c r="I1039" s="27" t="n">
        <x:f>IF(AND(ISNUMBER(G1039),ISNUMBER(H1039),H1039&gt;0),G1039/H1039-1,"")</x:f>
        <x:v>0</x:v>
      </x:c>
      <x:c r="J1039" s="27" t="n">
        <x:f>IF(AND(ISNUMBER(G1039),F1039&gt;0),G1039/F1039-1,"")</x:f>
        <x:v>0</x:v>
      </x:c>
      <x:c r="K1039" s="19" t="str">
        <x:v>Exp_3/EXP035/results/seed159359747_Relative_cutoff_1e-5.json</x:v>
      </x:c>
    </x:row>
    <x:row r="1040" ht="15" hidden="0" customHeight="1">
      <x:c r="A1040" s="3" t="str">
        <x:v>EXP035</x:v>
      </x:c>
      <x:c r="B1040" s="3" t="str">
        <x:v>Exp. 3</x:v>
      </x:c>
      <x:c r="C1040" s="18" t="n">
        <x:v>159359747</x:v>
      </x:c>
      <x:c r="D1040" s="3" t="str">
        <x:v>Fixed rank 10</x:v>
      </x:c>
      <x:c r="E1040" s="18" t="n">
        <x:v>200</x:v>
      </x:c>
      <x:c r="F1040" s="21" t="n">
        <x:v>677.8935252583819</x:v>
      </x:c>
      <x:c r="G1040" s="21" t="n">
        <x:f>F1038</x:f>
        <x:v>640.0062412560056</x:v>
      </x:c>
      <x:c r="H1040" s="21" t="n">
        <x:f>F1043</x:f>
        <x:v>640.0062412560056</x:v>
      </x:c>
      <x:c r="I1040" s="27" t="n">
        <x:f>IF(AND(ISNUMBER(G1040),ISNUMBER(H1040),H1040&gt;0),G1040/H1040-1,"")</x:f>
        <x:v>0</x:v>
      </x:c>
      <x:c r="J1040" s="27" t="n">
        <x:f>IF(AND(ISNUMBER(G1040),F1040&gt;0),G1040/F1040-1,"")</x:f>
        <x:v>-0.055889726912401794</x:v>
      </x:c>
      <x:c r="K1040" s="19" t="str">
        <x:v>Exp_3/EXP035/results/seed159359747_Fixed_rank_10.json</x:v>
      </x:c>
    </x:row>
    <x:row r="1041" ht="15" hidden="0" customHeight="1">
      <x:c r="A1041" s="3" t="str">
        <x:v>EXP035</x:v>
      </x:c>
      <x:c r="B1041" s="3" t="str">
        <x:v>Exp. 3</x:v>
      </x:c>
      <x:c r="C1041" s="18" t="n">
        <x:v>159359747</x:v>
      </x:c>
      <x:c r="D1041" s="3" t="str">
        <x:v>Fixed rank 25</x:v>
      </x:c>
      <x:c r="E1041" s="18" t="n">
        <x:v>200</x:v>
      </x:c>
      <x:c r="F1041" s="21" t="n">
        <x:v>640.0062412560056</x:v>
      </x:c>
      <x:c r="G1041" s="21" t="n">
        <x:f>F1038</x:f>
        <x:v>640.0062412560056</x:v>
      </x:c>
      <x:c r="H1041" s="21" t="n">
        <x:f>F1043</x:f>
        <x:v>640.0062412560056</x:v>
      </x:c>
      <x:c r="I1041" s="27" t="n">
        <x:f>IF(AND(ISNUMBER(G1041),ISNUMBER(H1041),H1041&gt;0),G1041/H1041-1,"")</x:f>
        <x:v>0</x:v>
      </x:c>
      <x:c r="J1041" s="27" t="n">
        <x:f>IF(AND(ISNUMBER(G1041),F1041&gt;0),G1041/F1041-1,"")</x:f>
        <x:v>0</x:v>
      </x:c>
      <x:c r="K1041" s="19" t="str">
        <x:v>Exp_3/EXP035/results/seed159359747_Fixed_rank_25.json</x:v>
      </x:c>
    </x:row>
    <x:row r="1042" ht="15" hidden="0" customHeight="1">
      <x:c r="A1042" s="3" t="str">
        <x:v>EXP035</x:v>
      </x:c>
      <x:c r="B1042" s="3" t="str">
        <x:v>Exp. 3</x:v>
      </x:c>
      <x:c r="C1042" s="18" t="n">
        <x:v>159359747</x:v>
      </x:c>
      <x:c r="D1042" s="3" t="str">
        <x:v>Relative cutoff 1e-6</x:v>
      </x:c>
      <x:c r="E1042" s="18" t="n">
        <x:v>200</x:v>
      </x:c>
      <x:c r="F1042" s="21" t="n">
        <x:v>640.0062412560056</x:v>
      </x:c>
      <x:c r="G1042" s="21" t="n">
        <x:f>F1038</x:f>
        <x:v>640.0062412560056</x:v>
      </x:c>
      <x:c r="H1042" s="21" t="n">
        <x:f>F1043</x:f>
        <x:v>640.0062412560056</x:v>
      </x:c>
      <x:c r="I1042" s="27" t="n">
        <x:f>IF(AND(ISNUMBER(G1042),ISNUMBER(H1042),H1042&gt;0),G1042/H1042-1,"")</x:f>
        <x:v>0</x:v>
      </x:c>
      <x:c r="J1042" s="27" t="n">
        <x:f>IF(AND(ISNUMBER(G1042),F1042&gt;0),G1042/F1042-1,"")</x:f>
        <x:v>0</x:v>
      </x:c>
      <x:c r="K1042" s="19" t="str">
        <x:v>Exp_3/EXP035/results/seed159359747_Relative_cutoff_1e-6.json</x:v>
      </x:c>
    </x:row>
    <x:row r="1043" ht="15" hidden="0" customHeight="1">
      <x:c r="A1043" s="3" t="str">
        <x:v>EXP035</x:v>
      </x:c>
      <x:c r="B1043" s="3" t="str">
        <x:v>Exp. 3</x:v>
      </x:c>
      <x:c r="C1043" s="18" t="n">
        <x:v>159359747</x:v>
      </x:c>
      <x:c r="D1043" s="3" t="str">
        <x:v>Full</x:v>
      </x:c>
      <x:c r="E1043" s="18" t="n">
        <x:v>200</x:v>
      </x:c>
      <x:c r="F1043" s="21" t="n">
        <x:v>640.0062412560056</x:v>
      </x:c>
      <x:c r="G1043" s="21" t="n">
        <x:f>F1038</x:f>
        <x:v>640.0062412560056</x:v>
      </x:c>
      <x:c r="H1043" s="21" t="n">
        <x:f>F1043</x:f>
        <x:v>640.0062412560056</x:v>
      </x:c>
      <x:c r="I1043" s="27" t="n">
        <x:f>IF(AND(ISNUMBER(G1043),ISNUMBER(H1043),H1043&gt;0),G1043/H1043-1,"")</x:f>
        <x:v>0</x:v>
      </x:c>
      <x:c r="J1043" s="27" t="n">
        <x:f>IF(AND(ISNUMBER(G1043),F1043&gt;0),G1043/F1043-1,"")</x:f>
        <x:v>0</x:v>
      </x:c>
      <x:c r="K1043" s="19" t="str">
        <x:v>Exp_3/EXP035/results/seed159359747_Full.json</x:v>
      </x:c>
    </x:row>
    <x:row r="1044" ht="15" hidden="0" customHeight="1">
      <x:c r="A1044" s="3" t="str">
        <x:v>EXP035</x:v>
      </x:c>
      <x:c r="B1044" s="3" t="str">
        <x:v>Exp. 3</x:v>
      </x:c>
      <x:c r="C1044" s="18" t="n">
        <x:v>159359747</x:v>
      </x:c>
      <x:c r="D1044" s="3" t="str">
        <x:v>Relative cutoff 1e-2</x:v>
      </x:c>
      <x:c r="E1044" s="18" t="n">
        <x:v>200</x:v>
      </x:c>
      <x:c r="F1044" s="21" t="n">
        <x:v>591.6684389077259</x:v>
      </x:c>
      <x:c r="G1044" s="21" t="n">
        <x:f>F1038</x:f>
        <x:v>640.0062412560056</x:v>
      </x:c>
      <x:c r="H1044" s="21" t="n">
        <x:f>F1043</x:f>
        <x:v>640.0062412560056</x:v>
      </x:c>
      <x:c r="I1044" s="27" t="n">
        <x:f>IF(AND(ISNUMBER(G1044),ISNUMBER(H1044),H1044&gt;0),G1044/H1044-1,"")</x:f>
        <x:v>0</x:v>
      </x:c>
      <x:c r="J1044" s="27" t="n">
        <x:f>IF(AND(ISNUMBER(G1044),F1044&gt;0),G1044/F1044-1,"")</x:f>
        <x:v>0.08169744939837553</x:v>
      </x:c>
      <x:c r="K1044" s="19" t="str">
        <x:v>Exp_3/EXP035/results/seed159359747_Relative_cutoff_1e-2.json</x:v>
      </x:c>
    </x:row>
    <x:row r="1045" ht="15" hidden="0" customHeight="1">
      <x:c r="A1045" s="3" t="str">
        <x:v>EXP035</x:v>
      </x:c>
      <x:c r="B1045" s="3" t="str">
        <x:v>Exp. 3</x:v>
      </x:c>
      <x:c r="C1045" s="18" t="n">
        <x:v>159359747</x:v>
      </x:c>
      <x:c r="D1045" s="3" t="str">
        <x:v>Relative cutoff 1e-4</x:v>
      </x:c>
      <x:c r="E1045" s="18" t="n">
        <x:v>200</x:v>
      </x:c>
      <x:c r="F1045" s="21" t="n">
        <x:v>677.8935252583819</x:v>
      </x:c>
      <x:c r="G1045" s="21" t="n">
        <x:f>F1038</x:f>
        <x:v>640.0062412560056</x:v>
      </x:c>
      <x:c r="H1045" s="21" t="n">
        <x:f>F1043</x:f>
        <x:v>640.0062412560056</x:v>
      </x:c>
      <x:c r="I1045" s="27" t="n">
        <x:f>IF(AND(ISNUMBER(G1045),ISNUMBER(H1045),H1045&gt;0),G1045/H1045-1,"")</x:f>
        <x:v>0</x:v>
      </x:c>
      <x:c r="J1045" s="27" t="n">
        <x:f>IF(AND(ISNUMBER(G1045),F1045&gt;0),G1045/F1045-1,"")</x:f>
        <x:v>-0.055889726912401794</x:v>
      </x:c>
      <x:c r="K1045" s="19" t="str">
        <x:v>Exp_3/EXP035/results/seed159359747_Relative_cutoff_1e-4.json</x:v>
      </x:c>
    </x:row>
    <x:row r="1046" ht="15" hidden="0" customHeight="1">
      <x:c r="A1046" s="3" t="str">
        <x:v>EXP035</x:v>
      </x:c>
      <x:c r="B1046" s="3" t="str">
        <x:v>Exp. 3</x:v>
      </x:c>
      <x:c r="C1046" s="18" t="n">
        <x:v>254786210</x:v>
      </x:c>
      <x:c r="D1046" s="3" t="str">
        <x:v>BBP</x:v>
      </x:c>
      <x:c r="E1046" s="18" t="n">
        <x:v>200</x:v>
      </x:c>
      <x:c r="F1046" s="21" t="n">
        <x:v>727.5539987851811</x:v>
      </x:c>
      <x:c r="G1046" s="21" t="n">
        <x:f>F1046</x:f>
        <x:v>727.5539987851811</x:v>
      </x:c>
      <x:c r="H1046" s="21" t="n">
        <x:f>F1051</x:f>
        <x:v>727.5539987851811</x:v>
      </x:c>
      <x:c r="I1046" s="27" t="n">
        <x:f>IF(AND(ISNUMBER(G1046),ISNUMBER(H1046),H1046&gt;0),G1046/H1046-1,"")</x:f>
        <x:v>0</x:v>
      </x:c>
      <x:c r="J1046" s="27" t="n">
        <x:f>IF(AND(ISNUMBER(G1046),F1046&gt;0),G1046/F1046-1,"")</x:f>
        <x:v>0</x:v>
      </x:c>
      <x:c r="K1046" s="19" t="str">
        <x:v>Exp_3/EXP035/results/seed254786210_BBP.json</x:v>
      </x:c>
    </x:row>
    <x:row r="1047" ht="15" hidden="0" customHeight="1">
      <x:c r="A1047" s="3" t="str">
        <x:v>EXP035</x:v>
      </x:c>
      <x:c r="B1047" s="3" t="str">
        <x:v>Exp. 3</x:v>
      </x:c>
      <x:c r="C1047" s="18" t="n">
        <x:v>254786210</x:v>
      </x:c>
      <x:c r="D1047" s="3" t="str">
        <x:v>Relative cutoff 1e-5</x:v>
      </x:c>
      <x:c r="E1047" s="18" t="n">
        <x:v>200</x:v>
      </x:c>
      <x:c r="F1047" s="21" t="n">
        <x:v>727.5539987851811</x:v>
      </x:c>
      <x:c r="G1047" s="21" t="n">
        <x:f>F1046</x:f>
        <x:v>727.5539987851811</x:v>
      </x:c>
      <x:c r="H1047" s="21" t="n">
        <x:f>F1051</x:f>
        <x:v>727.5539987851811</x:v>
      </x:c>
      <x:c r="I1047" s="27" t="n">
        <x:f>IF(AND(ISNUMBER(G1047),ISNUMBER(H1047),H1047&gt;0),G1047/H1047-1,"")</x:f>
        <x:v>0</x:v>
      </x:c>
      <x:c r="J1047" s="27" t="n">
        <x:f>IF(AND(ISNUMBER(G1047),F1047&gt;0),G1047/F1047-1,"")</x:f>
        <x:v>0</x:v>
      </x:c>
      <x:c r="K1047" s="19" t="str">
        <x:v>Exp_3/EXP035/results/seed254786210_Relative_cutoff_1e-5.json</x:v>
      </x:c>
    </x:row>
    <x:row r="1048" ht="15" hidden="0" customHeight="1">
      <x:c r="A1048" s="3" t="str">
        <x:v>EXP035</x:v>
      </x:c>
      <x:c r="B1048" s="3" t="str">
        <x:v>Exp. 3</x:v>
      </x:c>
      <x:c r="C1048" s="18" t="n">
        <x:v>254786210</x:v>
      </x:c>
      <x:c r="D1048" s="3" t="str">
        <x:v>Fixed rank 10</x:v>
      </x:c>
      <x:c r="E1048" s="18" t="n">
        <x:v>200</x:v>
      </x:c>
      <x:c r="F1048" s="21" t="n">
        <x:v>726.6822632923087</x:v>
      </x:c>
      <x:c r="G1048" s="21" t="n">
        <x:f>F1046</x:f>
        <x:v>727.5539987851811</x:v>
      </x:c>
      <x:c r="H1048" s="21" t="n">
        <x:f>F1051</x:f>
        <x:v>727.5539987851811</x:v>
      </x:c>
      <x:c r="I1048" s="27" t="n">
        <x:f>IF(AND(ISNUMBER(G1048),ISNUMBER(H1048),H1048&gt;0),G1048/H1048-1,"")</x:f>
        <x:v>0</x:v>
      </x:c>
      <x:c r="J1048" s="27" t="n">
        <x:f>IF(AND(ISNUMBER(G1048),F1048&gt;0),G1048/F1048-1,"")</x:f>
        <x:v>0.001199610251835459</x:v>
      </x:c>
      <x:c r="K1048" s="19" t="str">
        <x:v>Exp_3/EXP035/results/seed254786210_Fixed_rank_10.json</x:v>
      </x:c>
    </x:row>
    <x:row r="1049" ht="15" hidden="0" customHeight="1">
      <x:c r="A1049" s="3" t="str">
        <x:v>EXP035</x:v>
      </x:c>
      <x:c r="B1049" s="3" t="str">
        <x:v>Exp. 3</x:v>
      </x:c>
      <x:c r="C1049" s="18" t="n">
        <x:v>254786210</x:v>
      </x:c>
      <x:c r="D1049" s="3" t="str">
        <x:v>Fixed rank 25</x:v>
      </x:c>
      <x:c r="E1049" s="18" t="n">
        <x:v>200</x:v>
      </x:c>
      <x:c r="F1049" s="21" t="n">
        <x:v>727.5539987851811</x:v>
      </x:c>
      <x:c r="G1049" s="21" t="n">
        <x:f>F1046</x:f>
        <x:v>727.5539987851811</x:v>
      </x:c>
      <x:c r="H1049" s="21" t="n">
        <x:f>F1051</x:f>
        <x:v>727.5539987851811</x:v>
      </x:c>
      <x:c r="I1049" s="27" t="n">
        <x:f>IF(AND(ISNUMBER(G1049),ISNUMBER(H1049),H1049&gt;0),G1049/H1049-1,"")</x:f>
        <x:v>0</x:v>
      </x:c>
      <x:c r="J1049" s="27" t="n">
        <x:f>IF(AND(ISNUMBER(G1049),F1049&gt;0),G1049/F1049-1,"")</x:f>
        <x:v>0</x:v>
      </x:c>
      <x:c r="K1049" s="19" t="str">
        <x:v>Exp_3/EXP035/results/seed254786210_Fixed_rank_25.json</x:v>
      </x:c>
    </x:row>
    <x:row r="1050" ht="15" hidden="0" customHeight="1">
      <x:c r="A1050" s="3" t="str">
        <x:v>EXP035</x:v>
      </x:c>
      <x:c r="B1050" s="3" t="str">
        <x:v>Exp. 3</x:v>
      </x:c>
      <x:c r="C1050" s="18" t="n">
        <x:v>254786210</x:v>
      </x:c>
      <x:c r="D1050" s="3" t="str">
        <x:v>Relative cutoff 1e-6</x:v>
      </x:c>
      <x:c r="E1050" s="18" t="n">
        <x:v>200</x:v>
      </x:c>
      <x:c r="F1050" s="21" t="n">
        <x:v>727.5539987851811</x:v>
      </x:c>
      <x:c r="G1050" s="21" t="n">
        <x:f>F1046</x:f>
        <x:v>727.5539987851811</x:v>
      </x:c>
      <x:c r="H1050" s="21" t="n">
        <x:f>F1051</x:f>
        <x:v>727.5539987851811</x:v>
      </x:c>
      <x:c r="I1050" s="27" t="n">
        <x:f>IF(AND(ISNUMBER(G1050),ISNUMBER(H1050),H1050&gt;0),G1050/H1050-1,"")</x:f>
        <x:v>0</x:v>
      </x:c>
      <x:c r="J1050" s="27" t="n">
        <x:f>IF(AND(ISNUMBER(G1050),F1050&gt;0),G1050/F1050-1,"")</x:f>
        <x:v>0</x:v>
      </x:c>
      <x:c r="K1050" s="19" t="str">
        <x:v>Exp_3/EXP035/results/seed254786210_Relative_cutoff_1e-6.json</x:v>
      </x:c>
    </x:row>
    <x:row r="1051" ht="15" hidden="0" customHeight="1">
      <x:c r="A1051" s="3" t="str">
        <x:v>EXP035</x:v>
      </x:c>
      <x:c r="B1051" s="3" t="str">
        <x:v>Exp. 3</x:v>
      </x:c>
      <x:c r="C1051" s="18" t="n">
        <x:v>254786210</x:v>
      </x:c>
      <x:c r="D1051" s="3" t="str">
        <x:v>Full</x:v>
      </x:c>
      <x:c r="E1051" s="18" t="n">
        <x:v>200</x:v>
      </x:c>
      <x:c r="F1051" s="21" t="n">
        <x:v>727.5539987851811</x:v>
      </x:c>
      <x:c r="G1051" s="21" t="n">
        <x:f>F1046</x:f>
        <x:v>727.5539987851811</x:v>
      </x:c>
      <x:c r="H1051" s="21" t="n">
        <x:f>F1051</x:f>
        <x:v>727.5539987851811</x:v>
      </x:c>
      <x:c r="I1051" s="27" t="n">
        <x:f>IF(AND(ISNUMBER(G1051),ISNUMBER(H1051),H1051&gt;0),G1051/H1051-1,"")</x:f>
        <x:v>0</x:v>
      </x:c>
      <x:c r="J1051" s="27" t="n">
        <x:f>IF(AND(ISNUMBER(G1051),F1051&gt;0),G1051/F1051-1,"")</x:f>
        <x:v>0</x:v>
      </x:c>
      <x:c r="K1051" s="19" t="str">
        <x:v>Exp_3/EXP035/results/seed254786210_Full.json</x:v>
      </x:c>
    </x:row>
    <x:row r="1052" ht="15" hidden="0" customHeight="1">
      <x:c r="A1052" s="3" t="str">
        <x:v>EXP035</x:v>
      </x:c>
      <x:c r="B1052" s="3" t="str">
        <x:v>Exp. 3</x:v>
      </x:c>
      <x:c r="C1052" s="18" t="n">
        <x:v>254786210</x:v>
      </x:c>
      <x:c r="D1052" s="3" t="str">
        <x:v>Relative cutoff 1e-2</x:v>
      </x:c>
      <x:c r="E1052" s="18" t="n">
        <x:v>200</x:v>
      </x:c>
      <x:c r="F1052" s="21" t="n">
        <x:v>768.7519922299773</x:v>
      </x:c>
      <x:c r="G1052" s="21" t="n">
        <x:f>F1046</x:f>
        <x:v>727.5539987851811</x:v>
      </x:c>
      <x:c r="H1052" s="21" t="n">
        <x:f>F1051</x:f>
        <x:v>727.5539987851811</x:v>
      </x:c>
      <x:c r="I1052" s="27" t="n">
        <x:f>IF(AND(ISNUMBER(G1052),ISNUMBER(H1052),H1052&gt;0),G1052/H1052-1,"")</x:f>
        <x:v>0</x:v>
      </x:c>
      <x:c r="J1052" s="27" t="n">
        <x:f>IF(AND(ISNUMBER(G1052),F1052&gt;0),G1052/F1052-1,"")</x:f>
        <x:v>-0.053590746900427644</x:v>
      </x:c>
      <x:c r="K1052" s="19" t="str">
        <x:v>Exp_3/EXP035/results/seed254786210_Relative_cutoff_1e-2.json</x:v>
      </x:c>
    </x:row>
    <x:row r="1053" ht="15" hidden="0" customHeight="1">
      <x:c r="A1053" s="3" t="str">
        <x:v>EXP035</x:v>
      </x:c>
      <x:c r="B1053" s="3" t="str">
        <x:v>Exp. 3</x:v>
      </x:c>
      <x:c r="C1053" s="18" t="n">
        <x:v>254786210</x:v>
      </x:c>
      <x:c r="D1053" s="3" t="str">
        <x:v>Relative cutoff 1e-4</x:v>
      </x:c>
      <x:c r="E1053" s="18" t="n">
        <x:v>200</x:v>
      </x:c>
      <x:c r="F1053" s="21" t="n">
        <x:v>726.3194308574388</x:v>
      </x:c>
      <x:c r="G1053" s="21" t="n">
        <x:f>F1046</x:f>
        <x:v>727.5539987851811</x:v>
      </x:c>
      <x:c r="H1053" s="21" t="n">
        <x:f>F1051</x:f>
        <x:v>727.5539987851811</x:v>
      </x:c>
      <x:c r="I1053" s="27" t="n">
        <x:f>IF(AND(ISNUMBER(G1053),ISNUMBER(H1053),H1053&gt;0),G1053/H1053-1,"")</x:f>
        <x:v>0</x:v>
      </x:c>
      <x:c r="J1053" s="27" t="n">
        <x:f>IF(AND(ISNUMBER(G1053),F1053&gt;0),G1053/F1053-1,"")</x:f>
        <x:v>0.0016997589150065107</x:v>
      </x:c>
      <x:c r="K1053" s="19" t="str">
        <x:v>Exp_3/EXP035/results/seed254786210_Relative_cutoff_1e-4.json</x:v>
      </x:c>
    </x:row>
    <x:row r="1054" ht="15" hidden="0" customHeight="1">
      <x:c r="A1054" s="3" t="str">
        <x:v>EXP035</x:v>
      </x:c>
      <x:c r="B1054" s="3" t="str">
        <x:v>Exp. 3</x:v>
      </x:c>
      <x:c r="C1054" s="18" t="n">
        <x:v>280737676</x:v>
      </x:c>
      <x:c r="D1054" s="3" t="str">
        <x:v>BBP</x:v>
      </x:c>
      <x:c r="E1054" s="18" t="n">
        <x:v>200</x:v>
      </x:c>
      <x:c r="F1054" s="21" t="n">
        <x:v>662.5550523277046</x:v>
      </x:c>
      <x:c r="G1054" s="21" t="n">
        <x:f>F1054</x:f>
        <x:v>662.5550523277046</x:v>
      </x:c>
      <x:c r="H1054" s="21" t="n">
        <x:f>F1059</x:f>
        <x:v>662.5550523277046</x:v>
      </x:c>
      <x:c r="I1054" s="27" t="n">
        <x:f>IF(AND(ISNUMBER(G1054),ISNUMBER(H1054),H1054&gt;0),G1054/H1054-1,"")</x:f>
        <x:v>0</x:v>
      </x:c>
      <x:c r="J1054" s="27" t="n">
        <x:f>IF(AND(ISNUMBER(G1054),F1054&gt;0),G1054/F1054-1,"")</x:f>
        <x:v>0</x:v>
      </x:c>
      <x:c r="K1054" s="19" t="str">
        <x:v>Exp_3/EXP035/results/seed280737676_BBP.json</x:v>
      </x:c>
    </x:row>
    <x:row r="1055" ht="15" hidden="0" customHeight="1">
      <x:c r="A1055" s="3" t="str">
        <x:v>EXP035</x:v>
      </x:c>
      <x:c r="B1055" s="3" t="str">
        <x:v>Exp. 3</x:v>
      </x:c>
      <x:c r="C1055" s="18" t="n">
        <x:v>280737676</x:v>
      </x:c>
      <x:c r="D1055" s="3" t="str">
        <x:v>Relative cutoff 1e-5</x:v>
      </x:c>
      <x:c r="E1055" s="18" t="n">
        <x:v>200</x:v>
      </x:c>
      <x:c r="F1055" s="21" t="n">
        <x:v>662.5550523277046</x:v>
      </x:c>
      <x:c r="G1055" s="21" t="n">
        <x:f>F1054</x:f>
        <x:v>662.5550523277046</x:v>
      </x:c>
      <x:c r="H1055" s="21" t="n">
        <x:f>F1059</x:f>
        <x:v>662.5550523277046</x:v>
      </x:c>
      <x:c r="I1055" s="27" t="n">
        <x:f>IF(AND(ISNUMBER(G1055),ISNUMBER(H1055),H1055&gt;0),G1055/H1055-1,"")</x:f>
        <x:v>0</x:v>
      </x:c>
      <x:c r="J1055" s="27" t="n">
        <x:f>IF(AND(ISNUMBER(G1055),F1055&gt;0),G1055/F1055-1,"")</x:f>
        <x:v>0</x:v>
      </x:c>
      <x:c r="K1055" s="19" t="str">
        <x:v>Exp_3/EXP035/results/seed280737676_Relative_cutoff_1e-5.json</x:v>
      </x:c>
    </x:row>
    <x:row r="1056" ht="15" hidden="0" customHeight="1">
      <x:c r="A1056" s="3" t="str">
        <x:v>EXP035</x:v>
      </x:c>
      <x:c r="B1056" s="3" t="str">
        <x:v>Exp. 3</x:v>
      </x:c>
      <x:c r="C1056" s="18" t="n">
        <x:v>280737676</x:v>
      </x:c>
      <x:c r="D1056" s="3" t="str">
        <x:v>Fixed rank 10</x:v>
      </x:c>
      <x:c r="E1056" s="18" t="n">
        <x:v>200</x:v>
      </x:c>
      <x:c r="F1056" s="21" t="n">
        <x:v>661.5149922724144</x:v>
      </x:c>
      <x:c r="G1056" s="21" t="n">
        <x:f>F1054</x:f>
        <x:v>662.5550523277046</x:v>
      </x:c>
      <x:c r="H1056" s="21" t="n">
        <x:f>F1059</x:f>
        <x:v>662.5550523277046</x:v>
      </x:c>
      <x:c r="I1056" s="27" t="n">
        <x:f>IF(AND(ISNUMBER(G1056),ISNUMBER(H1056),H1056&gt;0),G1056/H1056-1,"")</x:f>
        <x:v>0</x:v>
      </x:c>
      <x:c r="J1056" s="27" t="n">
        <x:f>IF(AND(ISNUMBER(G1056),F1056&gt;0),G1056/F1056-1,"")</x:f>
        <x:v>0.0015722395825339408</x:v>
      </x:c>
      <x:c r="K1056" s="19" t="str">
        <x:v>Exp_3/EXP035/results/seed280737676_Fixed_rank_10.json</x:v>
      </x:c>
    </x:row>
    <x:row r="1057" ht="15" hidden="0" customHeight="1">
      <x:c r="A1057" s="3" t="str">
        <x:v>EXP035</x:v>
      </x:c>
      <x:c r="B1057" s="3" t="str">
        <x:v>Exp. 3</x:v>
      </x:c>
      <x:c r="C1057" s="18" t="n">
        <x:v>280737676</x:v>
      </x:c>
      <x:c r="D1057" s="3" t="str">
        <x:v>Fixed rank 25</x:v>
      </x:c>
      <x:c r="E1057" s="18" t="n">
        <x:v>200</x:v>
      </x:c>
      <x:c r="F1057" s="21" t="n">
        <x:v>662.5550523277046</x:v>
      </x:c>
      <x:c r="G1057" s="21" t="n">
        <x:f>F1054</x:f>
        <x:v>662.5550523277046</x:v>
      </x:c>
      <x:c r="H1057" s="21" t="n">
        <x:f>F1059</x:f>
        <x:v>662.5550523277046</x:v>
      </x:c>
      <x:c r="I1057" s="27" t="n">
        <x:f>IF(AND(ISNUMBER(G1057),ISNUMBER(H1057),H1057&gt;0),G1057/H1057-1,"")</x:f>
        <x:v>0</x:v>
      </x:c>
      <x:c r="J1057" s="27" t="n">
        <x:f>IF(AND(ISNUMBER(G1057),F1057&gt;0),G1057/F1057-1,"")</x:f>
        <x:v>0</x:v>
      </x:c>
      <x:c r="K1057" s="19" t="str">
        <x:v>Exp_3/EXP035/results/seed280737676_Fixed_rank_25.json</x:v>
      </x:c>
    </x:row>
    <x:row r="1058" ht="15" hidden="0" customHeight="1">
      <x:c r="A1058" s="3" t="str">
        <x:v>EXP035</x:v>
      </x:c>
      <x:c r="B1058" s="3" t="str">
        <x:v>Exp. 3</x:v>
      </x:c>
      <x:c r="C1058" s="18" t="n">
        <x:v>280737676</x:v>
      </x:c>
      <x:c r="D1058" s="3" t="str">
        <x:v>Relative cutoff 1e-6</x:v>
      </x:c>
      <x:c r="E1058" s="18" t="n">
        <x:v>200</x:v>
      </x:c>
      <x:c r="F1058" s="21" t="n">
        <x:v>662.5550523277046</x:v>
      </x:c>
      <x:c r="G1058" s="21" t="n">
        <x:f>F1054</x:f>
        <x:v>662.5550523277046</x:v>
      </x:c>
      <x:c r="H1058" s="21" t="n">
        <x:f>F1059</x:f>
        <x:v>662.5550523277046</x:v>
      </x:c>
      <x:c r="I1058" s="27" t="n">
        <x:f>IF(AND(ISNUMBER(G1058),ISNUMBER(H1058),H1058&gt;0),G1058/H1058-1,"")</x:f>
        <x:v>0</x:v>
      </x:c>
      <x:c r="J1058" s="27" t="n">
        <x:f>IF(AND(ISNUMBER(G1058),F1058&gt;0),G1058/F1058-1,"")</x:f>
        <x:v>0</x:v>
      </x:c>
      <x:c r="K1058" s="19" t="str">
        <x:v>Exp_3/EXP035/results/seed280737676_Relative_cutoff_1e-6.json</x:v>
      </x:c>
    </x:row>
    <x:row r="1059" ht="15" hidden="0" customHeight="1">
      <x:c r="A1059" s="3" t="str">
        <x:v>EXP035</x:v>
      </x:c>
      <x:c r="B1059" s="3" t="str">
        <x:v>Exp. 3</x:v>
      </x:c>
      <x:c r="C1059" s="18" t="n">
        <x:v>280737676</x:v>
      </x:c>
      <x:c r="D1059" s="3" t="str">
        <x:v>Full</x:v>
      </x:c>
      <x:c r="E1059" s="18" t="n">
        <x:v>200</x:v>
      </x:c>
      <x:c r="F1059" s="21" t="n">
        <x:v>662.5550523277046</x:v>
      </x:c>
      <x:c r="G1059" s="21" t="n">
        <x:f>F1054</x:f>
        <x:v>662.5550523277046</x:v>
      </x:c>
      <x:c r="H1059" s="21" t="n">
        <x:f>F1059</x:f>
        <x:v>662.5550523277046</x:v>
      </x:c>
      <x:c r="I1059" s="27" t="n">
        <x:f>IF(AND(ISNUMBER(G1059),ISNUMBER(H1059),H1059&gt;0),G1059/H1059-1,"")</x:f>
        <x:v>0</x:v>
      </x:c>
      <x:c r="J1059" s="27" t="n">
        <x:f>IF(AND(ISNUMBER(G1059),F1059&gt;0),G1059/F1059-1,"")</x:f>
        <x:v>0</x:v>
      </x:c>
      <x:c r="K1059" s="19" t="str">
        <x:v>Exp_3/EXP035/results/seed280737676_Full.json</x:v>
      </x:c>
    </x:row>
    <x:row r="1060" ht="15" hidden="0" customHeight="1">
      <x:c r="A1060" s="3" t="str">
        <x:v>EXP035</x:v>
      </x:c>
      <x:c r="B1060" s="3" t="str">
        <x:v>Exp. 3</x:v>
      </x:c>
      <x:c r="C1060" s="18" t="n">
        <x:v>280737676</x:v>
      </x:c>
      <x:c r="D1060" s="3" t="str">
        <x:v>Relative cutoff 1e-2</x:v>
      </x:c>
      <x:c r="E1060" s="18" t="n">
        <x:v>200</x:v>
      </x:c>
      <x:c r="F1060" s="21" t="n">
        <x:v>630.1494686783593</x:v>
      </x:c>
      <x:c r="G1060" s="21" t="n">
        <x:f>F1054</x:f>
        <x:v>662.5550523277046</x:v>
      </x:c>
      <x:c r="H1060" s="21" t="n">
        <x:f>F1059</x:f>
        <x:v>662.5550523277046</x:v>
      </x:c>
      <x:c r="I1060" s="27" t="n">
        <x:f>IF(AND(ISNUMBER(G1060),ISNUMBER(H1060),H1060&gt;0),G1060/H1060-1,"")</x:f>
        <x:v>0</x:v>
      </x:c>
      <x:c r="J1060" s="27" t="n">
        <x:f>IF(AND(ISNUMBER(G1060),F1060&gt;0),G1060/F1060-1,"")</x:f>
        <x:v>0.051425233631174905</x:v>
      </x:c>
      <x:c r="K1060" s="19" t="str">
        <x:v>Exp_3/EXP035/results/seed280737676_Relative_cutoff_1e-2.json</x:v>
      </x:c>
    </x:row>
    <x:row r="1061" ht="15" hidden="0" customHeight="1">
      <x:c r="A1061" s="3" t="str">
        <x:v>EXP035</x:v>
      </x:c>
      <x:c r="B1061" s="3" t="str">
        <x:v>Exp. 3</x:v>
      </x:c>
      <x:c r="C1061" s="18" t="n">
        <x:v>280737676</x:v>
      </x:c>
      <x:c r="D1061" s="3" t="str">
        <x:v>Relative cutoff 1e-4</x:v>
      </x:c>
      <x:c r="E1061" s="18" t="n">
        <x:v>200</x:v>
      </x:c>
      <x:c r="F1061" s="21" t="n">
        <x:v>661.5149922724144</x:v>
      </x:c>
      <x:c r="G1061" s="21" t="n">
        <x:f>F1054</x:f>
        <x:v>662.5550523277046</x:v>
      </x:c>
      <x:c r="H1061" s="21" t="n">
        <x:f>F1059</x:f>
        <x:v>662.5550523277046</x:v>
      </x:c>
      <x:c r="I1061" s="27" t="n">
        <x:f>IF(AND(ISNUMBER(G1061),ISNUMBER(H1061),H1061&gt;0),G1061/H1061-1,"")</x:f>
        <x:v>0</x:v>
      </x:c>
      <x:c r="J1061" s="27" t="n">
        <x:f>IF(AND(ISNUMBER(G1061),F1061&gt;0),G1061/F1061-1,"")</x:f>
        <x:v>0.0015722395825339408</x:v>
      </x:c>
      <x:c r="K1061" s="19" t="str">
        <x:v>Exp_3/EXP035/results/seed280737676_Relative_cutoff_1e-4.json</x:v>
      </x:c>
    </x:row>
    <x:row r="1062" ht="15" hidden="0" customHeight="1">
      <x:c r="A1062" s="3" t="str">
        <x:v>EXP035</x:v>
      </x:c>
      <x:c r="B1062" s="3" t="str">
        <x:v>Exp. 3</x:v>
      </x:c>
      <x:c r="C1062" s="18" t="n">
        <x:v>304444453</x:v>
      </x:c>
      <x:c r="D1062" s="3" t="str">
        <x:v>BBP</x:v>
      </x:c>
      <x:c r="E1062" s="18" t="n">
        <x:v>200</x:v>
      </x:c>
      <x:c r="F1062" s="21" t="n">
        <x:v>709.1778621710819</x:v>
      </x:c>
      <x:c r="G1062" s="21" t="n">
        <x:f>F1062</x:f>
        <x:v>709.1778621710819</x:v>
      </x:c>
      <x:c r="H1062" s="21" t="n">
        <x:f>F1067</x:f>
        <x:v>709.1778621710819</x:v>
      </x:c>
      <x:c r="I1062" s="27" t="n">
        <x:f>IF(AND(ISNUMBER(G1062),ISNUMBER(H1062),H1062&gt;0),G1062/H1062-1,"")</x:f>
        <x:v>0</x:v>
      </x:c>
      <x:c r="J1062" s="27" t="n">
        <x:f>IF(AND(ISNUMBER(G1062),F1062&gt;0),G1062/F1062-1,"")</x:f>
        <x:v>0</x:v>
      </x:c>
      <x:c r="K1062" s="19" t="str">
        <x:v>Exp_3/EXP035/results/seed304444453_BBP.json</x:v>
      </x:c>
    </x:row>
    <x:row r="1063" ht="15" hidden="0" customHeight="1">
      <x:c r="A1063" s="3" t="str">
        <x:v>EXP035</x:v>
      </x:c>
      <x:c r="B1063" s="3" t="str">
        <x:v>Exp. 3</x:v>
      </x:c>
      <x:c r="C1063" s="18" t="n">
        <x:v>304444453</x:v>
      </x:c>
      <x:c r="D1063" s="3" t="str">
        <x:v>Relative cutoff 1e-5</x:v>
      </x:c>
      <x:c r="E1063" s="18" t="n">
        <x:v>200</x:v>
      </x:c>
      <x:c r="F1063" s="21" t="n">
        <x:v>709.1778621710819</x:v>
      </x:c>
      <x:c r="G1063" s="21" t="n">
        <x:f>F1062</x:f>
        <x:v>709.1778621710819</x:v>
      </x:c>
      <x:c r="H1063" s="21" t="n">
        <x:f>F1067</x:f>
        <x:v>709.1778621710819</x:v>
      </x:c>
      <x:c r="I1063" s="27" t="n">
        <x:f>IF(AND(ISNUMBER(G1063),ISNUMBER(H1063),H1063&gt;0),G1063/H1063-1,"")</x:f>
        <x:v>0</x:v>
      </x:c>
      <x:c r="J1063" s="27" t="n">
        <x:f>IF(AND(ISNUMBER(G1063),F1063&gt;0),G1063/F1063-1,"")</x:f>
        <x:v>0</x:v>
      </x:c>
      <x:c r="K1063" s="19" t="str">
        <x:v>Exp_3/EXP035/results/seed304444453_Relative_cutoff_1e-5.json</x:v>
      </x:c>
    </x:row>
    <x:row r="1064" ht="15" hidden="0" customHeight="1">
      <x:c r="A1064" s="3" t="str">
        <x:v>EXP035</x:v>
      </x:c>
      <x:c r="B1064" s="3" t="str">
        <x:v>Exp. 3</x:v>
      </x:c>
      <x:c r="C1064" s="18" t="n">
        <x:v>304444453</x:v>
      </x:c>
      <x:c r="D1064" s="3" t="str">
        <x:v>Fixed rank 10</x:v>
      </x:c>
      <x:c r="E1064" s="18" t="n">
        <x:v>200</x:v>
      </x:c>
      <x:c r="F1064" s="21" t="n">
        <x:v>709.1778621710819</x:v>
      </x:c>
      <x:c r="G1064" s="21" t="n">
        <x:f>F1062</x:f>
        <x:v>709.1778621710819</x:v>
      </x:c>
      <x:c r="H1064" s="21" t="n">
        <x:f>F1067</x:f>
        <x:v>709.1778621710819</x:v>
      </x:c>
      <x:c r="I1064" s="27" t="n">
        <x:f>IF(AND(ISNUMBER(G1064),ISNUMBER(H1064),H1064&gt;0),G1064/H1064-1,"")</x:f>
        <x:v>0</x:v>
      </x:c>
      <x:c r="J1064" s="27" t="n">
        <x:f>IF(AND(ISNUMBER(G1064),F1064&gt;0),G1064/F1064-1,"")</x:f>
        <x:v>0</x:v>
      </x:c>
      <x:c r="K1064" s="19" t="str">
        <x:v>Exp_3/EXP035/results/seed304444453_Fixed_rank_10.json</x:v>
      </x:c>
    </x:row>
    <x:row r="1065" ht="15" hidden="0" customHeight="1">
      <x:c r="A1065" s="3" t="str">
        <x:v>EXP035</x:v>
      </x:c>
      <x:c r="B1065" s="3" t="str">
        <x:v>Exp. 3</x:v>
      </x:c>
      <x:c r="C1065" s="18" t="n">
        <x:v>304444453</x:v>
      </x:c>
      <x:c r="D1065" s="3" t="str">
        <x:v>Fixed rank 25</x:v>
      </x:c>
      <x:c r="E1065" s="18" t="n">
        <x:v>200</x:v>
      </x:c>
      <x:c r="F1065" s="21" t="n">
        <x:v>709.1778621710819</x:v>
      </x:c>
      <x:c r="G1065" s="21" t="n">
        <x:f>F1062</x:f>
        <x:v>709.1778621710819</x:v>
      </x:c>
      <x:c r="H1065" s="21" t="n">
        <x:f>F1067</x:f>
        <x:v>709.1778621710819</x:v>
      </x:c>
      <x:c r="I1065" s="27" t="n">
        <x:f>IF(AND(ISNUMBER(G1065),ISNUMBER(H1065),H1065&gt;0),G1065/H1065-1,"")</x:f>
        <x:v>0</x:v>
      </x:c>
      <x:c r="J1065" s="27" t="n">
        <x:f>IF(AND(ISNUMBER(G1065),F1065&gt;0),G1065/F1065-1,"")</x:f>
        <x:v>0</x:v>
      </x:c>
      <x:c r="K1065" s="19" t="str">
        <x:v>Exp_3/EXP035/results/seed304444453_Fixed_rank_25.json</x:v>
      </x:c>
    </x:row>
    <x:row r="1066" ht="15" hidden="0" customHeight="1">
      <x:c r="A1066" s="3" t="str">
        <x:v>EXP035</x:v>
      </x:c>
      <x:c r="B1066" s="3" t="str">
        <x:v>Exp. 3</x:v>
      </x:c>
      <x:c r="C1066" s="18" t="n">
        <x:v>304444453</x:v>
      </x:c>
      <x:c r="D1066" s="3" t="str">
        <x:v>Relative cutoff 1e-6</x:v>
      </x:c>
      <x:c r="E1066" s="18" t="n">
        <x:v>200</x:v>
      </x:c>
      <x:c r="F1066" s="21" t="n">
        <x:v>709.1778621710819</x:v>
      </x:c>
      <x:c r="G1066" s="21" t="n">
        <x:f>F1062</x:f>
        <x:v>709.1778621710819</x:v>
      </x:c>
      <x:c r="H1066" s="21" t="n">
        <x:f>F1067</x:f>
        <x:v>709.1778621710819</x:v>
      </x:c>
      <x:c r="I1066" s="27" t="n">
        <x:f>IF(AND(ISNUMBER(G1066),ISNUMBER(H1066),H1066&gt;0),G1066/H1066-1,"")</x:f>
        <x:v>0</x:v>
      </x:c>
      <x:c r="J1066" s="27" t="n">
        <x:f>IF(AND(ISNUMBER(G1066),F1066&gt;0),G1066/F1066-1,"")</x:f>
        <x:v>0</x:v>
      </x:c>
      <x:c r="K1066" s="19" t="str">
        <x:v>Exp_3/EXP035/results/seed304444453_Relative_cutoff_1e-6.json</x:v>
      </x:c>
    </x:row>
    <x:row r="1067" ht="15" hidden="0" customHeight="1">
      <x:c r="A1067" s="3" t="str">
        <x:v>EXP035</x:v>
      </x:c>
      <x:c r="B1067" s="3" t="str">
        <x:v>Exp. 3</x:v>
      </x:c>
      <x:c r="C1067" s="18" t="n">
        <x:v>304444453</x:v>
      </x:c>
      <x:c r="D1067" s="3" t="str">
        <x:v>Full</x:v>
      </x:c>
      <x:c r="E1067" s="18" t="n">
        <x:v>200</x:v>
      </x:c>
      <x:c r="F1067" s="21" t="n">
        <x:v>709.1778621710819</x:v>
      </x:c>
      <x:c r="G1067" s="21" t="n">
        <x:f>F1062</x:f>
        <x:v>709.1778621710819</x:v>
      </x:c>
      <x:c r="H1067" s="21" t="n">
        <x:f>F1067</x:f>
        <x:v>709.1778621710819</x:v>
      </x:c>
      <x:c r="I1067" s="27" t="n">
        <x:f>IF(AND(ISNUMBER(G1067),ISNUMBER(H1067),H1067&gt;0),G1067/H1067-1,"")</x:f>
        <x:v>0</x:v>
      </x:c>
      <x:c r="J1067" s="27" t="n">
        <x:f>IF(AND(ISNUMBER(G1067),F1067&gt;0),G1067/F1067-1,"")</x:f>
        <x:v>0</x:v>
      </x:c>
      <x:c r="K1067" s="19" t="str">
        <x:v>Exp_3/EXP035/results/seed304444453_Full.json</x:v>
      </x:c>
    </x:row>
    <x:row r="1068" ht="15" hidden="0" customHeight="1">
      <x:c r="A1068" s="3" t="str">
        <x:v>EXP035</x:v>
      </x:c>
      <x:c r="B1068" s="3" t="str">
        <x:v>Exp. 3</x:v>
      </x:c>
      <x:c r="C1068" s="18" t="n">
        <x:v>304444453</x:v>
      </x:c>
      <x:c r="D1068" s="3" t="str">
        <x:v>Relative cutoff 1e-2</x:v>
      </x:c>
      <x:c r="E1068" s="18" t="n">
        <x:v>200</x:v>
      </x:c>
      <x:c r="F1068" s="21" t="n">
        <x:v>679.3237556578258</x:v>
      </x:c>
      <x:c r="G1068" s="21" t="n">
        <x:f>F1062</x:f>
        <x:v>709.1778621710819</x:v>
      </x:c>
      <x:c r="H1068" s="21" t="n">
        <x:f>F1067</x:f>
        <x:v>709.1778621710819</x:v>
      </x:c>
      <x:c r="I1068" s="27" t="n">
        <x:f>IF(AND(ISNUMBER(G1068),ISNUMBER(H1068),H1068&gt;0),G1068/H1068-1,"")</x:f>
        <x:v>0</x:v>
      </x:c>
      <x:c r="J1068" s="27" t="n">
        <x:f>IF(AND(ISNUMBER(G1068),F1068&gt;0),G1068/F1068-1,"")</x:f>
        <x:v>0.04394680189616906</x:v>
      </x:c>
      <x:c r="K1068" s="19" t="str">
        <x:v>Exp_3/EXP035/results/seed304444453_Relative_cutoff_1e-2.json</x:v>
      </x:c>
    </x:row>
    <x:row r="1069" ht="15" hidden="0" customHeight="1">
      <x:c r="A1069" s="3" t="str">
        <x:v>EXP035</x:v>
      </x:c>
      <x:c r="B1069" s="3" t="str">
        <x:v>Exp. 3</x:v>
      </x:c>
      <x:c r="C1069" s="18" t="n">
        <x:v>304444453</x:v>
      </x:c>
      <x:c r="D1069" s="3" t="str">
        <x:v>Relative cutoff 1e-4</x:v>
      </x:c>
      <x:c r="E1069" s="18" t="n">
        <x:v>200</x:v>
      </x:c>
      <x:c r="F1069" s="21" t="n">
        <x:v>709.1778621710819</x:v>
      </x:c>
      <x:c r="G1069" s="21" t="n">
        <x:f>F1062</x:f>
        <x:v>709.1778621710819</x:v>
      </x:c>
      <x:c r="H1069" s="21" t="n">
        <x:f>F1067</x:f>
        <x:v>709.1778621710819</x:v>
      </x:c>
      <x:c r="I1069" s="27" t="n">
        <x:f>IF(AND(ISNUMBER(G1069),ISNUMBER(H1069),H1069&gt;0),G1069/H1069-1,"")</x:f>
        <x:v>0</x:v>
      </x:c>
      <x:c r="J1069" s="27" t="n">
        <x:f>IF(AND(ISNUMBER(G1069),F1069&gt;0),G1069/F1069-1,"")</x:f>
        <x:v>0</x:v>
      </x:c>
      <x:c r="K1069" s="19" t="str">
        <x:v>Exp_3/EXP035/results/seed304444453_Relative_cutoff_1e-4.json</x:v>
      </x:c>
    </x:row>
    <x:row r="1070" ht="15" hidden="0" customHeight="1">
      <x:c r="A1070" s="3" t="str">
        <x:v>EXP035</x:v>
      </x:c>
      <x:c r="B1070" s="3" t="str">
        <x:v>Exp. 3</x:v>
      </x:c>
      <x:c r="C1070" s="18" t="n">
        <x:v>319922324</x:v>
      </x:c>
      <x:c r="D1070" s="3" t="str">
        <x:v>BBP</x:v>
      </x:c>
      <x:c r="E1070" s="18" t="n">
        <x:v>200</x:v>
      </x:c>
      <x:c r="F1070" s="21" t="n">
        <x:v>622.475765487246</x:v>
      </x:c>
      <x:c r="G1070" s="21" t="n">
        <x:f>F1070</x:f>
        <x:v>622.475765487246</x:v>
      </x:c>
      <x:c r="H1070" s="21" t="n">
        <x:f>F1075</x:f>
        <x:v>622.475765487246</x:v>
      </x:c>
      <x:c r="I1070" s="27" t="n">
        <x:f>IF(AND(ISNUMBER(G1070),ISNUMBER(H1070),H1070&gt;0),G1070/H1070-1,"")</x:f>
        <x:v>0</x:v>
      </x:c>
      <x:c r="J1070" s="27" t="n">
        <x:f>IF(AND(ISNUMBER(G1070),F1070&gt;0),G1070/F1070-1,"")</x:f>
        <x:v>0</x:v>
      </x:c>
      <x:c r="K1070" s="19" t="str">
        <x:v>Exp_3/EXP035/results/seed319922324_BBP.json</x:v>
      </x:c>
    </x:row>
    <x:row r="1071" ht="15" hidden="0" customHeight="1">
      <x:c r="A1071" s="3" t="str">
        <x:v>EXP035</x:v>
      </x:c>
      <x:c r="B1071" s="3" t="str">
        <x:v>Exp. 3</x:v>
      </x:c>
      <x:c r="C1071" s="18" t="n">
        <x:v>319922324</x:v>
      </x:c>
      <x:c r="D1071" s="3" t="str">
        <x:v>Relative cutoff 1e-5</x:v>
      </x:c>
      <x:c r="E1071" s="18" t="n">
        <x:v>200</x:v>
      </x:c>
      <x:c r="F1071" s="21" t="n">
        <x:v>622.475765487246</x:v>
      </x:c>
      <x:c r="G1071" s="21" t="n">
        <x:f>F1070</x:f>
        <x:v>622.475765487246</x:v>
      </x:c>
      <x:c r="H1071" s="21" t="n">
        <x:f>F1075</x:f>
        <x:v>622.475765487246</x:v>
      </x:c>
      <x:c r="I1071" s="27" t="n">
        <x:f>IF(AND(ISNUMBER(G1071),ISNUMBER(H1071),H1071&gt;0),G1071/H1071-1,"")</x:f>
        <x:v>0</x:v>
      </x:c>
      <x:c r="J1071" s="27" t="n">
        <x:f>IF(AND(ISNUMBER(G1071),F1071&gt;0),G1071/F1071-1,"")</x:f>
        <x:v>0</x:v>
      </x:c>
      <x:c r="K1071" s="19" t="str">
        <x:v>Exp_3/EXP035/results/seed319922324_Relative_cutoff_1e-5.json</x:v>
      </x:c>
    </x:row>
    <x:row r="1072" ht="15" hidden="0" customHeight="1">
      <x:c r="A1072" s="3" t="str">
        <x:v>EXP035</x:v>
      </x:c>
      <x:c r="B1072" s="3" t="str">
        <x:v>Exp. 3</x:v>
      </x:c>
      <x:c r="C1072" s="18" t="n">
        <x:v>319922324</x:v>
      </x:c>
      <x:c r="D1072" s="3" t="str">
        <x:v>Fixed rank 10</x:v>
      </x:c>
      <x:c r="E1072" s="18" t="n">
        <x:v>200</x:v>
      </x:c>
      <x:c r="F1072" s="21" t="n">
        <x:v>642.0276756501783</x:v>
      </x:c>
      <x:c r="G1072" s="21" t="n">
        <x:f>F1070</x:f>
        <x:v>622.475765487246</x:v>
      </x:c>
      <x:c r="H1072" s="21" t="n">
        <x:f>F1075</x:f>
        <x:v>622.475765487246</x:v>
      </x:c>
      <x:c r="I1072" s="27" t="n">
        <x:f>IF(AND(ISNUMBER(G1072),ISNUMBER(H1072),H1072&gt;0),G1072/H1072-1,"")</x:f>
        <x:v>0</x:v>
      </x:c>
      <x:c r="J1072" s="27" t="n">
        <x:f>IF(AND(ISNUMBER(G1072),F1072&gt;0),G1072/F1072-1,"")</x:f>
        <x:v>-0.030453375928276127</x:v>
      </x:c>
      <x:c r="K1072" s="19" t="str">
        <x:v>Exp_3/EXP035/results/seed319922324_Fixed_rank_10.json</x:v>
      </x:c>
    </x:row>
    <x:row r="1073" ht="15" hidden="0" customHeight="1">
      <x:c r="A1073" s="3" t="str">
        <x:v>EXP035</x:v>
      </x:c>
      <x:c r="B1073" s="3" t="str">
        <x:v>Exp. 3</x:v>
      </x:c>
      <x:c r="C1073" s="18" t="n">
        <x:v>319922324</x:v>
      </x:c>
      <x:c r="D1073" s="3" t="str">
        <x:v>Fixed rank 25</x:v>
      </x:c>
      <x:c r="E1073" s="18" t="n">
        <x:v>200</x:v>
      </x:c>
      <x:c r="F1073" s="21" t="n">
        <x:v>622.475765487246</x:v>
      </x:c>
      <x:c r="G1073" s="21" t="n">
        <x:f>F1070</x:f>
        <x:v>622.475765487246</x:v>
      </x:c>
      <x:c r="H1073" s="21" t="n">
        <x:f>F1075</x:f>
        <x:v>622.475765487246</x:v>
      </x:c>
      <x:c r="I1073" s="27" t="n">
        <x:f>IF(AND(ISNUMBER(G1073),ISNUMBER(H1073),H1073&gt;0),G1073/H1073-1,"")</x:f>
        <x:v>0</x:v>
      </x:c>
      <x:c r="J1073" s="27" t="n">
        <x:f>IF(AND(ISNUMBER(G1073),F1073&gt;0),G1073/F1073-1,"")</x:f>
        <x:v>0</x:v>
      </x:c>
      <x:c r="K1073" s="19" t="str">
        <x:v>Exp_3/EXP035/results/seed319922324_Fixed_rank_25.json</x:v>
      </x:c>
    </x:row>
    <x:row r="1074" ht="15" hidden="0" customHeight="1">
      <x:c r="A1074" s="3" t="str">
        <x:v>EXP035</x:v>
      </x:c>
      <x:c r="B1074" s="3" t="str">
        <x:v>Exp. 3</x:v>
      </x:c>
      <x:c r="C1074" s="18" t="n">
        <x:v>319922324</x:v>
      </x:c>
      <x:c r="D1074" s="3" t="str">
        <x:v>Relative cutoff 1e-6</x:v>
      </x:c>
      <x:c r="E1074" s="18" t="n">
        <x:v>200</x:v>
      </x:c>
      <x:c r="F1074" s="21" t="n">
        <x:v>622.475765487246</x:v>
      </x:c>
      <x:c r="G1074" s="21" t="n">
        <x:f>F1070</x:f>
        <x:v>622.475765487246</x:v>
      </x:c>
      <x:c r="H1074" s="21" t="n">
        <x:f>F1075</x:f>
        <x:v>622.475765487246</x:v>
      </x:c>
      <x:c r="I1074" s="27" t="n">
        <x:f>IF(AND(ISNUMBER(G1074),ISNUMBER(H1074),H1074&gt;0),G1074/H1074-1,"")</x:f>
        <x:v>0</x:v>
      </x:c>
      <x:c r="J1074" s="27" t="n">
        <x:f>IF(AND(ISNUMBER(G1074),F1074&gt;0),G1074/F1074-1,"")</x:f>
        <x:v>0</x:v>
      </x:c>
      <x:c r="K1074" s="19" t="str">
        <x:v>Exp_3/EXP035/results/seed319922324_Relative_cutoff_1e-6.json</x:v>
      </x:c>
    </x:row>
    <x:row r="1075" ht="15" hidden="0" customHeight="1">
      <x:c r="A1075" s="3" t="str">
        <x:v>EXP035</x:v>
      </x:c>
      <x:c r="B1075" s="3" t="str">
        <x:v>Exp. 3</x:v>
      </x:c>
      <x:c r="C1075" s="18" t="n">
        <x:v>319922324</x:v>
      </x:c>
      <x:c r="D1075" s="3" t="str">
        <x:v>Full</x:v>
      </x:c>
      <x:c r="E1075" s="18" t="n">
        <x:v>200</x:v>
      </x:c>
      <x:c r="F1075" s="21" t="n">
        <x:v>622.475765487246</x:v>
      </x:c>
      <x:c r="G1075" s="21" t="n">
        <x:f>F1070</x:f>
        <x:v>622.475765487246</x:v>
      </x:c>
      <x:c r="H1075" s="21" t="n">
        <x:f>F1075</x:f>
        <x:v>622.475765487246</x:v>
      </x:c>
      <x:c r="I1075" s="27" t="n">
        <x:f>IF(AND(ISNUMBER(G1075),ISNUMBER(H1075),H1075&gt;0),G1075/H1075-1,"")</x:f>
        <x:v>0</x:v>
      </x:c>
      <x:c r="J1075" s="27" t="n">
        <x:f>IF(AND(ISNUMBER(G1075),F1075&gt;0),G1075/F1075-1,"")</x:f>
        <x:v>0</x:v>
      </x:c>
      <x:c r="K1075" s="19" t="str">
        <x:v>Exp_3/EXP035/results/seed319922324_Full.json</x:v>
      </x:c>
    </x:row>
    <x:row r="1076" ht="15" hidden="0" customHeight="1">
      <x:c r="A1076" s="3" t="str">
        <x:v>EXP035</x:v>
      </x:c>
      <x:c r="B1076" s="3" t="str">
        <x:v>Exp. 3</x:v>
      </x:c>
      <x:c r="C1076" s="18" t="n">
        <x:v>319922324</x:v>
      </x:c>
      <x:c r="D1076" s="3" t="str">
        <x:v>Relative cutoff 1e-2</x:v>
      </x:c>
      <x:c r="E1076" s="18" t="n">
        <x:v>200</x:v>
      </x:c>
      <x:c r="F1076" s="21" t="n">
        <x:v>671.2386311936258</x:v>
      </x:c>
      <x:c r="G1076" s="21" t="n">
        <x:f>F1070</x:f>
        <x:v>622.475765487246</x:v>
      </x:c>
      <x:c r="H1076" s="21" t="n">
        <x:f>F1075</x:f>
        <x:v>622.475765487246</x:v>
      </x:c>
      <x:c r="I1076" s="27" t="n">
        <x:f>IF(AND(ISNUMBER(G1076),ISNUMBER(H1076),H1076&gt;0),G1076/H1076-1,"")</x:f>
        <x:v>0</x:v>
      </x:c>
      <x:c r="J1076" s="27" t="n">
        <x:f>IF(AND(ISNUMBER(G1076),F1076&gt;0),G1076/F1076-1,"")</x:f>
        <x:v>-0.07264609550208323</x:v>
      </x:c>
      <x:c r="K1076" s="19" t="str">
        <x:v>Exp_3/EXP035/results/seed319922324_Relative_cutoff_1e-2.json</x:v>
      </x:c>
    </x:row>
    <x:row r="1077" ht="15" hidden="0" customHeight="1">
      <x:c r="A1077" s="3" t="str">
        <x:v>EXP035</x:v>
      </x:c>
      <x:c r="B1077" s="3" t="str">
        <x:v>Exp. 3</x:v>
      </x:c>
      <x:c r="C1077" s="18" t="n">
        <x:v>319922324</x:v>
      </x:c>
      <x:c r="D1077" s="3" t="str">
        <x:v>Relative cutoff 1e-4</x:v>
      </x:c>
      <x:c r="E1077" s="18" t="n">
        <x:v>200</x:v>
      </x:c>
      <x:c r="F1077" s="21" t="n">
        <x:v>642.0276756501783</x:v>
      </x:c>
      <x:c r="G1077" s="21" t="n">
        <x:f>F1070</x:f>
        <x:v>622.475765487246</x:v>
      </x:c>
      <x:c r="H1077" s="21" t="n">
        <x:f>F1075</x:f>
        <x:v>622.475765487246</x:v>
      </x:c>
      <x:c r="I1077" s="27" t="n">
        <x:f>IF(AND(ISNUMBER(G1077),ISNUMBER(H1077),H1077&gt;0),G1077/H1077-1,"")</x:f>
        <x:v>0</x:v>
      </x:c>
      <x:c r="J1077" s="27" t="n">
        <x:f>IF(AND(ISNUMBER(G1077),F1077&gt;0),G1077/F1077-1,"")</x:f>
        <x:v>-0.030453375928276127</x:v>
      </x:c>
      <x:c r="K1077" s="19" t="str">
        <x:v>Exp_3/EXP035/results/seed319922324_Relative_cutoff_1e-4.json</x:v>
      </x:c>
    </x:row>
    <x:row r="1078" ht="15" hidden="0" customHeight="1">
      <x:c r="A1078" s="3" t="str">
        <x:v>EXP035</x:v>
      </x:c>
      <x:c r="B1078" s="3" t="str">
        <x:v>Exp. 3</x:v>
      </x:c>
      <x:c r="C1078" s="18" t="n">
        <x:v>560889375</x:v>
      </x:c>
      <x:c r="D1078" s="3" t="str">
        <x:v>BBP</x:v>
      </x:c>
      <x:c r="E1078" s="18" t="n">
        <x:v>200</x:v>
      </x:c>
      <x:c r="F1078" s="21" t="n">
        <x:v>742.2839582098246</x:v>
      </x:c>
      <x:c r="G1078" s="21" t="n">
        <x:f>F1078</x:f>
        <x:v>742.2839582098246</x:v>
      </x:c>
      <x:c r="H1078" s="21" t="n">
        <x:f>F1083</x:f>
        <x:v>742.2839582098246</x:v>
      </x:c>
      <x:c r="I1078" s="27" t="n">
        <x:f>IF(AND(ISNUMBER(G1078),ISNUMBER(H1078),H1078&gt;0),G1078/H1078-1,"")</x:f>
        <x:v>0</x:v>
      </x:c>
      <x:c r="J1078" s="27" t="n">
        <x:f>IF(AND(ISNUMBER(G1078),F1078&gt;0),G1078/F1078-1,"")</x:f>
        <x:v>0</x:v>
      </x:c>
      <x:c r="K1078" s="19" t="str">
        <x:v>Exp_3/EXP035/results/seed560889375_BBP.json</x:v>
      </x:c>
    </x:row>
    <x:row r="1079" ht="15" hidden="0" customHeight="1">
      <x:c r="A1079" s="3" t="str">
        <x:v>EXP035</x:v>
      </x:c>
      <x:c r="B1079" s="3" t="str">
        <x:v>Exp. 3</x:v>
      </x:c>
      <x:c r="C1079" s="18" t="n">
        <x:v>560889375</x:v>
      </x:c>
      <x:c r="D1079" s="3" t="str">
        <x:v>Relative cutoff 1e-5</x:v>
      </x:c>
      <x:c r="E1079" s="18" t="n">
        <x:v>200</x:v>
      </x:c>
      <x:c r="F1079" s="21" t="n">
        <x:v>742.2839582098246</x:v>
      </x:c>
      <x:c r="G1079" s="21" t="n">
        <x:f>F1078</x:f>
        <x:v>742.2839582098246</x:v>
      </x:c>
      <x:c r="H1079" s="21" t="n">
        <x:f>F1083</x:f>
        <x:v>742.2839582098246</x:v>
      </x:c>
      <x:c r="I1079" s="27" t="n">
        <x:f>IF(AND(ISNUMBER(G1079),ISNUMBER(H1079),H1079&gt;0),G1079/H1079-1,"")</x:f>
        <x:v>0</x:v>
      </x:c>
      <x:c r="J1079" s="27" t="n">
        <x:f>IF(AND(ISNUMBER(G1079),F1079&gt;0),G1079/F1079-1,"")</x:f>
        <x:v>0</x:v>
      </x:c>
      <x:c r="K1079" s="19" t="str">
        <x:v>Exp_3/EXP035/results/seed560889375_Relative_cutoff_1e-5.json</x:v>
      </x:c>
    </x:row>
    <x:row r="1080" ht="15" hidden="0" customHeight="1">
      <x:c r="A1080" s="3" t="str">
        <x:v>EXP035</x:v>
      </x:c>
      <x:c r="B1080" s="3" t="str">
        <x:v>Exp. 3</x:v>
      </x:c>
      <x:c r="C1080" s="18" t="n">
        <x:v>560889375</x:v>
      </x:c>
      <x:c r="D1080" s="3" t="str">
        <x:v>Fixed rank 10</x:v>
      </x:c>
      <x:c r="E1080" s="18" t="n">
        <x:v>200</x:v>
      </x:c>
      <x:c r="F1080" s="21" t="n">
        <x:v>742.2839582098246</x:v>
      </x:c>
      <x:c r="G1080" s="21" t="n">
        <x:f>F1078</x:f>
        <x:v>742.2839582098246</x:v>
      </x:c>
      <x:c r="H1080" s="21" t="n">
        <x:f>F1083</x:f>
        <x:v>742.2839582098246</x:v>
      </x:c>
      <x:c r="I1080" s="27" t="n">
        <x:f>IF(AND(ISNUMBER(G1080),ISNUMBER(H1080),H1080&gt;0),G1080/H1080-1,"")</x:f>
        <x:v>0</x:v>
      </x:c>
      <x:c r="J1080" s="27" t="n">
        <x:f>IF(AND(ISNUMBER(G1080),F1080&gt;0),G1080/F1080-1,"")</x:f>
        <x:v>0</x:v>
      </x:c>
      <x:c r="K1080" s="19" t="str">
        <x:v>Exp_3/EXP035/results/seed560889375_Fixed_rank_10.json</x:v>
      </x:c>
    </x:row>
    <x:row r="1081" ht="15" hidden="0" customHeight="1">
      <x:c r="A1081" s="3" t="str">
        <x:v>EXP035</x:v>
      </x:c>
      <x:c r="B1081" s="3" t="str">
        <x:v>Exp. 3</x:v>
      </x:c>
      <x:c r="C1081" s="18" t="n">
        <x:v>560889375</x:v>
      </x:c>
      <x:c r="D1081" s="3" t="str">
        <x:v>Fixed rank 25</x:v>
      </x:c>
      <x:c r="E1081" s="18" t="n">
        <x:v>200</x:v>
      </x:c>
      <x:c r="F1081" s="21" t="n">
        <x:v>742.2839582098246</x:v>
      </x:c>
      <x:c r="G1081" s="21" t="n">
        <x:f>F1078</x:f>
        <x:v>742.2839582098246</x:v>
      </x:c>
      <x:c r="H1081" s="21" t="n">
        <x:f>F1083</x:f>
        <x:v>742.2839582098246</x:v>
      </x:c>
      <x:c r="I1081" s="27" t="n">
        <x:f>IF(AND(ISNUMBER(G1081),ISNUMBER(H1081),H1081&gt;0),G1081/H1081-1,"")</x:f>
        <x:v>0</x:v>
      </x:c>
      <x:c r="J1081" s="27" t="n">
        <x:f>IF(AND(ISNUMBER(G1081),F1081&gt;0),G1081/F1081-1,"")</x:f>
        <x:v>0</x:v>
      </x:c>
      <x:c r="K1081" s="19" t="str">
        <x:v>Exp_3/EXP035/results/seed560889375_Fixed_rank_25.json</x:v>
      </x:c>
    </x:row>
    <x:row r="1082" ht="15" hidden="0" customHeight="1">
      <x:c r="A1082" s="3" t="str">
        <x:v>EXP035</x:v>
      </x:c>
      <x:c r="B1082" s="3" t="str">
        <x:v>Exp. 3</x:v>
      </x:c>
      <x:c r="C1082" s="18" t="n">
        <x:v>560889375</x:v>
      </x:c>
      <x:c r="D1082" s="3" t="str">
        <x:v>Relative cutoff 1e-6</x:v>
      </x:c>
      <x:c r="E1082" s="18" t="n">
        <x:v>200</x:v>
      </x:c>
      <x:c r="F1082" s="21" t="n">
        <x:v>742.2839582098246</x:v>
      </x:c>
      <x:c r="G1082" s="21" t="n">
        <x:f>F1078</x:f>
        <x:v>742.2839582098246</x:v>
      </x:c>
      <x:c r="H1082" s="21" t="n">
        <x:f>F1083</x:f>
        <x:v>742.2839582098246</x:v>
      </x:c>
      <x:c r="I1082" s="27" t="n">
        <x:f>IF(AND(ISNUMBER(G1082),ISNUMBER(H1082),H1082&gt;0),G1082/H1082-1,"")</x:f>
        <x:v>0</x:v>
      </x:c>
      <x:c r="J1082" s="27" t="n">
        <x:f>IF(AND(ISNUMBER(G1082),F1082&gt;0),G1082/F1082-1,"")</x:f>
        <x:v>0</x:v>
      </x:c>
      <x:c r="K1082" s="19" t="str">
        <x:v>Exp_3/EXP035/results/seed560889375_Relative_cutoff_1e-6.json</x:v>
      </x:c>
    </x:row>
    <x:row r="1083" ht="15" hidden="0" customHeight="1">
      <x:c r="A1083" s="3" t="str">
        <x:v>EXP035</x:v>
      </x:c>
      <x:c r="B1083" s="3" t="str">
        <x:v>Exp. 3</x:v>
      </x:c>
      <x:c r="C1083" s="18" t="n">
        <x:v>560889375</x:v>
      </x:c>
      <x:c r="D1083" s="3" t="str">
        <x:v>Full</x:v>
      </x:c>
      <x:c r="E1083" s="18" t="n">
        <x:v>200</x:v>
      </x:c>
      <x:c r="F1083" s="21" t="n">
        <x:v>742.2839582098246</x:v>
      </x:c>
      <x:c r="G1083" s="21" t="n">
        <x:f>F1078</x:f>
        <x:v>742.2839582098246</x:v>
      </x:c>
      <x:c r="H1083" s="21" t="n">
        <x:f>F1083</x:f>
        <x:v>742.2839582098246</x:v>
      </x:c>
      <x:c r="I1083" s="27" t="n">
        <x:f>IF(AND(ISNUMBER(G1083),ISNUMBER(H1083),H1083&gt;0),G1083/H1083-1,"")</x:f>
        <x:v>0</x:v>
      </x:c>
      <x:c r="J1083" s="27" t="n">
        <x:f>IF(AND(ISNUMBER(G1083),F1083&gt;0),G1083/F1083-1,"")</x:f>
        <x:v>0</x:v>
      </x:c>
      <x:c r="K1083" s="19" t="str">
        <x:v>Exp_3/EXP035/results/seed560889375_Full.json</x:v>
      </x:c>
    </x:row>
    <x:row r="1084" ht="15" hidden="0" customHeight="1">
      <x:c r="A1084" s="3" t="str">
        <x:v>EXP035</x:v>
      </x:c>
      <x:c r="B1084" s="3" t="str">
        <x:v>Exp. 3</x:v>
      </x:c>
      <x:c r="C1084" s="18" t="n">
        <x:v>560889375</x:v>
      </x:c>
      <x:c r="D1084" s="3" t="str">
        <x:v>Relative cutoff 1e-2</x:v>
      </x:c>
      <x:c r="E1084" s="18" t="n">
        <x:v>200</x:v>
      </x:c>
      <x:c r="F1084" s="21" t="n">
        <x:v>727.3967905182903</x:v>
      </x:c>
      <x:c r="G1084" s="21" t="n">
        <x:f>F1078</x:f>
        <x:v>742.2839582098246</x:v>
      </x:c>
      <x:c r="H1084" s="21" t="n">
        <x:f>F1083</x:f>
        <x:v>742.2839582098246</x:v>
      </x:c>
      <x:c r="I1084" s="27" t="n">
        <x:f>IF(AND(ISNUMBER(G1084),ISNUMBER(H1084),H1084&gt;0),G1084/H1084-1,"")</x:f>
        <x:v>0</x:v>
      </x:c>
      <x:c r="J1084" s="27" t="n">
        <x:f>IF(AND(ISNUMBER(G1084),F1084&gt;0),G1084/F1084-1,"")</x:f>
        <x:v>0.020466364280940397</x:v>
      </x:c>
      <x:c r="K1084" s="19" t="str">
        <x:v>Exp_3/EXP035/results/seed560889375_Relative_cutoff_1e-2.json</x:v>
      </x:c>
    </x:row>
    <x:row r="1085" ht="15" hidden="0" customHeight="1">
      <x:c r="A1085" s="3" t="str">
        <x:v>EXP035</x:v>
      </x:c>
      <x:c r="B1085" s="3" t="str">
        <x:v>Exp. 3</x:v>
      </x:c>
      <x:c r="C1085" s="18" t="n">
        <x:v>560889375</x:v>
      </x:c>
      <x:c r="D1085" s="3" t="str">
        <x:v>Relative cutoff 1e-4</x:v>
      </x:c>
      <x:c r="E1085" s="18" t="n">
        <x:v>200</x:v>
      </x:c>
      <x:c r="F1085" s="21" t="n">
        <x:v>742.2839582098246</x:v>
      </x:c>
      <x:c r="G1085" s="21" t="n">
        <x:f>F1078</x:f>
        <x:v>742.2839582098246</x:v>
      </x:c>
      <x:c r="H1085" s="21" t="n">
        <x:f>F1083</x:f>
        <x:v>742.2839582098246</x:v>
      </x:c>
      <x:c r="I1085" s="27" t="n">
        <x:f>IF(AND(ISNUMBER(G1085),ISNUMBER(H1085),H1085&gt;0),G1085/H1085-1,"")</x:f>
        <x:v>0</x:v>
      </x:c>
      <x:c r="J1085" s="27" t="n">
        <x:f>IF(AND(ISNUMBER(G1085),F1085&gt;0),G1085/F1085-1,"")</x:f>
        <x:v>0</x:v>
      </x:c>
      <x:c r="K1085" s="19" t="str">
        <x:v>Exp_3/EXP035/results/seed560889375_Relative_cutoff_1e-4.json</x:v>
      </x:c>
    </x:row>
    <x:row r="1086" ht="15" hidden="0" customHeight="1">
      <x:c r="A1086" s="3" t="str">
        <x:v>EXP035</x:v>
      </x:c>
      <x:c r="B1086" s="3" t="str">
        <x:v>Exp. 3</x:v>
      </x:c>
      <x:c r="C1086" s="18" t="n">
        <x:v>666829030</x:v>
      </x:c>
      <x:c r="D1086" s="3" t="str">
        <x:v>BBP</x:v>
      </x:c>
      <x:c r="E1086" s="18" t="n">
        <x:v>200</x:v>
      </x:c>
      <x:c r="F1086" s="21" t="n">
        <x:v>703.3748582709424</x:v>
      </x:c>
      <x:c r="G1086" s="21" t="n">
        <x:f>F1086</x:f>
        <x:v>703.3748582709424</x:v>
      </x:c>
      <x:c r="H1086" s="21" t="n">
        <x:f>F1091</x:f>
        <x:v>703.3748582709424</x:v>
      </x:c>
      <x:c r="I1086" s="27" t="n">
        <x:f>IF(AND(ISNUMBER(G1086),ISNUMBER(H1086),H1086&gt;0),G1086/H1086-1,"")</x:f>
        <x:v>0</x:v>
      </x:c>
      <x:c r="J1086" s="27" t="n">
        <x:f>IF(AND(ISNUMBER(G1086),F1086&gt;0),G1086/F1086-1,"")</x:f>
        <x:v>0</x:v>
      </x:c>
      <x:c r="K1086" s="19" t="str">
        <x:v>Exp_3/EXP035/results/seed666829030_BBP.json</x:v>
      </x:c>
    </x:row>
    <x:row r="1087" ht="15" hidden="0" customHeight="1">
      <x:c r="A1087" s="3" t="str">
        <x:v>EXP035</x:v>
      </x:c>
      <x:c r="B1087" s="3" t="str">
        <x:v>Exp. 3</x:v>
      </x:c>
      <x:c r="C1087" s="18" t="n">
        <x:v>666829030</x:v>
      </x:c>
      <x:c r="D1087" s="3" t="str">
        <x:v>Relative cutoff 1e-5</x:v>
      </x:c>
      <x:c r="E1087" s="18" t="n">
        <x:v>200</x:v>
      </x:c>
      <x:c r="F1087" s="21" t="n">
        <x:v>703.3748582709424</x:v>
      </x:c>
      <x:c r="G1087" s="21" t="n">
        <x:f>F1086</x:f>
        <x:v>703.3748582709424</x:v>
      </x:c>
      <x:c r="H1087" s="21" t="n">
        <x:f>F1091</x:f>
        <x:v>703.3748582709424</x:v>
      </x:c>
      <x:c r="I1087" s="27" t="n">
        <x:f>IF(AND(ISNUMBER(G1087),ISNUMBER(H1087),H1087&gt;0),G1087/H1087-1,"")</x:f>
        <x:v>0</x:v>
      </x:c>
      <x:c r="J1087" s="27" t="n">
        <x:f>IF(AND(ISNUMBER(G1087),F1087&gt;0),G1087/F1087-1,"")</x:f>
        <x:v>0</x:v>
      </x:c>
      <x:c r="K1087" s="19" t="str">
        <x:v>Exp_3/EXP035/results/seed666829030_Relative_cutoff_1e-5.json</x:v>
      </x:c>
    </x:row>
    <x:row r="1088" ht="15" hidden="0" customHeight="1">
      <x:c r="A1088" s="3" t="str">
        <x:v>EXP035</x:v>
      </x:c>
      <x:c r="B1088" s="3" t="str">
        <x:v>Exp. 3</x:v>
      </x:c>
      <x:c r="C1088" s="18" t="n">
        <x:v>666829030</x:v>
      </x:c>
      <x:c r="D1088" s="3" t="str">
        <x:v>Fixed rank 10</x:v>
      </x:c>
      <x:c r="E1088" s="18" t="n">
        <x:v>200</x:v>
      </x:c>
      <x:c r="F1088" s="21" t="n">
        <x:v>703.3748582709424</x:v>
      </x:c>
      <x:c r="G1088" s="21" t="n">
        <x:f>F1086</x:f>
        <x:v>703.3748582709424</x:v>
      </x:c>
      <x:c r="H1088" s="21" t="n">
        <x:f>F1091</x:f>
        <x:v>703.3748582709424</x:v>
      </x:c>
      <x:c r="I1088" s="27" t="n">
        <x:f>IF(AND(ISNUMBER(G1088),ISNUMBER(H1088),H1088&gt;0),G1088/H1088-1,"")</x:f>
        <x:v>0</x:v>
      </x:c>
      <x:c r="J1088" s="27" t="n">
        <x:f>IF(AND(ISNUMBER(G1088),F1088&gt;0),G1088/F1088-1,"")</x:f>
        <x:v>0</x:v>
      </x:c>
      <x:c r="K1088" s="19" t="str">
        <x:v>Exp_3/EXP035/results/seed666829030_Fixed_rank_10.json</x:v>
      </x:c>
    </x:row>
    <x:row r="1089" ht="15" hidden="0" customHeight="1">
      <x:c r="A1089" s="3" t="str">
        <x:v>EXP035</x:v>
      </x:c>
      <x:c r="B1089" s="3" t="str">
        <x:v>Exp. 3</x:v>
      </x:c>
      <x:c r="C1089" s="18" t="n">
        <x:v>666829030</x:v>
      </x:c>
      <x:c r="D1089" s="3" t="str">
        <x:v>Fixed rank 25</x:v>
      </x:c>
      <x:c r="E1089" s="18" t="n">
        <x:v>200</x:v>
      </x:c>
      <x:c r="F1089" s="21" t="n">
        <x:v>703.3748582709424</x:v>
      </x:c>
      <x:c r="G1089" s="21" t="n">
        <x:f>F1086</x:f>
        <x:v>703.3748582709424</x:v>
      </x:c>
      <x:c r="H1089" s="21" t="n">
        <x:f>F1091</x:f>
        <x:v>703.3748582709424</x:v>
      </x:c>
      <x:c r="I1089" s="27" t="n">
        <x:f>IF(AND(ISNUMBER(G1089),ISNUMBER(H1089),H1089&gt;0),G1089/H1089-1,"")</x:f>
        <x:v>0</x:v>
      </x:c>
      <x:c r="J1089" s="27" t="n">
        <x:f>IF(AND(ISNUMBER(G1089),F1089&gt;0),G1089/F1089-1,"")</x:f>
        <x:v>0</x:v>
      </x:c>
      <x:c r="K1089" s="19" t="str">
        <x:v>Exp_3/EXP035/results/seed666829030_Fixed_rank_25.json</x:v>
      </x:c>
    </x:row>
    <x:row r="1090" ht="15" hidden="0" customHeight="1">
      <x:c r="A1090" s="3" t="str">
        <x:v>EXP035</x:v>
      </x:c>
      <x:c r="B1090" s="3" t="str">
        <x:v>Exp. 3</x:v>
      </x:c>
      <x:c r="C1090" s="18" t="n">
        <x:v>666829030</x:v>
      </x:c>
      <x:c r="D1090" s="3" t="str">
        <x:v>Relative cutoff 1e-6</x:v>
      </x:c>
      <x:c r="E1090" s="18" t="n">
        <x:v>200</x:v>
      </x:c>
      <x:c r="F1090" s="21" t="n">
        <x:v>703.3748582709424</x:v>
      </x:c>
      <x:c r="G1090" s="21" t="n">
        <x:f>F1086</x:f>
        <x:v>703.3748582709424</x:v>
      </x:c>
      <x:c r="H1090" s="21" t="n">
        <x:f>F1091</x:f>
        <x:v>703.3748582709424</x:v>
      </x:c>
      <x:c r="I1090" s="27" t="n">
        <x:f>IF(AND(ISNUMBER(G1090),ISNUMBER(H1090),H1090&gt;0),G1090/H1090-1,"")</x:f>
        <x:v>0</x:v>
      </x:c>
      <x:c r="J1090" s="27" t="n">
        <x:f>IF(AND(ISNUMBER(G1090),F1090&gt;0),G1090/F1090-1,"")</x:f>
        <x:v>0</x:v>
      </x:c>
      <x:c r="K1090" s="19" t="str">
        <x:v>Exp_3/EXP035/results/seed666829030_Relative_cutoff_1e-6.json</x:v>
      </x:c>
    </x:row>
    <x:row r="1091" ht="15" hidden="0" customHeight="1">
      <x:c r="A1091" s="3" t="str">
        <x:v>EXP035</x:v>
      </x:c>
      <x:c r="B1091" s="3" t="str">
        <x:v>Exp. 3</x:v>
      </x:c>
      <x:c r="C1091" s="18" t="n">
        <x:v>666829030</x:v>
      </x:c>
      <x:c r="D1091" s="3" t="str">
        <x:v>Full</x:v>
      </x:c>
      <x:c r="E1091" s="18" t="n">
        <x:v>200</x:v>
      </x:c>
      <x:c r="F1091" s="21" t="n">
        <x:v>703.3748582709424</x:v>
      </x:c>
      <x:c r="G1091" s="21" t="n">
        <x:f>F1086</x:f>
        <x:v>703.3748582709424</x:v>
      </x:c>
      <x:c r="H1091" s="21" t="n">
        <x:f>F1091</x:f>
        <x:v>703.3748582709424</x:v>
      </x:c>
      <x:c r="I1091" s="27" t="n">
        <x:f>IF(AND(ISNUMBER(G1091),ISNUMBER(H1091),H1091&gt;0),G1091/H1091-1,"")</x:f>
        <x:v>0</x:v>
      </x:c>
      <x:c r="J1091" s="27" t="n">
        <x:f>IF(AND(ISNUMBER(G1091),F1091&gt;0),G1091/F1091-1,"")</x:f>
        <x:v>0</x:v>
      </x:c>
      <x:c r="K1091" s="19" t="str">
        <x:v>Exp_3/EXP035/results/seed666829030_Full.json</x:v>
      </x:c>
    </x:row>
    <x:row r="1092" ht="15" hidden="0" customHeight="1">
      <x:c r="A1092" s="3" t="str">
        <x:v>EXP035</x:v>
      </x:c>
      <x:c r="B1092" s="3" t="str">
        <x:v>Exp. 3</x:v>
      </x:c>
      <x:c r="C1092" s="18" t="n">
        <x:v>666829030</x:v>
      </x:c>
      <x:c r="D1092" s="3" t="str">
        <x:v>Relative cutoff 1e-2</x:v>
      </x:c>
      <x:c r="E1092" s="18" t="n">
        <x:v>200</x:v>
      </x:c>
      <x:c r="F1092" s="21" t="n">
        <x:v>699.4711310800848</x:v>
      </x:c>
      <x:c r="G1092" s="21" t="n">
        <x:f>F1086</x:f>
        <x:v>703.3748582709424</x:v>
      </x:c>
      <x:c r="H1092" s="21" t="n">
        <x:f>F1091</x:f>
        <x:v>703.3748582709424</x:v>
      </x:c>
      <x:c r="I1092" s="27" t="n">
        <x:f>IF(AND(ISNUMBER(G1092),ISNUMBER(H1092),H1092&gt;0),G1092/H1092-1,"")</x:f>
        <x:v>0</x:v>
      </x:c>
      <x:c r="J1092" s="27" t="n">
        <x:f>IF(AND(ISNUMBER(G1092),F1092&gt;0),G1092/F1092-1,"")</x:f>
        <x:v>0.005580969703252281</x:v>
      </x:c>
      <x:c r="K1092" s="19" t="str">
        <x:v>Exp_3/EXP035/results/seed666829030_Relative_cutoff_1e-2.json</x:v>
      </x:c>
    </x:row>
    <x:row r="1093" ht="15" hidden="0" customHeight="1">
      <x:c r="A1093" s="3" t="str">
        <x:v>EXP035</x:v>
      </x:c>
      <x:c r="B1093" s="3" t="str">
        <x:v>Exp. 3</x:v>
      </x:c>
      <x:c r="C1093" s="18" t="n">
        <x:v>666829030</x:v>
      </x:c>
      <x:c r="D1093" s="3" t="str">
        <x:v>Relative cutoff 1e-4</x:v>
      </x:c>
      <x:c r="E1093" s="18" t="n">
        <x:v>200</x:v>
      </x:c>
      <x:c r="F1093" s="21" t="n">
        <x:v>702.9859199367378</x:v>
      </x:c>
      <x:c r="G1093" s="21" t="n">
        <x:f>F1086</x:f>
        <x:v>703.3748582709424</x:v>
      </x:c>
      <x:c r="H1093" s="21" t="n">
        <x:f>F1091</x:f>
        <x:v>703.3748582709424</x:v>
      </x:c>
      <x:c r="I1093" s="27" t="n">
        <x:f>IF(AND(ISNUMBER(G1093),ISNUMBER(H1093),H1093&gt;0),G1093/H1093-1,"")</x:f>
        <x:v>0</x:v>
      </x:c>
      <x:c r="J1093" s="27" t="n">
        <x:f>IF(AND(ISNUMBER(G1093),F1093&gt;0),G1093/F1093-1,"")</x:f>
        <x:v>0.0005532661795553118</x:v>
      </x:c>
      <x:c r="K1093" s="19" t="str">
        <x:v>Exp_3/EXP035/results/seed666829030_Relative_cutoff_1e-4.json</x:v>
      </x:c>
    </x:row>
    <x:row r="1094" ht="15" hidden="0" customHeight="1">
      <x:c r="A1094" s="3" t="str">
        <x:v>EXP035</x:v>
      </x:c>
      <x:c r="B1094" s="3" t="str">
        <x:v>Exp. 3</x:v>
      </x:c>
      <x:c r="C1094" s="18" t="n">
        <x:v>748076223</x:v>
      </x:c>
      <x:c r="D1094" s="3" t="str">
        <x:v>BBP</x:v>
      </x:c>
      <x:c r="E1094" s="18" t="n">
        <x:v>200</x:v>
      </x:c>
      <x:c r="F1094" s="21" t="n">
        <x:v>647.8270400568952</x:v>
      </x:c>
      <x:c r="G1094" s="21" t="n">
        <x:f>F1094</x:f>
        <x:v>647.8270400568952</x:v>
      </x:c>
      <x:c r="H1094" s="21" t="n">
        <x:f>F1099</x:f>
        <x:v>647.8270400568952</x:v>
      </x:c>
      <x:c r="I1094" s="27" t="n">
        <x:f>IF(AND(ISNUMBER(G1094),ISNUMBER(H1094),H1094&gt;0),G1094/H1094-1,"")</x:f>
        <x:v>0</x:v>
      </x:c>
      <x:c r="J1094" s="27" t="n">
        <x:f>IF(AND(ISNUMBER(G1094),F1094&gt;0),G1094/F1094-1,"")</x:f>
        <x:v>0</x:v>
      </x:c>
      <x:c r="K1094" s="19" t="str">
        <x:v>Exp_3/EXP035/results/seed748076223_BBP.json</x:v>
      </x:c>
    </x:row>
    <x:row r="1095" ht="15" hidden="0" customHeight="1">
      <x:c r="A1095" s="3" t="str">
        <x:v>EXP035</x:v>
      </x:c>
      <x:c r="B1095" s="3" t="str">
        <x:v>Exp. 3</x:v>
      </x:c>
      <x:c r="C1095" s="18" t="n">
        <x:v>748076223</x:v>
      </x:c>
      <x:c r="D1095" s="3" t="str">
        <x:v>Relative cutoff 1e-5</x:v>
      </x:c>
      <x:c r="E1095" s="18" t="n">
        <x:v>200</x:v>
      </x:c>
      <x:c r="F1095" s="21" t="n">
        <x:v>647.8270400568952</x:v>
      </x:c>
      <x:c r="G1095" s="21" t="n">
        <x:f>F1094</x:f>
        <x:v>647.8270400568952</x:v>
      </x:c>
      <x:c r="H1095" s="21" t="n">
        <x:f>F1099</x:f>
        <x:v>647.8270400568952</x:v>
      </x:c>
      <x:c r="I1095" s="27" t="n">
        <x:f>IF(AND(ISNUMBER(G1095),ISNUMBER(H1095),H1095&gt;0),G1095/H1095-1,"")</x:f>
        <x:v>0</x:v>
      </x:c>
      <x:c r="J1095" s="27" t="n">
        <x:f>IF(AND(ISNUMBER(G1095),F1095&gt;0),G1095/F1095-1,"")</x:f>
        <x:v>0</x:v>
      </x:c>
      <x:c r="K1095" s="19" t="str">
        <x:v>Exp_3/EXP035/results/seed748076223_Relative_cutoff_1e-5.json</x:v>
      </x:c>
    </x:row>
    <x:row r="1096" ht="15" hidden="0" customHeight="1">
      <x:c r="A1096" s="3" t="str">
        <x:v>EXP035</x:v>
      </x:c>
      <x:c r="B1096" s="3" t="str">
        <x:v>Exp. 3</x:v>
      </x:c>
      <x:c r="C1096" s="18" t="n">
        <x:v>748076223</x:v>
      </x:c>
      <x:c r="D1096" s="3" t="str">
        <x:v>Fixed rank 10</x:v>
      </x:c>
      <x:c r="E1096" s="18" t="n">
        <x:v>200</x:v>
      </x:c>
      <x:c r="F1096" s="21" t="n">
        <x:v>647.8270400568952</x:v>
      </x:c>
      <x:c r="G1096" s="21" t="n">
        <x:f>F1094</x:f>
        <x:v>647.8270400568952</x:v>
      </x:c>
      <x:c r="H1096" s="21" t="n">
        <x:f>F1099</x:f>
        <x:v>647.8270400568952</x:v>
      </x:c>
      <x:c r="I1096" s="27" t="n">
        <x:f>IF(AND(ISNUMBER(G1096),ISNUMBER(H1096),H1096&gt;0),G1096/H1096-1,"")</x:f>
        <x:v>0</x:v>
      </x:c>
      <x:c r="J1096" s="27" t="n">
        <x:f>IF(AND(ISNUMBER(G1096),F1096&gt;0),G1096/F1096-1,"")</x:f>
        <x:v>0</x:v>
      </x:c>
      <x:c r="K1096" s="19" t="str">
        <x:v>Exp_3/EXP035/results/seed748076223_Fixed_rank_10.json</x:v>
      </x:c>
    </x:row>
    <x:row r="1097" ht="15" hidden="0" customHeight="1">
      <x:c r="A1097" s="3" t="str">
        <x:v>EXP035</x:v>
      </x:c>
      <x:c r="B1097" s="3" t="str">
        <x:v>Exp. 3</x:v>
      </x:c>
      <x:c r="C1097" s="18" t="n">
        <x:v>748076223</x:v>
      </x:c>
      <x:c r="D1097" s="3" t="str">
        <x:v>Fixed rank 25</x:v>
      </x:c>
      <x:c r="E1097" s="18" t="n">
        <x:v>200</x:v>
      </x:c>
      <x:c r="F1097" s="21" t="n">
        <x:v>647.8270400568952</x:v>
      </x:c>
      <x:c r="G1097" s="21" t="n">
        <x:f>F1094</x:f>
        <x:v>647.8270400568952</x:v>
      </x:c>
      <x:c r="H1097" s="21" t="n">
        <x:f>F1099</x:f>
        <x:v>647.8270400568952</x:v>
      </x:c>
      <x:c r="I1097" s="27" t="n">
        <x:f>IF(AND(ISNUMBER(G1097),ISNUMBER(H1097),H1097&gt;0),G1097/H1097-1,"")</x:f>
        <x:v>0</x:v>
      </x:c>
      <x:c r="J1097" s="27" t="n">
        <x:f>IF(AND(ISNUMBER(G1097),F1097&gt;0),G1097/F1097-1,"")</x:f>
        <x:v>0</x:v>
      </x:c>
      <x:c r="K1097" s="19" t="str">
        <x:v>Exp_3/EXP035/results/seed748076223_Fixed_rank_25.json</x:v>
      </x:c>
    </x:row>
    <x:row r="1098" ht="15" hidden="0" customHeight="1">
      <x:c r="A1098" s="3" t="str">
        <x:v>EXP035</x:v>
      </x:c>
      <x:c r="B1098" s="3" t="str">
        <x:v>Exp. 3</x:v>
      </x:c>
      <x:c r="C1098" s="18" t="n">
        <x:v>748076223</x:v>
      </x:c>
      <x:c r="D1098" s="3" t="str">
        <x:v>Relative cutoff 1e-6</x:v>
      </x:c>
      <x:c r="E1098" s="18" t="n">
        <x:v>200</x:v>
      </x:c>
      <x:c r="F1098" s="21" t="n">
        <x:v>647.8270400568952</x:v>
      </x:c>
      <x:c r="G1098" s="21" t="n">
        <x:f>F1094</x:f>
        <x:v>647.8270400568952</x:v>
      </x:c>
      <x:c r="H1098" s="21" t="n">
        <x:f>F1099</x:f>
        <x:v>647.8270400568952</x:v>
      </x:c>
      <x:c r="I1098" s="27" t="n">
        <x:f>IF(AND(ISNUMBER(G1098),ISNUMBER(H1098),H1098&gt;0),G1098/H1098-1,"")</x:f>
        <x:v>0</x:v>
      </x:c>
      <x:c r="J1098" s="27" t="n">
        <x:f>IF(AND(ISNUMBER(G1098),F1098&gt;0),G1098/F1098-1,"")</x:f>
        <x:v>0</x:v>
      </x:c>
      <x:c r="K1098" s="19" t="str">
        <x:v>Exp_3/EXP035/results/seed748076223_Relative_cutoff_1e-6.json</x:v>
      </x:c>
    </x:row>
    <x:row r="1099" ht="15" hidden="0" customHeight="1">
      <x:c r="A1099" s="3" t="str">
        <x:v>EXP035</x:v>
      </x:c>
      <x:c r="B1099" s="3" t="str">
        <x:v>Exp. 3</x:v>
      </x:c>
      <x:c r="C1099" s="18" t="n">
        <x:v>748076223</x:v>
      </x:c>
      <x:c r="D1099" s="3" t="str">
        <x:v>Full</x:v>
      </x:c>
      <x:c r="E1099" s="18" t="n">
        <x:v>200</x:v>
      </x:c>
      <x:c r="F1099" s="21" t="n">
        <x:v>647.8270400568952</x:v>
      </x:c>
      <x:c r="G1099" s="21" t="n">
        <x:f>F1094</x:f>
        <x:v>647.8270400568952</x:v>
      </x:c>
      <x:c r="H1099" s="21" t="n">
        <x:f>F1099</x:f>
        <x:v>647.8270400568952</x:v>
      </x:c>
      <x:c r="I1099" s="27" t="n">
        <x:f>IF(AND(ISNUMBER(G1099),ISNUMBER(H1099),H1099&gt;0),G1099/H1099-1,"")</x:f>
        <x:v>0</x:v>
      </x:c>
      <x:c r="J1099" s="27" t="n">
        <x:f>IF(AND(ISNUMBER(G1099),F1099&gt;0),G1099/F1099-1,"")</x:f>
        <x:v>0</x:v>
      </x:c>
      <x:c r="K1099" s="19" t="str">
        <x:v>Exp_3/EXP035/results/seed748076223_Full.json</x:v>
      </x:c>
    </x:row>
    <x:row r="1100" ht="15" hidden="0" customHeight="1">
      <x:c r="A1100" s="3" t="str">
        <x:v>EXP035</x:v>
      </x:c>
      <x:c r="B1100" s="3" t="str">
        <x:v>Exp. 3</x:v>
      </x:c>
      <x:c r="C1100" s="18" t="n">
        <x:v>748076223</x:v>
      </x:c>
      <x:c r="D1100" s="3" t="str">
        <x:v>Relative cutoff 1e-2</x:v>
      </x:c>
      <x:c r="E1100" s="18" t="n">
        <x:v>200</x:v>
      </x:c>
      <x:c r="F1100" s="21" t="n">
        <x:v>631.9948805538206</x:v>
      </x:c>
      <x:c r="G1100" s="21" t="n">
        <x:f>F1094</x:f>
        <x:v>647.8270400568952</x:v>
      </x:c>
      <x:c r="H1100" s="21" t="n">
        <x:f>F1099</x:f>
        <x:v>647.8270400568952</x:v>
      </x:c>
      <x:c r="I1100" s="27" t="n">
        <x:f>IF(AND(ISNUMBER(G1100),ISNUMBER(H1100),H1100&gt;0),G1100/H1100-1,"")</x:f>
        <x:v>0</x:v>
      </x:c>
      <x:c r="J1100" s="27" t="n">
        <x:f>IF(AND(ISNUMBER(G1100),F1100&gt;0),G1100/F1100-1,"")</x:f>
        <x:v>0.02505108821324753</x:v>
      </x:c>
      <x:c r="K1100" s="19" t="str">
        <x:v>Exp_3/EXP035/results/seed748076223_Relative_cutoff_1e-2.json</x:v>
      </x:c>
    </x:row>
    <x:row r="1101" ht="15" hidden="0" customHeight="1">
      <x:c r="A1101" s="3" t="str">
        <x:v>EXP035</x:v>
      </x:c>
      <x:c r="B1101" s="3" t="str">
        <x:v>Exp. 3</x:v>
      </x:c>
      <x:c r="C1101" s="18" t="n">
        <x:v>748076223</x:v>
      </x:c>
      <x:c r="D1101" s="3" t="str">
        <x:v>Relative cutoff 1e-4</x:v>
      </x:c>
      <x:c r="E1101" s="18" t="n">
        <x:v>200</x:v>
      </x:c>
      <x:c r="F1101" s="21" t="n">
        <x:v>641.7513128018429</x:v>
      </x:c>
      <x:c r="G1101" s="21" t="n">
        <x:f>F1094</x:f>
        <x:v>647.8270400568952</x:v>
      </x:c>
      <x:c r="H1101" s="21" t="n">
        <x:f>F1099</x:f>
        <x:v>647.8270400568952</x:v>
      </x:c>
      <x:c r="I1101" s="27" t="n">
        <x:f>IF(AND(ISNUMBER(G1101),ISNUMBER(H1101),H1101&gt;0),G1101/H1101-1,"")</x:f>
        <x:v>0</x:v>
      </x:c>
      <x:c r="J1101" s="27" t="n">
        <x:f>IF(AND(ISNUMBER(G1101),F1101&gt;0),G1101/F1101-1,"")</x:f>
        <x:v>0.009467416947736451</x:v>
      </x:c>
      <x:c r="K1101" s="19" t="str">
        <x:v>Exp_3/EXP035/results/seed748076223_Relative_cutoff_1e-4.json</x:v>
      </x:c>
    </x:row>
    <x:row r="1102" ht="15" hidden="0" customHeight="1">
      <x:c r="A1102" s="3" t="str">
        <x:v>EXP035</x:v>
      </x:c>
      <x:c r="B1102" s="3" t="str">
        <x:v>Exp. 3</x:v>
      </x:c>
      <x:c r="C1102" s="18" t="n">
        <x:v>806884711</x:v>
      </x:c>
      <x:c r="D1102" s="3" t="str">
        <x:v>BBP</x:v>
      </x:c>
      <x:c r="E1102" s="18" t="n">
        <x:v>200</x:v>
      </x:c>
      <x:c r="F1102" s="21" t="n">
        <x:v>652.2610497564327</x:v>
      </x:c>
      <x:c r="G1102" s="21" t="n">
        <x:f>F1102</x:f>
        <x:v>652.2610497564327</x:v>
      </x:c>
      <x:c r="H1102" s="21" t="n">
        <x:f>F1107</x:f>
        <x:v>664.9628008378949</x:v>
      </x:c>
      <x:c r="I1102" s="27" t="n">
        <x:f>IF(AND(ISNUMBER(G1102),ISNUMBER(H1102),H1102&gt;0),G1102/H1102-1,"")</x:f>
        <x:v>-0.019101446074061834</x:v>
      </x:c>
      <x:c r="J1102" s="27" t="n">
        <x:f>IF(AND(ISNUMBER(G1102),F1102&gt;0),G1102/F1102-1,"")</x:f>
        <x:v>0</x:v>
      </x:c>
      <x:c r="K1102" s="19" t="str">
        <x:v>Exp_3/EXP035/results/seed806884711_BBP.json</x:v>
      </x:c>
    </x:row>
    <x:row r="1103" ht="15" hidden="0" customHeight="1">
      <x:c r="A1103" s="3" t="str">
        <x:v>EXP035</x:v>
      </x:c>
      <x:c r="B1103" s="3" t="str">
        <x:v>Exp. 3</x:v>
      </x:c>
      <x:c r="C1103" s="18" t="n">
        <x:v>806884711</x:v>
      </x:c>
      <x:c r="D1103" s="3" t="str">
        <x:v>Relative cutoff 1e-5</x:v>
      </x:c>
      <x:c r="E1103" s="18" t="n">
        <x:v>200</x:v>
      </x:c>
      <x:c r="F1103" s="21" t="n">
        <x:v>652.2610497564327</x:v>
      </x:c>
      <x:c r="G1103" s="21" t="n">
        <x:f>F1102</x:f>
        <x:v>652.2610497564327</x:v>
      </x:c>
      <x:c r="H1103" s="21" t="n">
        <x:f>F1107</x:f>
        <x:v>664.9628008378949</x:v>
      </x:c>
      <x:c r="I1103" s="27" t="n">
        <x:f>IF(AND(ISNUMBER(G1103),ISNUMBER(H1103),H1103&gt;0),G1103/H1103-1,"")</x:f>
        <x:v>-0.019101446074061834</x:v>
      </x:c>
      <x:c r="J1103" s="27" t="n">
        <x:f>IF(AND(ISNUMBER(G1103),F1103&gt;0),G1103/F1103-1,"")</x:f>
        <x:v>0</x:v>
      </x:c>
      <x:c r="K1103" s="19" t="str">
        <x:v>Exp_3/EXP035/results/seed806884711_Relative_cutoff_1e-5.json</x:v>
      </x:c>
    </x:row>
    <x:row r="1104" ht="15" hidden="0" customHeight="1">
      <x:c r="A1104" s="3" t="str">
        <x:v>EXP035</x:v>
      </x:c>
      <x:c r="B1104" s="3" t="str">
        <x:v>Exp. 3</x:v>
      </x:c>
      <x:c r="C1104" s="18" t="n">
        <x:v>806884711</x:v>
      </x:c>
      <x:c r="D1104" s="3" t="str">
        <x:v>Fixed rank 10</x:v>
      </x:c>
      <x:c r="E1104" s="18" t="n">
        <x:v>200</x:v>
      </x:c>
      <x:c r="F1104" s="21" t="n">
        <x:v>664.9628008378949</x:v>
      </x:c>
      <x:c r="G1104" s="21" t="n">
        <x:f>F1102</x:f>
        <x:v>652.2610497564327</x:v>
      </x:c>
      <x:c r="H1104" s="21" t="n">
        <x:f>F1107</x:f>
        <x:v>664.9628008378949</x:v>
      </x:c>
      <x:c r="I1104" s="27" t="n">
        <x:f>IF(AND(ISNUMBER(G1104),ISNUMBER(H1104),H1104&gt;0),G1104/H1104-1,"")</x:f>
        <x:v>-0.019101446074061834</x:v>
      </x:c>
      <x:c r="J1104" s="27" t="n">
        <x:f>IF(AND(ISNUMBER(G1104),F1104&gt;0),G1104/F1104-1,"")</x:f>
        <x:v>-0.019101446074061834</x:v>
      </x:c>
      <x:c r="K1104" s="19" t="str">
        <x:v>Exp_3/EXP035/results/seed806884711_Fixed_rank_10.json</x:v>
      </x:c>
    </x:row>
    <x:row r="1105" ht="15" hidden="0" customHeight="1">
      <x:c r="A1105" s="3" t="str">
        <x:v>EXP035</x:v>
      </x:c>
      <x:c r="B1105" s="3" t="str">
        <x:v>Exp. 3</x:v>
      </x:c>
      <x:c r="C1105" s="18" t="n">
        <x:v>806884711</x:v>
      </x:c>
      <x:c r="D1105" s="3" t="str">
        <x:v>Fixed rank 25</x:v>
      </x:c>
      <x:c r="E1105" s="18" t="n">
        <x:v>200</x:v>
      </x:c>
      <x:c r="F1105" s="21" t="n">
        <x:v>652.3327681552412</x:v>
      </x:c>
      <x:c r="G1105" s="21" t="n">
        <x:f>F1102</x:f>
        <x:v>652.2610497564327</x:v>
      </x:c>
      <x:c r="H1105" s="21" t="n">
        <x:f>F1107</x:f>
        <x:v>664.9628008378949</x:v>
      </x:c>
      <x:c r="I1105" s="27" t="n">
        <x:f>IF(AND(ISNUMBER(G1105),ISNUMBER(H1105),H1105&gt;0),G1105/H1105-1,"")</x:f>
        <x:v>-0.019101446074061834</x:v>
      </x:c>
      <x:c r="J1105" s="27" t="n">
        <x:f>IF(AND(ISNUMBER(G1105),F1105&gt;0),G1105/F1105-1,"")</x:f>
        <x:v>-0.00010994143220988128</x:v>
      </x:c>
      <x:c r="K1105" s="19" t="str">
        <x:v>Exp_3/EXP035/results/seed806884711_Fixed_rank_25.json</x:v>
      </x:c>
    </x:row>
    <x:row r="1106" ht="15" hidden="0" customHeight="1">
      <x:c r="A1106" s="3" t="str">
        <x:v>EXP035</x:v>
      </x:c>
      <x:c r="B1106" s="3" t="str">
        <x:v>Exp. 3</x:v>
      </x:c>
      <x:c r="C1106" s="18" t="n">
        <x:v>806884711</x:v>
      </x:c>
      <x:c r="D1106" s="3" t="str">
        <x:v>Relative cutoff 1e-6</x:v>
      </x:c>
      <x:c r="E1106" s="18" t="n">
        <x:v>200</x:v>
      </x:c>
      <x:c r="F1106" s="21" t="n">
        <x:v>664.9628008378949</x:v>
      </x:c>
      <x:c r="G1106" s="21" t="n">
        <x:f>F1102</x:f>
        <x:v>652.2610497564327</x:v>
      </x:c>
      <x:c r="H1106" s="21" t="n">
        <x:f>F1107</x:f>
        <x:v>664.9628008378949</x:v>
      </x:c>
      <x:c r="I1106" s="27" t="n">
        <x:f>IF(AND(ISNUMBER(G1106),ISNUMBER(H1106),H1106&gt;0),G1106/H1106-1,"")</x:f>
        <x:v>-0.019101446074061834</x:v>
      </x:c>
      <x:c r="J1106" s="27" t="n">
        <x:f>IF(AND(ISNUMBER(G1106),F1106&gt;0),G1106/F1106-1,"")</x:f>
        <x:v>-0.019101446074061834</x:v>
      </x:c>
      <x:c r="K1106" s="19" t="str">
        <x:v>Exp_3/EXP035/results/seed806884711_Relative_cutoff_1e-6.json</x:v>
      </x:c>
    </x:row>
    <x:row r="1107" ht="15" hidden="0" customHeight="1">
      <x:c r="A1107" s="3" t="str">
        <x:v>EXP035</x:v>
      </x:c>
      <x:c r="B1107" s="3" t="str">
        <x:v>Exp. 3</x:v>
      </x:c>
      <x:c r="C1107" s="18" t="n">
        <x:v>806884711</x:v>
      </x:c>
      <x:c r="D1107" s="3" t="str">
        <x:v>Full</x:v>
      </x:c>
      <x:c r="E1107" s="18" t="n">
        <x:v>200</x:v>
      </x:c>
      <x:c r="F1107" s="21" t="n">
        <x:v>664.9628008378949</x:v>
      </x:c>
      <x:c r="G1107" s="21" t="n">
        <x:f>F1102</x:f>
        <x:v>652.2610497564327</x:v>
      </x:c>
      <x:c r="H1107" s="21" t="n">
        <x:f>F1107</x:f>
        <x:v>664.9628008378949</x:v>
      </x:c>
      <x:c r="I1107" s="27" t="n">
        <x:f>IF(AND(ISNUMBER(G1107),ISNUMBER(H1107),H1107&gt;0),G1107/H1107-1,"")</x:f>
        <x:v>-0.019101446074061834</x:v>
      </x:c>
      <x:c r="J1107" s="27" t="n">
        <x:f>IF(AND(ISNUMBER(G1107),F1107&gt;0),G1107/F1107-1,"")</x:f>
        <x:v>-0.019101446074061834</x:v>
      </x:c>
      <x:c r="K1107" s="19" t="str">
        <x:v>Exp_3/EXP035/results/seed806884711_Full.json</x:v>
      </x:c>
    </x:row>
    <x:row r="1108" ht="15" hidden="0" customHeight="1">
      <x:c r="A1108" s="3" t="str">
        <x:v>EXP035</x:v>
      </x:c>
      <x:c r="B1108" s="3" t="str">
        <x:v>Exp. 3</x:v>
      </x:c>
      <x:c r="C1108" s="18" t="n">
        <x:v>806884711</x:v>
      </x:c>
      <x:c r="D1108" s="3" t="str">
        <x:v>Relative cutoff 1e-2</x:v>
      </x:c>
      <x:c r="E1108" s="18" t="n">
        <x:v>200</x:v>
      </x:c>
      <x:c r="F1108" s="21" t="n">
        <x:v>663.8873126746273</x:v>
      </x:c>
      <x:c r="G1108" s="21" t="n">
        <x:f>F1102</x:f>
        <x:v>652.2610497564327</x:v>
      </x:c>
      <x:c r="H1108" s="21" t="n">
        <x:f>F1107</x:f>
        <x:v>664.9628008378949</x:v>
      </x:c>
      <x:c r="I1108" s="27" t="n">
        <x:f>IF(AND(ISNUMBER(G1108),ISNUMBER(H1108),H1108&gt;0),G1108/H1108-1,"")</x:f>
        <x:v>-0.019101446074061834</x:v>
      </x:c>
      <x:c r="J1108" s="27" t="n">
        <x:f>IF(AND(ISNUMBER(G1108),F1108&gt;0),G1108/F1108-1,"")</x:f>
        <x:v>-0.017512404132796866</x:v>
      </x:c>
      <x:c r="K1108" s="19" t="str">
        <x:v>Exp_3/EXP035/results/seed806884711_Relative_cutoff_1e-2.json</x:v>
      </x:c>
    </x:row>
    <x:row r="1109" ht="15" hidden="0" customHeight="1">
      <x:c r="A1109" s="3" t="str">
        <x:v>EXP035</x:v>
      </x:c>
      <x:c r="B1109" s="3" t="str">
        <x:v>Exp. 3</x:v>
      </x:c>
      <x:c r="C1109" s="18" t="n">
        <x:v>806884711</x:v>
      </x:c>
      <x:c r="D1109" s="3" t="str">
        <x:v>Relative cutoff 1e-4</x:v>
      </x:c>
      <x:c r="E1109" s="18" t="n">
        <x:v>200</x:v>
      </x:c>
      <x:c r="F1109" s="21" t="n">
        <x:v>664.9628008378949</x:v>
      </x:c>
      <x:c r="G1109" s="21" t="n">
        <x:f>F1102</x:f>
        <x:v>652.2610497564327</x:v>
      </x:c>
      <x:c r="H1109" s="21" t="n">
        <x:f>F1107</x:f>
        <x:v>664.9628008378949</x:v>
      </x:c>
      <x:c r="I1109" s="27" t="n">
        <x:f>IF(AND(ISNUMBER(G1109),ISNUMBER(H1109),H1109&gt;0),G1109/H1109-1,"")</x:f>
        <x:v>-0.019101446074061834</x:v>
      </x:c>
      <x:c r="J1109" s="27" t="n">
        <x:f>IF(AND(ISNUMBER(G1109),F1109&gt;0),G1109/F1109-1,"")</x:f>
        <x:v>-0.019101446074061834</x:v>
      </x:c>
      <x:c r="K1109" s="19" t="str">
        <x:v>Exp_3/EXP035/results/seed806884711_Relative_cutoff_1e-4.json</x:v>
      </x:c>
    </x:row>
    <x:row r="1110" ht="15" hidden="0" customHeight="1">
      <x:c r="A1110" s="3" t="str">
        <x:v>EXP035</x:v>
      </x:c>
      <x:c r="B1110" s="3" t="str">
        <x:v>Exp. 3</x:v>
      </x:c>
      <x:c r="C1110" s="18" t="n">
        <x:v>954779777</x:v>
      </x:c>
      <x:c r="D1110" s="3" t="str">
        <x:v>BBP</x:v>
      </x:c>
      <x:c r="E1110" s="18" t="n">
        <x:v>200</x:v>
      </x:c>
      <x:c r="F1110" s="21" t="n">
        <x:v>669.4060949822151</x:v>
      </x:c>
      <x:c r="G1110" s="21" t="n">
        <x:f>F1110</x:f>
        <x:v>669.4060949822151</x:v>
      </x:c>
      <x:c r="H1110" s="21" t="n">
        <x:f>F1115</x:f>
        <x:v>669.4060949822151</x:v>
      </x:c>
      <x:c r="I1110" s="27" t="n">
        <x:f>IF(AND(ISNUMBER(G1110),ISNUMBER(H1110),H1110&gt;0),G1110/H1110-1,"")</x:f>
        <x:v>0</x:v>
      </x:c>
      <x:c r="J1110" s="27" t="n">
        <x:f>IF(AND(ISNUMBER(G1110),F1110&gt;0),G1110/F1110-1,"")</x:f>
        <x:v>0</x:v>
      </x:c>
      <x:c r="K1110" s="19" t="str">
        <x:v>Exp_3/EXP035/results/seed954779777_BBP.json</x:v>
      </x:c>
    </x:row>
    <x:row r="1111" ht="15" hidden="0" customHeight="1">
      <x:c r="A1111" s="3" t="str">
        <x:v>EXP035</x:v>
      </x:c>
      <x:c r="B1111" s="3" t="str">
        <x:v>Exp. 3</x:v>
      </x:c>
      <x:c r="C1111" s="18" t="n">
        <x:v>954779777</x:v>
      </x:c>
      <x:c r="D1111" s="3" t="str">
        <x:v>Relative cutoff 1e-5</x:v>
      </x:c>
      <x:c r="E1111" s="18" t="n">
        <x:v>200</x:v>
      </x:c>
      <x:c r="F1111" s="21" t="n">
        <x:v>669.4060949822151</x:v>
      </x:c>
      <x:c r="G1111" s="21" t="n">
        <x:f>F1110</x:f>
        <x:v>669.4060949822151</x:v>
      </x:c>
      <x:c r="H1111" s="21" t="n">
        <x:f>F1115</x:f>
        <x:v>669.4060949822151</x:v>
      </x:c>
      <x:c r="I1111" s="27" t="n">
        <x:f>IF(AND(ISNUMBER(G1111),ISNUMBER(H1111),H1111&gt;0),G1111/H1111-1,"")</x:f>
        <x:v>0</x:v>
      </x:c>
      <x:c r="J1111" s="27" t="n">
        <x:f>IF(AND(ISNUMBER(G1111),F1111&gt;0),G1111/F1111-1,"")</x:f>
        <x:v>0</x:v>
      </x:c>
      <x:c r="K1111" s="19" t="str">
        <x:v>Exp_3/EXP035/results/seed954779777_Relative_cutoff_1e-5.json</x:v>
      </x:c>
    </x:row>
    <x:row r="1112" ht="15" hidden="0" customHeight="1">
      <x:c r="A1112" s="3" t="str">
        <x:v>EXP035</x:v>
      </x:c>
      <x:c r="B1112" s="3" t="str">
        <x:v>Exp. 3</x:v>
      </x:c>
      <x:c r="C1112" s="18" t="n">
        <x:v>954779777</x:v>
      </x:c>
      <x:c r="D1112" s="3" t="str">
        <x:v>Fixed rank 10</x:v>
      </x:c>
      <x:c r="E1112" s="18" t="n">
        <x:v>200</x:v>
      </x:c>
      <x:c r="F1112" s="21" t="n">
        <x:v>655.8297335388378</x:v>
      </x:c>
      <x:c r="G1112" s="21" t="n">
        <x:f>F1110</x:f>
        <x:v>669.4060949822151</x:v>
      </x:c>
      <x:c r="H1112" s="21" t="n">
        <x:f>F1115</x:f>
        <x:v>669.4060949822151</x:v>
      </x:c>
      <x:c r="I1112" s="27" t="n">
        <x:f>IF(AND(ISNUMBER(G1112),ISNUMBER(H1112),H1112&gt;0),G1112/H1112-1,"")</x:f>
        <x:v>0</x:v>
      </x:c>
      <x:c r="J1112" s="27" t="n">
        <x:f>IF(AND(ISNUMBER(G1112),F1112&gt;0),G1112/F1112-1,"")</x:f>
        <x:v>0.020701045940872076</x:v>
      </x:c>
      <x:c r="K1112" s="19" t="str">
        <x:v>Exp_3/EXP035/results/seed954779777_Fixed_rank_10.json</x:v>
      </x:c>
    </x:row>
    <x:row r="1113" ht="15" hidden="0" customHeight="1">
      <x:c r="A1113" s="3" t="str">
        <x:v>EXP035</x:v>
      </x:c>
      <x:c r="B1113" s="3" t="str">
        <x:v>Exp. 3</x:v>
      </x:c>
      <x:c r="C1113" s="18" t="n">
        <x:v>954779777</x:v>
      </x:c>
      <x:c r="D1113" s="3" t="str">
        <x:v>Fixed rank 25</x:v>
      </x:c>
      <x:c r="E1113" s="18" t="n">
        <x:v>200</x:v>
      </x:c>
      <x:c r="F1113" s="21" t="n">
        <x:v>669.4060949822151</x:v>
      </x:c>
      <x:c r="G1113" s="21" t="n">
        <x:f>F1110</x:f>
        <x:v>669.4060949822151</x:v>
      </x:c>
      <x:c r="H1113" s="21" t="n">
        <x:f>F1115</x:f>
        <x:v>669.4060949822151</x:v>
      </x:c>
      <x:c r="I1113" s="27" t="n">
        <x:f>IF(AND(ISNUMBER(G1113),ISNUMBER(H1113),H1113&gt;0),G1113/H1113-1,"")</x:f>
        <x:v>0</x:v>
      </x:c>
      <x:c r="J1113" s="27" t="n">
        <x:f>IF(AND(ISNUMBER(G1113),F1113&gt;0),G1113/F1113-1,"")</x:f>
        <x:v>0</x:v>
      </x:c>
      <x:c r="K1113" s="19" t="str">
        <x:v>Exp_3/EXP035/results/seed954779777_Fixed_rank_25.json</x:v>
      </x:c>
    </x:row>
    <x:row r="1114" ht="15" hidden="0" customHeight="1">
      <x:c r="A1114" s="3" t="str">
        <x:v>EXP035</x:v>
      </x:c>
      <x:c r="B1114" s="3" t="str">
        <x:v>Exp. 3</x:v>
      </x:c>
      <x:c r="C1114" s="18" t="n">
        <x:v>954779777</x:v>
      </x:c>
      <x:c r="D1114" s="3" t="str">
        <x:v>Relative cutoff 1e-6</x:v>
      </x:c>
      <x:c r="E1114" s="18" t="n">
        <x:v>200</x:v>
      </x:c>
      <x:c r="F1114" s="21" t="n">
        <x:v>669.4060949822151</x:v>
      </x:c>
      <x:c r="G1114" s="21" t="n">
        <x:f>F1110</x:f>
        <x:v>669.4060949822151</x:v>
      </x:c>
      <x:c r="H1114" s="21" t="n">
        <x:f>F1115</x:f>
        <x:v>669.4060949822151</x:v>
      </x:c>
      <x:c r="I1114" s="27" t="n">
        <x:f>IF(AND(ISNUMBER(G1114),ISNUMBER(H1114),H1114&gt;0),G1114/H1114-1,"")</x:f>
        <x:v>0</x:v>
      </x:c>
      <x:c r="J1114" s="27" t="n">
        <x:f>IF(AND(ISNUMBER(G1114),F1114&gt;0),G1114/F1114-1,"")</x:f>
        <x:v>0</x:v>
      </x:c>
      <x:c r="K1114" s="19" t="str">
        <x:v>Exp_3/EXP035/results/seed954779777_Relative_cutoff_1e-6.json</x:v>
      </x:c>
    </x:row>
    <x:row r="1115" ht="15" hidden="0" customHeight="1">
      <x:c r="A1115" s="3" t="str">
        <x:v>EXP035</x:v>
      </x:c>
      <x:c r="B1115" s="3" t="str">
        <x:v>Exp. 3</x:v>
      </x:c>
      <x:c r="C1115" s="18" t="n">
        <x:v>954779777</x:v>
      </x:c>
      <x:c r="D1115" s="3" t="str">
        <x:v>Full</x:v>
      </x:c>
      <x:c r="E1115" s="18" t="n">
        <x:v>200</x:v>
      </x:c>
      <x:c r="F1115" s="21" t="n">
        <x:v>669.4060949822151</x:v>
      </x:c>
      <x:c r="G1115" s="21" t="n">
        <x:f>F1110</x:f>
        <x:v>669.4060949822151</x:v>
      </x:c>
      <x:c r="H1115" s="21" t="n">
        <x:f>F1115</x:f>
        <x:v>669.4060949822151</x:v>
      </x:c>
      <x:c r="I1115" s="27" t="n">
        <x:f>IF(AND(ISNUMBER(G1115),ISNUMBER(H1115),H1115&gt;0),G1115/H1115-1,"")</x:f>
        <x:v>0</x:v>
      </x:c>
      <x:c r="J1115" s="27" t="n">
        <x:f>IF(AND(ISNUMBER(G1115),F1115&gt;0),G1115/F1115-1,"")</x:f>
        <x:v>0</x:v>
      </x:c>
      <x:c r="K1115" s="19" t="str">
        <x:v>Exp_3/EXP035/results/seed954779777_Full.json</x:v>
      </x:c>
    </x:row>
    <x:row r="1116" ht="15" hidden="0" customHeight="1">
      <x:c r="A1116" s="3" t="str">
        <x:v>EXP035</x:v>
      </x:c>
      <x:c r="B1116" s="3" t="str">
        <x:v>Exp. 3</x:v>
      </x:c>
      <x:c r="C1116" s="18" t="n">
        <x:v>954779777</x:v>
      </x:c>
      <x:c r="D1116" s="3" t="str">
        <x:v>Relative cutoff 1e-2</x:v>
      </x:c>
      <x:c r="E1116" s="18" t="n">
        <x:v>200</x:v>
      </x:c>
      <x:c r="F1116" s="21" t="n">
        <x:v>652.2922600179944</x:v>
      </x:c>
      <x:c r="G1116" s="21" t="n">
        <x:f>F1110</x:f>
        <x:v>669.4060949822151</x:v>
      </x:c>
      <x:c r="H1116" s="21" t="n">
        <x:f>F1115</x:f>
        <x:v>669.4060949822151</x:v>
      </x:c>
      <x:c r="I1116" s="27" t="n">
        <x:f>IF(AND(ISNUMBER(G1116),ISNUMBER(H1116),H1116&gt;0),G1116/H1116-1,"")</x:f>
        <x:v>0</x:v>
      </x:c>
      <x:c r="J1116" s="27" t="n">
        <x:f>IF(AND(ISNUMBER(G1116),F1116&gt;0),G1116/F1116-1,"")</x:f>
        <x:v>0.026236452604463834</x:v>
      </x:c>
      <x:c r="K1116" s="19" t="str">
        <x:v>Exp_3/EXP035/results/seed954779777_Relative_cutoff_1e-2.json</x:v>
      </x:c>
    </x:row>
    <x:row r="1117" ht="15" hidden="0" customHeight="1">
      <x:c r="A1117" s="3" t="str">
        <x:v>EXP035</x:v>
      </x:c>
      <x:c r="B1117" s="3" t="str">
        <x:v>Exp. 3</x:v>
      </x:c>
      <x:c r="C1117" s="18" t="n">
        <x:v>954779777</x:v>
      </x:c>
      <x:c r="D1117" s="3" t="str">
        <x:v>Relative cutoff 1e-4</x:v>
      </x:c>
      <x:c r="E1117" s="18" t="n">
        <x:v>200</x:v>
      </x:c>
      <x:c r="F1117" s="21" t="n">
        <x:v>655.8297335388378</x:v>
      </x:c>
      <x:c r="G1117" s="21" t="n">
        <x:f>F1110</x:f>
        <x:v>669.4060949822151</x:v>
      </x:c>
      <x:c r="H1117" s="21" t="n">
        <x:f>F1115</x:f>
        <x:v>669.4060949822151</x:v>
      </x:c>
      <x:c r="I1117" s="27" t="n">
        <x:f>IF(AND(ISNUMBER(G1117),ISNUMBER(H1117),H1117&gt;0),G1117/H1117-1,"")</x:f>
        <x:v>0</x:v>
      </x:c>
      <x:c r="J1117" s="27" t="n">
        <x:f>IF(AND(ISNUMBER(G1117),F1117&gt;0),G1117/F1117-1,"")</x:f>
        <x:v>0.020701045940872076</x:v>
      </x:c>
      <x:c r="K1117" s="19" t="str">
        <x:v>Exp_3/EXP035/results/seed954779777_Relative_cutoff_1e-4.json</x:v>
      </x:c>
    </x:row>
    <x:row r="1118" ht="15" hidden="0" customHeight="1">
      <x:c r="A1118" s="3" t="str">
        <x:v>EXP035</x:v>
      </x:c>
      <x:c r="B1118" s="3" t="str">
        <x:v>Exp. 3</x:v>
      </x:c>
      <x:c r="C1118" s="18" t="n">
        <x:v>1084613802</x:v>
      </x:c>
      <x:c r="D1118" s="3" t="str">
        <x:v>BBP</x:v>
      </x:c>
      <x:c r="E1118" s="18" t="n">
        <x:v>200</x:v>
      </x:c>
      <x:c r="F1118" s="21" t="n">
        <x:v>731.4554277478081</x:v>
      </x:c>
      <x:c r="G1118" s="21" t="n">
        <x:f>F1118</x:f>
        <x:v>731.4554277478081</x:v>
      </x:c>
      <x:c r="H1118" s="21" t="n">
        <x:f>F1123</x:f>
        <x:v>731.4554277478081</x:v>
      </x:c>
      <x:c r="I1118" s="27" t="n">
        <x:f>IF(AND(ISNUMBER(G1118),ISNUMBER(H1118),H1118&gt;0),G1118/H1118-1,"")</x:f>
        <x:v>0</x:v>
      </x:c>
      <x:c r="J1118" s="27" t="n">
        <x:f>IF(AND(ISNUMBER(G1118),F1118&gt;0),G1118/F1118-1,"")</x:f>
        <x:v>0</x:v>
      </x:c>
      <x:c r="K1118" s="19" t="str">
        <x:v>Exp_3/EXP035/results/seed1084613802_BBP.json</x:v>
      </x:c>
    </x:row>
    <x:row r="1119" ht="15" hidden="0" customHeight="1">
      <x:c r="A1119" s="3" t="str">
        <x:v>EXP035</x:v>
      </x:c>
      <x:c r="B1119" s="3" t="str">
        <x:v>Exp. 3</x:v>
      </x:c>
      <x:c r="C1119" s="18" t="n">
        <x:v>1084613802</x:v>
      </x:c>
      <x:c r="D1119" s="3" t="str">
        <x:v>Relative cutoff 1e-5</x:v>
      </x:c>
      <x:c r="E1119" s="18" t="n">
        <x:v>200</x:v>
      </x:c>
      <x:c r="F1119" s="21" t="n">
        <x:v>731.4554277478081</x:v>
      </x:c>
      <x:c r="G1119" s="21" t="n">
        <x:f>F1118</x:f>
        <x:v>731.4554277478081</x:v>
      </x:c>
      <x:c r="H1119" s="21" t="n">
        <x:f>F1123</x:f>
        <x:v>731.4554277478081</x:v>
      </x:c>
      <x:c r="I1119" s="27" t="n">
        <x:f>IF(AND(ISNUMBER(G1119),ISNUMBER(H1119),H1119&gt;0),G1119/H1119-1,"")</x:f>
        <x:v>0</x:v>
      </x:c>
      <x:c r="J1119" s="27" t="n">
        <x:f>IF(AND(ISNUMBER(G1119),F1119&gt;0),G1119/F1119-1,"")</x:f>
        <x:v>0</x:v>
      </x:c>
      <x:c r="K1119" s="19" t="str">
        <x:v>Exp_3/EXP035/results/seed1084613802_Relative_cutoff_1e-5.json</x:v>
      </x:c>
    </x:row>
    <x:row r="1120" ht="15" hidden="0" customHeight="1">
      <x:c r="A1120" s="3" t="str">
        <x:v>EXP035</x:v>
      </x:c>
      <x:c r="B1120" s="3" t="str">
        <x:v>Exp. 3</x:v>
      </x:c>
      <x:c r="C1120" s="18" t="n">
        <x:v>1084613802</x:v>
      </x:c>
      <x:c r="D1120" s="3" t="str">
        <x:v>Fixed rank 10</x:v>
      </x:c>
      <x:c r="E1120" s="18" t="n">
        <x:v>200</x:v>
      </x:c>
      <x:c r="F1120" s="21" t="n">
        <x:v>731.4554277478081</x:v>
      </x:c>
      <x:c r="G1120" s="21" t="n">
        <x:f>F1118</x:f>
        <x:v>731.4554277478081</x:v>
      </x:c>
      <x:c r="H1120" s="21" t="n">
        <x:f>F1123</x:f>
        <x:v>731.4554277478081</x:v>
      </x:c>
      <x:c r="I1120" s="27" t="n">
        <x:f>IF(AND(ISNUMBER(G1120),ISNUMBER(H1120),H1120&gt;0),G1120/H1120-1,"")</x:f>
        <x:v>0</x:v>
      </x:c>
      <x:c r="J1120" s="27" t="n">
        <x:f>IF(AND(ISNUMBER(G1120),F1120&gt;0),G1120/F1120-1,"")</x:f>
        <x:v>0</x:v>
      </x:c>
      <x:c r="K1120" s="19" t="str">
        <x:v>Exp_3/EXP035/results/seed1084613802_Fixed_rank_10.json</x:v>
      </x:c>
    </x:row>
    <x:row r="1121" ht="15" hidden="0" customHeight="1">
      <x:c r="A1121" s="3" t="str">
        <x:v>EXP035</x:v>
      </x:c>
      <x:c r="B1121" s="3" t="str">
        <x:v>Exp. 3</x:v>
      </x:c>
      <x:c r="C1121" s="18" t="n">
        <x:v>1084613802</x:v>
      </x:c>
      <x:c r="D1121" s="3" t="str">
        <x:v>Fixed rank 25</x:v>
      </x:c>
      <x:c r="E1121" s="18" t="n">
        <x:v>200</x:v>
      </x:c>
      <x:c r="F1121" s="21" t="n">
        <x:v>731.4554277478081</x:v>
      </x:c>
      <x:c r="G1121" s="21" t="n">
        <x:f>F1118</x:f>
        <x:v>731.4554277478081</x:v>
      </x:c>
      <x:c r="H1121" s="21" t="n">
        <x:f>F1123</x:f>
        <x:v>731.4554277478081</x:v>
      </x:c>
      <x:c r="I1121" s="27" t="n">
        <x:f>IF(AND(ISNUMBER(G1121),ISNUMBER(H1121),H1121&gt;0),G1121/H1121-1,"")</x:f>
        <x:v>0</x:v>
      </x:c>
      <x:c r="J1121" s="27" t="n">
        <x:f>IF(AND(ISNUMBER(G1121),F1121&gt;0),G1121/F1121-1,"")</x:f>
        <x:v>0</x:v>
      </x:c>
      <x:c r="K1121" s="19" t="str">
        <x:v>Exp_3/EXP035/results/seed1084613802_Fixed_rank_25.json</x:v>
      </x:c>
    </x:row>
    <x:row r="1122" ht="15" hidden="0" customHeight="1">
      <x:c r="A1122" s="3" t="str">
        <x:v>EXP035</x:v>
      </x:c>
      <x:c r="B1122" s="3" t="str">
        <x:v>Exp. 3</x:v>
      </x:c>
      <x:c r="C1122" s="18" t="n">
        <x:v>1084613802</x:v>
      </x:c>
      <x:c r="D1122" s="3" t="str">
        <x:v>Relative cutoff 1e-6</x:v>
      </x:c>
      <x:c r="E1122" s="18" t="n">
        <x:v>200</x:v>
      </x:c>
      <x:c r="F1122" s="21" t="n">
        <x:v>731.4554277478081</x:v>
      </x:c>
      <x:c r="G1122" s="21" t="n">
        <x:f>F1118</x:f>
        <x:v>731.4554277478081</x:v>
      </x:c>
      <x:c r="H1122" s="21" t="n">
        <x:f>F1123</x:f>
        <x:v>731.4554277478081</x:v>
      </x:c>
      <x:c r="I1122" s="27" t="n">
        <x:f>IF(AND(ISNUMBER(G1122),ISNUMBER(H1122),H1122&gt;0),G1122/H1122-1,"")</x:f>
        <x:v>0</x:v>
      </x:c>
      <x:c r="J1122" s="27" t="n">
        <x:f>IF(AND(ISNUMBER(G1122),F1122&gt;0),G1122/F1122-1,"")</x:f>
        <x:v>0</x:v>
      </x:c>
      <x:c r="K1122" s="19" t="str">
        <x:v>Exp_3/EXP035/results/seed1084613802_Relative_cutoff_1e-6.json</x:v>
      </x:c>
    </x:row>
    <x:row r="1123" ht="15" hidden="0" customHeight="1">
      <x:c r="A1123" s="3" t="str">
        <x:v>EXP035</x:v>
      </x:c>
      <x:c r="B1123" s="3" t="str">
        <x:v>Exp. 3</x:v>
      </x:c>
      <x:c r="C1123" s="18" t="n">
        <x:v>1084613802</x:v>
      </x:c>
      <x:c r="D1123" s="3" t="str">
        <x:v>Full</x:v>
      </x:c>
      <x:c r="E1123" s="18" t="n">
        <x:v>200</x:v>
      </x:c>
      <x:c r="F1123" s="21" t="n">
        <x:v>731.4554277478081</x:v>
      </x:c>
      <x:c r="G1123" s="21" t="n">
        <x:f>F1118</x:f>
        <x:v>731.4554277478081</x:v>
      </x:c>
      <x:c r="H1123" s="21" t="n">
        <x:f>F1123</x:f>
        <x:v>731.4554277478081</x:v>
      </x:c>
      <x:c r="I1123" s="27" t="n">
        <x:f>IF(AND(ISNUMBER(G1123),ISNUMBER(H1123),H1123&gt;0),G1123/H1123-1,"")</x:f>
        <x:v>0</x:v>
      </x:c>
      <x:c r="J1123" s="27" t="n">
        <x:f>IF(AND(ISNUMBER(G1123),F1123&gt;0),G1123/F1123-1,"")</x:f>
        <x:v>0</x:v>
      </x:c>
      <x:c r="K1123" s="19" t="str">
        <x:v>Exp_3/EXP035/results/seed1084613802_Full.json</x:v>
      </x:c>
    </x:row>
    <x:row r="1124" ht="15" hidden="0" customHeight="1">
      <x:c r="A1124" s="3" t="str">
        <x:v>EXP035</x:v>
      </x:c>
      <x:c r="B1124" s="3" t="str">
        <x:v>Exp. 3</x:v>
      </x:c>
      <x:c r="C1124" s="18" t="n">
        <x:v>1084613802</x:v>
      </x:c>
      <x:c r="D1124" s="3" t="str">
        <x:v>Relative cutoff 1e-2</x:v>
      </x:c>
      <x:c r="E1124" s="18" t="n">
        <x:v>200</x:v>
      </x:c>
      <x:c r="F1124" s="21" t="n">
        <x:v>713.6793735687712</x:v>
      </x:c>
      <x:c r="G1124" s="21" t="n">
        <x:f>F1118</x:f>
        <x:v>731.4554277478081</x:v>
      </x:c>
      <x:c r="H1124" s="21" t="n">
        <x:f>F1123</x:f>
        <x:v>731.4554277478081</x:v>
      </x:c>
      <x:c r="I1124" s="27" t="n">
        <x:f>IF(AND(ISNUMBER(G1124),ISNUMBER(H1124),H1124&gt;0),G1124/H1124-1,"")</x:f>
        <x:v>0</x:v>
      </x:c>
      <x:c r="J1124" s="27" t="n">
        <x:f>IF(AND(ISNUMBER(G1124),F1124&gt;0),G1124/F1124-1,"")</x:f>
        <x:v>0.024907619355940325</x:v>
      </x:c>
      <x:c r="K1124" s="19" t="str">
        <x:v>Exp_3/EXP035/results/seed1084613802_Relative_cutoff_1e-2.json</x:v>
      </x:c>
    </x:row>
    <x:row r="1125" ht="15" hidden="0" customHeight="1">
      <x:c r="A1125" s="3" t="str">
        <x:v>EXP035</x:v>
      </x:c>
      <x:c r="B1125" s="3" t="str">
        <x:v>Exp. 3</x:v>
      </x:c>
      <x:c r="C1125" s="18" t="n">
        <x:v>1084613802</x:v>
      </x:c>
      <x:c r="D1125" s="3" t="str">
        <x:v>Relative cutoff 1e-4</x:v>
      </x:c>
      <x:c r="E1125" s="18" t="n">
        <x:v>200</x:v>
      </x:c>
      <x:c r="F1125" s="21" t="n">
        <x:v>731.4554277478081</x:v>
      </x:c>
      <x:c r="G1125" s="21" t="n">
        <x:f>F1118</x:f>
        <x:v>731.4554277478081</x:v>
      </x:c>
      <x:c r="H1125" s="21" t="n">
        <x:f>F1123</x:f>
        <x:v>731.4554277478081</x:v>
      </x:c>
      <x:c r="I1125" s="27" t="n">
        <x:f>IF(AND(ISNUMBER(G1125),ISNUMBER(H1125),H1125&gt;0),G1125/H1125-1,"")</x:f>
        <x:v>0</x:v>
      </x:c>
      <x:c r="J1125" s="27" t="n">
        <x:f>IF(AND(ISNUMBER(G1125),F1125&gt;0),G1125/F1125-1,"")</x:f>
        <x:v>0</x:v>
      </x:c>
      <x:c r="K1125" s="19" t="str">
        <x:v>Exp_3/EXP035/results/seed1084613802_Relative_cutoff_1e-4.json</x:v>
      </x:c>
    </x:row>
    <x:row r="1126" ht="15" hidden="0" customHeight="1">
      <x:c r="A1126" s="3" t="str">
        <x:v>EXP035</x:v>
      </x:c>
      <x:c r="B1126" s="3" t="str">
        <x:v>Exp. 3</x:v>
      </x:c>
      <x:c r="C1126" s="18" t="n">
        <x:v>1390358485</x:v>
      </x:c>
      <x:c r="D1126" s="3" t="str">
        <x:v>BBP</x:v>
      </x:c>
      <x:c r="E1126" s="18" t="n">
        <x:v>200</x:v>
      </x:c>
      <x:c r="F1126" s="21" t="n">
        <x:v>644.0676508569018</x:v>
      </x:c>
      <x:c r="G1126" s="21" t="n">
        <x:f>F1126</x:f>
        <x:v>644.0676508569018</x:v>
      </x:c>
      <x:c r="H1126" s="21" t="n">
        <x:f>F1131</x:f>
        <x:v>644.0676508569018</x:v>
      </x:c>
      <x:c r="I1126" s="27" t="n">
        <x:f>IF(AND(ISNUMBER(G1126),ISNUMBER(H1126),H1126&gt;0),G1126/H1126-1,"")</x:f>
        <x:v>0</x:v>
      </x:c>
      <x:c r="J1126" s="27" t="n">
        <x:f>IF(AND(ISNUMBER(G1126),F1126&gt;0),G1126/F1126-1,"")</x:f>
        <x:v>0</x:v>
      </x:c>
      <x:c r="K1126" s="19" t="str">
        <x:v>Exp_3/EXP035/results/seed1390358485_BBP.json</x:v>
      </x:c>
    </x:row>
    <x:row r="1127" ht="15" hidden="0" customHeight="1">
      <x:c r="A1127" s="3" t="str">
        <x:v>EXP035</x:v>
      </x:c>
      <x:c r="B1127" s="3" t="str">
        <x:v>Exp. 3</x:v>
      </x:c>
      <x:c r="C1127" s="18" t="n">
        <x:v>1390358485</x:v>
      </x:c>
      <x:c r="D1127" s="3" t="str">
        <x:v>Relative cutoff 1e-5</x:v>
      </x:c>
      <x:c r="E1127" s="18" t="n">
        <x:v>200</x:v>
      </x:c>
      <x:c r="F1127" s="21" t="n">
        <x:v>644.0676508569018</x:v>
      </x:c>
      <x:c r="G1127" s="21" t="n">
        <x:f>F1126</x:f>
        <x:v>644.0676508569018</x:v>
      </x:c>
      <x:c r="H1127" s="21" t="n">
        <x:f>F1131</x:f>
        <x:v>644.0676508569018</x:v>
      </x:c>
      <x:c r="I1127" s="27" t="n">
        <x:f>IF(AND(ISNUMBER(G1127),ISNUMBER(H1127),H1127&gt;0),G1127/H1127-1,"")</x:f>
        <x:v>0</x:v>
      </x:c>
      <x:c r="J1127" s="27" t="n">
        <x:f>IF(AND(ISNUMBER(G1127),F1127&gt;0),G1127/F1127-1,"")</x:f>
        <x:v>0</x:v>
      </x:c>
      <x:c r="K1127" s="19" t="str">
        <x:v>Exp_3/EXP035/results/seed1390358485_Relative_cutoff_1e-5.json</x:v>
      </x:c>
    </x:row>
    <x:row r="1128" ht="15" hidden="0" customHeight="1">
      <x:c r="A1128" s="3" t="str">
        <x:v>EXP035</x:v>
      </x:c>
      <x:c r="B1128" s="3" t="str">
        <x:v>Exp. 3</x:v>
      </x:c>
      <x:c r="C1128" s="18" t="n">
        <x:v>1390358485</x:v>
      </x:c>
      <x:c r="D1128" s="3" t="str">
        <x:v>Fixed rank 10</x:v>
      </x:c>
      <x:c r="E1128" s="18" t="n">
        <x:v>200</x:v>
      </x:c>
      <x:c r="F1128" s="21" t="n">
        <x:v>644.0676508569018</x:v>
      </x:c>
      <x:c r="G1128" s="21" t="n">
        <x:f>F1126</x:f>
        <x:v>644.0676508569018</x:v>
      </x:c>
      <x:c r="H1128" s="21" t="n">
        <x:f>F1131</x:f>
        <x:v>644.0676508569018</x:v>
      </x:c>
      <x:c r="I1128" s="27" t="n">
        <x:f>IF(AND(ISNUMBER(G1128),ISNUMBER(H1128),H1128&gt;0),G1128/H1128-1,"")</x:f>
        <x:v>0</x:v>
      </x:c>
      <x:c r="J1128" s="27" t="n">
        <x:f>IF(AND(ISNUMBER(G1128),F1128&gt;0),G1128/F1128-1,"")</x:f>
        <x:v>0</x:v>
      </x:c>
      <x:c r="K1128" s="19" t="str">
        <x:v>Exp_3/EXP035/results/seed1390358485_Fixed_rank_10.json</x:v>
      </x:c>
    </x:row>
    <x:row r="1129" ht="15" hidden="0" customHeight="1">
      <x:c r="A1129" s="3" t="str">
        <x:v>EXP035</x:v>
      </x:c>
      <x:c r="B1129" s="3" t="str">
        <x:v>Exp. 3</x:v>
      </x:c>
      <x:c r="C1129" s="18" t="n">
        <x:v>1390358485</x:v>
      </x:c>
      <x:c r="D1129" s="3" t="str">
        <x:v>Fixed rank 25</x:v>
      </x:c>
      <x:c r="E1129" s="18" t="n">
        <x:v>200</x:v>
      </x:c>
      <x:c r="F1129" s="21" t="n">
        <x:v>644.0676508569018</x:v>
      </x:c>
      <x:c r="G1129" s="21" t="n">
        <x:f>F1126</x:f>
        <x:v>644.0676508569018</x:v>
      </x:c>
      <x:c r="H1129" s="21" t="n">
        <x:f>F1131</x:f>
        <x:v>644.0676508569018</x:v>
      </x:c>
      <x:c r="I1129" s="27" t="n">
        <x:f>IF(AND(ISNUMBER(G1129),ISNUMBER(H1129),H1129&gt;0),G1129/H1129-1,"")</x:f>
        <x:v>0</x:v>
      </x:c>
      <x:c r="J1129" s="27" t="n">
        <x:f>IF(AND(ISNUMBER(G1129),F1129&gt;0),G1129/F1129-1,"")</x:f>
        <x:v>0</x:v>
      </x:c>
      <x:c r="K1129" s="19" t="str">
        <x:v>Exp_3/EXP035/results/seed1390358485_Fixed_rank_25.json</x:v>
      </x:c>
    </x:row>
    <x:row r="1130" ht="15" hidden="0" customHeight="1">
      <x:c r="A1130" s="3" t="str">
        <x:v>EXP035</x:v>
      </x:c>
      <x:c r="B1130" s="3" t="str">
        <x:v>Exp. 3</x:v>
      </x:c>
      <x:c r="C1130" s="18" t="n">
        <x:v>1390358485</x:v>
      </x:c>
      <x:c r="D1130" s="3" t="str">
        <x:v>Relative cutoff 1e-6</x:v>
      </x:c>
      <x:c r="E1130" s="18" t="n">
        <x:v>200</x:v>
      </x:c>
      <x:c r="F1130" s="21" t="n">
        <x:v>644.0676508569018</x:v>
      </x:c>
      <x:c r="G1130" s="21" t="n">
        <x:f>F1126</x:f>
        <x:v>644.0676508569018</x:v>
      </x:c>
      <x:c r="H1130" s="21" t="n">
        <x:f>F1131</x:f>
        <x:v>644.0676508569018</x:v>
      </x:c>
      <x:c r="I1130" s="27" t="n">
        <x:f>IF(AND(ISNUMBER(G1130),ISNUMBER(H1130),H1130&gt;0),G1130/H1130-1,"")</x:f>
        <x:v>0</x:v>
      </x:c>
      <x:c r="J1130" s="27" t="n">
        <x:f>IF(AND(ISNUMBER(G1130),F1130&gt;0),G1130/F1130-1,"")</x:f>
        <x:v>0</x:v>
      </x:c>
      <x:c r="K1130" s="19" t="str">
        <x:v>Exp_3/EXP035/results/seed1390358485_Relative_cutoff_1e-6.json</x:v>
      </x:c>
    </x:row>
    <x:row r="1131" ht="15" hidden="0" customHeight="1">
      <x:c r="A1131" s="3" t="str">
        <x:v>EXP035</x:v>
      </x:c>
      <x:c r="B1131" s="3" t="str">
        <x:v>Exp. 3</x:v>
      </x:c>
      <x:c r="C1131" s="18" t="n">
        <x:v>1390358485</x:v>
      </x:c>
      <x:c r="D1131" s="3" t="str">
        <x:v>Full</x:v>
      </x:c>
      <x:c r="E1131" s="18" t="n">
        <x:v>200</x:v>
      </x:c>
      <x:c r="F1131" s="21" t="n">
        <x:v>644.0676508569018</x:v>
      </x:c>
      <x:c r="G1131" s="21" t="n">
        <x:f>F1126</x:f>
        <x:v>644.0676508569018</x:v>
      </x:c>
      <x:c r="H1131" s="21" t="n">
        <x:f>F1131</x:f>
        <x:v>644.0676508569018</x:v>
      </x:c>
      <x:c r="I1131" s="27" t="n">
        <x:f>IF(AND(ISNUMBER(G1131),ISNUMBER(H1131),H1131&gt;0),G1131/H1131-1,"")</x:f>
        <x:v>0</x:v>
      </x:c>
      <x:c r="J1131" s="27" t="n">
        <x:f>IF(AND(ISNUMBER(G1131),F1131&gt;0),G1131/F1131-1,"")</x:f>
        <x:v>0</x:v>
      </x:c>
      <x:c r="K1131" s="19" t="str">
        <x:v>Exp_3/EXP035/results/seed1390358485_Full.json</x:v>
      </x:c>
    </x:row>
    <x:row r="1132" ht="15" hidden="0" customHeight="1">
      <x:c r="A1132" s="3" t="str">
        <x:v>EXP035</x:v>
      </x:c>
      <x:c r="B1132" s="3" t="str">
        <x:v>Exp. 3</x:v>
      </x:c>
      <x:c r="C1132" s="18" t="n">
        <x:v>1390358485</x:v>
      </x:c>
      <x:c r="D1132" s="3" t="str">
        <x:v>Relative cutoff 1e-2</x:v>
      </x:c>
      <x:c r="E1132" s="18" t="n">
        <x:v>200</x:v>
      </x:c>
      <x:c r="F1132" s="21" t="n">
        <x:v>657.9218111363745</x:v>
      </x:c>
      <x:c r="G1132" s="21" t="n">
        <x:f>F1126</x:f>
        <x:v>644.0676508569018</x:v>
      </x:c>
      <x:c r="H1132" s="21" t="n">
        <x:f>F1131</x:f>
        <x:v>644.0676508569018</x:v>
      </x:c>
      <x:c r="I1132" s="27" t="n">
        <x:f>IF(AND(ISNUMBER(G1132),ISNUMBER(H1132),H1132&gt;0),G1132/H1132-1,"")</x:f>
        <x:v>0</x:v>
      </x:c>
      <x:c r="J1132" s="27" t="n">
        <x:f>IF(AND(ISNUMBER(G1132),F1132&gt;0),G1132/F1132-1,"")</x:f>
        <x:v>-0.021057457048799688</x:v>
      </x:c>
      <x:c r="K1132" s="19" t="str">
        <x:v>Exp_3/EXP035/results/seed1390358485_Relative_cutoff_1e-2.json</x:v>
      </x:c>
    </x:row>
    <x:row r="1133" ht="15" hidden="0" customHeight="1">
      <x:c r="A1133" s="3" t="str">
        <x:v>EXP035</x:v>
      </x:c>
      <x:c r="B1133" s="3" t="str">
        <x:v>Exp. 3</x:v>
      </x:c>
      <x:c r="C1133" s="18" t="n">
        <x:v>1390358485</x:v>
      </x:c>
      <x:c r="D1133" s="3" t="str">
        <x:v>Relative cutoff 1e-4</x:v>
      </x:c>
      <x:c r="E1133" s="18" t="n">
        <x:v>200</x:v>
      </x:c>
      <x:c r="F1133" s="21" t="n">
        <x:v>673.2512801958783</x:v>
      </x:c>
      <x:c r="G1133" s="21" t="n">
        <x:f>F1126</x:f>
        <x:v>644.0676508569018</x:v>
      </x:c>
      <x:c r="H1133" s="21" t="n">
        <x:f>F1131</x:f>
        <x:v>644.0676508569018</x:v>
      </x:c>
      <x:c r="I1133" s="27" t="n">
        <x:f>IF(AND(ISNUMBER(G1133),ISNUMBER(H1133),H1133&gt;0),G1133/H1133-1,"")</x:f>
        <x:v>0</x:v>
      </x:c>
      <x:c r="J1133" s="27" t="n">
        <x:f>IF(AND(ISNUMBER(G1133),F1133&gt;0),G1133/F1133-1,"")</x:f>
        <x:v>-0.043347306120956386</x:v>
      </x:c>
      <x:c r="K1133" s="19" t="str">
        <x:v>Exp_3/EXP035/results/seed1390358485_Relative_cutoff_1e-4.json</x:v>
      </x:c>
    </x:row>
    <x:row r="1134" ht="15" hidden="0" customHeight="1">
      <x:c r="A1134" s="3" t="str">
        <x:v>EXP035</x:v>
      </x:c>
      <x:c r="B1134" s="3" t="str">
        <x:v>Exp. 3</x:v>
      </x:c>
      <x:c r="C1134" s="18" t="n">
        <x:v>1711112905</x:v>
      </x:c>
      <x:c r="D1134" s="3" t="str">
        <x:v>BBP</x:v>
      </x:c>
      <x:c r="E1134" s="18" t="n">
        <x:v>200</x:v>
      </x:c>
      <x:c r="F1134" s="21" t="n">
        <x:v>671.1976239918325</x:v>
      </x:c>
      <x:c r="G1134" s="21" t="n">
        <x:f>F1134</x:f>
        <x:v>671.1976239918325</x:v>
      </x:c>
      <x:c r="H1134" s="21" t="n">
        <x:f>F1139</x:f>
        <x:v>671.1976239918325</x:v>
      </x:c>
      <x:c r="I1134" s="27" t="n">
        <x:f>IF(AND(ISNUMBER(G1134),ISNUMBER(H1134),H1134&gt;0),G1134/H1134-1,"")</x:f>
        <x:v>0</x:v>
      </x:c>
      <x:c r="J1134" s="27" t="n">
        <x:f>IF(AND(ISNUMBER(G1134),F1134&gt;0),G1134/F1134-1,"")</x:f>
        <x:v>0</x:v>
      </x:c>
      <x:c r="K1134" s="19" t="str">
        <x:v>Exp_3/EXP035/results/seed1711112905_BBP.json</x:v>
      </x:c>
    </x:row>
    <x:row r="1135" ht="15" hidden="0" customHeight="1">
      <x:c r="A1135" s="3" t="str">
        <x:v>EXP035</x:v>
      </x:c>
      <x:c r="B1135" s="3" t="str">
        <x:v>Exp. 3</x:v>
      </x:c>
      <x:c r="C1135" s="18" t="n">
        <x:v>1711112905</x:v>
      </x:c>
      <x:c r="D1135" s="3" t="str">
        <x:v>Relative cutoff 1e-5</x:v>
      </x:c>
      <x:c r="E1135" s="18" t="n">
        <x:v>200</x:v>
      </x:c>
      <x:c r="F1135" s="21" t="n">
        <x:v>671.1976239918325</x:v>
      </x:c>
      <x:c r="G1135" s="21" t="n">
        <x:f>F1134</x:f>
        <x:v>671.1976239918325</x:v>
      </x:c>
      <x:c r="H1135" s="21" t="n">
        <x:f>F1139</x:f>
        <x:v>671.1976239918325</x:v>
      </x:c>
      <x:c r="I1135" s="27" t="n">
        <x:f>IF(AND(ISNUMBER(G1135),ISNUMBER(H1135),H1135&gt;0),G1135/H1135-1,"")</x:f>
        <x:v>0</x:v>
      </x:c>
      <x:c r="J1135" s="27" t="n">
        <x:f>IF(AND(ISNUMBER(G1135),F1135&gt;0),G1135/F1135-1,"")</x:f>
        <x:v>0</x:v>
      </x:c>
      <x:c r="K1135" s="19" t="str">
        <x:v>Exp_3/EXP035/results/seed1711112905_Relative_cutoff_1e-5.json</x:v>
      </x:c>
    </x:row>
    <x:row r="1136" ht="15" hidden="0" customHeight="1">
      <x:c r="A1136" s="3" t="str">
        <x:v>EXP035</x:v>
      </x:c>
      <x:c r="B1136" s="3" t="str">
        <x:v>Exp. 3</x:v>
      </x:c>
      <x:c r="C1136" s="18" t="n">
        <x:v>1711112905</x:v>
      </x:c>
      <x:c r="D1136" s="3" t="str">
        <x:v>Fixed rank 10</x:v>
      </x:c>
      <x:c r="E1136" s="18" t="n">
        <x:v>200</x:v>
      </x:c>
      <x:c r="F1136" s="21" t="n">
        <x:v>671.1976239918325</x:v>
      </x:c>
      <x:c r="G1136" s="21" t="n">
        <x:f>F1134</x:f>
        <x:v>671.1976239918325</x:v>
      </x:c>
      <x:c r="H1136" s="21" t="n">
        <x:f>F1139</x:f>
        <x:v>671.1976239918325</x:v>
      </x:c>
      <x:c r="I1136" s="27" t="n">
        <x:f>IF(AND(ISNUMBER(G1136),ISNUMBER(H1136),H1136&gt;0),G1136/H1136-1,"")</x:f>
        <x:v>0</x:v>
      </x:c>
      <x:c r="J1136" s="27" t="n">
        <x:f>IF(AND(ISNUMBER(G1136),F1136&gt;0),G1136/F1136-1,"")</x:f>
        <x:v>0</x:v>
      </x:c>
      <x:c r="K1136" s="19" t="str">
        <x:v>Exp_3/EXP035/results/seed1711112905_Fixed_rank_10.json</x:v>
      </x:c>
    </x:row>
    <x:row r="1137" ht="15" hidden="0" customHeight="1">
      <x:c r="A1137" s="3" t="str">
        <x:v>EXP035</x:v>
      </x:c>
      <x:c r="B1137" s="3" t="str">
        <x:v>Exp. 3</x:v>
      </x:c>
      <x:c r="C1137" s="18" t="n">
        <x:v>1711112905</x:v>
      </x:c>
      <x:c r="D1137" s="3" t="str">
        <x:v>Fixed rank 25</x:v>
      </x:c>
      <x:c r="E1137" s="18" t="n">
        <x:v>200</x:v>
      </x:c>
      <x:c r="F1137" s="21" t="n">
        <x:v>671.1976239918325</x:v>
      </x:c>
      <x:c r="G1137" s="21" t="n">
        <x:f>F1134</x:f>
        <x:v>671.1976239918325</x:v>
      </x:c>
      <x:c r="H1137" s="21" t="n">
        <x:f>F1139</x:f>
        <x:v>671.1976239918325</x:v>
      </x:c>
      <x:c r="I1137" s="27" t="n">
        <x:f>IF(AND(ISNUMBER(G1137),ISNUMBER(H1137),H1137&gt;0),G1137/H1137-1,"")</x:f>
        <x:v>0</x:v>
      </x:c>
      <x:c r="J1137" s="27" t="n">
        <x:f>IF(AND(ISNUMBER(G1137),F1137&gt;0),G1137/F1137-1,"")</x:f>
        <x:v>0</x:v>
      </x:c>
      <x:c r="K1137" s="19" t="str">
        <x:v>Exp_3/EXP035/results/seed1711112905_Fixed_rank_25.json</x:v>
      </x:c>
    </x:row>
    <x:row r="1138" ht="15" hidden="0" customHeight="1">
      <x:c r="A1138" s="3" t="str">
        <x:v>EXP035</x:v>
      </x:c>
      <x:c r="B1138" s="3" t="str">
        <x:v>Exp. 3</x:v>
      </x:c>
      <x:c r="C1138" s="18" t="n">
        <x:v>1711112905</x:v>
      </x:c>
      <x:c r="D1138" s="3" t="str">
        <x:v>Relative cutoff 1e-6</x:v>
      </x:c>
      <x:c r="E1138" s="18" t="n">
        <x:v>200</x:v>
      </x:c>
      <x:c r="F1138" s="21" t="n">
        <x:v>671.1976239918325</x:v>
      </x:c>
      <x:c r="G1138" s="21" t="n">
        <x:f>F1134</x:f>
        <x:v>671.1976239918325</x:v>
      </x:c>
      <x:c r="H1138" s="21" t="n">
        <x:f>F1139</x:f>
        <x:v>671.1976239918325</x:v>
      </x:c>
      <x:c r="I1138" s="27" t="n">
        <x:f>IF(AND(ISNUMBER(G1138),ISNUMBER(H1138),H1138&gt;0),G1138/H1138-1,"")</x:f>
        <x:v>0</x:v>
      </x:c>
      <x:c r="J1138" s="27" t="n">
        <x:f>IF(AND(ISNUMBER(G1138),F1138&gt;0),G1138/F1138-1,"")</x:f>
        <x:v>0</x:v>
      </x:c>
      <x:c r="K1138" s="19" t="str">
        <x:v>Exp_3/EXP035/results/seed1711112905_Relative_cutoff_1e-6.json</x:v>
      </x:c>
    </x:row>
    <x:row r="1139" ht="15" hidden="0" customHeight="1">
      <x:c r="A1139" s="3" t="str">
        <x:v>EXP035</x:v>
      </x:c>
      <x:c r="B1139" s="3" t="str">
        <x:v>Exp. 3</x:v>
      </x:c>
      <x:c r="C1139" s="18" t="n">
        <x:v>1711112905</x:v>
      </x:c>
      <x:c r="D1139" s="3" t="str">
        <x:v>Full</x:v>
      </x:c>
      <x:c r="E1139" s="18" t="n">
        <x:v>200</x:v>
      </x:c>
      <x:c r="F1139" s="21" t="n">
        <x:v>671.1976239918325</x:v>
      </x:c>
      <x:c r="G1139" s="21" t="n">
        <x:f>F1134</x:f>
        <x:v>671.1976239918325</x:v>
      </x:c>
      <x:c r="H1139" s="21" t="n">
        <x:f>F1139</x:f>
        <x:v>671.1976239918325</x:v>
      </x:c>
      <x:c r="I1139" s="27" t="n">
        <x:f>IF(AND(ISNUMBER(G1139),ISNUMBER(H1139),H1139&gt;0),G1139/H1139-1,"")</x:f>
        <x:v>0</x:v>
      </x:c>
      <x:c r="J1139" s="27" t="n">
        <x:f>IF(AND(ISNUMBER(G1139),F1139&gt;0),G1139/F1139-1,"")</x:f>
        <x:v>0</x:v>
      </x:c>
      <x:c r="K1139" s="19" t="str">
        <x:v>Exp_3/EXP035/results/seed1711112905_Full.json</x:v>
      </x:c>
    </x:row>
    <x:row r="1140" ht="15" hidden="0" customHeight="1">
      <x:c r="A1140" s="3" t="str">
        <x:v>EXP035</x:v>
      </x:c>
      <x:c r="B1140" s="3" t="str">
        <x:v>Exp. 3</x:v>
      </x:c>
      <x:c r="C1140" s="18" t="n">
        <x:v>1711112905</x:v>
      </x:c>
      <x:c r="D1140" s="3" t="str">
        <x:v>Relative cutoff 1e-2</x:v>
      </x:c>
      <x:c r="E1140" s="18" t="n">
        <x:v>200</x:v>
      </x:c>
      <x:c r="F1140" s="21" t="n">
        <x:v>702.5465040120912</x:v>
      </x:c>
      <x:c r="G1140" s="21" t="n">
        <x:f>F1134</x:f>
        <x:v>671.1976239918325</x:v>
      </x:c>
      <x:c r="H1140" s="21" t="n">
        <x:f>F1139</x:f>
        <x:v>671.1976239918325</x:v>
      </x:c>
      <x:c r="I1140" s="27" t="n">
        <x:f>IF(AND(ISNUMBER(G1140),ISNUMBER(H1140),H1140&gt;0),G1140/H1140-1,"")</x:f>
        <x:v>0</x:v>
      </x:c>
      <x:c r="J1140" s="27" t="n">
        <x:f>IF(AND(ISNUMBER(G1140),F1140&gt;0),G1140/F1140-1,"")</x:f>
        <x:v>-0.04462178637461289</x:v>
      </x:c>
      <x:c r="K1140" s="19" t="str">
        <x:v>Exp_3/EXP035/results/seed1711112905_Relative_cutoff_1e-2.json</x:v>
      </x:c>
    </x:row>
    <x:row r="1141" ht="15" hidden="0" customHeight="1">
      <x:c r="A1141" s="3" t="str">
        <x:v>EXP035</x:v>
      </x:c>
      <x:c r="B1141" s="3" t="str">
        <x:v>Exp. 3</x:v>
      </x:c>
      <x:c r="C1141" s="18" t="n">
        <x:v>1711112905</x:v>
      </x:c>
      <x:c r="D1141" s="3" t="str">
        <x:v>Relative cutoff 1e-4</x:v>
      </x:c>
      <x:c r="E1141" s="18" t="n">
        <x:v>200</x:v>
      </x:c>
      <x:c r="F1141" s="21" t="n">
        <x:v>671.1976239918325</x:v>
      </x:c>
      <x:c r="G1141" s="21" t="n">
        <x:f>F1134</x:f>
        <x:v>671.1976239918325</x:v>
      </x:c>
      <x:c r="H1141" s="21" t="n">
        <x:f>F1139</x:f>
        <x:v>671.1976239918325</x:v>
      </x:c>
      <x:c r="I1141" s="27" t="n">
        <x:f>IF(AND(ISNUMBER(G1141),ISNUMBER(H1141),H1141&gt;0),G1141/H1141-1,"")</x:f>
        <x:v>0</x:v>
      </x:c>
      <x:c r="J1141" s="27" t="n">
        <x:f>IF(AND(ISNUMBER(G1141),F1141&gt;0),G1141/F1141-1,"")</x:f>
        <x:v>0</x:v>
      </x:c>
      <x:c r="K1141" s="19" t="str">
        <x:v>Exp_3/EXP035/results/seed1711112905_Relative_cutoff_1e-4.json</x:v>
      </x:c>
    </x:row>
    <x:row r="1142" ht="15" hidden="0" customHeight="1">
      <x:c r="A1142" s="3" t="str">
        <x:v>EXP040</x:v>
      </x:c>
      <x:c r="B1142" s="3" t="str">
        <x:v>Exp. 3</x:v>
      </x:c>
      <x:c r="C1142" s="18" t="n">
        <x:v>1000</x:v>
      </x:c>
      <x:c r="D1142" s="3" t="str">
        <x:v>Fixed rank 10</x:v>
      </x:c>
      <x:c r="E1142" s="18" t="n">
        <x:v>200</x:v>
      </x:c>
      <x:c r="F1142" s="21" t="n">
        <x:v>710.3875932352703</x:v>
      </x:c>
      <x:c r="G1142" s="21" t="str">
        <x:f>""</x:f>
      </x:c>
      <x:c r="H1142" s="21" t="n">
        <x:f>F1145</x:f>
        <x:v>699.7818646939559</x:v>
      </x:c>
      <x:c r="I1142" s="27" t="str">
        <x:f>IF(AND(ISNUMBER(G1142),ISNUMBER(H1142),H1142&gt;0),G1142/H1142-1,"")</x:f>
      </x:c>
      <x:c r="J1142" s="27" t="str">
        <x:f>IF(AND(ISNUMBER(G1142),F1142&gt;0),G1142/F1142-1,"")</x:f>
      </x:c>
      <x:c r="K1142" s="19" t="str">
        <x:v>Exp_3/EXP040/results/seed1000_Fixed_rank_10.json</x:v>
      </x:c>
    </x:row>
    <x:row r="1143" ht="15" hidden="0" customHeight="1">
      <x:c r="A1143" s="3" t="str">
        <x:v>EXP040</x:v>
      </x:c>
      <x:c r="B1143" s="3" t="str">
        <x:v>Exp. 3</x:v>
      </x:c>
      <x:c r="C1143" s="18" t="n">
        <x:v>1000</x:v>
      </x:c>
      <x:c r="D1143" s="3" t="str">
        <x:v>Fixed rank 3</x:v>
      </x:c>
      <x:c r="E1143" s="18" t="n">
        <x:v>200</x:v>
      </x:c>
      <x:c r="F1143" s="21" t="n">
        <x:v>729.0635446928163</x:v>
      </x:c>
      <x:c r="G1143" s="21" t="str">
        <x:f>""</x:f>
      </x:c>
      <x:c r="H1143" s="21" t="n">
        <x:f>F1145</x:f>
        <x:v>699.7818646939559</x:v>
      </x:c>
      <x:c r="I1143" s="27" t="str">
        <x:f>IF(AND(ISNUMBER(G1143),ISNUMBER(H1143),H1143&gt;0),G1143/H1143-1,"")</x:f>
      </x:c>
      <x:c r="J1143" s="27" t="str">
        <x:f>IF(AND(ISNUMBER(G1143),F1143&gt;0),G1143/F1143-1,"")</x:f>
      </x:c>
      <x:c r="K1143" s="19" t="str">
        <x:v>Exp_3/EXP040/results/seed1000_Fixed_rank_3.json</x:v>
      </x:c>
    </x:row>
    <x:row r="1144" ht="15" hidden="0" customHeight="1">
      <x:c r="A1144" s="3" t="str">
        <x:v>EXP040</x:v>
      </x:c>
      <x:c r="B1144" s="3" t="str">
        <x:v>Exp. 3</x:v>
      </x:c>
      <x:c r="C1144" s="18" t="n">
        <x:v>1000</x:v>
      </x:c>
      <x:c r="D1144" s="3" t="str">
        <x:v>Fixed rank 5</x:v>
      </x:c>
      <x:c r="E1144" s="18" t="n">
        <x:v>200</x:v>
      </x:c>
      <x:c r="F1144" s="21" t="n">
        <x:v>715.2468011459841</x:v>
      </x:c>
      <x:c r="G1144" s="21" t="str">
        <x:f>""</x:f>
      </x:c>
      <x:c r="H1144" s="21" t="n">
        <x:f>F1145</x:f>
        <x:v>699.7818646939559</x:v>
      </x:c>
      <x:c r="I1144" s="27" t="str">
        <x:f>IF(AND(ISNUMBER(G1144),ISNUMBER(H1144),H1144&gt;0),G1144/H1144-1,"")</x:f>
      </x:c>
      <x:c r="J1144" s="27" t="str">
        <x:f>IF(AND(ISNUMBER(G1144),F1144&gt;0),G1144/F1144-1,"")</x:f>
      </x:c>
      <x:c r="K1144" s="19" t="str">
        <x:v>Exp_3/EXP040/results/seed1000_Fixed_rank_5.json</x:v>
      </x:c>
    </x:row>
    <x:row r="1145" ht="15" hidden="0" customHeight="1">
      <x:c r="A1145" s="3" t="str">
        <x:v>EXP040</x:v>
      </x:c>
      <x:c r="B1145" s="3" t="str">
        <x:v>Exp. 3</x:v>
      </x:c>
      <x:c r="C1145" s="18" t="n">
        <x:v>1000</x:v>
      </x:c>
      <x:c r="D1145" s="3" t="str">
        <x:v>Full</x:v>
      </x:c>
      <x:c r="E1145" s="18" t="n">
        <x:v>200</x:v>
      </x:c>
      <x:c r="F1145" s="21" t="n">
        <x:v>699.7818646939559</x:v>
      </x:c>
      <x:c r="G1145" s="21" t="str">
        <x:f>""</x:f>
      </x:c>
      <x:c r="H1145" s="21" t="n">
        <x:f>F1145</x:f>
        <x:v>699.7818646939559</x:v>
      </x:c>
      <x:c r="I1145" s="27" t="str">
        <x:f>IF(AND(ISNUMBER(G1145),ISNUMBER(H1145),H1145&gt;0),G1145/H1145-1,"")</x:f>
      </x:c>
      <x:c r="J1145" s="27" t="str">
        <x:f>IF(AND(ISNUMBER(G1145),F1145&gt;0),G1145/F1145-1,"")</x:f>
      </x:c>
      <x:c r="K1145" s="19" t="str">
        <x:v>Exp_3/EXP040/results/seed1000_Full.json</x:v>
      </x:c>
    </x:row>
    <x:row r="1146" ht="15" hidden="0" customHeight="1">
      <x:c r="A1146" s="3" t="str">
        <x:v>EXP040</x:v>
      </x:c>
      <x:c r="B1146" s="3" t="str">
        <x:v>Exp. 3</x:v>
      </x:c>
      <x:c r="C1146" s="18" t="n">
        <x:v>1000</x:v>
      </x:c>
      <x:c r="D1146" s="3" t="str">
        <x:v>Relative cutoff 1e-2</x:v>
      </x:c>
      <x:c r="E1146" s="18" t="n">
        <x:v>200</x:v>
      </x:c>
      <x:c r="F1146" s="21" t="n">
        <x:v>715.2468011459841</x:v>
      </x:c>
      <x:c r="G1146" s="21" t="str">
        <x:f>""</x:f>
      </x:c>
      <x:c r="H1146" s="21" t="n">
        <x:f>F1145</x:f>
        <x:v>699.7818646939559</x:v>
      </x:c>
      <x:c r="I1146" s="27" t="str">
        <x:f>IF(AND(ISNUMBER(G1146),ISNUMBER(H1146),H1146&gt;0),G1146/H1146-1,"")</x:f>
      </x:c>
      <x:c r="J1146" s="27" t="str">
        <x:f>IF(AND(ISNUMBER(G1146),F1146&gt;0),G1146/F1146-1,"")</x:f>
      </x:c>
      <x:c r="K1146" s="19" t="str">
        <x:v>Exp_3/EXP040/results/seed1000_Relative_cutoff_1e-2.json</x:v>
      </x:c>
    </x:row>
    <x:row r="1147" ht="15" hidden="0" customHeight="1">
      <x:c r="A1147" s="3" t="str">
        <x:v>EXP040</x:v>
      </x:c>
      <x:c r="B1147" s="3" t="str">
        <x:v>Exp. 3</x:v>
      </x:c>
      <x:c r="C1147" s="18" t="n">
        <x:v>1001</x:v>
      </x:c>
      <x:c r="D1147" s="3" t="str">
        <x:v>Fixed rank 10</x:v>
      </x:c>
      <x:c r="E1147" s="18" t="n">
        <x:v>200</x:v>
      </x:c>
      <x:c r="F1147" s="21" t="n">
        <x:v>654.8129426295537</x:v>
      </x:c>
      <x:c r="G1147" s="21" t="str">
        <x:f>""</x:f>
      </x:c>
      <x:c r="H1147" s="21" t="n">
        <x:f>F1150</x:f>
        <x:v>640.0988494263405</x:v>
      </x:c>
      <x:c r="I1147" s="27" t="str">
        <x:f>IF(AND(ISNUMBER(G1147),ISNUMBER(H1147),H1147&gt;0),G1147/H1147-1,"")</x:f>
      </x:c>
      <x:c r="J1147" s="27" t="str">
        <x:f>IF(AND(ISNUMBER(G1147),F1147&gt;0),G1147/F1147-1,"")</x:f>
      </x:c>
      <x:c r="K1147" s="19" t="str">
        <x:v>Exp_3/EXP040/results/seed1001_Fixed_rank_10.json</x:v>
      </x:c>
    </x:row>
    <x:row r="1148" ht="15" hidden="0" customHeight="1">
      <x:c r="A1148" s="3" t="str">
        <x:v>EXP040</x:v>
      </x:c>
      <x:c r="B1148" s="3" t="str">
        <x:v>Exp. 3</x:v>
      </x:c>
      <x:c r="C1148" s="18" t="n">
        <x:v>1001</x:v>
      </x:c>
      <x:c r="D1148" s="3" t="str">
        <x:v>Fixed rank 3</x:v>
      </x:c>
      <x:c r="E1148" s="18" t="n">
        <x:v>200</x:v>
      </x:c>
      <x:c r="F1148" s="21" t="n">
        <x:v>641.6894014870338</x:v>
      </x:c>
      <x:c r="G1148" s="21" t="str">
        <x:f>""</x:f>
      </x:c>
      <x:c r="H1148" s="21" t="n">
        <x:f>F1150</x:f>
        <x:v>640.0988494263405</x:v>
      </x:c>
      <x:c r="I1148" s="27" t="str">
        <x:f>IF(AND(ISNUMBER(G1148),ISNUMBER(H1148),H1148&gt;0),G1148/H1148-1,"")</x:f>
      </x:c>
      <x:c r="J1148" s="27" t="str">
        <x:f>IF(AND(ISNUMBER(G1148),F1148&gt;0),G1148/F1148-1,"")</x:f>
      </x:c>
      <x:c r="K1148" s="19" t="str">
        <x:v>Exp_3/EXP040/results/seed1001_Fixed_rank_3.json</x:v>
      </x:c>
    </x:row>
    <x:row r="1149" ht="15" hidden="0" customHeight="1">
      <x:c r="A1149" s="3" t="str">
        <x:v>EXP040</x:v>
      </x:c>
      <x:c r="B1149" s="3" t="str">
        <x:v>Exp. 3</x:v>
      </x:c>
      <x:c r="C1149" s="18" t="n">
        <x:v>1001</x:v>
      </x:c>
      <x:c r="D1149" s="3" t="str">
        <x:v>Fixed rank 5</x:v>
      </x:c>
      <x:c r="E1149" s="18" t="n">
        <x:v>200</x:v>
      </x:c>
      <x:c r="F1149" s="21" t="n">
        <x:v>631.0916668964753</x:v>
      </x:c>
      <x:c r="G1149" s="21" t="str">
        <x:f>""</x:f>
      </x:c>
      <x:c r="H1149" s="21" t="n">
        <x:f>F1150</x:f>
        <x:v>640.0988494263405</x:v>
      </x:c>
      <x:c r="I1149" s="27" t="str">
        <x:f>IF(AND(ISNUMBER(G1149),ISNUMBER(H1149),H1149&gt;0),G1149/H1149-1,"")</x:f>
      </x:c>
      <x:c r="J1149" s="27" t="str">
        <x:f>IF(AND(ISNUMBER(G1149),F1149&gt;0),G1149/F1149-1,"")</x:f>
      </x:c>
      <x:c r="K1149" s="19" t="str">
        <x:v>Exp_3/EXP040/results/seed1001_Fixed_rank_5.json</x:v>
      </x:c>
    </x:row>
    <x:row r="1150" ht="15" hidden="0" customHeight="1">
      <x:c r="A1150" s="3" t="str">
        <x:v>EXP040</x:v>
      </x:c>
      <x:c r="B1150" s="3" t="str">
        <x:v>Exp. 3</x:v>
      </x:c>
      <x:c r="C1150" s="18" t="n">
        <x:v>1001</x:v>
      </x:c>
      <x:c r="D1150" s="3" t="str">
        <x:v>Full</x:v>
      </x:c>
      <x:c r="E1150" s="18" t="n">
        <x:v>200</x:v>
      </x:c>
      <x:c r="F1150" s="21" t="n">
        <x:v>640.0988494263405</x:v>
      </x:c>
      <x:c r="G1150" s="21" t="str">
        <x:f>""</x:f>
      </x:c>
      <x:c r="H1150" s="21" t="n">
        <x:f>F1150</x:f>
        <x:v>640.0988494263405</x:v>
      </x:c>
      <x:c r="I1150" s="27" t="str">
        <x:f>IF(AND(ISNUMBER(G1150),ISNUMBER(H1150),H1150&gt;0),G1150/H1150-1,"")</x:f>
      </x:c>
      <x:c r="J1150" s="27" t="str">
        <x:f>IF(AND(ISNUMBER(G1150),F1150&gt;0),G1150/F1150-1,"")</x:f>
      </x:c>
      <x:c r="K1150" s="19" t="str">
        <x:v>Exp_3/EXP040/results/seed1001_Full.json</x:v>
      </x:c>
    </x:row>
    <x:row r="1151" ht="15" hidden="0" customHeight="1">
      <x:c r="A1151" s="3" t="str">
        <x:v>EXP040</x:v>
      </x:c>
      <x:c r="B1151" s="3" t="str">
        <x:v>Exp. 3</x:v>
      </x:c>
      <x:c r="C1151" s="18" t="n">
        <x:v>1001</x:v>
      </x:c>
      <x:c r="D1151" s="3" t="str">
        <x:v>Relative cutoff 1e-2</x:v>
      </x:c>
      <x:c r="E1151" s="18" t="n">
        <x:v>200</x:v>
      </x:c>
      <x:c r="F1151" s="21" t="n">
        <x:v>629.0602779579688</x:v>
      </x:c>
      <x:c r="G1151" s="21" t="str">
        <x:f>""</x:f>
      </x:c>
      <x:c r="H1151" s="21" t="n">
        <x:f>F1150</x:f>
        <x:v>640.0988494263405</x:v>
      </x:c>
      <x:c r="I1151" s="27" t="str">
        <x:f>IF(AND(ISNUMBER(G1151),ISNUMBER(H1151),H1151&gt;0),G1151/H1151-1,"")</x:f>
      </x:c>
      <x:c r="J1151" s="27" t="str">
        <x:f>IF(AND(ISNUMBER(G1151),F1151&gt;0),G1151/F1151-1,"")</x:f>
      </x:c>
      <x:c r="K1151" s="19" t="str">
        <x:v>Exp_3/EXP040/results/seed1001_Relative_cutoff_1e-2.json</x:v>
      </x:c>
    </x:row>
    <x:row r="1152" ht="15" hidden="0" customHeight="1">
      <x:c r="A1152" s="3" t="str">
        <x:v>EXP040</x:v>
      </x:c>
      <x:c r="B1152" s="3" t="str">
        <x:v>Exp. 3</x:v>
      </x:c>
      <x:c r="C1152" s="18" t="n">
        <x:v>1002</x:v>
      </x:c>
      <x:c r="D1152" s="3" t="str">
        <x:v>Fixed rank 10</x:v>
      </x:c>
      <x:c r="E1152" s="18" t="n">
        <x:v>200</x:v>
      </x:c>
      <x:c r="F1152" s="21" t="n">
        <x:v>586.9581823548265</x:v>
      </x:c>
      <x:c r="G1152" s="21" t="str">
        <x:f>""</x:f>
      </x:c>
      <x:c r="H1152" s="21" t="n">
        <x:f>F1155</x:f>
        <x:v>597.1297889649919</x:v>
      </x:c>
      <x:c r="I1152" s="27" t="str">
        <x:f>IF(AND(ISNUMBER(G1152),ISNUMBER(H1152),H1152&gt;0),G1152/H1152-1,"")</x:f>
      </x:c>
      <x:c r="J1152" s="27" t="str">
        <x:f>IF(AND(ISNUMBER(G1152),F1152&gt;0),G1152/F1152-1,"")</x:f>
      </x:c>
      <x:c r="K1152" s="19" t="str">
        <x:v>Exp_3/EXP040/results/seed1002_Fixed_rank_10.json</x:v>
      </x:c>
    </x:row>
    <x:row r="1153" ht="15" hidden="0" customHeight="1">
      <x:c r="A1153" s="3" t="str">
        <x:v>EXP040</x:v>
      </x:c>
      <x:c r="B1153" s="3" t="str">
        <x:v>Exp. 3</x:v>
      </x:c>
      <x:c r="C1153" s="18" t="n">
        <x:v>1002</x:v>
      </x:c>
      <x:c r="D1153" s="3" t="str">
        <x:v>Fixed rank 3</x:v>
      </x:c>
      <x:c r="E1153" s="18" t="n">
        <x:v>200</x:v>
      </x:c>
      <x:c r="F1153" s="21" t="n">
        <x:v>581.7159441031416</x:v>
      </x:c>
      <x:c r="G1153" s="21" t="str">
        <x:f>""</x:f>
      </x:c>
      <x:c r="H1153" s="21" t="n">
        <x:f>F1155</x:f>
        <x:v>597.1297889649919</x:v>
      </x:c>
      <x:c r="I1153" s="27" t="str">
        <x:f>IF(AND(ISNUMBER(G1153),ISNUMBER(H1153),H1153&gt;0),G1153/H1153-1,"")</x:f>
      </x:c>
      <x:c r="J1153" s="27" t="str">
        <x:f>IF(AND(ISNUMBER(G1153),F1153&gt;0),G1153/F1153-1,"")</x:f>
      </x:c>
      <x:c r="K1153" s="19" t="str">
        <x:v>Exp_3/EXP040/results/seed1002_Fixed_rank_3.json</x:v>
      </x:c>
    </x:row>
    <x:row r="1154" ht="15" hidden="0" customHeight="1">
      <x:c r="A1154" s="3" t="str">
        <x:v>EXP040</x:v>
      </x:c>
      <x:c r="B1154" s="3" t="str">
        <x:v>Exp. 3</x:v>
      </x:c>
      <x:c r="C1154" s="18" t="n">
        <x:v>1002</x:v>
      </x:c>
      <x:c r="D1154" s="3" t="str">
        <x:v>Fixed rank 5</x:v>
      </x:c>
      <x:c r="E1154" s="18" t="n">
        <x:v>200</x:v>
      </x:c>
      <x:c r="F1154" s="21" t="n">
        <x:v>586.9581823548265</x:v>
      </x:c>
      <x:c r="G1154" s="21" t="str">
        <x:f>""</x:f>
      </x:c>
      <x:c r="H1154" s="21" t="n">
        <x:f>F1155</x:f>
        <x:v>597.1297889649919</x:v>
      </x:c>
      <x:c r="I1154" s="27" t="str">
        <x:f>IF(AND(ISNUMBER(G1154),ISNUMBER(H1154),H1154&gt;0),G1154/H1154-1,"")</x:f>
      </x:c>
      <x:c r="J1154" s="27" t="str">
        <x:f>IF(AND(ISNUMBER(G1154),F1154&gt;0),G1154/F1154-1,"")</x:f>
      </x:c>
      <x:c r="K1154" s="19" t="str">
        <x:v>Exp_3/EXP040/results/seed1002_Fixed_rank_5.json</x:v>
      </x:c>
    </x:row>
    <x:row r="1155" ht="15" hidden="0" customHeight="1">
      <x:c r="A1155" s="3" t="str">
        <x:v>EXP040</x:v>
      </x:c>
      <x:c r="B1155" s="3" t="str">
        <x:v>Exp. 3</x:v>
      </x:c>
      <x:c r="C1155" s="18" t="n">
        <x:v>1002</x:v>
      </x:c>
      <x:c r="D1155" s="3" t="str">
        <x:v>Full</x:v>
      </x:c>
      <x:c r="E1155" s="18" t="n">
        <x:v>200</x:v>
      </x:c>
      <x:c r="F1155" s="21" t="n">
        <x:v>597.1297889649919</x:v>
      </x:c>
      <x:c r="G1155" s="21" t="str">
        <x:f>""</x:f>
      </x:c>
      <x:c r="H1155" s="21" t="n">
        <x:f>F1155</x:f>
        <x:v>597.1297889649919</x:v>
      </x:c>
      <x:c r="I1155" s="27" t="str">
        <x:f>IF(AND(ISNUMBER(G1155),ISNUMBER(H1155),H1155&gt;0),G1155/H1155-1,"")</x:f>
      </x:c>
      <x:c r="J1155" s="27" t="str">
        <x:f>IF(AND(ISNUMBER(G1155),F1155&gt;0),G1155/F1155-1,"")</x:f>
      </x:c>
      <x:c r="K1155" s="19" t="str">
        <x:v>Exp_3/EXP040/results/seed1002_Full.json</x:v>
      </x:c>
    </x:row>
    <x:row r="1156" ht="15" hidden="0" customHeight="1">
      <x:c r="A1156" s="3" t="str">
        <x:v>EXP040</x:v>
      </x:c>
      <x:c r="B1156" s="3" t="str">
        <x:v>Exp. 3</x:v>
      </x:c>
      <x:c r="C1156" s="18" t="n">
        <x:v>1002</x:v>
      </x:c>
      <x:c r="D1156" s="3" t="str">
        <x:v>Relative cutoff 1e-2</x:v>
      </x:c>
      <x:c r="E1156" s="18" t="n">
        <x:v>200</x:v>
      </x:c>
      <x:c r="F1156" s="21" t="n">
        <x:v>635.3400694093755</x:v>
      </x:c>
      <x:c r="G1156" s="21" t="str">
        <x:f>""</x:f>
      </x:c>
      <x:c r="H1156" s="21" t="n">
        <x:f>F1155</x:f>
        <x:v>597.1297889649919</x:v>
      </x:c>
      <x:c r="I1156" s="27" t="str">
        <x:f>IF(AND(ISNUMBER(G1156),ISNUMBER(H1156),H1156&gt;0),G1156/H1156-1,"")</x:f>
      </x:c>
      <x:c r="J1156" s="27" t="str">
        <x:f>IF(AND(ISNUMBER(G1156),F1156&gt;0),G1156/F1156-1,"")</x:f>
      </x:c>
      <x:c r="K1156" s="19" t="str">
        <x:v>Exp_3/EXP040/results/seed1002_Relative_cutoff_1e-2.json</x:v>
      </x:c>
    </x:row>
    <x:row r="1157" ht="15" hidden="0" customHeight="1">
      <x:c r="A1157" s="3" t="str">
        <x:v>EXP040</x:v>
      </x:c>
      <x:c r="B1157" s="3" t="str">
        <x:v>Exp. 3</x:v>
      </x:c>
      <x:c r="C1157" s="18" t="n">
        <x:v>1003</x:v>
      </x:c>
      <x:c r="D1157" s="3" t="str">
        <x:v>Fixed rank 10</x:v>
      </x:c>
      <x:c r="E1157" s="18" t="n">
        <x:v>200</x:v>
      </x:c>
      <x:c r="F1157" s="21" t="n">
        <x:v>698.17657492508</x:v>
      </x:c>
      <x:c r="G1157" s="21" t="str">
        <x:f>""</x:f>
      </x:c>
      <x:c r="H1157" s="21" t="n">
        <x:f>F1160</x:f>
        <x:v>705.668646998816</x:v>
      </x:c>
      <x:c r="I1157" s="27" t="str">
        <x:f>IF(AND(ISNUMBER(G1157),ISNUMBER(H1157),H1157&gt;0),G1157/H1157-1,"")</x:f>
      </x:c>
      <x:c r="J1157" s="27" t="str">
        <x:f>IF(AND(ISNUMBER(G1157),F1157&gt;0),G1157/F1157-1,"")</x:f>
      </x:c>
      <x:c r="K1157" s="19" t="str">
        <x:v>Exp_3/EXP040/results/seed1003_Fixed_rank_10.json</x:v>
      </x:c>
    </x:row>
    <x:row r="1158" ht="15" hidden="0" customHeight="1">
      <x:c r="A1158" s="3" t="str">
        <x:v>EXP040</x:v>
      </x:c>
      <x:c r="B1158" s="3" t="str">
        <x:v>Exp. 3</x:v>
      </x:c>
      <x:c r="C1158" s="18" t="n">
        <x:v>1003</x:v>
      </x:c>
      <x:c r="D1158" s="3" t="str">
        <x:v>Fixed rank 3</x:v>
      </x:c>
      <x:c r="E1158" s="18" t="n">
        <x:v>200</x:v>
      </x:c>
      <x:c r="F1158" s="21" t="n">
        <x:v>706.8780730789929</x:v>
      </x:c>
      <x:c r="G1158" s="21" t="str">
        <x:f>""</x:f>
      </x:c>
      <x:c r="H1158" s="21" t="n">
        <x:f>F1160</x:f>
        <x:v>705.668646998816</x:v>
      </x:c>
      <x:c r="I1158" s="27" t="str">
        <x:f>IF(AND(ISNUMBER(G1158),ISNUMBER(H1158),H1158&gt;0),G1158/H1158-1,"")</x:f>
      </x:c>
      <x:c r="J1158" s="27" t="str">
        <x:f>IF(AND(ISNUMBER(G1158),F1158&gt;0),G1158/F1158-1,"")</x:f>
      </x:c>
      <x:c r="K1158" s="19" t="str">
        <x:v>Exp_3/EXP040/results/seed1003_Fixed_rank_3.json</x:v>
      </x:c>
    </x:row>
    <x:row r="1159" ht="15" hidden="0" customHeight="1">
      <x:c r="A1159" s="3" t="str">
        <x:v>EXP040</x:v>
      </x:c>
      <x:c r="B1159" s="3" t="str">
        <x:v>Exp. 3</x:v>
      </x:c>
      <x:c r="C1159" s="18" t="n">
        <x:v>1003</x:v>
      </x:c>
      <x:c r="D1159" s="3" t="str">
        <x:v>Fixed rank 5</x:v>
      </x:c>
      <x:c r="E1159" s="18" t="n">
        <x:v>200</x:v>
      </x:c>
      <x:c r="F1159" s="21" t="n">
        <x:v>706.8780730789929</x:v>
      </x:c>
      <x:c r="G1159" s="21" t="str">
        <x:f>""</x:f>
      </x:c>
      <x:c r="H1159" s="21" t="n">
        <x:f>F1160</x:f>
        <x:v>705.668646998816</x:v>
      </x:c>
      <x:c r="I1159" s="27" t="str">
        <x:f>IF(AND(ISNUMBER(G1159),ISNUMBER(H1159),H1159&gt;0),G1159/H1159-1,"")</x:f>
      </x:c>
      <x:c r="J1159" s="27" t="str">
        <x:f>IF(AND(ISNUMBER(G1159),F1159&gt;0),G1159/F1159-1,"")</x:f>
      </x:c>
      <x:c r="K1159" s="19" t="str">
        <x:v>Exp_3/EXP040/results/seed1003_Fixed_rank_5.json</x:v>
      </x:c>
    </x:row>
    <x:row r="1160" ht="15" hidden="0" customHeight="1">
      <x:c r="A1160" s="3" t="str">
        <x:v>EXP040</x:v>
      </x:c>
      <x:c r="B1160" s="3" t="str">
        <x:v>Exp. 3</x:v>
      </x:c>
      <x:c r="C1160" s="18" t="n">
        <x:v>1003</x:v>
      </x:c>
      <x:c r="D1160" s="3" t="str">
        <x:v>Full</x:v>
      </x:c>
      <x:c r="E1160" s="18" t="n">
        <x:v>200</x:v>
      </x:c>
      <x:c r="F1160" s="21" t="n">
        <x:v>705.668646998816</x:v>
      </x:c>
      <x:c r="G1160" s="21" t="str">
        <x:f>""</x:f>
      </x:c>
      <x:c r="H1160" s="21" t="n">
        <x:f>F1160</x:f>
        <x:v>705.668646998816</x:v>
      </x:c>
      <x:c r="I1160" s="27" t="str">
        <x:f>IF(AND(ISNUMBER(G1160),ISNUMBER(H1160),H1160&gt;0),G1160/H1160-1,"")</x:f>
      </x:c>
      <x:c r="J1160" s="27" t="str">
        <x:f>IF(AND(ISNUMBER(G1160),F1160&gt;0),G1160/F1160-1,"")</x:f>
      </x:c>
      <x:c r="K1160" s="19" t="str">
        <x:v>Exp_3/EXP040/results/seed1003_Full.json</x:v>
      </x:c>
    </x:row>
    <x:row r="1161" ht="15" hidden="0" customHeight="1">
      <x:c r="A1161" s="3" t="str">
        <x:v>EXP040</x:v>
      </x:c>
      <x:c r="B1161" s="3" t="str">
        <x:v>Exp. 3</x:v>
      </x:c>
      <x:c r="C1161" s="18" t="n">
        <x:v>1003</x:v>
      </x:c>
      <x:c r="D1161" s="3" t="str">
        <x:v>Relative cutoff 1e-2</x:v>
      </x:c>
      <x:c r="E1161" s="18" t="n">
        <x:v>200</x:v>
      </x:c>
      <x:c r="F1161" s="21" t="n">
        <x:v>730.2088602934898</x:v>
      </x:c>
      <x:c r="G1161" s="21" t="str">
        <x:f>""</x:f>
      </x:c>
      <x:c r="H1161" s="21" t="n">
        <x:f>F1160</x:f>
        <x:v>705.668646998816</x:v>
      </x:c>
      <x:c r="I1161" s="27" t="str">
        <x:f>IF(AND(ISNUMBER(G1161),ISNUMBER(H1161),H1161&gt;0),G1161/H1161-1,"")</x:f>
      </x:c>
      <x:c r="J1161" s="27" t="str">
        <x:f>IF(AND(ISNUMBER(G1161),F1161&gt;0),G1161/F1161-1,"")</x:f>
      </x:c>
      <x:c r="K1161" s="19" t="str">
        <x:v>Exp_3/EXP040/results/seed1003_Relative_cutoff_1e-2.json</x:v>
      </x:c>
    </x:row>
    <x:row r="1162" ht="15" hidden="0" customHeight="1">
      <x:c r="A1162" s="3" t="str">
        <x:v>EXP040</x:v>
      </x:c>
      <x:c r="B1162" s="3" t="str">
        <x:v>Exp. 3</x:v>
      </x:c>
      <x:c r="C1162" s="18" t="n">
        <x:v>1004</x:v>
      </x:c>
      <x:c r="D1162" s="3" t="str">
        <x:v>Fixed rank 10</x:v>
      </x:c>
      <x:c r="E1162" s="18" t="n">
        <x:v>200</x:v>
      </x:c>
      <x:c r="F1162" s="21" t="n">
        <x:v>727.4443232653795</x:v>
      </x:c>
      <x:c r="G1162" s="21" t="str">
        <x:f>""</x:f>
      </x:c>
      <x:c r="H1162" s="21" t="n">
        <x:f>F1165</x:f>
        <x:v>748.9451307292833</x:v>
      </x:c>
      <x:c r="I1162" s="27" t="str">
        <x:f>IF(AND(ISNUMBER(G1162),ISNUMBER(H1162),H1162&gt;0),G1162/H1162-1,"")</x:f>
      </x:c>
      <x:c r="J1162" s="27" t="str">
        <x:f>IF(AND(ISNUMBER(G1162),F1162&gt;0),G1162/F1162-1,"")</x:f>
      </x:c>
      <x:c r="K1162" s="19" t="str">
        <x:v>Exp_3/EXP040/results/seed1004_Fixed_rank_10.json</x:v>
      </x:c>
    </x:row>
    <x:row r="1163" ht="15" hidden="0" customHeight="1">
      <x:c r="A1163" s="3" t="str">
        <x:v>EXP040</x:v>
      </x:c>
      <x:c r="B1163" s="3" t="str">
        <x:v>Exp. 3</x:v>
      </x:c>
      <x:c r="C1163" s="18" t="n">
        <x:v>1004</x:v>
      </x:c>
      <x:c r="D1163" s="3" t="str">
        <x:v>Fixed rank 3</x:v>
      </x:c>
      <x:c r="E1163" s="18" t="n">
        <x:v>200</x:v>
      </x:c>
      <x:c r="F1163" s="21" t="n">
        <x:v>733.3833173443076</x:v>
      </x:c>
      <x:c r="G1163" s="21" t="str">
        <x:f>""</x:f>
      </x:c>
      <x:c r="H1163" s="21" t="n">
        <x:f>F1165</x:f>
        <x:v>748.9451307292833</x:v>
      </x:c>
      <x:c r="I1163" s="27" t="str">
        <x:f>IF(AND(ISNUMBER(G1163),ISNUMBER(H1163),H1163&gt;0),G1163/H1163-1,"")</x:f>
      </x:c>
      <x:c r="J1163" s="27" t="str">
        <x:f>IF(AND(ISNUMBER(G1163),F1163&gt;0),G1163/F1163-1,"")</x:f>
      </x:c>
      <x:c r="K1163" s="19" t="str">
        <x:v>Exp_3/EXP040/results/seed1004_Fixed_rank_3.json</x:v>
      </x:c>
    </x:row>
    <x:row r="1164" ht="15" hidden="0" customHeight="1">
      <x:c r="A1164" s="3" t="str">
        <x:v>EXP040</x:v>
      </x:c>
      <x:c r="B1164" s="3" t="str">
        <x:v>Exp. 3</x:v>
      </x:c>
      <x:c r="C1164" s="18" t="n">
        <x:v>1004</x:v>
      </x:c>
      <x:c r="D1164" s="3" t="str">
        <x:v>Fixed rank 5</x:v>
      </x:c>
      <x:c r="E1164" s="18" t="n">
        <x:v>200</x:v>
      </x:c>
      <x:c r="F1164" s="21" t="n">
        <x:v>718.0337162468958</x:v>
      </x:c>
      <x:c r="G1164" s="21" t="str">
        <x:f>""</x:f>
      </x:c>
      <x:c r="H1164" s="21" t="n">
        <x:f>F1165</x:f>
        <x:v>748.9451307292833</x:v>
      </x:c>
      <x:c r="I1164" s="27" t="str">
        <x:f>IF(AND(ISNUMBER(G1164),ISNUMBER(H1164),H1164&gt;0),G1164/H1164-1,"")</x:f>
      </x:c>
      <x:c r="J1164" s="27" t="str">
        <x:f>IF(AND(ISNUMBER(G1164),F1164&gt;0),G1164/F1164-1,"")</x:f>
      </x:c>
      <x:c r="K1164" s="19" t="str">
        <x:v>Exp_3/EXP040/results/seed1004_Fixed_rank_5.json</x:v>
      </x:c>
    </x:row>
    <x:row r="1165" ht="15" hidden="0" customHeight="1">
      <x:c r="A1165" s="3" t="str">
        <x:v>EXP040</x:v>
      </x:c>
      <x:c r="B1165" s="3" t="str">
        <x:v>Exp. 3</x:v>
      </x:c>
      <x:c r="C1165" s="18" t="n">
        <x:v>1004</x:v>
      </x:c>
      <x:c r="D1165" s="3" t="str">
        <x:v>Full</x:v>
      </x:c>
      <x:c r="E1165" s="18" t="n">
        <x:v>200</x:v>
      </x:c>
      <x:c r="F1165" s="21" t="n">
        <x:v>748.9451307292833</x:v>
      </x:c>
      <x:c r="G1165" s="21" t="str">
        <x:f>""</x:f>
      </x:c>
      <x:c r="H1165" s="21" t="n">
        <x:f>F1165</x:f>
        <x:v>748.9451307292833</x:v>
      </x:c>
      <x:c r="I1165" s="27" t="str">
        <x:f>IF(AND(ISNUMBER(G1165),ISNUMBER(H1165),H1165&gt;0),G1165/H1165-1,"")</x:f>
      </x:c>
      <x:c r="J1165" s="27" t="str">
        <x:f>IF(AND(ISNUMBER(G1165),F1165&gt;0),G1165/F1165-1,"")</x:f>
      </x:c>
      <x:c r="K1165" s="19" t="str">
        <x:v>Exp_3/EXP040/results/seed1004_Full.json</x:v>
      </x:c>
    </x:row>
    <x:row r="1166" ht="15" hidden="0" customHeight="1">
      <x:c r="A1166" s="3" t="str">
        <x:v>EXP040</x:v>
      </x:c>
      <x:c r="B1166" s="3" t="str">
        <x:v>Exp. 3</x:v>
      </x:c>
      <x:c r="C1166" s="18" t="n">
        <x:v>1004</x:v>
      </x:c>
      <x:c r="D1166" s="3" t="str">
        <x:v>Relative cutoff 1e-2</x:v>
      </x:c>
      <x:c r="E1166" s="18" t="n">
        <x:v>200</x:v>
      </x:c>
      <x:c r="F1166" s="21" t="n">
        <x:v>728.9876746264385</x:v>
      </x:c>
      <x:c r="G1166" s="21" t="str">
        <x:f>""</x:f>
      </x:c>
      <x:c r="H1166" s="21" t="n">
        <x:f>F1165</x:f>
        <x:v>748.9451307292833</x:v>
      </x:c>
      <x:c r="I1166" s="27" t="str">
        <x:f>IF(AND(ISNUMBER(G1166),ISNUMBER(H1166),H1166&gt;0),G1166/H1166-1,"")</x:f>
      </x:c>
      <x:c r="J1166" s="27" t="str">
        <x:f>IF(AND(ISNUMBER(G1166),F1166&gt;0),G1166/F1166-1,"")</x:f>
      </x:c>
      <x:c r="K1166" s="19" t="str">
        <x:v>Exp_3/EXP040/results/seed1004_Relative_cutoff_1e-2.json</x:v>
      </x:c>
    </x:row>
    <x:row r="1167" ht="15" hidden="0" customHeight="1">
      <x:c r="A1167" s="3" t="str">
        <x:v>EXP040</x:v>
      </x:c>
      <x:c r="B1167" s="3" t="str">
        <x:v>Exp. 3</x:v>
      </x:c>
      <x:c r="C1167" s="18" t="n">
        <x:v>1005</x:v>
      </x:c>
      <x:c r="D1167" s="3" t="str">
        <x:v>Fixed rank 10</x:v>
      </x:c>
      <x:c r="E1167" s="18" t="n">
        <x:v>200</x:v>
      </x:c>
      <x:c r="F1167" s="21" t="n">
        <x:v>716.057223073335</x:v>
      </x:c>
      <x:c r="G1167" s="21" t="str">
        <x:f>""</x:f>
      </x:c>
      <x:c r="H1167" s="21" t="n">
        <x:f>F1170</x:f>
        <x:v>716.057223073335</x:v>
      </x:c>
      <x:c r="I1167" s="27" t="str">
        <x:f>IF(AND(ISNUMBER(G1167),ISNUMBER(H1167),H1167&gt;0),G1167/H1167-1,"")</x:f>
      </x:c>
      <x:c r="J1167" s="27" t="str">
        <x:f>IF(AND(ISNUMBER(G1167),F1167&gt;0),G1167/F1167-1,"")</x:f>
      </x:c>
      <x:c r="K1167" s="19" t="str">
        <x:v>Exp_3/EXP040/results/seed1005_Fixed_rank_10.json</x:v>
      </x:c>
    </x:row>
    <x:row r="1168" ht="15" hidden="0" customHeight="1">
      <x:c r="A1168" s="3" t="str">
        <x:v>EXP040</x:v>
      </x:c>
      <x:c r="B1168" s="3" t="str">
        <x:v>Exp. 3</x:v>
      </x:c>
      <x:c r="C1168" s="18" t="n">
        <x:v>1005</x:v>
      </x:c>
      <x:c r="D1168" s="3" t="str">
        <x:v>Fixed rank 3</x:v>
      </x:c>
      <x:c r="E1168" s="18" t="n">
        <x:v>200</x:v>
      </x:c>
      <x:c r="F1168" s="21" t="n">
        <x:v>780.2845243813665</x:v>
      </x:c>
      <x:c r="G1168" s="21" t="str">
        <x:f>""</x:f>
      </x:c>
      <x:c r="H1168" s="21" t="n">
        <x:f>F1170</x:f>
        <x:v>716.057223073335</x:v>
      </x:c>
      <x:c r="I1168" s="27" t="str">
        <x:f>IF(AND(ISNUMBER(G1168),ISNUMBER(H1168),H1168&gt;0),G1168/H1168-1,"")</x:f>
      </x:c>
      <x:c r="J1168" s="27" t="str">
        <x:f>IF(AND(ISNUMBER(G1168),F1168&gt;0),G1168/F1168-1,"")</x:f>
      </x:c>
      <x:c r="K1168" s="19" t="str">
        <x:v>Exp_3/EXP040/results/seed1005_Fixed_rank_3.json</x:v>
      </x:c>
    </x:row>
    <x:row r="1169" ht="15" hidden="0" customHeight="1">
      <x:c r="A1169" s="3" t="str">
        <x:v>EXP040</x:v>
      </x:c>
      <x:c r="B1169" s="3" t="str">
        <x:v>Exp. 3</x:v>
      </x:c>
      <x:c r="C1169" s="18" t="n">
        <x:v>1005</x:v>
      </x:c>
      <x:c r="D1169" s="3" t="str">
        <x:v>Fixed rank 5</x:v>
      </x:c>
      <x:c r="E1169" s="18" t="n">
        <x:v>200</x:v>
      </x:c>
      <x:c r="F1169" s="21" t="n">
        <x:v>716.057223073335</x:v>
      </x:c>
      <x:c r="G1169" s="21" t="str">
        <x:f>""</x:f>
      </x:c>
      <x:c r="H1169" s="21" t="n">
        <x:f>F1170</x:f>
        <x:v>716.057223073335</x:v>
      </x:c>
      <x:c r="I1169" s="27" t="str">
        <x:f>IF(AND(ISNUMBER(G1169),ISNUMBER(H1169),H1169&gt;0),G1169/H1169-1,"")</x:f>
      </x:c>
      <x:c r="J1169" s="27" t="str">
        <x:f>IF(AND(ISNUMBER(G1169),F1169&gt;0),G1169/F1169-1,"")</x:f>
      </x:c>
      <x:c r="K1169" s="19" t="str">
        <x:v>Exp_3/EXP040/results/seed1005_Fixed_rank_5.json</x:v>
      </x:c>
    </x:row>
    <x:row r="1170" ht="15" hidden="0" customHeight="1">
      <x:c r="A1170" s="3" t="str">
        <x:v>EXP040</x:v>
      </x:c>
      <x:c r="B1170" s="3" t="str">
        <x:v>Exp. 3</x:v>
      </x:c>
      <x:c r="C1170" s="18" t="n">
        <x:v>1005</x:v>
      </x:c>
      <x:c r="D1170" s="3" t="str">
        <x:v>Full</x:v>
      </x:c>
      <x:c r="E1170" s="18" t="n">
        <x:v>200</x:v>
      </x:c>
      <x:c r="F1170" s="21" t="n">
        <x:v>716.057223073335</x:v>
      </x:c>
      <x:c r="G1170" s="21" t="str">
        <x:f>""</x:f>
      </x:c>
      <x:c r="H1170" s="21" t="n">
        <x:f>F1170</x:f>
        <x:v>716.057223073335</x:v>
      </x:c>
      <x:c r="I1170" s="27" t="str">
        <x:f>IF(AND(ISNUMBER(G1170),ISNUMBER(H1170),H1170&gt;0),G1170/H1170-1,"")</x:f>
      </x:c>
      <x:c r="J1170" s="27" t="str">
        <x:f>IF(AND(ISNUMBER(G1170),F1170&gt;0),G1170/F1170-1,"")</x:f>
      </x:c>
      <x:c r="K1170" s="19" t="str">
        <x:v>Exp_3/EXP040/results/seed1005_Full.json</x:v>
      </x:c>
    </x:row>
    <x:row r="1171" ht="15" hidden="0" customHeight="1">
      <x:c r="A1171" s="3" t="str">
        <x:v>EXP040</x:v>
      </x:c>
      <x:c r="B1171" s="3" t="str">
        <x:v>Exp. 3</x:v>
      </x:c>
      <x:c r="C1171" s="18" t="n">
        <x:v>1005</x:v>
      </x:c>
      <x:c r="D1171" s="3" t="str">
        <x:v>Relative cutoff 1e-2</x:v>
      </x:c>
      <x:c r="E1171" s="18" t="n">
        <x:v>200</x:v>
      </x:c>
      <x:c r="F1171" s="21" t="n">
        <x:v>795.1699320216119</x:v>
      </x:c>
      <x:c r="G1171" s="21" t="str">
        <x:f>""</x:f>
      </x:c>
      <x:c r="H1171" s="21" t="n">
        <x:f>F1170</x:f>
        <x:v>716.057223073335</x:v>
      </x:c>
      <x:c r="I1171" s="27" t="str">
        <x:f>IF(AND(ISNUMBER(G1171),ISNUMBER(H1171),H1171&gt;0),G1171/H1171-1,"")</x:f>
      </x:c>
      <x:c r="J1171" s="27" t="str">
        <x:f>IF(AND(ISNUMBER(G1171),F1171&gt;0),G1171/F1171-1,"")</x:f>
      </x:c>
      <x:c r="K1171" s="19" t="str">
        <x:v>Exp_3/EXP040/results/seed1005_Relative_cutoff_1e-2.json</x:v>
      </x:c>
    </x:row>
    <x:row r="1172" ht="15" hidden="0" customHeight="1">
      <x:c r="A1172" s="3" t="str">
        <x:v>EXP040</x:v>
      </x:c>
      <x:c r="B1172" s="3" t="str">
        <x:v>Exp. 3</x:v>
      </x:c>
      <x:c r="C1172" s="18" t="n">
        <x:v>1006</x:v>
      </x:c>
      <x:c r="D1172" s="3" t="str">
        <x:v>Fixed rank 10</x:v>
      </x:c>
      <x:c r="E1172" s="18" t="n">
        <x:v>200</x:v>
      </x:c>
      <x:c r="F1172" s="21" t="n">
        <x:v>636.2620935708636</x:v>
      </x:c>
      <x:c r="G1172" s="21" t="str">
        <x:f>""</x:f>
      </x:c>
      <x:c r="H1172" s="21" t="n">
        <x:f>F1175</x:f>
        <x:v>636.2620935708636</x:v>
      </x:c>
      <x:c r="I1172" s="27" t="str">
        <x:f>IF(AND(ISNUMBER(G1172),ISNUMBER(H1172),H1172&gt;0),G1172/H1172-1,"")</x:f>
      </x:c>
      <x:c r="J1172" s="27" t="str">
        <x:f>IF(AND(ISNUMBER(G1172),F1172&gt;0),G1172/F1172-1,"")</x:f>
      </x:c>
      <x:c r="K1172" s="19" t="str">
        <x:v>Exp_3/EXP040/results/seed1006_Fixed_rank_10.json</x:v>
      </x:c>
    </x:row>
    <x:row r="1173" ht="15" hidden="0" customHeight="1">
      <x:c r="A1173" s="3" t="str">
        <x:v>EXP040</x:v>
      </x:c>
      <x:c r="B1173" s="3" t="str">
        <x:v>Exp. 3</x:v>
      </x:c>
      <x:c r="C1173" s="18" t="n">
        <x:v>1006</x:v>
      </x:c>
      <x:c r="D1173" s="3" t="str">
        <x:v>Fixed rank 3</x:v>
      </x:c>
      <x:c r="E1173" s="18" t="n">
        <x:v>200</x:v>
      </x:c>
      <x:c r="F1173" s="21" t="n">
        <x:v>643.5026471252329</x:v>
      </x:c>
      <x:c r="G1173" s="21" t="str">
        <x:f>""</x:f>
      </x:c>
      <x:c r="H1173" s="21" t="n">
        <x:f>F1175</x:f>
        <x:v>636.2620935708636</x:v>
      </x:c>
      <x:c r="I1173" s="27" t="str">
        <x:f>IF(AND(ISNUMBER(G1173),ISNUMBER(H1173),H1173&gt;0),G1173/H1173-1,"")</x:f>
      </x:c>
      <x:c r="J1173" s="27" t="str">
        <x:f>IF(AND(ISNUMBER(G1173),F1173&gt;0),G1173/F1173-1,"")</x:f>
      </x:c>
      <x:c r="K1173" s="19" t="str">
        <x:v>Exp_3/EXP040/results/seed1006_Fixed_rank_3.json</x:v>
      </x:c>
    </x:row>
    <x:row r="1174" ht="15" hidden="0" customHeight="1">
      <x:c r="A1174" s="3" t="str">
        <x:v>EXP040</x:v>
      </x:c>
      <x:c r="B1174" s="3" t="str">
        <x:v>Exp. 3</x:v>
      </x:c>
      <x:c r="C1174" s="18" t="n">
        <x:v>1006</x:v>
      </x:c>
      <x:c r="D1174" s="3" t="str">
        <x:v>Fixed rank 5</x:v>
      </x:c>
      <x:c r="E1174" s="18" t="n">
        <x:v>200</x:v>
      </x:c>
      <x:c r="F1174" s="21" t="n">
        <x:v>636.2620935708636</x:v>
      </x:c>
      <x:c r="G1174" s="21" t="str">
        <x:f>""</x:f>
      </x:c>
      <x:c r="H1174" s="21" t="n">
        <x:f>F1175</x:f>
        <x:v>636.2620935708636</x:v>
      </x:c>
      <x:c r="I1174" s="27" t="str">
        <x:f>IF(AND(ISNUMBER(G1174),ISNUMBER(H1174),H1174&gt;0),G1174/H1174-1,"")</x:f>
      </x:c>
      <x:c r="J1174" s="27" t="str">
        <x:f>IF(AND(ISNUMBER(G1174),F1174&gt;0),G1174/F1174-1,"")</x:f>
      </x:c>
      <x:c r="K1174" s="19" t="str">
        <x:v>Exp_3/EXP040/results/seed1006_Fixed_rank_5.json</x:v>
      </x:c>
    </x:row>
    <x:row r="1175" ht="15" hidden="0" customHeight="1">
      <x:c r="A1175" s="3" t="str">
        <x:v>EXP040</x:v>
      </x:c>
      <x:c r="B1175" s="3" t="str">
        <x:v>Exp. 3</x:v>
      </x:c>
      <x:c r="C1175" s="18" t="n">
        <x:v>1006</x:v>
      </x:c>
      <x:c r="D1175" s="3" t="str">
        <x:v>Full</x:v>
      </x:c>
      <x:c r="E1175" s="18" t="n">
        <x:v>200</x:v>
      </x:c>
      <x:c r="F1175" s="21" t="n">
        <x:v>636.2620935708636</x:v>
      </x:c>
      <x:c r="G1175" s="21" t="str">
        <x:f>""</x:f>
      </x:c>
      <x:c r="H1175" s="21" t="n">
        <x:f>F1175</x:f>
        <x:v>636.2620935708636</x:v>
      </x:c>
      <x:c r="I1175" s="27" t="str">
        <x:f>IF(AND(ISNUMBER(G1175),ISNUMBER(H1175),H1175&gt;0),G1175/H1175-1,"")</x:f>
      </x:c>
      <x:c r="J1175" s="27" t="str">
        <x:f>IF(AND(ISNUMBER(G1175),F1175&gt;0),G1175/F1175-1,"")</x:f>
      </x:c>
      <x:c r="K1175" s="19" t="str">
        <x:v>Exp_3/EXP040/results/seed1006_Full.json</x:v>
      </x:c>
    </x:row>
    <x:row r="1176" ht="15" hidden="0" customHeight="1">
      <x:c r="A1176" s="3" t="str">
        <x:v>EXP040</x:v>
      </x:c>
      <x:c r="B1176" s="3" t="str">
        <x:v>Exp. 3</x:v>
      </x:c>
      <x:c r="C1176" s="18" t="n">
        <x:v>1006</x:v>
      </x:c>
      <x:c r="D1176" s="3" t="str">
        <x:v>Relative cutoff 1e-2</x:v>
      </x:c>
      <x:c r="E1176" s="18" t="n">
        <x:v>200</x:v>
      </x:c>
      <x:c r="F1176" s="21" t="n">
        <x:v>641.2179737651628</x:v>
      </x:c>
      <x:c r="G1176" s="21" t="str">
        <x:f>""</x:f>
      </x:c>
      <x:c r="H1176" s="21" t="n">
        <x:f>F1175</x:f>
        <x:v>636.2620935708636</x:v>
      </x:c>
      <x:c r="I1176" s="27" t="str">
        <x:f>IF(AND(ISNUMBER(G1176),ISNUMBER(H1176),H1176&gt;0),G1176/H1176-1,"")</x:f>
      </x:c>
      <x:c r="J1176" s="27" t="str">
        <x:f>IF(AND(ISNUMBER(G1176),F1176&gt;0),G1176/F1176-1,"")</x:f>
      </x:c>
      <x:c r="K1176" s="19" t="str">
        <x:v>Exp_3/EXP040/results/seed1006_Relative_cutoff_1e-2.json</x:v>
      </x:c>
    </x:row>
    <x:row r="1177" ht="15" hidden="0" customHeight="1">
      <x:c r="A1177" s="3" t="str">
        <x:v>EXP040</x:v>
      </x:c>
      <x:c r="B1177" s="3" t="str">
        <x:v>Exp. 3</x:v>
      </x:c>
      <x:c r="C1177" s="18" t="n">
        <x:v>1007</x:v>
      </x:c>
      <x:c r="D1177" s="3" t="str">
        <x:v>Fixed rank 10</x:v>
      </x:c>
      <x:c r="E1177" s="18" t="n">
        <x:v>200</x:v>
      </x:c>
      <x:c r="F1177" s="21" t="n">
        <x:v>627.3748302819629</x:v>
      </x:c>
      <x:c r="G1177" s="21" t="str">
        <x:f>""</x:f>
      </x:c>
      <x:c r="H1177" s="21" t="n">
        <x:f>F1180</x:f>
        <x:v>616.9313310777669</x:v>
      </x:c>
      <x:c r="I1177" s="27" t="str">
        <x:f>IF(AND(ISNUMBER(G1177),ISNUMBER(H1177),H1177&gt;0),G1177/H1177-1,"")</x:f>
      </x:c>
      <x:c r="J1177" s="27" t="str">
        <x:f>IF(AND(ISNUMBER(G1177),F1177&gt;0),G1177/F1177-1,"")</x:f>
      </x:c>
      <x:c r="K1177" s="19" t="str">
        <x:v>Exp_3/EXP040/results/seed1007_Fixed_rank_10.json</x:v>
      </x:c>
    </x:row>
    <x:row r="1178" ht="15" hidden="0" customHeight="1">
      <x:c r="A1178" s="3" t="str">
        <x:v>EXP040</x:v>
      </x:c>
      <x:c r="B1178" s="3" t="str">
        <x:v>Exp. 3</x:v>
      </x:c>
      <x:c r="C1178" s="18" t="n">
        <x:v>1007</x:v>
      </x:c>
      <x:c r="D1178" s="3" t="str">
        <x:v>Fixed rank 3</x:v>
      </x:c>
      <x:c r="E1178" s="18" t="n">
        <x:v>200</x:v>
      </x:c>
      <x:c r="F1178" s="21" t="n">
        <x:v>604.3628461180364</x:v>
      </x:c>
      <x:c r="G1178" s="21" t="str">
        <x:f>""</x:f>
      </x:c>
      <x:c r="H1178" s="21" t="n">
        <x:f>F1180</x:f>
        <x:v>616.9313310777669</x:v>
      </x:c>
      <x:c r="I1178" s="27" t="str">
        <x:f>IF(AND(ISNUMBER(G1178),ISNUMBER(H1178),H1178&gt;0),G1178/H1178-1,"")</x:f>
      </x:c>
      <x:c r="J1178" s="27" t="str">
        <x:f>IF(AND(ISNUMBER(G1178),F1178&gt;0),G1178/F1178-1,"")</x:f>
      </x:c>
      <x:c r="K1178" s="19" t="str">
        <x:v>Exp_3/EXP040/results/seed1007_Fixed_rank_3.json</x:v>
      </x:c>
    </x:row>
    <x:row r="1179" ht="15" hidden="0" customHeight="1">
      <x:c r="A1179" s="3" t="str">
        <x:v>EXP040</x:v>
      </x:c>
      <x:c r="B1179" s="3" t="str">
        <x:v>Exp. 3</x:v>
      </x:c>
      <x:c r="C1179" s="18" t="n">
        <x:v>1007</x:v>
      </x:c>
      <x:c r="D1179" s="3" t="str">
        <x:v>Fixed rank 5</x:v>
      </x:c>
      <x:c r="E1179" s="18" t="n">
        <x:v>200</x:v>
      </x:c>
      <x:c r="F1179" s="21" t="n">
        <x:v>627.3748302819629</x:v>
      </x:c>
      <x:c r="G1179" s="21" t="str">
        <x:f>""</x:f>
      </x:c>
      <x:c r="H1179" s="21" t="n">
        <x:f>F1180</x:f>
        <x:v>616.9313310777669</x:v>
      </x:c>
      <x:c r="I1179" s="27" t="str">
        <x:f>IF(AND(ISNUMBER(G1179),ISNUMBER(H1179),H1179&gt;0),G1179/H1179-1,"")</x:f>
      </x:c>
      <x:c r="J1179" s="27" t="str">
        <x:f>IF(AND(ISNUMBER(G1179),F1179&gt;0),G1179/F1179-1,"")</x:f>
      </x:c>
      <x:c r="K1179" s="19" t="str">
        <x:v>Exp_3/EXP040/results/seed1007_Fixed_rank_5.json</x:v>
      </x:c>
    </x:row>
    <x:row r="1180" ht="15" hidden="0" customHeight="1">
      <x:c r="A1180" s="3" t="str">
        <x:v>EXP040</x:v>
      </x:c>
      <x:c r="B1180" s="3" t="str">
        <x:v>Exp. 3</x:v>
      </x:c>
      <x:c r="C1180" s="18" t="n">
        <x:v>1007</x:v>
      </x:c>
      <x:c r="D1180" s="3" t="str">
        <x:v>Full</x:v>
      </x:c>
      <x:c r="E1180" s="18" t="n">
        <x:v>200</x:v>
      </x:c>
      <x:c r="F1180" s="21" t="n">
        <x:v>616.9313310777669</x:v>
      </x:c>
      <x:c r="G1180" s="21" t="str">
        <x:f>""</x:f>
      </x:c>
      <x:c r="H1180" s="21" t="n">
        <x:f>F1180</x:f>
        <x:v>616.9313310777669</x:v>
      </x:c>
      <x:c r="I1180" s="27" t="str">
        <x:f>IF(AND(ISNUMBER(G1180),ISNUMBER(H1180),H1180&gt;0),G1180/H1180-1,"")</x:f>
      </x:c>
      <x:c r="J1180" s="27" t="str">
        <x:f>IF(AND(ISNUMBER(G1180),F1180&gt;0),G1180/F1180-1,"")</x:f>
      </x:c>
      <x:c r="K1180" s="19" t="str">
        <x:v>Exp_3/EXP040/results/seed1007_Full.json</x:v>
      </x:c>
    </x:row>
    <x:row r="1181" ht="15" hidden="0" customHeight="1">
      <x:c r="A1181" s="3" t="str">
        <x:v>EXP040</x:v>
      </x:c>
      <x:c r="B1181" s="3" t="str">
        <x:v>Exp. 3</x:v>
      </x:c>
      <x:c r="C1181" s="18" t="n">
        <x:v>1007</x:v>
      </x:c>
      <x:c r="D1181" s="3" t="str">
        <x:v>Relative cutoff 1e-2</x:v>
      </x:c>
      <x:c r="E1181" s="18" t="n">
        <x:v>200</x:v>
      </x:c>
      <x:c r="F1181" s="21" t="n">
        <x:v>607.6461561673591</x:v>
      </x:c>
      <x:c r="G1181" s="21" t="str">
        <x:f>""</x:f>
      </x:c>
      <x:c r="H1181" s="21" t="n">
        <x:f>F1180</x:f>
        <x:v>616.9313310777669</x:v>
      </x:c>
      <x:c r="I1181" s="27" t="str">
        <x:f>IF(AND(ISNUMBER(G1181),ISNUMBER(H1181),H1181&gt;0),G1181/H1181-1,"")</x:f>
      </x:c>
      <x:c r="J1181" s="27" t="str">
        <x:f>IF(AND(ISNUMBER(G1181),F1181&gt;0),G1181/F1181-1,"")</x:f>
      </x:c>
      <x:c r="K1181" s="19" t="str">
        <x:v>Exp_3/EXP040/results/seed1007_Relative_cutoff_1e-2.json</x:v>
      </x:c>
    </x:row>
    <x:row r="1182" ht="15" hidden="0" customHeight="1">
      <x:c r="A1182" s="3" t="str">
        <x:v>EXP040</x:v>
      </x:c>
      <x:c r="B1182" s="3" t="str">
        <x:v>Exp. 3</x:v>
      </x:c>
      <x:c r="C1182" s="18" t="n">
        <x:v>1008</x:v>
      </x:c>
      <x:c r="D1182" s="3" t="str">
        <x:v>Fixed rank 10</x:v>
      </x:c>
      <x:c r="E1182" s="18" t="n">
        <x:v>200</x:v>
      </x:c>
      <x:c r="F1182" s="21" t="n">
        <x:v>617.140938433707</x:v>
      </x:c>
      <x:c r="G1182" s="21" t="str">
        <x:f>""</x:f>
      </x:c>
      <x:c r="H1182" s="21" t="n">
        <x:f>F1185</x:f>
        <x:v>614.0617456963043</x:v>
      </x:c>
      <x:c r="I1182" s="27" t="str">
        <x:f>IF(AND(ISNUMBER(G1182),ISNUMBER(H1182),H1182&gt;0),G1182/H1182-1,"")</x:f>
      </x:c>
      <x:c r="J1182" s="27" t="str">
        <x:f>IF(AND(ISNUMBER(G1182),F1182&gt;0),G1182/F1182-1,"")</x:f>
      </x:c>
      <x:c r="K1182" s="19" t="str">
        <x:v>Exp_3/EXP040/results/seed1008_Fixed_rank_10.json</x:v>
      </x:c>
    </x:row>
    <x:row r="1183" ht="15" hidden="0" customHeight="1">
      <x:c r="A1183" s="3" t="str">
        <x:v>EXP040</x:v>
      </x:c>
      <x:c r="B1183" s="3" t="str">
        <x:v>Exp. 3</x:v>
      </x:c>
      <x:c r="C1183" s="18" t="n">
        <x:v>1008</x:v>
      </x:c>
      <x:c r="D1183" s="3" t="str">
        <x:v>Fixed rank 3</x:v>
      </x:c>
      <x:c r="E1183" s="18" t="n">
        <x:v>200</x:v>
      </x:c>
      <x:c r="F1183" s="21" t="n">
        <x:v>636.0259322841822</x:v>
      </x:c>
      <x:c r="G1183" s="21" t="str">
        <x:f>""</x:f>
      </x:c>
      <x:c r="H1183" s="21" t="n">
        <x:f>F1185</x:f>
        <x:v>614.0617456963043</x:v>
      </x:c>
      <x:c r="I1183" s="27" t="str">
        <x:f>IF(AND(ISNUMBER(G1183),ISNUMBER(H1183),H1183&gt;0),G1183/H1183-1,"")</x:f>
      </x:c>
      <x:c r="J1183" s="27" t="str">
        <x:f>IF(AND(ISNUMBER(G1183),F1183&gt;0),G1183/F1183-1,"")</x:f>
      </x:c>
      <x:c r="K1183" s="19" t="str">
        <x:v>Exp_3/EXP040/results/seed1008_Fixed_rank_3.json</x:v>
      </x:c>
    </x:row>
    <x:row r="1184" ht="15" hidden="0" customHeight="1">
      <x:c r="A1184" s="3" t="str">
        <x:v>EXP040</x:v>
      </x:c>
      <x:c r="B1184" s="3" t="str">
        <x:v>Exp. 3</x:v>
      </x:c>
      <x:c r="C1184" s="18" t="n">
        <x:v>1008</x:v>
      </x:c>
      <x:c r="D1184" s="3" t="str">
        <x:v>Fixed rank 5</x:v>
      </x:c>
      <x:c r="E1184" s="18" t="n">
        <x:v>200</x:v>
      </x:c>
      <x:c r="F1184" s="21" t="n">
        <x:v>623.8708156347782</x:v>
      </x:c>
      <x:c r="G1184" s="21" t="str">
        <x:f>""</x:f>
      </x:c>
      <x:c r="H1184" s="21" t="n">
        <x:f>F1185</x:f>
        <x:v>614.0617456963043</x:v>
      </x:c>
      <x:c r="I1184" s="27" t="str">
        <x:f>IF(AND(ISNUMBER(G1184),ISNUMBER(H1184),H1184&gt;0),G1184/H1184-1,"")</x:f>
      </x:c>
      <x:c r="J1184" s="27" t="str">
        <x:f>IF(AND(ISNUMBER(G1184),F1184&gt;0),G1184/F1184-1,"")</x:f>
      </x:c>
      <x:c r="K1184" s="19" t="str">
        <x:v>Exp_3/EXP040/results/seed1008_Fixed_rank_5.json</x:v>
      </x:c>
    </x:row>
    <x:row r="1185" ht="15" hidden="0" customHeight="1">
      <x:c r="A1185" s="3" t="str">
        <x:v>EXP040</x:v>
      </x:c>
      <x:c r="B1185" s="3" t="str">
        <x:v>Exp. 3</x:v>
      </x:c>
      <x:c r="C1185" s="18" t="n">
        <x:v>1008</x:v>
      </x:c>
      <x:c r="D1185" s="3" t="str">
        <x:v>Full</x:v>
      </x:c>
      <x:c r="E1185" s="18" t="n">
        <x:v>200</x:v>
      </x:c>
      <x:c r="F1185" s="21" t="n">
        <x:v>614.0617456963043</x:v>
      </x:c>
      <x:c r="G1185" s="21" t="str">
        <x:f>""</x:f>
      </x:c>
      <x:c r="H1185" s="21" t="n">
        <x:f>F1185</x:f>
        <x:v>614.0617456963043</x:v>
      </x:c>
      <x:c r="I1185" s="27" t="str">
        <x:f>IF(AND(ISNUMBER(G1185),ISNUMBER(H1185),H1185&gt;0),G1185/H1185-1,"")</x:f>
      </x:c>
      <x:c r="J1185" s="27" t="str">
        <x:f>IF(AND(ISNUMBER(G1185),F1185&gt;0),G1185/F1185-1,"")</x:f>
      </x:c>
      <x:c r="K1185" s="19" t="str">
        <x:v>Exp_3/EXP040/results/seed1008_Full.json</x:v>
      </x:c>
    </x:row>
    <x:row r="1186" ht="15" hidden="0" customHeight="1">
      <x:c r="A1186" s="3" t="str">
        <x:v>EXP040</x:v>
      </x:c>
      <x:c r="B1186" s="3" t="str">
        <x:v>Exp. 3</x:v>
      </x:c>
      <x:c r="C1186" s="18" t="n">
        <x:v>1008</x:v>
      </x:c>
      <x:c r="D1186" s="3" t="str">
        <x:v>Relative cutoff 1e-2</x:v>
      </x:c>
      <x:c r="E1186" s="18" t="n">
        <x:v>200</x:v>
      </x:c>
      <x:c r="F1186" s="21" t="n">
        <x:v>636.0259322841822</x:v>
      </x:c>
      <x:c r="G1186" s="21" t="str">
        <x:f>""</x:f>
      </x:c>
      <x:c r="H1186" s="21" t="n">
        <x:f>F1185</x:f>
        <x:v>614.0617456963043</x:v>
      </x:c>
      <x:c r="I1186" s="27" t="str">
        <x:f>IF(AND(ISNUMBER(G1186),ISNUMBER(H1186),H1186&gt;0),G1186/H1186-1,"")</x:f>
      </x:c>
      <x:c r="J1186" s="27" t="str">
        <x:f>IF(AND(ISNUMBER(G1186),F1186&gt;0),G1186/F1186-1,"")</x:f>
      </x:c>
      <x:c r="K1186" s="19" t="str">
        <x:v>Exp_3/EXP040/results/seed1008_Relative_cutoff_1e-2.json</x:v>
      </x:c>
    </x:row>
    <x:row r="1187" ht="15" hidden="0" customHeight="1">
      <x:c r="A1187" s="3" t="str">
        <x:v>EXP040</x:v>
      </x:c>
      <x:c r="B1187" s="3" t="str">
        <x:v>Exp. 3</x:v>
      </x:c>
      <x:c r="C1187" s="18" t="n">
        <x:v>1009</x:v>
      </x:c>
      <x:c r="D1187" s="3" t="str">
        <x:v>Fixed rank 10</x:v>
      </x:c>
      <x:c r="E1187" s="18" t="n">
        <x:v>200</x:v>
      </x:c>
      <x:c r="F1187" s="21" t="n">
        <x:v>632.2575708784585</x:v>
      </x:c>
      <x:c r="G1187" s="21" t="str">
        <x:f>""</x:f>
      </x:c>
      <x:c r="H1187" s="21" t="n">
        <x:f>F1190</x:f>
        <x:v>632.2575708784585</x:v>
      </x:c>
      <x:c r="I1187" s="27" t="str">
        <x:f>IF(AND(ISNUMBER(G1187),ISNUMBER(H1187),H1187&gt;0),G1187/H1187-1,"")</x:f>
      </x:c>
      <x:c r="J1187" s="27" t="str">
        <x:f>IF(AND(ISNUMBER(G1187),F1187&gt;0),G1187/F1187-1,"")</x:f>
      </x:c>
      <x:c r="K1187" s="19" t="str">
        <x:v>Exp_3/EXP040/results/seed1009_Fixed_rank_10.json</x:v>
      </x:c>
    </x:row>
    <x:row r="1188" ht="15" hidden="0" customHeight="1">
      <x:c r="A1188" s="3" t="str">
        <x:v>EXP040</x:v>
      </x:c>
      <x:c r="B1188" s="3" t="str">
        <x:v>Exp. 3</x:v>
      </x:c>
      <x:c r="C1188" s="18" t="n">
        <x:v>1009</x:v>
      </x:c>
      <x:c r="D1188" s="3" t="str">
        <x:v>Fixed rank 3</x:v>
      </x:c>
      <x:c r="E1188" s="18" t="n">
        <x:v>200</x:v>
      </x:c>
      <x:c r="F1188" s="21" t="n">
        <x:v>680.0734255459727</x:v>
      </x:c>
      <x:c r="G1188" s="21" t="str">
        <x:f>""</x:f>
      </x:c>
      <x:c r="H1188" s="21" t="n">
        <x:f>F1190</x:f>
        <x:v>632.2575708784585</x:v>
      </x:c>
      <x:c r="I1188" s="27" t="str">
        <x:f>IF(AND(ISNUMBER(G1188),ISNUMBER(H1188),H1188&gt;0),G1188/H1188-1,"")</x:f>
      </x:c>
      <x:c r="J1188" s="27" t="str">
        <x:f>IF(AND(ISNUMBER(G1188),F1188&gt;0),G1188/F1188-1,"")</x:f>
      </x:c>
      <x:c r="K1188" s="19" t="str">
        <x:v>Exp_3/EXP040/results/seed1009_Fixed_rank_3.json</x:v>
      </x:c>
    </x:row>
    <x:row r="1189" ht="15" hidden="0" customHeight="1">
      <x:c r="A1189" s="3" t="str">
        <x:v>EXP040</x:v>
      </x:c>
      <x:c r="B1189" s="3" t="str">
        <x:v>Exp. 3</x:v>
      </x:c>
      <x:c r="C1189" s="18" t="n">
        <x:v>1009</x:v>
      </x:c>
      <x:c r="D1189" s="3" t="str">
        <x:v>Fixed rank 5</x:v>
      </x:c>
      <x:c r="E1189" s="18" t="n">
        <x:v>200</x:v>
      </x:c>
      <x:c r="F1189" s="21" t="n">
        <x:v>632.2575708784585</x:v>
      </x:c>
      <x:c r="G1189" s="21" t="str">
        <x:f>""</x:f>
      </x:c>
      <x:c r="H1189" s="21" t="n">
        <x:f>F1190</x:f>
        <x:v>632.2575708784585</x:v>
      </x:c>
      <x:c r="I1189" s="27" t="str">
        <x:f>IF(AND(ISNUMBER(G1189),ISNUMBER(H1189),H1189&gt;0),G1189/H1189-1,"")</x:f>
      </x:c>
      <x:c r="J1189" s="27" t="str">
        <x:f>IF(AND(ISNUMBER(G1189),F1189&gt;0),G1189/F1189-1,"")</x:f>
      </x:c>
      <x:c r="K1189" s="19" t="str">
        <x:v>Exp_3/EXP040/results/seed1009_Fixed_rank_5.json</x:v>
      </x:c>
    </x:row>
    <x:row r="1190" ht="15" hidden="0" customHeight="1">
      <x:c r="A1190" s="3" t="str">
        <x:v>EXP040</x:v>
      </x:c>
      <x:c r="B1190" s="3" t="str">
        <x:v>Exp. 3</x:v>
      </x:c>
      <x:c r="C1190" s="18" t="n">
        <x:v>1009</x:v>
      </x:c>
      <x:c r="D1190" s="3" t="str">
        <x:v>Full</x:v>
      </x:c>
      <x:c r="E1190" s="18" t="n">
        <x:v>200</x:v>
      </x:c>
      <x:c r="F1190" s="21" t="n">
        <x:v>632.2575708784585</x:v>
      </x:c>
      <x:c r="G1190" s="21" t="str">
        <x:f>""</x:f>
      </x:c>
      <x:c r="H1190" s="21" t="n">
        <x:f>F1190</x:f>
        <x:v>632.2575708784585</x:v>
      </x:c>
      <x:c r="I1190" s="27" t="str">
        <x:f>IF(AND(ISNUMBER(G1190),ISNUMBER(H1190),H1190&gt;0),G1190/H1190-1,"")</x:f>
      </x:c>
      <x:c r="J1190" s="27" t="str">
        <x:f>IF(AND(ISNUMBER(G1190),F1190&gt;0),G1190/F1190-1,"")</x:f>
      </x:c>
      <x:c r="K1190" s="19" t="str">
        <x:v>Exp_3/EXP040/results/seed1009_Full.json</x:v>
      </x:c>
    </x:row>
    <x:row r="1191" ht="15" hidden="0" customHeight="1">
      <x:c r="A1191" s="3" t="str">
        <x:v>EXP040</x:v>
      </x:c>
      <x:c r="B1191" s="3" t="str">
        <x:v>Exp. 3</x:v>
      </x:c>
      <x:c r="C1191" s="18" t="n">
        <x:v>1009</x:v>
      </x:c>
      <x:c r="D1191" s="3" t="str">
        <x:v>Relative cutoff 1e-2</x:v>
      </x:c>
      <x:c r="E1191" s="18" t="n">
        <x:v>200</x:v>
      </x:c>
      <x:c r="F1191" s="21" t="n">
        <x:v>652.486602062252</x:v>
      </x:c>
      <x:c r="G1191" s="21" t="str">
        <x:f>""</x:f>
      </x:c>
      <x:c r="H1191" s="21" t="n">
        <x:f>F1190</x:f>
        <x:v>632.2575708784585</x:v>
      </x:c>
      <x:c r="I1191" s="27" t="str">
        <x:f>IF(AND(ISNUMBER(G1191),ISNUMBER(H1191),H1191&gt;0),G1191/H1191-1,"")</x:f>
      </x:c>
      <x:c r="J1191" s="27" t="str">
        <x:f>IF(AND(ISNUMBER(G1191),F1191&gt;0),G1191/F1191-1,"")</x:f>
      </x:c>
      <x:c r="K1191" s="19" t="str">
        <x:v>Exp_3/EXP040/results/seed1009_Relative_cutoff_1e-2.json</x:v>
      </x:c>
    </x:row>
    <x:row r="1192" ht="15" hidden="0" customHeight="1">
      <x:c r="A1192" s="3" t="str">
        <x:v>EXP040</x:v>
      </x:c>
      <x:c r="B1192" s="3" t="str">
        <x:v>Exp. 3</x:v>
      </x:c>
      <x:c r="C1192" s="18" t="n">
        <x:v>1010</x:v>
      </x:c>
      <x:c r="D1192" s="3" t="str">
        <x:v>Fixed rank 10</x:v>
      </x:c>
      <x:c r="E1192" s="18" t="n">
        <x:v>200</x:v>
      </x:c>
      <x:c r="F1192" s="21" t="n">
        <x:v>570.494045572059</x:v>
      </x:c>
      <x:c r="G1192" s="21" t="str">
        <x:f>""</x:f>
      </x:c>
      <x:c r="H1192" s="21" t="n">
        <x:f>F1195</x:f>
        <x:v>572.8137141416827</x:v>
      </x:c>
      <x:c r="I1192" s="27" t="str">
        <x:f>IF(AND(ISNUMBER(G1192),ISNUMBER(H1192),H1192&gt;0),G1192/H1192-1,"")</x:f>
      </x:c>
      <x:c r="J1192" s="27" t="str">
        <x:f>IF(AND(ISNUMBER(G1192),F1192&gt;0),G1192/F1192-1,"")</x:f>
      </x:c>
      <x:c r="K1192" s="19" t="str">
        <x:v>Exp_3/EXP040/results/seed1010_Fixed_rank_10.json</x:v>
      </x:c>
    </x:row>
    <x:row r="1193" ht="15" hidden="0" customHeight="1">
      <x:c r="A1193" s="3" t="str">
        <x:v>EXP040</x:v>
      </x:c>
      <x:c r="B1193" s="3" t="str">
        <x:v>Exp. 3</x:v>
      </x:c>
      <x:c r="C1193" s="18" t="n">
        <x:v>1010</x:v>
      </x:c>
      <x:c r="D1193" s="3" t="str">
        <x:v>Fixed rank 3</x:v>
      </x:c>
      <x:c r="E1193" s="18" t="n">
        <x:v>200</x:v>
      </x:c>
      <x:c r="F1193" s="21" t="n">
        <x:v>594.7135246465442</x:v>
      </x:c>
      <x:c r="G1193" s="21" t="str">
        <x:f>""</x:f>
      </x:c>
      <x:c r="H1193" s="21" t="n">
        <x:f>F1195</x:f>
        <x:v>572.8137141416827</x:v>
      </x:c>
      <x:c r="I1193" s="27" t="str">
        <x:f>IF(AND(ISNUMBER(G1193),ISNUMBER(H1193),H1193&gt;0),G1193/H1193-1,"")</x:f>
      </x:c>
      <x:c r="J1193" s="27" t="str">
        <x:f>IF(AND(ISNUMBER(G1193),F1193&gt;0),G1193/F1193-1,"")</x:f>
      </x:c>
      <x:c r="K1193" s="19" t="str">
        <x:v>Exp_3/EXP040/results/seed1010_Fixed_rank_3.json</x:v>
      </x:c>
    </x:row>
    <x:row r="1194" ht="15" hidden="0" customHeight="1">
      <x:c r="A1194" s="3" t="str">
        <x:v>EXP040</x:v>
      </x:c>
      <x:c r="B1194" s="3" t="str">
        <x:v>Exp. 3</x:v>
      </x:c>
      <x:c r="C1194" s="18" t="n">
        <x:v>1010</x:v>
      </x:c>
      <x:c r="D1194" s="3" t="str">
        <x:v>Fixed rank 5</x:v>
      </x:c>
      <x:c r="E1194" s="18" t="n">
        <x:v>200</x:v>
      </x:c>
      <x:c r="F1194" s="21" t="n">
        <x:v>602.4395601572458</x:v>
      </x:c>
      <x:c r="G1194" s="21" t="str">
        <x:f>""</x:f>
      </x:c>
      <x:c r="H1194" s="21" t="n">
        <x:f>F1195</x:f>
        <x:v>572.8137141416827</x:v>
      </x:c>
      <x:c r="I1194" s="27" t="str">
        <x:f>IF(AND(ISNUMBER(G1194),ISNUMBER(H1194),H1194&gt;0),G1194/H1194-1,"")</x:f>
      </x:c>
      <x:c r="J1194" s="27" t="str">
        <x:f>IF(AND(ISNUMBER(G1194),F1194&gt;0),G1194/F1194-1,"")</x:f>
      </x:c>
      <x:c r="K1194" s="19" t="str">
        <x:v>Exp_3/EXP040/results/seed1010_Fixed_rank_5.json</x:v>
      </x:c>
    </x:row>
    <x:row r="1195" ht="15" hidden="0" customHeight="1">
      <x:c r="A1195" s="3" t="str">
        <x:v>EXP040</x:v>
      </x:c>
      <x:c r="B1195" s="3" t="str">
        <x:v>Exp. 3</x:v>
      </x:c>
      <x:c r="C1195" s="18" t="n">
        <x:v>1010</x:v>
      </x:c>
      <x:c r="D1195" s="3" t="str">
        <x:v>Full</x:v>
      </x:c>
      <x:c r="E1195" s="18" t="n">
        <x:v>200</x:v>
      </x:c>
      <x:c r="F1195" s="21" t="n">
        <x:v>572.8137141416827</x:v>
      </x:c>
      <x:c r="G1195" s="21" t="str">
        <x:f>""</x:f>
      </x:c>
      <x:c r="H1195" s="21" t="n">
        <x:f>F1195</x:f>
        <x:v>572.8137141416827</x:v>
      </x:c>
      <x:c r="I1195" s="27" t="str">
        <x:f>IF(AND(ISNUMBER(G1195),ISNUMBER(H1195),H1195&gt;0),G1195/H1195-1,"")</x:f>
      </x:c>
      <x:c r="J1195" s="27" t="str">
        <x:f>IF(AND(ISNUMBER(G1195),F1195&gt;0),G1195/F1195-1,"")</x:f>
      </x:c>
      <x:c r="K1195" s="19" t="str">
        <x:v>Exp_3/EXP040/results/seed1010_Full.json</x:v>
      </x:c>
    </x:row>
    <x:row r="1196" ht="15" hidden="0" customHeight="1">
      <x:c r="A1196" s="3" t="str">
        <x:v>EXP040</x:v>
      </x:c>
      <x:c r="B1196" s="3" t="str">
        <x:v>Exp. 3</x:v>
      </x:c>
      <x:c r="C1196" s="18" t="n">
        <x:v>1010</x:v>
      </x:c>
      <x:c r="D1196" s="3" t="str">
        <x:v>Relative cutoff 1e-2</x:v>
      </x:c>
      <x:c r="E1196" s="18" t="n">
        <x:v>200</x:v>
      </x:c>
      <x:c r="F1196" s="21" t="n">
        <x:v>558.4293742861594</x:v>
      </x:c>
      <x:c r="G1196" s="21" t="str">
        <x:f>""</x:f>
      </x:c>
      <x:c r="H1196" s="21" t="n">
        <x:f>F1195</x:f>
        <x:v>572.8137141416827</x:v>
      </x:c>
      <x:c r="I1196" s="27" t="str">
        <x:f>IF(AND(ISNUMBER(G1196),ISNUMBER(H1196),H1196&gt;0),G1196/H1196-1,"")</x:f>
      </x:c>
      <x:c r="J1196" s="27" t="str">
        <x:f>IF(AND(ISNUMBER(G1196),F1196&gt;0),G1196/F1196-1,"")</x:f>
      </x:c>
      <x:c r="K1196" s="19" t="str">
        <x:v>Exp_3/EXP040/results/seed1010_Relative_cutoff_1e-2.json</x:v>
      </x:c>
    </x:row>
    <x:row r="1197" ht="15" hidden="0" customHeight="1">
      <x:c r="A1197" s="3" t="str">
        <x:v>EXP040</x:v>
      </x:c>
      <x:c r="B1197" s="3" t="str">
        <x:v>Exp. 3</x:v>
      </x:c>
      <x:c r="C1197" s="18" t="n">
        <x:v>1011</x:v>
      </x:c>
      <x:c r="D1197" s="3" t="str">
        <x:v>Fixed rank 10</x:v>
      </x:c>
      <x:c r="E1197" s="18" t="n">
        <x:v>200</x:v>
      </x:c>
      <x:c r="F1197" s="21" t="n">
        <x:v>789.3142867409023</x:v>
      </x:c>
      <x:c r="G1197" s="21" t="str">
        <x:f>""</x:f>
      </x:c>
      <x:c r="H1197" s="21" t="n">
        <x:f>F1200</x:f>
        <x:v>781.7861094457542</x:v>
      </x:c>
      <x:c r="I1197" s="27" t="str">
        <x:f>IF(AND(ISNUMBER(G1197),ISNUMBER(H1197),H1197&gt;0),G1197/H1197-1,"")</x:f>
      </x:c>
      <x:c r="J1197" s="27" t="str">
        <x:f>IF(AND(ISNUMBER(G1197),F1197&gt;0),G1197/F1197-1,"")</x:f>
      </x:c>
      <x:c r="K1197" s="19" t="str">
        <x:v>Exp_3/EXP040/results/seed1011_Fixed_rank_10.json</x:v>
      </x:c>
    </x:row>
    <x:row r="1198" ht="15" hidden="0" customHeight="1">
      <x:c r="A1198" s="3" t="str">
        <x:v>EXP040</x:v>
      </x:c>
      <x:c r="B1198" s="3" t="str">
        <x:v>Exp. 3</x:v>
      </x:c>
      <x:c r="C1198" s="18" t="n">
        <x:v>1011</x:v>
      </x:c>
      <x:c r="D1198" s="3" t="str">
        <x:v>Fixed rank 3</x:v>
      </x:c>
      <x:c r="E1198" s="18" t="n">
        <x:v>200</x:v>
      </x:c>
      <x:c r="F1198" s="21" t="n">
        <x:v>784.8041622430957</x:v>
      </x:c>
      <x:c r="G1198" s="21" t="str">
        <x:f>""</x:f>
      </x:c>
      <x:c r="H1198" s="21" t="n">
        <x:f>F1200</x:f>
        <x:v>781.7861094457542</x:v>
      </x:c>
      <x:c r="I1198" s="27" t="str">
        <x:f>IF(AND(ISNUMBER(G1198),ISNUMBER(H1198),H1198&gt;0),G1198/H1198-1,"")</x:f>
      </x:c>
      <x:c r="J1198" s="27" t="str">
        <x:f>IF(AND(ISNUMBER(G1198),F1198&gt;0),G1198/F1198-1,"")</x:f>
      </x:c>
      <x:c r="K1198" s="19" t="str">
        <x:v>Exp_3/EXP040/results/seed1011_Fixed_rank_3.json</x:v>
      </x:c>
    </x:row>
    <x:row r="1199" ht="15" hidden="0" customHeight="1">
      <x:c r="A1199" s="3" t="str">
        <x:v>EXP040</x:v>
      </x:c>
      <x:c r="B1199" s="3" t="str">
        <x:v>Exp. 3</x:v>
      </x:c>
      <x:c r="C1199" s="18" t="n">
        <x:v>1011</x:v>
      </x:c>
      <x:c r="D1199" s="3" t="str">
        <x:v>Fixed rank 5</x:v>
      </x:c>
      <x:c r="E1199" s="18" t="n">
        <x:v>200</x:v>
      </x:c>
      <x:c r="F1199" s="21" t="n">
        <x:v>800.8983780849995</x:v>
      </x:c>
      <x:c r="G1199" s="21" t="str">
        <x:f>""</x:f>
      </x:c>
      <x:c r="H1199" s="21" t="n">
        <x:f>F1200</x:f>
        <x:v>781.7861094457542</x:v>
      </x:c>
      <x:c r="I1199" s="27" t="str">
        <x:f>IF(AND(ISNUMBER(G1199),ISNUMBER(H1199),H1199&gt;0),G1199/H1199-1,"")</x:f>
      </x:c>
      <x:c r="J1199" s="27" t="str">
        <x:f>IF(AND(ISNUMBER(G1199),F1199&gt;0),G1199/F1199-1,"")</x:f>
      </x:c>
      <x:c r="K1199" s="19" t="str">
        <x:v>Exp_3/EXP040/results/seed1011_Fixed_rank_5.json</x:v>
      </x:c>
    </x:row>
    <x:row r="1200" ht="15" hidden="0" customHeight="1">
      <x:c r="A1200" s="3" t="str">
        <x:v>EXP040</x:v>
      </x:c>
      <x:c r="B1200" s="3" t="str">
        <x:v>Exp. 3</x:v>
      </x:c>
      <x:c r="C1200" s="18" t="n">
        <x:v>1011</x:v>
      </x:c>
      <x:c r="D1200" s="3" t="str">
        <x:v>Full</x:v>
      </x:c>
      <x:c r="E1200" s="18" t="n">
        <x:v>200</x:v>
      </x:c>
      <x:c r="F1200" s="21" t="n">
        <x:v>781.7861094457542</x:v>
      </x:c>
      <x:c r="G1200" s="21" t="str">
        <x:f>""</x:f>
      </x:c>
      <x:c r="H1200" s="21" t="n">
        <x:f>F1200</x:f>
        <x:v>781.7861094457542</x:v>
      </x:c>
      <x:c r="I1200" s="27" t="str">
        <x:f>IF(AND(ISNUMBER(G1200),ISNUMBER(H1200),H1200&gt;0),G1200/H1200-1,"")</x:f>
      </x:c>
      <x:c r="J1200" s="27" t="str">
        <x:f>IF(AND(ISNUMBER(G1200),F1200&gt;0),G1200/F1200-1,"")</x:f>
      </x:c>
      <x:c r="K1200" s="19" t="str">
        <x:v>Exp_3/EXP040/results/seed1011_Full.json</x:v>
      </x:c>
    </x:row>
    <x:row r="1201" ht="15" hidden="0" customHeight="1">
      <x:c r="A1201" s="3" t="str">
        <x:v>EXP040</x:v>
      </x:c>
      <x:c r="B1201" s="3" t="str">
        <x:v>Exp. 3</x:v>
      </x:c>
      <x:c r="C1201" s="18" t="n">
        <x:v>1011</x:v>
      </x:c>
      <x:c r="D1201" s="3" t="str">
        <x:v>Relative cutoff 1e-2</x:v>
      </x:c>
      <x:c r="E1201" s="18" t="n">
        <x:v>200</x:v>
      </x:c>
      <x:c r="F1201" s="21" t="n">
        <x:v>775.3820059745445</x:v>
      </x:c>
      <x:c r="G1201" s="21" t="str">
        <x:f>""</x:f>
      </x:c>
      <x:c r="H1201" s="21" t="n">
        <x:f>F1200</x:f>
        <x:v>781.7861094457542</x:v>
      </x:c>
      <x:c r="I1201" s="27" t="str">
        <x:f>IF(AND(ISNUMBER(G1201),ISNUMBER(H1201),H1201&gt;0),G1201/H1201-1,"")</x:f>
      </x:c>
      <x:c r="J1201" s="27" t="str">
        <x:f>IF(AND(ISNUMBER(G1201),F1201&gt;0),G1201/F1201-1,"")</x:f>
      </x:c>
      <x:c r="K1201" s="19" t="str">
        <x:v>Exp_3/EXP040/results/seed1011_Relative_cutoff_1e-2.json</x:v>
      </x:c>
    </x:row>
    <x:row r="1202" ht="15" hidden="0" customHeight="1">
      <x:c r="A1202" s="3" t="str">
        <x:v>EXP040</x:v>
      </x:c>
      <x:c r="B1202" s="3" t="str">
        <x:v>Exp. 3</x:v>
      </x:c>
      <x:c r="C1202" s="18" t="n">
        <x:v>1012</x:v>
      </x:c>
      <x:c r="D1202" s="3" t="str">
        <x:v>Fixed rank 10</x:v>
      </x:c>
      <x:c r="E1202" s="18" t="n">
        <x:v>200</x:v>
      </x:c>
      <x:c r="F1202" s="21" t="n">
        <x:v>752.3219295890024</x:v>
      </x:c>
      <x:c r="G1202" s="21" t="str">
        <x:f>""</x:f>
      </x:c>
      <x:c r="H1202" s="21" t="n">
        <x:f>F1205</x:f>
        <x:v>754.9109610158082</x:v>
      </x:c>
      <x:c r="I1202" s="27" t="str">
        <x:f>IF(AND(ISNUMBER(G1202),ISNUMBER(H1202),H1202&gt;0),G1202/H1202-1,"")</x:f>
      </x:c>
      <x:c r="J1202" s="27" t="str">
        <x:f>IF(AND(ISNUMBER(G1202),F1202&gt;0),G1202/F1202-1,"")</x:f>
      </x:c>
      <x:c r="K1202" s="19" t="str">
        <x:v>Exp_3/EXP040/results/seed1012_Fixed_rank_10.json</x:v>
      </x:c>
    </x:row>
    <x:row r="1203" ht="15" hidden="0" customHeight="1">
      <x:c r="A1203" s="3" t="str">
        <x:v>EXP040</x:v>
      </x:c>
      <x:c r="B1203" s="3" t="str">
        <x:v>Exp. 3</x:v>
      </x:c>
      <x:c r="C1203" s="18" t="n">
        <x:v>1012</x:v>
      </x:c>
      <x:c r="D1203" s="3" t="str">
        <x:v>Fixed rank 3</x:v>
      </x:c>
      <x:c r="E1203" s="18" t="n">
        <x:v>200</x:v>
      </x:c>
      <x:c r="F1203" s="21" t="n">
        <x:v>734.1985934954716</x:v>
      </x:c>
      <x:c r="G1203" s="21" t="str">
        <x:f>""</x:f>
      </x:c>
      <x:c r="H1203" s="21" t="n">
        <x:f>F1205</x:f>
        <x:v>754.9109610158082</x:v>
      </x:c>
      <x:c r="I1203" s="27" t="str">
        <x:f>IF(AND(ISNUMBER(G1203),ISNUMBER(H1203),H1203&gt;0),G1203/H1203-1,"")</x:f>
      </x:c>
      <x:c r="J1203" s="27" t="str">
        <x:f>IF(AND(ISNUMBER(G1203),F1203&gt;0),G1203/F1203-1,"")</x:f>
      </x:c>
      <x:c r="K1203" s="19" t="str">
        <x:v>Exp_3/EXP040/results/seed1012_Fixed_rank_3.json</x:v>
      </x:c>
    </x:row>
    <x:row r="1204" ht="15" hidden="0" customHeight="1">
      <x:c r="A1204" s="3" t="str">
        <x:v>EXP040</x:v>
      </x:c>
      <x:c r="B1204" s="3" t="str">
        <x:v>Exp. 3</x:v>
      </x:c>
      <x:c r="C1204" s="18" t="n">
        <x:v>1012</x:v>
      </x:c>
      <x:c r="D1204" s="3" t="str">
        <x:v>Fixed rank 5</x:v>
      </x:c>
      <x:c r="E1204" s="18" t="n">
        <x:v>200</x:v>
      </x:c>
      <x:c r="F1204" s="21" t="n">
        <x:v>731.6146531160855</x:v>
      </x:c>
      <x:c r="G1204" s="21" t="str">
        <x:f>""</x:f>
      </x:c>
      <x:c r="H1204" s="21" t="n">
        <x:f>F1205</x:f>
        <x:v>754.9109610158082</x:v>
      </x:c>
      <x:c r="I1204" s="27" t="str">
        <x:f>IF(AND(ISNUMBER(G1204),ISNUMBER(H1204),H1204&gt;0),G1204/H1204-1,"")</x:f>
      </x:c>
      <x:c r="J1204" s="27" t="str">
        <x:f>IF(AND(ISNUMBER(G1204),F1204&gt;0),G1204/F1204-1,"")</x:f>
      </x:c>
      <x:c r="K1204" s="19" t="str">
        <x:v>Exp_3/EXP040/results/seed1012_Fixed_rank_5.json</x:v>
      </x:c>
    </x:row>
    <x:row r="1205" ht="15" hidden="0" customHeight="1">
      <x:c r="A1205" s="3" t="str">
        <x:v>EXP040</x:v>
      </x:c>
      <x:c r="B1205" s="3" t="str">
        <x:v>Exp. 3</x:v>
      </x:c>
      <x:c r="C1205" s="18" t="n">
        <x:v>1012</x:v>
      </x:c>
      <x:c r="D1205" s="3" t="str">
        <x:v>Full</x:v>
      </x:c>
      <x:c r="E1205" s="18" t="n">
        <x:v>200</x:v>
      </x:c>
      <x:c r="F1205" s="21" t="n">
        <x:v>754.9109610158082</x:v>
      </x:c>
      <x:c r="G1205" s="21" t="str">
        <x:f>""</x:f>
      </x:c>
      <x:c r="H1205" s="21" t="n">
        <x:f>F1205</x:f>
        <x:v>754.9109610158082</x:v>
      </x:c>
      <x:c r="I1205" s="27" t="str">
        <x:f>IF(AND(ISNUMBER(G1205),ISNUMBER(H1205),H1205&gt;0),G1205/H1205-1,"")</x:f>
      </x:c>
      <x:c r="J1205" s="27" t="str">
        <x:f>IF(AND(ISNUMBER(G1205),F1205&gt;0),G1205/F1205-1,"")</x:f>
      </x:c>
      <x:c r="K1205" s="19" t="str">
        <x:v>Exp_3/EXP040/results/seed1012_Full.json</x:v>
      </x:c>
    </x:row>
    <x:row r="1206" ht="15" hidden="0" customHeight="1">
      <x:c r="A1206" s="3" t="str">
        <x:v>EXP040</x:v>
      </x:c>
      <x:c r="B1206" s="3" t="str">
        <x:v>Exp. 3</x:v>
      </x:c>
      <x:c r="C1206" s="18" t="n">
        <x:v>1012</x:v>
      </x:c>
      <x:c r="D1206" s="3" t="str">
        <x:v>Relative cutoff 1e-2</x:v>
      </x:c>
      <x:c r="E1206" s="18" t="n">
        <x:v>200</x:v>
      </x:c>
      <x:c r="F1206" s="21" t="n">
        <x:v>734.1985934954716</x:v>
      </x:c>
      <x:c r="G1206" s="21" t="str">
        <x:f>""</x:f>
      </x:c>
      <x:c r="H1206" s="21" t="n">
        <x:f>F1205</x:f>
        <x:v>754.9109610158082</x:v>
      </x:c>
      <x:c r="I1206" s="27" t="str">
        <x:f>IF(AND(ISNUMBER(G1206),ISNUMBER(H1206),H1206&gt;0),G1206/H1206-1,"")</x:f>
      </x:c>
      <x:c r="J1206" s="27" t="str">
        <x:f>IF(AND(ISNUMBER(G1206),F1206&gt;0),G1206/F1206-1,"")</x:f>
      </x:c>
      <x:c r="K1206" s="19" t="str">
        <x:v>Exp_3/EXP040/results/seed1012_Relative_cutoff_1e-2.json</x:v>
      </x:c>
    </x:row>
    <x:row r="1207" ht="15" hidden="0" customHeight="1">
      <x:c r="A1207" s="3" t="str">
        <x:v>EXP040</x:v>
      </x:c>
      <x:c r="B1207" s="3" t="str">
        <x:v>Exp. 3</x:v>
      </x:c>
      <x:c r="C1207" s="18" t="n">
        <x:v>1013</x:v>
      </x:c>
      <x:c r="D1207" s="3" t="str">
        <x:v>Fixed rank 10</x:v>
      </x:c>
      <x:c r="E1207" s="18" t="n">
        <x:v>200</x:v>
      </x:c>
      <x:c r="F1207" s="21" t="n">
        <x:v>728.1429344028824</x:v>
      </x:c>
      <x:c r="G1207" s="21" t="str">
        <x:f>""</x:f>
      </x:c>
      <x:c r="H1207" s="21" t="n">
        <x:f>F1210</x:f>
        <x:v>728.1429344028824</x:v>
      </x:c>
      <x:c r="I1207" s="27" t="str">
        <x:f>IF(AND(ISNUMBER(G1207),ISNUMBER(H1207),H1207&gt;0),G1207/H1207-1,"")</x:f>
      </x:c>
      <x:c r="J1207" s="27" t="str">
        <x:f>IF(AND(ISNUMBER(G1207),F1207&gt;0),G1207/F1207-1,"")</x:f>
      </x:c>
      <x:c r="K1207" s="19" t="str">
        <x:v>Exp_3/EXP040/results/seed1013_Fixed_rank_10.json</x:v>
      </x:c>
    </x:row>
    <x:row r="1208" ht="15" hidden="0" customHeight="1">
      <x:c r="A1208" s="3" t="str">
        <x:v>EXP040</x:v>
      </x:c>
      <x:c r="B1208" s="3" t="str">
        <x:v>Exp. 3</x:v>
      </x:c>
      <x:c r="C1208" s="18" t="n">
        <x:v>1013</x:v>
      </x:c>
      <x:c r="D1208" s="3" t="str">
        <x:v>Fixed rank 3</x:v>
      </x:c>
      <x:c r="E1208" s="18" t="n">
        <x:v>200</x:v>
      </x:c>
      <x:c r="F1208" s="21" t="n">
        <x:v>730.1028601407992</x:v>
      </x:c>
      <x:c r="G1208" s="21" t="str">
        <x:f>""</x:f>
      </x:c>
      <x:c r="H1208" s="21" t="n">
        <x:f>F1210</x:f>
        <x:v>728.1429344028824</x:v>
      </x:c>
      <x:c r="I1208" s="27" t="str">
        <x:f>IF(AND(ISNUMBER(G1208),ISNUMBER(H1208),H1208&gt;0),G1208/H1208-1,"")</x:f>
      </x:c>
      <x:c r="J1208" s="27" t="str">
        <x:f>IF(AND(ISNUMBER(G1208),F1208&gt;0),G1208/F1208-1,"")</x:f>
      </x:c>
      <x:c r="K1208" s="19" t="str">
        <x:v>Exp_3/EXP040/results/seed1013_Fixed_rank_3.json</x:v>
      </x:c>
    </x:row>
    <x:row r="1209" ht="15" hidden="0" customHeight="1">
      <x:c r="A1209" s="3" t="str">
        <x:v>EXP040</x:v>
      </x:c>
      <x:c r="B1209" s="3" t="str">
        <x:v>Exp. 3</x:v>
      </x:c>
      <x:c r="C1209" s="18" t="n">
        <x:v>1013</x:v>
      </x:c>
      <x:c r="D1209" s="3" t="str">
        <x:v>Fixed rank 5</x:v>
      </x:c>
      <x:c r="E1209" s="18" t="n">
        <x:v>200</x:v>
      </x:c>
      <x:c r="F1209" s="21" t="n">
        <x:v>728.1429344028824</x:v>
      </x:c>
      <x:c r="G1209" s="21" t="str">
        <x:f>""</x:f>
      </x:c>
      <x:c r="H1209" s="21" t="n">
        <x:f>F1210</x:f>
        <x:v>728.1429344028824</x:v>
      </x:c>
      <x:c r="I1209" s="27" t="str">
        <x:f>IF(AND(ISNUMBER(G1209),ISNUMBER(H1209),H1209&gt;0),G1209/H1209-1,"")</x:f>
      </x:c>
      <x:c r="J1209" s="27" t="str">
        <x:f>IF(AND(ISNUMBER(G1209),F1209&gt;0),G1209/F1209-1,"")</x:f>
      </x:c>
      <x:c r="K1209" s="19" t="str">
        <x:v>Exp_3/EXP040/results/seed1013_Fixed_rank_5.json</x:v>
      </x:c>
    </x:row>
    <x:row r="1210" ht="15" hidden="0" customHeight="1">
      <x:c r="A1210" s="3" t="str">
        <x:v>EXP040</x:v>
      </x:c>
      <x:c r="B1210" s="3" t="str">
        <x:v>Exp. 3</x:v>
      </x:c>
      <x:c r="C1210" s="18" t="n">
        <x:v>1013</x:v>
      </x:c>
      <x:c r="D1210" s="3" t="str">
        <x:v>Full</x:v>
      </x:c>
      <x:c r="E1210" s="18" t="n">
        <x:v>200</x:v>
      </x:c>
      <x:c r="F1210" s="21" t="n">
        <x:v>728.1429344028824</x:v>
      </x:c>
      <x:c r="G1210" s="21" t="str">
        <x:f>""</x:f>
      </x:c>
      <x:c r="H1210" s="21" t="n">
        <x:f>F1210</x:f>
        <x:v>728.1429344028824</x:v>
      </x:c>
      <x:c r="I1210" s="27" t="str">
        <x:f>IF(AND(ISNUMBER(G1210),ISNUMBER(H1210),H1210&gt;0),G1210/H1210-1,"")</x:f>
      </x:c>
      <x:c r="J1210" s="27" t="str">
        <x:f>IF(AND(ISNUMBER(G1210),F1210&gt;0),G1210/F1210-1,"")</x:f>
      </x:c>
      <x:c r="K1210" s="19" t="str">
        <x:v>Exp_3/EXP040/results/seed1013_Full.json</x:v>
      </x:c>
    </x:row>
    <x:row r="1211" ht="15" hidden="0" customHeight="1">
      <x:c r="A1211" s="3" t="str">
        <x:v>EXP040</x:v>
      </x:c>
      <x:c r="B1211" s="3" t="str">
        <x:v>Exp. 3</x:v>
      </x:c>
      <x:c r="C1211" s="18" t="n">
        <x:v>1013</x:v>
      </x:c>
      <x:c r="D1211" s="3" t="str">
        <x:v>Relative cutoff 1e-2</x:v>
      </x:c>
      <x:c r="E1211" s="18" t="n">
        <x:v>200</x:v>
      </x:c>
      <x:c r="F1211" s="21" t="n">
        <x:v>738.0355762408409</x:v>
      </x:c>
      <x:c r="G1211" s="21" t="str">
        <x:f>""</x:f>
      </x:c>
      <x:c r="H1211" s="21" t="n">
        <x:f>F1210</x:f>
        <x:v>728.1429344028824</x:v>
      </x:c>
      <x:c r="I1211" s="27" t="str">
        <x:f>IF(AND(ISNUMBER(G1211),ISNUMBER(H1211),H1211&gt;0),G1211/H1211-1,"")</x:f>
      </x:c>
      <x:c r="J1211" s="27" t="str">
        <x:f>IF(AND(ISNUMBER(G1211),F1211&gt;0),G1211/F1211-1,"")</x:f>
      </x:c>
      <x:c r="K1211" s="19" t="str">
        <x:v>Exp_3/EXP040/results/seed1013_Relative_cutoff_1e-2.json</x:v>
      </x:c>
    </x:row>
    <x:row r="1212" ht="15" hidden="0" customHeight="1">
      <x:c r="A1212" s="3" t="str">
        <x:v>EXP040</x:v>
      </x:c>
      <x:c r="B1212" s="3" t="str">
        <x:v>Exp. 3</x:v>
      </x:c>
      <x:c r="C1212" s="18" t="n">
        <x:v>1014</x:v>
      </x:c>
      <x:c r="D1212" s="3" t="str">
        <x:v>Fixed rank 10</x:v>
      </x:c>
      <x:c r="E1212" s="18" t="n">
        <x:v>200</x:v>
      </x:c>
      <x:c r="F1212" s="21" t="n">
        <x:v>689.3838484813926</x:v>
      </x:c>
      <x:c r="G1212" s="21" t="str">
        <x:f>""</x:f>
      </x:c>
      <x:c r="H1212" s="21" t="n">
        <x:f>F1215</x:f>
        <x:v>689.3838484813926</x:v>
      </x:c>
      <x:c r="I1212" s="27" t="str">
        <x:f>IF(AND(ISNUMBER(G1212),ISNUMBER(H1212),H1212&gt;0),G1212/H1212-1,"")</x:f>
      </x:c>
      <x:c r="J1212" s="27" t="str">
        <x:f>IF(AND(ISNUMBER(G1212),F1212&gt;0),G1212/F1212-1,"")</x:f>
      </x:c>
      <x:c r="K1212" s="19" t="str">
        <x:v>Exp_3/EXP040/results/seed1014_Fixed_rank_10.json</x:v>
      </x:c>
    </x:row>
    <x:row r="1213" ht="15" hidden="0" customHeight="1">
      <x:c r="A1213" s="3" t="str">
        <x:v>EXP040</x:v>
      </x:c>
      <x:c r="B1213" s="3" t="str">
        <x:v>Exp. 3</x:v>
      </x:c>
      <x:c r="C1213" s="18" t="n">
        <x:v>1014</x:v>
      </x:c>
      <x:c r="D1213" s="3" t="str">
        <x:v>Fixed rank 3</x:v>
      </x:c>
      <x:c r="E1213" s="18" t="n">
        <x:v>200</x:v>
      </x:c>
      <x:c r="F1213" s="21" t="n">
        <x:v>721.6251592157133</x:v>
      </x:c>
      <x:c r="G1213" s="21" t="str">
        <x:f>""</x:f>
      </x:c>
      <x:c r="H1213" s="21" t="n">
        <x:f>F1215</x:f>
        <x:v>689.3838484813926</x:v>
      </x:c>
      <x:c r="I1213" s="27" t="str">
        <x:f>IF(AND(ISNUMBER(G1213),ISNUMBER(H1213),H1213&gt;0),G1213/H1213-1,"")</x:f>
      </x:c>
      <x:c r="J1213" s="27" t="str">
        <x:f>IF(AND(ISNUMBER(G1213),F1213&gt;0),G1213/F1213-1,"")</x:f>
      </x:c>
      <x:c r="K1213" s="19" t="str">
        <x:v>Exp_3/EXP040/results/seed1014_Fixed_rank_3.json</x:v>
      </x:c>
    </x:row>
    <x:row r="1214" ht="15" hidden="0" customHeight="1">
      <x:c r="A1214" s="3" t="str">
        <x:v>EXP040</x:v>
      </x:c>
      <x:c r="B1214" s="3" t="str">
        <x:v>Exp. 3</x:v>
      </x:c>
      <x:c r="C1214" s="18" t="n">
        <x:v>1014</x:v>
      </x:c>
      <x:c r="D1214" s="3" t="str">
        <x:v>Fixed rank 5</x:v>
      </x:c>
      <x:c r="E1214" s="18" t="n">
        <x:v>200</x:v>
      </x:c>
      <x:c r="F1214" s="21" t="n">
        <x:v>702.2057927433686</x:v>
      </x:c>
      <x:c r="G1214" s="21" t="str">
        <x:f>""</x:f>
      </x:c>
      <x:c r="H1214" s="21" t="n">
        <x:f>F1215</x:f>
        <x:v>689.3838484813926</x:v>
      </x:c>
      <x:c r="I1214" s="27" t="str">
        <x:f>IF(AND(ISNUMBER(G1214),ISNUMBER(H1214),H1214&gt;0),G1214/H1214-1,"")</x:f>
      </x:c>
      <x:c r="J1214" s="27" t="str">
        <x:f>IF(AND(ISNUMBER(G1214),F1214&gt;0),G1214/F1214-1,"")</x:f>
      </x:c>
      <x:c r="K1214" s="19" t="str">
        <x:v>Exp_3/EXP040/results/seed1014_Fixed_rank_5.json</x:v>
      </x:c>
    </x:row>
    <x:row r="1215" ht="15" hidden="0" customHeight="1">
      <x:c r="A1215" s="3" t="str">
        <x:v>EXP040</x:v>
      </x:c>
      <x:c r="B1215" s="3" t="str">
        <x:v>Exp. 3</x:v>
      </x:c>
      <x:c r="C1215" s="18" t="n">
        <x:v>1014</x:v>
      </x:c>
      <x:c r="D1215" s="3" t="str">
        <x:v>Full</x:v>
      </x:c>
      <x:c r="E1215" s="18" t="n">
        <x:v>200</x:v>
      </x:c>
      <x:c r="F1215" s="21" t="n">
        <x:v>689.3838484813926</x:v>
      </x:c>
      <x:c r="G1215" s="21" t="str">
        <x:f>""</x:f>
      </x:c>
      <x:c r="H1215" s="21" t="n">
        <x:f>F1215</x:f>
        <x:v>689.3838484813926</x:v>
      </x:c>
      <x:c r="I1215" s="27" t="str">
        <x:f>IF(AND(ISNUMBER(G1215),ISNUMBER(H1215),H1215&gt;0),G1215/H1215-1,"")</x:f>
      </x:c>
      <x:c r="J1215" s="27" t="str">
        <x:f>IF(AND(ISNUMBER(G1215),F1215&gt;0),G1215/F1215-1,"")</x:f>
      </x:c>
      <x:c r="K1215" s="19" t="str">
        <x:v>Exp_3/EXP040/results/seed1014_Full.json</x:v>
      </x:c>
    </x:row>
    <x:row r="1216" ht="15" hidden="0" customHeight="1">
      <x:c r="A1216" s="3" t="str">
        <x:v>EXP040</x:v>
      </x:c>
      <x:c r="B1216" s="3" t="str">
        <x:v>Exp. 3</x:v>
      </x:c>
      <x:c r="C1216" s="18" t="n">
        <x:v>1014</x:v>
      </x:c>
      <x:c r="D1216" s="3" t="str">
        <x:v>Relative cutoff 1e-2</x:v>
      </x:c>
      <x:c r="E1216" s="18" t="n">
        <x:v>200</x:v>
      </x:c>
      <x:c r="F1216" s="21" t="n">
        <x:v>721.6251592157133</x:v>
      </x:c>
      <x:c r="G1216" s="21" t="str">
        <x:f>""</x:f>
      </x:c>
      <x:c r="H1216" s="21" t="n">
        <x:f>F1215</x:f>
        <x:v>689.3838484813926</x:v>
      </x:c>
      <x:c r="I1216" s="27" t="str">
        <x:f>IF(AND(ISNUMBER(G1216),ISNUMBER(H1216),H1216&gt;0),G1216/H1216-1,"")</x:f>
      </x:c>
      <x:c r="J1216" s="27" t="str">
        <x:f>IF(AND(ISNUMBER(G1216),F1216&gt;0),G1216/F1216-1,"")</x:f>
      </x:c>
      <x:c r="K1216" s="19" t="str">
        <x:v>Exp_3/EXP040/results/seed1014_Relative_cutoff_1e-2.json</x:v>
      </x:c>
    </x:row>
    <x:row r="1217" ht="15" hidden="0" customHeight="1">
      <x:c r="A1217" s="3" t="str">
        <x:v>EXP040</x:v>
      </x:c>
      <x:c r="B1217" s="3" t="str">
        <x:v>Exp. 3</x:v>
      </x:c>
      <x:c r="C1217" s="18" t="n">
        <x:v>1015</x:v>
      </x:c>
      <x:c r="D1217" s="3" t="str">
        <x:v>Fixed rank 10</x:v>
      </x:c>
      <x:c r="E1217" s="18" t="n">
        <x:v>200</x:v>
      </x:c>
      <x:c r="F1217" s="21" t="n">
        <x:v>626.3070743954014</x:v>
      </x:c>
      <x:c r="G1217" s="21" t="str">
        <x:f>""</x:f>
      </x:c>
      <x:c r="H1217" s="21" t="n">
        <x:f>F1220</x:f>
        <x:v>626.3070743954014</x:v>
      </x:c>
      <x:c r="I1217" s="27" t="str">
        <x:f>IF(AND(ISNUMBER(G1217),ISNUMBER(H1217),H1217&gt;0),G1217/H1217-1,"")</x:f>
      </x:c>
      <x:c r="J1217" s="27" t="str">
        <x:f>IF(AND(ISNUMBER(G1217),F1217&gt;0),G1217/F1217-1,"")</x:f>
      </x:c>
      <x:c r="K1217" s="19" t="str">
        <x:v>Exp_3/EXP040/results/seed1015_Fixed_rank_10.json</x:v>
      </x:c>
    </x:row>
    <x:row r="1218" ht="15" hidden="0" customHeight="1">
      <x:c r="A1218" s="3" t="str">
        <x:v>EXP040</x:v>
      </x:c>
      <x:c r="B1218" s="3" t="str">
        <x:v>Exp. 3</x:v>
      </x:c>
      <x:c r="C1218" s="18" t="n">
        <x:v>1015</x:v>
      </x:c>
      <x:c r="D1218" s="3" t="str">
        <x:v>Fixed rank 3</x:v>
      </x:c>
      <x:c r="E1218" s="18" t="n">
        <x:v>200</x:v>
      </x:c>
      <x:c r="F1218" s="21" t="n">
        <x:v>653.9110130620759</x:v>
      </x:c>
      <x:c r="G1218" s="21" t="str">
        <x:f>""</x:f>
      </x:c>
      <x:c r="H1218" s="21" t="n">
        <x:f>F1220</x:f>
        <x:v>626.3070743954014</x:v>
      </x:c>
      <x:c r="I1218" s="27" t="str">
        <x:f>IF(AND(ISNUMBER(G1218),ISNUMBER(H1218),H1218&gt;0),G1218/H1218-1,"")</x:f>
      </x:c>
      <x:c r="J1218" s="27" t="str">
        <x:f>IF(AND(ISNUMBER(G1218),F1218&gt;0),G1218/F1218-1,"")</x:f>
      </x:c>
      <x:c r="K1218" s="19" t="str">
        <x:v>Exp_3/EXP040/results/seed1015_Fixed_rank_3.json</x:v>
      </x:c>
    </x:row>
    <x:row r="1219" ht="15" hidden="0" customHeight="1">
      <x:c r="A1219" s="3" t="str">
        <x:v>EXP040</x:v>
      </x:c>
      <x:c r="B1219" s="3" t="str">
        <x:v>Exp. 3</x:v>
      </x:c>
      <x:c r="C1219" s="18" t="n">
        <x:v>1015</x:v>
      </x:c>
      <x:c r="D1219" s="3" t="str">
        <x:v>Fixed rank 5</x:v>
      </x:c>
      <x:c r="E1219" s="18" t="n">
        <x:v>200</x:v>
      </x:c>
      <x:c r="F1219" s="21" t="n">
        <x:v>633.1037784080462</x:v>
      </x:c>
      <x:c r="G1219" s="21" t="str">
        <x:f>""</x:f>
      </x:c>
      <x:c r="H1219" s="21" t="n">
        <x:f>F1220</x:f>
        <x:v>626.3070743954014</x:v>
      </x:c>
      <x:c r="I1219" s="27" t="str">
        <x:f>IF(AND(ISNUMBER(G1219),ISNUMBER(H1219),H1219&gt;0),G1219/H1219-1,"")</x:f>
      </x:c>
      <x:c r="J1219" s="27" t="str">
        <x:f>IF(AND(ISNUMBER(G1219),F1219&gt;0),G1219/F1219-1,"")</x:f>
      </x:c>
      <x:c r="K1219" s="19" t="str">
        <x:v>Exp_3/EXP040/results/seed1015_Fixed_rank_5.json</x:v>
      </x:c>
    </x:row>
    <x:row r="1220" ht="15" hidden="0" customHeight="1">
      <x:c r="A1220" s="3" t="str">
        <x:v>EXP040</x:v>
      </x:c>
      <x:c r="B1220" s="3" t="str">
        <x:v>Exp. 3</x:v>
      </x:c>
      <x:c r="C1220" s="18" t="n">
        <x:v>1015</x:v>
      </x:c>
      <x:c r="D1220" s="3" t="str">
        <x:v>Full</x:v>
      </x:c>
      <x:c r="E1220" s="18" t="n">
        <x:v>200</x:v>
      </x:c>
      <x:c r="F1220" s="21" t="n">
        <x:v>626.3070743954014</x:v>
      </x:c>
      <x:c r="G1220" s="21" t="str">
        <x:f>""</x:f>
      </x:c>
      <x:c r="H1220" s="21" t="n">
        <x:f>F1220</x:f>
        <x:v>626.3070743954014</x:v>
      </x:c>
      <x:c r="I1220" s="27" t="str">
        <x:f>IF(AND(ISNUMBER(G1220),ISNUMBER(H1220),H1220&gt;0),G1220/H1220-1,"")</x:f>
      </x:c>
      <x:c r="J1220" s="27" t="str">
        <x:f>IF(AND(ISNUMBER(G1220),F1220&gt;0),G1220/F1220-1,"")</x:f>
      </x:c>
      <x:c r="K1220" s="19" t="str">
        <x:v>Exp_3/EXP040/results/seed1015_Full.json</x:v>
      </x:c>
    </x:row>
    <x:row r="1221" ht="15" hidden="0" customHeight="1">
      <x:c r="A1221" s="3" t="str">
        <x:v>EXP040</x:v>
      </x:c>
      <x:c r="B1221" s="3" t="str">
        <x:v>Exp. 3</x:v>
      </x:c>
      <x:c r="C1221" s="18" t="n">
        <x:v>1015</x:v>
      </x:c>
      <x:c r="D1221" s="3" t="str">
        <x:v>Relative cutoff 1e-2</x:v>
      </x:c>
      <x:c r="E1221" s="18" t="n">
        <x:v>200</x:v>
      </x:c>
      <x:c r="F1221" s="21" t="n">
        <x:v>622.0380624262917</x:v>
      </x:c>
      <x:c r="G1221" s="21" t="str">
        <x:f>""</x:f>
      </x:c>
      <x:c r="H1221" s="21" t="n">
        <x:f>F1220</x:f>
        <x:v>626.3070743954014</x:v>
      </x:c>
      <x:c r="I1221" s="27" t="str">
        <x:f>IF(AND(ISNUMBER(G1221),ISNUMBER(H1221),H1221&gt;0),G1221/H1221-1,"")</x:f>
      </x:c>
      <x:c r="J1221" s="27" t="str">
        <x:f>IF(AND(ISNUMBER(G1221),F1221&gt;0),G1221/F1221-1,"")</x:f>
      </x:c>
      <x:c r="K1221" s="19" t="str">
        <x:v>Exp_3/EXP040/results/seed1015_Relative_cutoff_1e-2.json</x:v>
      </x:c>
    </x:row>
    <x:row r="1222" ht="15" hidden="0" customHeight="1">
      <x:c r="A1222" s="3" t="str">
        <x:v>EXP040</x:v>
      </x:c>
      <x:c r="B1222" s="3" t="str">
        <x:v>Exp. 3</x:v>
      </x:c>
      <x:c r="C1222" s="18" t="n">
        <x:v>1016</x:v>
      </x:c>
      <x:c r="D1222" s="3" t="str">
        <x:v>Fixed rank 10</x:v>
      </x:c>
      <x:c r="E1222" s="18" t="n">
        <x:v>200</x:v>
      </x:c>
      <x:c r="F1222" s="21" t="n">
        <x:v>621.389013637198</x:v>
      </x:c>
      <x:c r="G1222" s="21" t="str">
        <x:f>""</x:f>
      </x:c>
      <x:c r="H1222" s="21" t="n">
        <x:f>F1225</x:f>
        <x:v>619.0220473808096</x:v>
      </x:c>
      <x:c r="I1222" s="27" t="str">
        <x:f>IF(AND(ISNUMBER(G1222),ISNUMBER(H1222),H1222&gt;0),G1222/H1222-1,"")</x:f>
      </x:c>
      <x:c r="J1222" s="27" t="str">
        <x:f>IF(AND(ISNUMBER(G1222),F1222&gt;0),G1222/F1222-1,"")</x:f>
      </x:c>
      <x:c r="K1222" s="19" t="str">
        <x:v>Exp_3/EXP040/results/seed1016_Fixed_rank_10.json</x:v>
      </x:c>
    </x:row>
    <x:row r="1223" ht="15" hidden="0" customHeight="1">
      <x:c r="A1223" s="3" t="str">
        <x:v>EXP040</x:v>
      </x:c>
      <x:c r="B1223" s="3" t="str">
        <x:v>Exp. 3</x:v>
      </x:c>
      <x:c r="C1223" s="18" t="n">
        <x:v>1016</x:v>
      </x:c>
      <x:c r="D1223" s="3" t="str">
        <x:v>Fixed rank 3</x:v>
      </x:c>
      <x:c r="E1223" s="18" t="n">
        <x:v>200</x:v>
      </x:c>
      <x:c r="F1223" s="21" t="n">
        <x:v>646.2555256234754</x:v>
      </x:c>
      <x:c r="G1223" s="21" t="str">
        <x:f>""</x:f>
      </x:c>
      <x:c r="H1223" s="21" t="n">
        <x:f>F1225</x:f>
        <x:v>619.0220473808096</x:v>
      </x:c>
      <x:c r="I1223" s="27" t="str">
        <x:f>IF(AND(ISNUMBER(G1223),ISNUMBER(H1223),H1223&gt;0),G1223/H1223-1,"")</x:f>
      </x:c>
      <x:c r="J1223" s="27" t="str">
        <x:f>IF(AND(ISNUMBER(G1223),F1223&gt;0),G1223/F1223-1,"")</x:f>
      </x:c>
      <x:c r="K1223" s="19" t="str">
        <x:v>Exp_3/EXP040/results/seed1016_Fixed_rank_3.json</x:v>
      </x:c>
    </x:row>
    <x:row r="1224" ht="15" hidden="0" customHeight="1">
      <x:c r="A1224" s="3" t="str">
        <x:v>EXP040</x:v>
      </x:c>
      <x:c r="B1224" s="3" t="str">
        <x:v>Exp. 3</x:v>
      </x:c>
      <x:c r="C1224" s="18" t="n">
        <x:v>1016</x:v>
      </x:c>
      <x:c r="D1224" s="3" t="str">
        <x:v>Fixed rank 5</x:v>
      </x:c>
      <x:c r="E1224" s="18" t="n">
        <x:v>200</x:v>
      </x:c>
      <x:c r="F1224" s="21" t="n">
        <x:v>621.389013637198</x:v>
      </x:c>
      <x:c r="G1224" s="21" t="str">
        <x:f>""</x:f>
      </x:c>
      <x:c r="H1224" s="21" t="n">
        <x:f>F1225</x:f>
        <x:v>619.0220473808096</x:v>
      </x:c>
      <x:c r="I1224" s="27" t="str">
        <x:f>IF(AND(ISNUMBER(G1224),ISNUMBER(H1224),H1224&gt;0),G1224/H1224-1,"")</x:f>
      </x:c>
      <x:c r="J1224" s="27" t="str">
        <x:f>IF(AND(ISNUMBER(G1224),F1224&gt;0),G1224/F1224-1,"")</x:f>
      </x:c>
      <x:c r="K1224" s="19" t="str">
        <x:v>Exp_3/EXP040/results/seed1016_Fixed_rank_5.json</x:v>
      </x:c>
    </x:row>
    <x:row r="1225" ht="15" hidden="0" customHeight="1">
      <x:c r="A1225" s="3" t="str">
        <x:v>EXP040</x:v>
      </x:c>
      <x:c r="B1225" s="3" t="str">
        <x:v>Exp. 3</x:v>
      </x:c>
      <x:c r="C1225" s="18" t="n">
        <x:v>1016</x:v>
      </x:c>
      <x:c r="D1225" s="3" t="str">
        <x:v>Full</x:v>
      </x:c>
      <x:c r="E1225" s="18" t="n">
        <x:v>200</x:v>
      </x:c>
      <x:c r="F1225" s="21" t="n">
        <x:v>619.0220473808096</x:v>
      </x:c>
      <x:c r="G1225" s="21" t="str">
        <x:f>""</x:f>
      </x:c>
      <x:c r="H1225" s="21" t="n">
        <x:f>F1225</x:f>
        <x:v>619.0220473808096</x:v>
      </x:c>
      <x:c r="I1225" s="27" t="str">
        <x:f>IF(AND(ISNUMBER(G1225),ISNUMBER(H1225),H1225&gt;0),G1225/H1225-1,"")</x:f>
      </x:c>
      <x:c r="J1225" s="27" t="str">
        <x:f>IF(AND(ISNUMBER(G1225),F1225&gt;0),G1225/F1225-1,"")</x:f>
      </x:c>
      <x:c r="K1225" s="19" t="str">
        <x:v>Exp_3/EXP040/results/seed1016_Full.json</x:v>
      </x:c>
    </x:row>
    <x:row r="1226" ht="15" hidden="0" customHeight="1">
      <x:c r="A1226" s="3" t="str">
        <x:v>EXP040</x:v>
      </x:c>
      <x:c r="B1226" s="3" t="str">
        <x:v>Exp. 3</x:v>
      </x:c>
      <x:c r="C1226" s="18" t="n">
        <x:v>1016</x:v>
      </x:c>
      <x:c r="D1226" s="3" t="str">
        <x:v>Relative cutoff 1e-2</x:v>
      </x:c>
      <x:c r="E1226" s="18" t="n">
        <x:v>200</x:v>
      </x:c>
      <x:c r="F1226" s="21" t="n">
        <x:v>619.0220473808096</x:v>
      </x:c>
      <x:c r="G1226" s="21" t="str">
        <x:f>""</x:f>
      </x:c>
      <x:c r="H1226" s="21" t="n">
        <x:f>F1225</x:f>
        <x:v>619.0220473808096</x:v>
      </x:c>
      <x:c r="I1226" s="27" t="str">
        <x:f>IF(AND(ISNUMBER(G1226),ISNUMBER(H1226),H1226&gt;0),G1226/H1226-1,"")</x:f>
      </x:c>
      <x:c r="J1226" s="27" t="str">
        <x:f>IF(AND(ISNUMBER(G1226),F1226&gt;0),G1226/F1226-1,"")</x:f>
      </x:c>
      <x:c r="K1226" s="19" t="str">
        <x:v>Exp_3/EXP040/results/seed1016_Relative_cutoff_1e-2.json</x:v>
      </x:c>
    </x:row>
    <x:row r="1227" ht="15" hidden="0" customHeight="1">
      <x:c r="A1227" s="3" t="str">
        <x:v>EXP040</x:v>
      </x:c>
      <x:c r="B1227" s="3" t="str">
        <x:v>Exp. 3</x:v>
      </x:c>
      <x:c r="C1227" s="18" t="n">
        <x:v>1017</x:v>
      </x:c>
      <x:c r="D1227" s="3" t="str">
        <x:v>Fixed rank 10</x:v>
      </x:c>
      <x:c r="E1227" s="18" t="n">
        <x:v>200</x:v>
      </x:c>
      <x:c r="F1227" s="21" t="n">
        <x:v>750.0372496242969</x:v>
      </x:c>
      <x:c r="G1227" s="21" t="str">
        <x:f>""</x:f>
      </x:c>
      <x:c r="H1227" s="21" t="n">
        <x:f>F1230</x:f>
        <x:v>750.0372496242969</x:v>
      </x:c>
      <x:c r="I1227" s="27" t="str">
        <x:f>IF(AND(ISNUMBER(G1227),ISNUMBER(H1227),H1227&gt;0),G1227/H1227-1,"")</x:f>
      </x:c>
      <x:c r="J1227" s="27" t="str">
        <x:f>IF(AND(ISNUMBER(G1227),F1227&gt;0),G1227/F1227-1,"")</x:f>
      </x:c>
      <x:c r="K1227" s="19" t="str">
        <x:v>Exp_3/EXP040/results/seed1017_Fixed_rank_10.json</x:v>
      </x:c>
    </x:row>
    <x:row r="1228" ht="15" hidden="0" customHeight="1">
      <x:c r="A1228" s="3" t="str">
        <x:v>EXP040</x:v>
      </x:c>
      <x:c r="B1228" s="3" t="str">
        <x:v>Exp. 3</x:v>
      </x:c>
      <x:c r="C1228" s="18" t="n">
        <x:v>1017</x:v>
      </x:c>
      <x:c r="D1228" s="3" t="str">
        <x:v>Fixed rank 3</x:v>
      </x:c>
      <x:c r="E1228" s="18" t="n">
        <x:v>200</x:v>
      </x:c>
      <x:c r="F1228" s="21" t="n">
        <x:v>756.6087934131381</x:v>
      </x:c>
      <x:c r="G1228" s="21" t="str">
        <x:f>""</x:f>
      </x:c>
      <x:c r="H1228" s="21" t="n">
        <x:f>F1230</x:f>
        <x:v>750.0372496242969</x:v>
      </x:c>
      <x:c r="I1228" s="27" t="str">
        <x:f>IF(AND(ISNUMBER(G1228),ISNUMBER(H1228),H1228&gt;0),G1228/H1228-1,"")</x:f>
      </x:c>
      <x:c r="J1228" s="27" t="str">
        <x:f>IF(AND(ISNUMBER(G1228),F1228&gt;0),G1228/F1228-1,"")</x:f>
      </x:c>
      <x:c r="K1228" s="19" t="str">
        <x:v>Exp_3/EXP040/results/seed1017_Fixed_rank_3.json</x:v>
      </x:c>
    </x:row>
    <x:row r="1229" ht="15" hidden="0" customHeight="1">
      <x:c r="A1229" s="3" t="str">
        <x:v>EXP040</x:v>
      </x:c>
      <x:c r="B1229" s="3" t="str">
        <x:v>Exp. 3</x:v>
      </x:c>
      <x:c r="C1229" s="18" t="n">
        <x:v>1017</x:v>
      </x:c>
      <x:c r="D1229" s="3" t="str">
        <x:v>Fixed rank 5</x:v>
      </x:c>
      <x:c r="E1229" s="18" t="n">
        <x:v>200</x:v>
      </x:c>
      <x:c r="F1229" s="21" t="n">
        <x:v>756.6087934131381</x:v>
      </x:c>
      <x:c r="G1229" s="21" t="str">
        <x:f>""</x:f>
      </x:c>
      <x:c r="H1229" s="21" t="n">
        <x:f>F1230</x:f>
        <x:v>750.0372496242969</x:v>
      </x:c>
      <x:c r="I1229" s="27" t="str">
        <x:f>IF(AND(ISNUMBER(G1229),ISNUMBER(H1229),H1229&gt;0),G1229/H1229-1,"")</x:f>
      </x:c>
      <x:c r="J1229" s="27" t="str">
        <x:f>IF(AND(ISNUMBER(G1229),F1229&gt;0),G1229/F1229-1,"")</x:f>
      </x:c>
      <x:c r="K1229" s="19" t="str">
        <x:v>Exp_3/EXP040/results/seed1017_Fixed_rank_5.json</x:v>
      </x:c>
    </x:row>
    <x:row r="1230" ht="15" hidden="0" customHeight="1">
      <x:c r="A1230" s="3" t="str">
        <x:v>EXP040</x:v>
      </x:c>
      <x:c r="B1230" s="3" t="str">
        <x:v>Exp. 3</x:v>
      </x:c>
      <x:c r="C1230" s="18" t="n">
        <x:v>1017</x:v>
      </x:c>
      <x:c r="D1230" s="3" t="str">
        <x:v>Full</x:v>
      </x:c>
      <x:c r="E1230" s="18" t="n">
        <x:v>200</x:v>
      </x:c>
      <x:c r="F1230" s="21" t="n">
        <x:v>750.0372496242969</x:v>
      </x:c>
      <x:c r="G1230" s="21" t="str">
        <x:f>""</x:f>
      </x:c>
      <x:c r="H1230" s="21" t="n">
        <x:f>F1230</x:f>
        <x:v>750.0372496242969</x:v>
      </x:c>
      <x:c r="I1230" s="27" t="str">
        <x:f>IF(AND(ISNUMBER(G1230),ISNUMBER(H1230),H1230&gt;0),G1230/H1230-1,"")</x:f>
      </x:c>
      <x:c r="J1230" s="27" t="str">
        <x:f>IF(AND(ISNUMBER(G1230),F1230&gt;0),G1230/F1230-1,"")</x:f>
      </x:c>
      <x:c r="K1230" s="19" t="str">
        <x:v>Exp_3/EXP040/results/seed1017_Full.json</x:v>
      </x:c>
    </x:row>
    <x:row r="1231" ht="15" hidden="0" customHeight="1">
      <x:c r="A1231" s="3" t="str">
        <x:v>EXP040</x:v>
      </x:c>
      <x:c r="B1231" s="3" t="str">
        <x:v>Exp. 3</x:v>
      </x:c>
      <x:c r="C1231" s="18" t="n">
        <x:v>1017</x:v>
      </x:c>
      <x:c r="D1231" s="3" t="str">
        <x:v>Relative cutoff 1e-2</x:v>
      </x:c>
      <x:c r="E1231" s="18" t="n">
        <x:v>200</x:v>
      </x:c>
      <x:c r="F1231" s="21" t="n">
        <x:v>759.498771682471</x:v>
      </x:c>
      <x:c r="G1231" s="21" t="str">
        <x:f>""</x:f>
      </x:c>
      <x:c r="H1231" s="21" t="n">
        <x:f>F1230</x:f>
        <x:v>750.0372496242969</x:v>
      </x:c>
      <x:c r="I1231" s="27" t="str">
        <x:f>IF(AND(ISNUMBER(G1231),ISNUMBER(H1231),H1231&gt;0),G1231/H1231-1,"")</x:f>
      </x:c>
      <x:c r="J1231" s="27" t="str">
        <x:f>IF(AND(ISNUMBER(G1231),F1231&gt;0),G1231/F1231-1,"")</x:f>
      </x:c>
      <x:c r="K1231" s="19" t="str">
        <x:v>Exp_3/EXP040/results/seed1017_Relative_cutoff_1e-2.json</x:v>
      </x:c>
    </x:row>
    <x:row r="1232" ht="15" hidden="0" customHeight="1">
      <x:c r="A1232" s="3" t="str">
        <x:v>EXP040</x:v>
      </x:c>
      <x:c r="B1232" s="3" t="str">
        <x:v>Exp. 3</x:v>
      </x:c>
      <x:c r="C1232" s="18" t="n">
        <x:v>1018</x:v>
      </x:c>
      <x:c r="D1232" s="3" t="str">
        <x:v>Fixed rank 10</x:v>
      </x:c>
      <x:c r="E1232" s="18" t="n">
        <x:v>200</x:v>
      </x:c>
      <x:c r="F1232" s="21" t="n">
        <x:v>737.616638961171</x:v>
      </x:c>
      <x:c r="G1232" s="21" t="str">
        <x:f>""</x:f>
      </x:c>
      <x:c r="H1232" s="21" t="n">
        <x:f>F1235</x:f>
        <x:v>737.616638961171</x:v>
      </x:c>
      <x:c r="I1232" s="27" t="str">
        <x:f>IF(AND(ISNUMBER(G1232),ISNUMBER(H1232),H1232&gt;0),G1232/H1232-1,"")</x:f>
      </x:c>
      <x:c r="J1232" s="27" t="str">
        <x:f>IF(AND(ISNUMBER(G1232),F1232&gt;0),G1232/F1232-1,"")</x:f>
      </x:c>
      <x:c r="K1232" s="19" t="str">
        <x:v>Exp_3/EXP040/results/seed1018_Fixed_rank_10.json</x:v>
      </x:c>
    </x:row>
    <x:row r="1233" ht="15" hidden="0" customHeight="1">
      <x:c r="A1233" s="3" t="str">
        <x:v>EXP040</x:v>
      </x:c>
      <x:c r="B1233" s="3" t="str">
        <x:v>Exp. 3</x:v>
      </x:c>
      <x:c r="C1233" s="18" t="n">
        <x:v>1018</x:v>
      </x:c>
      <x:c r="D1233" s="3" t="str">
        <x:v>Fixed rank 3</x:v>
      </x:c>
      <x:c r="E1233" s="18" t="n">
        <x:v>200</x:v>
      </x:c>
      <x:c r="F1233" s="21" t="n">
        <x:v>789.5712360817911</x:v>
      </x:c>
      <x:c r="G1233" s="21" t="str">
        <x:f>""</x:f>
      </x:c>
      <x:c r="H1233" s="21" t="n">
        <x:f>F1235</x:f>
        <x:v>737.616638961171</x:v>
      </x:c>
      <x:c r="I1233" s="27" t="str">
        <x:f>IF(AND(ISNUMBER(G1233),ISNUMBER(H1233),H1233&gt;0),G1233/H1233-1,"")</x:f>
      </x:c>
      <x:c r="J1233" s="27" t="str">
        <x:f>IF(AND(ISNUMBER(G1233),F1233&gt;0),G1233/F1233-1,"")</x:f>
      </x:c>
      <x:c r="K1233" s="19" t="str">
        <x:v>Exp_3/EXP040/results/seed1018_Fixed_rank_3.json</x:v>
      </x:c>
    </x:row>
    <x:row r="1234" ht="15" hidden="0" customHeight="1">
      <x:c r="A1234" s="3" t="str">
        <x:v>EXP040</x:v>
      </x:c>
      <x:c r="B1234" s="3" t="str">
        <x:v>Exp. 3</x:v>
      </x:c>
      <x:c r="C1234" s="18" t="n">
        <x:v>1018</x:v>
      </x:c>
      <x:c r="D1234" s="3" t="str">
        <x:v>Fixed rank 5</x:v>
      </x:c>
      <x:c r="E1234" s="18" t="n">
        <x:v>200</x:v>
      </x:c>
      <x:c r="F1234" s="21" t="n">
        <x:v>760.2050777962095</x:v>
      </x:c>
      <x:c r="G1234" s="21" t="str">
        <x:f>""</x:f>
      </x:c>
      <x:c r="H1234" s="21" t="n">
        <x:f>F1235</x:f>
        <x:v>737.616638961171</x:v>
      </x:c>
      <x:c r="I1234" s="27" t="str">
        <x:f>IF(AND(ISNUMBER(G1234),ISNUMBER(H1234),H1234&gt;0),G1234/H1234-1,"")</x:f>
      </x:c>
      <x:c r="J1234" s="27" t="str">
        <x:f>IF(AND(ISNUMBER(G1234),F1234&gt;0),G1234/F1234-1,"")</x:f>
      </x:c>
      <x:c r="K1234" s="19" t="str">
        <x:v>Exp_3/EXP040/results/seed1018_Fixed_rank_5.json</x:v>
      </x:c>
    </x:row>
    <x:row r="1235" ht="15" hidden="0" customHeight="1">
      <x:c r="A1235" s="3" t="str">
        <x:v>EXP040</x:v>
      </x:c>
      <x:c r="B1235" s="3" t="str">
        <x:v>Exp. 3</x:v>
      </x:c>
      <x:c r="C1235" s="18" t="n">
        <x:v>1018</x:v>
      </x:c>
      <x:c r="D1235" s="3" t="str">
        <x:v>Full</x:v>
      </x:c>
      <x:c r="E1235" s="18" t="n">
        <x:v>200</x:v>
      </x:c>
      <x:c r="F1235" s="21" t="n">
        <x:v>737.616638961171</x:v>
      </x:c>
      <x:c r="G1235" s="21" t="str">
        <x:f>""</x:f>
      </x:c>
      <x:c r="H1235" s="21" t="n">
        <x:f>F1235</x:f>
        <x:v>737.616638961171</x:v>
      </x:c>
      <x:c r="I1235" s="27" t="str">
        <x:f>IF(AND(ISNUMBER(G1235),ISNUMBER(H1235),H1235&gt;0),G1235/H1235-1,"")</x:f>
      </x:c>
      <x:c r="J1235" s="27" t="str">
        <x:f>IF(AND(ISNUMBER(G1235),F1235&gt;0),G1235/F1235-1,"")</x:f>
      </x:c>
      <x:c r="K1235" s="19" t="str">
        <x:v>Exp_3/EXP040/results/seed1018_Full.json</x:v>
      </x:c>
    </x:row>
    <x:row r="1236" ht="15" hidden="0" customHeight="1">
      <x:c r="A1236" s="3" t="str">
        <x:v>EXP040</x:v>
      </x:c>
      <x:c r="B1236" s="3" t="str">
        <x:v>Exp. 3</x:v>
      </x:c>
      <x:c r="C1236" s="18" t="n">
        <x:v>1018</x:v>
      </x:c>
      <x:c r="D1236" s="3" t="str">
        <x:v>Relative cutoff 1e-2</x:v>
      </x:c>
      <x:c r="E1236" s="18" t="n">
        <x:v>200</x:v>
      </x:c>
      <x:c r="F1236" s="21" t="n">
        <x:v>780.1171021106607</x:v>
      </x:c>
      <x:c r="G1236" s="21" t="str">
        <x:f>""</x:f>
      </x:c>
      <x:c r="H1236" s="21" t="n">
        <x:f>F1235</x:f>
        <x:v>737.616638961171</x:v>
      </x:c>
      <x:c r="I1236" s="27" t="str">
        <x:f>IF(AND(ISNUMBER(G1236),ISNUMBER(H1236),H1236&gt;0),G1236/H1236-1,"")</x:f>
      </x:c>
      <x:c r="J1236" s="27" t="str">
        <x:f>IF(AND(ISNUMBER(G1236),F1236&gt;0),G1236/F1236-1,"")</x:f>
      </x:c>
      <x:c r="K1236" s="19" t="str">
        <x:v>Exp_3/EXP040/results/seed1018_Relative_cutoff_1e-2.json</x:v>
      </x:c>
    </x:row>
    <x:row r="1237" ht="15" hidden="0" customHeight="1">
      <x:c r="A1237" s="3" t="str">
        <x:v>EXP040</x:v>
      </x:c>
      <x:c r="B1237" s="3" t="str">
        <x:v>Exp. 3</x:v>
      </x:c>
      <x:c r="C1237" s="18" t="n">
        <x:v>1019</x:v>
      </x:c>
      <x:c r="D1237" s="3" t="str">
        <x:v>Fixed rank 10</x:v>
      </x:c>
      <x:c r="E1237" s="18" t="n">
        <x:v>200</x:v>
      </x:c>
      <x:c r="F1237" s="21" t="n">
        <x:v>804.277974339284</x:v>
      </x:c>
      <x:c r="G1237" s="21" t="str">
        <x:f>""</x:f>
      </x:c>
      <x:c r="H1237" s="21" t="n">
        <x:f>F1240</x:f>
        <x:v>871.2457737271484</x:v>
      </x:c>
      <x:c r="I1237" s="27" t="str">
        <x:f>IF(AND(ISNUMBER(G1237),ISNUMBER(H1237),H1237&gt;0),G1237/H1237-1,"")</x:f>
      </x:c>
      <x:c r="J1237" s="27" t="str">
        <x:f>IF(AND(ISNUMBER(G1237),F1237&gt;0),G1237/F1237-1,"")</x:f>
      </x:c>
      <x:c r="K1237" s="19" t="str">
        <x:v>Exp_3/EXP040/results/seed1019_Fixed_rank_10.json</x:v>
      </x:c>
    </x:row>
    <x:row r="1238" ht="15" hidden="0" customHeight="1">
      <x:c r="A1238" s="3" t="str">
        <x:v>EXP040</x:v>
      </x:c>
      <x:c r="B1238" s="3" t="str">
        <x:v>Exp. 3</x:v>
      </x:c>
      <x:c r="C1238" s="18" t="n">
        <x:v>1019</x:v>
      </x:c>
      <x:c r="D1238" s="3" t="str">
        <x:v>Fixed rank 3</x:v>
      </x:c>
      <x:c r="E1238" s="18" t="n">
        <x:v>200</x:v>
      </x:c>
      <x:c r="F1238" s="21" t="n">
        <x:v>818.2201142357666</x:v>
      </x:c>
      <x:c r="G1238" s="21" t="str">
        <x:f>""</x:f>
      </x:c>
      <x:c r="H1238" s="21" t="n">
        <x:f>F1240</x:f>
        <x:v>871.2457737271484</x:v>
      </x:c>
      <x:c r="I1238" s="27" t="str">
        <x:f>IF(AND(ISNUMBER(G1238),ISNUMBER(H1238),H1238&gt;0),G1238/H1238-1,"")</x:f>
      </x:c>
      <x:c r="J1238" s="27" t="str">
        <x:f>IF(AND(ISNUMBER(G1238),F1238&gt;0),G1238/F1238-1,"")</x:f>
      </x:c>
      <x:c r="K1238" s="19" t="str">
        <x:v>Exp_3/EXP040/results/seed1019_Fixed_rank_3.json</x:v>
      </x:c>
    </x:row>
    <x:row r="1239" ht="15" hidden="0" customHeight="1">
      <x:c r="A1239" s="3" t="str">
        <x:v>EXP040</x:v>
      </x:c>
      <x:c r="B1239" s="3" t="str">
        <x:v>Exp. 3</x:v>
      </x:c>
      <x:c r="C1239" s="18" t="n">
        <x:v>1019</x:v>
      </x:c>
      <x:c r="D1239" s="3" t="str">
        <x:v>Fixed rank 5</x:v>
      </x:c>
      <x:c r="E1239" s="18" t="n">
        <x:v>200</x:v>
      </x:c>
      <x:c r="F1239" s="21" t="n">
        <x:v>804.277974339284</x:v>
      </x:c>
      <x:c r="G1239" s="21" t="str">
        <x:f>""</x:f>
      </x:c>
      <x:c r="H1239" s="21" t="n">
        <x:f>F1240</x:f>
        <x:v>871.2457737271484</x:v>
      </x:c>
      <x:c r="I1239" s="27" t="str">
        <x:f>IF(AND(ISNUMBER(G1239),ISNUMBER(H1239),H1239&gt;0),G1239/H1239-1,"")</x:f>
      </x:c>
      <x:c r="J1239" s="27" t="str">
        <x:f>IF(AND(ISNUMBER(G1239),F1239&gt;0),G1239/F1239-1,"")</x:f>
      </x:c>
      <x:c r="K1239" s="19" t="str">
        <x:v>Exp_3/EXP040/results/seed1019_Fixed_rank_5.json</x:v>
      </x:c>
    </x:row>
    <x:row r="1240" ht="15" hidden="0" customHeight="1">
      <x:c r="A1240" s="3" t="str">
        <x:v>EXP040</x:v>
      </x:c>
      <x:c r="B1240" s="3" t="str">
        <x:v>Exp. 3</x:v>
      </x:c>
      <x:c r="C1240" s="18" t="n">
        <x:v>1019</x:v>
      </x:c>
      <x:c r="D1240" s="3" t="str">
        <x:v>Full</x:v>
      </x:c>
      <x:c r="E1240" s="18" t="n">
        <x:v>200</x:v>
      </x:c>
      <x:c r="F1240" s="21" t="n">
        <x:v>871.2457737271484</x:v>
      </x:c>
      <x:c r="G1240" s="21" t="str">
        <x:f>""</x:f>
      </x:c>
      <x:c r="H1240" s="21" t="n">
        <x:f>F1240</x:f>
        <x:v>871.2457737271484</x:v>
      </x:c>
      <x:c r="I1240" s="27" t="str">
        <x:f>IF(AND(ISNUMBER(G1240),ISNUMBER(H1240),H1240&gt;0),G1240/H1240-1,"")</x:f>
      </x:c>
      <x:c r="J1240" s="27" t="str">
        <x:f>IF(AND(ISNUMBER(G1240),F1240&gt;0),G1240/F1240-1,"")</x:f>
      </x:c>
      <x:c r="K1240" s="19" t="str">
        <x:v>Exp_3/EXP040/results/seed1019_Full.json</x:v>
      </x:c>
    </x:row>
    <x:row r="1241" ht="15" hidden="0" customHeight="1">
      <x:c r="A1241" s="3" t="str">
        <x:v>EXP040</x:v>
      </x:c>
      <x:c r="B1241" s="3" t="str">
        <x:v>Exp. 3</x:v>
      </x:c>
      <x:c r="C1241" s="18" t="n">
        <x:v>1019</x:v>
      </x:c>
      <x:c r="D1241" s="3" t="str">
        <x:v>Relative cutoff 1e-2</x:v>
      </x:c>
      <x:c r="E1241" s="18" t="n">
        <x:v>200</x:v>
      </x:c>
      <x:c r="F1241" s="21" t="n">
        <x:v>869.3329366484442</x:v>
      </x:c>
      <x:c r="G1241" s="21" t="str">
        <x:f>""</x:f>
      </x:c>
      <x:c r="H1241" s="21" t="n">
        <x:f>F1240</x:f>
        <x:v>871.2457737271484</x:v>
      </x:c>
      <x:c r="I1241" s="27" t="str">
        <x:f>IF(AND(ISNUMBER(G1241),ISNUMBER(H1241),H1241&gt;0),G1241/H1241-1,"")</x:f>
      </x:c>
      <x:c r="J1241" s="27" t="str">
        <x:f>IF(AND(ISNUMBER(G1241),F1241&gt;0),G1241/F1241-1,"")</x:f>
      </x:c>
      <x:c r="K1241" s="19" t="str">
        <x:v>Exp_3/EXP040/results/seed1019_Relative_cutoff_1e-2.json</x:v>
      </x:c>
    </x:row>
    <x:row r="1242" ht="15" hidden="0" customHeight="1">
      <x:c r="A1242" s="3" t="str">
        <x:v>EXP043</x:v>
      </x:c>
      <x:c r="B1242" s="3" t="str">
        <x:v>Exp. 4</x:v>
      </x:c>
      <x:c r="C1242" s="18" t="n">
        <x:v>20284363</x:v>
      </x:c>
      <x:c r="D1242" s="3" t="str">
        <x:v>BBP</x:v>
      </x:c>
      <x:c r="E1242" s="18" t="n">
        <x:v>200</x:v>
      </x:c>
      <x:c r="F1242" s="21" t="n">
        <x:v>144.33994478867493</x:v>
      </x:c>
      <x:c r="G1242" s="21" t="n">
        <x:f>F1242</x:f>
        <x:v>144.33994478867493</x:v>
      </x:c>
      <x:c r="H1242" s="21" t="n">
        <x:f>F1247</x:f>
        <x:v>144.33994478867493</x:v>
      </x:c>
      <x:c r="I1242" s="27" t="n">
        <x:f>IF(AND(ISNUMBER(G1242),ISNUMBER(H1242),H1242&gt;0),G1242/H1242-1,"")</x:f>
        <x:v>0</x:v>
      </x:c>
      <x:c r="J1242" s="27" t="n">
        <x:f>IF(AND(ISNUMBER(G1242),F1242&gt;0),G1242/F1242-1,"")</x:f>
        <x:v>0</x:v>
      </x:c>
      <x:c r="K1242" s="19" t="str">
        <x:v>Exp_4/EXP043/results/seed20284363_BBP.json</x:v>
      </x:c>
    </x:row>
    <x:row r="1243" ht="15" hidden="0" customHeight="1">
      <x:c r="A1243" s="3" t="str">
        <x:v>EXP043</x:v>
      </x:c>
      <x:c r="B1243" s="3" t="str">
        <x:v>Exp. 4</x:v>
      </x:c>
      <x:c r="C1243" s="18" t="n">
        <x:v>20284363</x:v>
      </x:c>
      <x:c r="D1243" s="3" t="str">
        <x:v>Relative cutoff 1e-5</x:v>
      </x:c>
      <x:c r="E1243" s="18" t="n">
        <x:v>200</x:v>
      </x:c>
      <x:c r="F1243" s="21" t="n">
        <x:v>144.33994478867493</x:v>
      </x:c>
      <x:c r="G1243" s="21" t="n">
        <x:f>F1242</x:f>
        <x:v>144.33994478867493</x:v>
      </x:c>
      <x:c r="H1243" s="21" t="n">
        <x:f>F1247</x:f>
        <x:v>144.33994478867493</x:v>
      </x:c>
      <x:c r="I1243" s="27" t="n">
        <x:f>IF(AND(ISNUMBER(G1243),ISNUMBER(H1243),H1243&gt;0),G1243/H1243-1,"")</x:f>
        <x:v>0</x:v>
      </x:c>
      <x:c r="J1243" s="27" t="n">
        <x:f>IF(AND(ISNUMBER(G1243),F1243&gt;0),G1243/F1243-1,"")</x:f>
        <x:v>0</x:v>
      </x:c>
      <x:c r="K1243" s="19" t="str">
        <x:v>Exp_4/EXP043/results/seed20284363_Relative_cutoff_1e-5.json</x:v>
      </x:c>
    </x:row>
    <x:row r="1244" ht="15" hidden="0" customHeight="1">
      <x:c r="A1244" s="3" t="str">
        <x:v>EXP043</x:v>
      </x:c>
      <x:c r="B1244" s="3" t="str">
        <x:v>Exp. 4</x:v>
      </x:c>
      <x:c r="C1244" s="18" t="n">
        <x:v>20284363</x:v>
      </x:c>
      <x:c r="D1244" s="3" t="str">
        <x:v>Fixed rank 10</x:v>
      </x:c>
      <x:c r="E1244" s="18" t="n">
        <x:v>200</x:v>
      </x:c>
      <x:c r="F1244" s="21" t="n">
        <x:v>153.25812501151162</x:v>
      </x:c>
      <x:c r="G1244" s="21" t="n">
        <x:f>F1242</x:f>
        <x:v>144.33994478867493</x:v>
      </x:c>
      <x:c r="H1244" s="21" t="n">
        <x:f>F1247</x:f>
        <x:v>144.33994478867493</x:v>
      </x:c>
      <x:c r="I1244" s="27" t="n">
        <x:f>IF(AND(ISNUMBER(G1244),ISNUMBER(H1244),H1244&gt;0),G1244/H1244-1,"")</x:f>
        <x:v>0</x:v>
      </x:c>
      <x:c r="J1244" s="27" t="n">
        <x:f>IF(AND(ISNUMBER(G1244),F1244&gt;0),G1244/F1244-1,"")</x:f>
        <x:v>-0.0581905867774829</x:v>
      </x:c>
      <x:c r="K1244" s="19" t="str">
        <x:v>Exp_4/EXP043/results/seed20284363_Fixed_rank_10.json</x:v>
      </x:c>
    </x:row>
    <x:row r="1245" ht="15" hidden="0" customHeight="1">
      <x:c r="A1245" s="3" t="str">
        <x:v>EXP043</x:v>
      </x:c>
      <x:c r="B1245" s="3" t="str">
        <x:v>Exp. 4</x:v>
      </x:c>
      <x:c r="C1245" s="18" t="n">
        <x:v>20284363</x:v>
      </x:c>
      <x:c r="D1245" s="3" t="str">
        <x:v>Fixed rank 25</x:v>
      </x:c>
      <x:c r="E1245" s="18" t="n">
        <x:v>200</x:v>
      </x:c>
      <x:c r="F1245" s="21" t="n">
        <x:v>144.33994478867493</x:v>
      </x:c>
      <x:c r="G1245" s="21" t="n">
        <x:f>F1242</x:f>
        <x:v>144.33994478867493</x:v>
      </x:c>
      <x:c r="H1245" s="21" t="n">
        <x:f>F1247</x:f>
        <x:v>144.33994478867493</x:v>
      </x:c>
      <x:c r="I1245" s="27" t="n">
        <x:f>IF(AND(ISNUMBER(G1245),ISNUMBER(H1245),H1245&gt;0),G1245/H1245-1,"")</x:f>
        <x:v>0</x:v>
      </x:c>
      <x:c r="J1245" s="27" t="n">
        <x:f>IF(AND(ISNUMBER(G1245),F1245&gt;0),G1245/F1245-1,"")</x:f>
        <x:v>0</x:v>
      </x:c>
      <x:c r="K1245" s="19" t="str">
        <x:v>Exp_4/EXP043/results/seed20284363_Fixed_rank_25.json</x:v>
      </x:c>
    </x:row>
    <x:row r="1246" ht="15" hidden="0" customHeight="1">
      <x:c r="A1246" s="3" t="str">
        <x:v>EXP043</x:v>
      </x:c>
      <x:c r="B1246" s="3" t="str">
        <x:v>Exp. 4</x:v>
      </x:c>
      <x:c r="C1246" s="18" t="n">
        <x:v>20284363</x:v>
      </x:c>
      <x:c r="D1246" s="3" t="str">
        <x:v>Relative cutoff 1e-6</x:v>
      </x:c>
      <x:c r="E1246" s="18" t="n">
        <x:v>200</x:v>
      </x:c>
      <x:c r="F1246" s="21" t="n">
        <x:v>144.33994478867493</x:v>
      </x:c>
      <x:c r="G1246" s="21" t="n">
        <x:f>F1242</x:f>
        <x:v>144.33994478867493</x:v>
      </x:c>
      <x:c r="H1246" s="21" t="n">
        <x:f>F1247</x:f>
        <x:v>144.33994478867493</x:v>
      </x:c>
      <x:c r="I1246" s="27" t="n">
        <x:f>IF(AND(ISNUMBER(G1246),ISNUMBER(H1246),H1246&gt;0),G1246/H1246-1,"")</x:f>
        <x:v>0</x:v>
      </x:c>
      <x:c r="J1246" s="27" t="n">
        <x:f>IF(AND(ISNUMBER(G1246),F1246&gt;0),G1246/F1246-1,"")</x:f>
        <x:v>0</x:v>
      </x:c>
      <x:c r="K1246" s="19" t="str">
        <x:v>Exp_4/EXP043/results/seed20284363_Relative_cutoff_1e-6.json</x:v>
      </x:c>
    </x:row>
    <x:row r="1247" ht="15" hidden="0" customHeight="1">
      <x:c r="A1247" s="3" t="str">
        <x:v>EXP043</x:v>
      </x:c>
      <x:c r="B1247" s="3" t="str">
        <x:v>Exp. 4</x:v>
      </x:c>
      <x:c r="C1247" s="18" t="n">
        <x:v>20284363</x:v>
      </x:c>
      <x:c r="D1247" s="3" t="str">
        <x:v>Full</x:v>
      </x:c>
      <x:c r="E1247" s="18" t="n">
        <x:v>200</x:v>
      </x:c>
      <x:c r="F1247" s="21" t="n">
        <x:v>144.33994478867493</x:v>
      </x:c>
      <x:c r="G1247" s="21" t="n">
        <x:f>F1242</x:f>
        <x:v>144.33994478867493</x:v>
      </x:c>
      <x:c r="H1247" s="21" t="n">
        <x:f>F1247</x:f>
        <x:v>144.33994478867493</x:v>
      </x:c>
      <x:c r="I1247" s="27" t="n">
        <x:f>IF(AND(ISNUMBER(G1247),ISNUMBER(H1247),H1247&gt;0),G1247/H1247-1,"")</x:f>
        <x:v>0</x:v>
      </x:c>
      <x:c r="J1247" s="27" t="n">
        <x:f>IF(AND(ISNUMBER(G1247),F1247&gt;0),G1247/F1247-1,"")</x:f>
        <x:v>0</x:v>
      </x:c>
      <x:c r="K1247" s="19" t="str">
        <x:v>Exp_4/EXP043/results/seed20284363_Full.json</x:v>
      </x:c>
    </x:row>
    <x:row r="1248" ht="15" hidden="0" customHeight="1">
      <x:c r="A1248" s="3" t="str">
        <x:v>EXP043</x:v>
      </x:c>
      <x:c r="B1248" s="3" t="str">
        <x:v>Exp. 4</x:v>
      </x:c>
      <x:c r="C1248" s="18" t="n">
        <x:v>20284363</x:v>
      </x:c>
      <x:c r="D1248" s="3" t="str">
        <x:v>Relative cutoff 1e-2</x:v>
      </x:c>
      <x:c r="E1248" s="18" t="n">
        <x:v>200</x:v>
      </x:c>
      <x:c r="F1248" s="21" t="n">
        <x:v>142.79184318943385</x:v>
      </x:c>
      <x:c r="G1248" s="21" t="n">
        <x:f>F1242</x:f>
        <x:v>144.33994478867493</x:v>
      </x:c>
      <x:c r="H1248" s="21" t="n">
        <x:f>F1247</x:f>
        <x:v>144.33994478867493</x:v>
      </x:c>
      <x:c r="I1248" s="27" t="n">
        <x:f>IF(AND(ISNUMBER(G1248),ISNUMBER(H1248),H1248&gt;0),G1248/H1248-1,"")</x:f>
        <x:v>0</x:v>
      </x:c>
      <x:c r="J1248" s="27" t="n">
        <x:f>IF(AND(ISNUMBER(G1248),F1248&gt;0),G1248/F1248-1,"")</x:f>
        <x:v>0.01084166689540722</x:v>
      </x:c>
      <x:c r="K1248" s="19" t="str">
        <x:v>Exp_4/EXP043/results/seed20284363_Relative_cutoff_1e-2.json</x:v>
      </x:c>
    </x:row>
    <x:row r="1249" ht="15" hidden="0" customHeight="1">
      <x:c r="A1249" s="3" t="str">
        <x:v>EXP043</x:v>
      </x:c>
      <x:c r="B1249" s="3" t="str">
        <x:v>Exp. 4</x:v>
      </x:c>
      <x:c r="C1249" s="18" t="n">
        <x:v>20284363</x:v>
      </x:c>
      <x:c r="D1249" s="3" t="str">
        <x:v>Relative cutoff 1e-4</x:v>
      </x:c>
      <x:c r="E1249" s="18" t="n">
        <x:v>200</x:v>
      </x:c>
      <x:c r="F1249" s="21" t="n">
        <x:v>144.33994478867493</x:v>
      </x:c>
      <x:c r="G1249" s="21" t="n">
        <x:f>F1242</x:f>
        <x:v>144.33994478867493</x:v>
      </x:c>
      <x:c r="H1249" s="21" t="n">
        <x:f>F1247</x:f>
        <x:v>144.33994478867493</x:v>
      </x:c>
      <x:c r="I1249" s="27" t="n">
        <x:f>IF(AND(ISNUMBER(G1249),ISNUMBER(H1249),H1249&gt;0),G1249/H1249-1,"")</x:f>
        <x:v>0</x:v>
      </x:c>
      <x:c r="J1249" s="27" t="n">
        <x:f>IF(AND(ISNUMBER(G1249),F1249&gt;0),G1249/F1249-1,"")</x:f>
        <x:v>0</x:v>
      </x:c>
      <x:c r="K1249" s="19" t="str">
        <x:v>Exp_4/EXP043/results/seed20284363_Relative_cutoff_1e-4.json</x:v>
      </x:c>
    </x:row>
    <x:row r="1250" ht="15" hidden="0" customHeight="1">
      <x:c r="A1250" s="3" t="str">
        <x:v>EXP043</x:v>
      </x:c>
      <x:c r="B1250" s="3" t="str">
        <x:v>Exp. 4</x:v>
      </x:c>
      <x:c r="C1250" s="18" t="n">
        <x:v>151801615</x:v>
      </x:c>
      <x:c r="D1250" s="3" t="str">
        <x:v>BBP</x:v>
      </x:c>
      <x:c r="E1250" s="18" t="n">
        <x:v>200</x:v>
      </x:c>
      <x:c r="F1250" s="21" t="n">
        <x:v>171.45273237229705</x:v>
      </x:c>
      <x:c r="G1250" s="21" t="n">
        <x:f>F1250</x:f>
        <x:v>171.45273237229705</x:v>
      </x:c>
      <x:c r="H1250" s="21" t="n">
        <x:f>F1255</x:f>
        <x:v>171.01401184736537</x:v>
      </x:c>
      <x:c r="I1250" s="27" t="n">
        <x:f>IF(AND(ISNUMBER(G1250),ISNUMBER(H1250),H1250&gt;0),G1250/H1250-1,"")</x:f>
        <x:v>0.0025654068938121277</x:v>
      </x:c>
      <x:c r="J1250" s="27" t="n">
        <x:f>IF(AND(ISNUMBER(G1250),F1250&gt;0),G1250/F1250-1,"")</x:f>
        <x:v>0</x:v>
      </x:c>
      <x:c r="K1250" s="19" t="str">
        <x:v>Exp_4/EXP043/results/seed151801615_BBP.json</x:v>
      </x:c>
    </x:row>
    <x:row r="1251" ht="15" hidden="0" customHeight="1">
      <x:c r="A1251" s="3" t="str">
        <x:v>EXP043</x:v>
      </x:c>
      <x:c r="B1251" s="3" t="str">
        <x:v>Exp. 4</x:v>
      </x:c>
      <x:c r="C1251" s="18" t="n">
        <x:v>151801615</x:v>
      </x:c>
      <x:c r="D1251" s="3" t="str">
        <x:v>Relative cutoff 1e-5</x:v>
      </x:c>
      <x:c r="E1251" s="18" t="n">
        <x:v>200</x:v>
      </x:c>
      <x:c r="F1251" s="21" t="n">
        <x:v>179.9703101139862</x:v>
      </x:c>
      <x:c r="G1251" s="21" t="n">
        <x:f>F1250</x:f>
        <x:v>171.45273237229705</x:v>
      </x:c>
      <x:c r="H1251" s="21" t="n">
        <x:f>F1255</x:f>
        <x:v>171.01401184736537</x:v>
      </x:c>
      <x:c r="I1251" s="27" t="n">
        <x:f>IF(AND(ISNUMBER(G1251),ISNUMBER(H1251),H1251&gt;0),G1251/H1251-1,"")</x:f>
        <x:v>0.0025654068938121277</x:v>
      </x:c>
      <x:c r="J1251" s="27" t="n">
        <x:f>IF(AND(ISNUMBER(G1251),F1251&gt;0),G1251/F1251-1,"")</x:f>
        <x:v>-0.04732768275108512</x:v>
      </x:c>
      <x:c r="K1251" s="19" t="str">
        <x:v>Exp_4/EXP043/results/seed151801615_Relative_cutoff_1e-5.json</x:v>
      </x:c>
    </x:row>
    <x:row r="1252" ht="15" hidden="0" customHeight="1">
      <x:c r="A1252" s="3" t="str">
        <x:v>EXP043</x:v>
      </x:c>
      <x:c r="B1252" s="3" t="str">
        <x:v>Exp. 4</x:v>
      </x:c>
      <x:c r="C1252" s="18" t="n">
        <x:v>151801615</x:v>
      </x:c>
      <x:c r="D1252" s="3" t="str">
        <x:v>Fixed rank 10</x:v>
      </x:c>
      <x:c r="E1252" s="18" t="n">
        <x:v>200</x:v>
      </x:c>
      <x:c r="F1252" s="21" t="n">
        <x:v>179.815055013676</x:v>
      </x:c>
      <x:c r="G1252" s="21" t="n">
        <x:f>F1250</x:f>
        <x:v>171.45273237229705</x:v>
      </x:c>
      <x:c r="H1252" s="21" t="n">
        <x:f>F1255</x:f>
        <x:v>171.01401184736537</x:v>
      </x:c>
      <x:c r="I1252" s="27" t="n">
        <x:f>IF(AND(ISNUMBER(G1252),ISNUMBER(H1252),H1252&gt;0),G1252/H1252-1,"")</x:f>
        <x:v>0.0025654068938121277</x:v>
      </x:c>
      <x:c r="J1252" s="27" t="n">
        <x:f>IF(AND(ISNUMBER(G1252),F1252&gt;0),G1252/F1252-1,"")</x:f>
        <x:v>-0.046505130734147526</x:v>
      </x:c>
      <x:c r="K1252" s="19" t="str">
        <x:v>Exp_4/EXP043/results/seed151801615_Fixed_rank_10.json</x:v>
      </x:c>
    </x:row>
    <x:row r="1253" ht="15" hidden="0" customHeight="1">
      <x:c r="A1253" s="3" t="str">
        <x:v>EXP043</x:v>
      </x:c>
      <x:c r="B1253" s="3" t="str">
        <x:v>Exp. 4</x:v>
      </x:c>
      <x:c r="C1253" s="18" t="n">
        <x:v>151801615</x:v>
      </x:c>
      <x:c r="D1253" s="3" t="str">
        <x:v>Fixed rank 25</x:v>
      </x:c>
      <x:c r="E1253" s="18" t="n">
        <x:v>200</x:v>
      </x:c>
      <x:c r="F1253" s="21" t="n">
        <x:v>171.45273237229705</x:v>
      </x:c>
      <x:c r="G1253" s="21" t="n">
        <x:f>F1250</x:f>
        <x:v>171.45273237229705</x:v>
      </x:c>
      <x:c r="H1253" s="21" t="n">
        <x:f>F1255</x:f>
        <x:v>171.01401184736537</x:v>
      </x:c>
      <x:c r="I1253" s="27" t="n">
        <x:f>IF(AND(ISNUMBER(G1253),ISNUMBER(H1253),H1253&gt;0),G1253/H1253-1,"")</x:f>
        <x:v>0.0025654068938121277</x:v>
      </x:c>
      <x:c r="J1253" s="27" t="n">
        <x:f>IF(AND(ISNUMBER(G1253),F1253&gt;0),G1253/F1253-1,"")</x:f>
        <x:v>0</x:v>
      </x:c>
      <x:c r="K1253" s="19" t="str">
        <x:v>Exp_4/EXP043/results/seed151801615_Fixed_rank_25.json</x:v>
      </x:c>
    </x:row>
    <x:row r="1254" ht="15" hidden="0" customHeight="1">
      <x:c r="A1254" s="3" t="str">
        <x:v>EXP043</x:v>
      </x:c>
      <x:c r="B1254" s="3" t="str">
        <x:v>Exp. 4</x:v>
      </x:c>
      <x:c r="C1254" s="18" t="n">
        <x:v>151801615</x:v>
      </x:c>
      <x:c r="D1254" s="3" t="str">
        <x:v>Relative cutoff 1e-6</x:v>
      </x:c>
      <x:c r="E1254" s="18" t="n">
        <x:v>200</x:v>
      </x:c>
      <x:c r="F1254" s="21" t="n">
        <x:v>179.9703101139862</x:v>
      </x:c>
      <x:c r="G1254" s="21" t="n">
        <x:f>F1250</x:f>
        <x:v>171.45273237229705</x:v>
      </x:c>
      <x:c r="H1254" s="21" t="n">
        <x:f>F1255</x:f>
        <x:v>171.01401184736537</x:v>
      </x:c>
      <x:c r="I1254" s="27" t="n">
        <x:f>IF(AND(ISNUMBER(G1254),ISNUMBER(H1254),H1254&gt;0),G1254/H1254-1,"")</x:f>
        <x:v>0.0025654068938121277</x:v>
      </x:c>
      <x:c r="J1254" s="27" t="n">
        <x:f>IF(AND(ISNUMBER(G1254),F1254&gt;0),G1254/F1254-1,"")</x:f>
        <x:v>-0.04732768275108512</x:v>
      </x:c>
      <x:c r="K1254" s="19" t="str">
        <x:v>Exp_4/EXP043/results/seed151801615_Relative_cutoff_1e-6.json</x:v>
      </x:c>
    </x:row>
    <x:row r="1255" ht="15" hidden="0" customHeight="1">
      <x:c r="A1255" s="3" t="str">
        <x:v>EXP043</x:v>
      </x:c>
      <x:c r="B1255" s="3" t="str">
        <x:v>Exp. 4</x:v>
      </x:c>
      <x:c r="C1255" s="18" t="n">
        <x:v>151801615</x:v>
      </x:c>
      <x:c r="D1255" s="3" t="str">
        <x:v>Full</x:v>
      </x:c>
      <x:c r="E1255" s="18" t="n">
        <x:v>200</x:v>
      </x:c>
      <x:c r="F1255" s="21" t="n">
        <x:v>171.01401184736537</x:v>
      </x:c>
      <x:c r="G1255" s="21" t="n">
        <x:f>F1250</x:f>
        <x:v>171.45273237229705</x:v>
      </x:c>
      <x:c r="H1255" s="21" t="n">
        <x:f>F1255</x:f>
        <x:v>171.01401184736537</x:v>
      </x:c>
      <x:c r="I1255" s="27" t="n">
        <x:f>IF(AND(ISNUMBER(G1255),ISNUMBER(H1255),H1255&gt;0),G1255/H1255-1,"")</x:f>
        <x:v>0.0025654068938121277</x:v>
      </x:c>
      <x:c r="J1255" s="27" t="n">
        <x:f>IF(AND(ISNUMBER(G1255),F1255&gt;0),G1255/F1255-1,"")</x:f>
        <x:v>0.0025654068938121277</x:v>
      </x:c>
      <x:c r="K1255" s="19" t="str">
        <x:v>Exp_4/EXP043/results/seed151801615_Full.json</x:v>
      </x:c>
    </x:row>
    <x:row r="1256" ht="15" hidden="0" customHeight="1">
      <x:c r="A1256" s="3" t="str">
        <x:v>EXP043</x:v>
      </x:c>
      <x:c r="B1256" s="3" t="str">
        <x:v>Exp. 4</x:v>
      </x:c>
      <x:c r="C1256" s="18" t="n">
        <x:v>151801615</x:v>
      </x:c>
      <x:c r="D1256" s="3" t="str">
        <x:v>Relative cutoff 1e-2</x:v>
      </x:c>
      <x:c r="E1256" s="18" t="n">
        <x:v>200</x:v>
      </x:c>
      <x:c r="F1256" s="21" t="n">
        <x:v>168.41848643705617</x:v>
      </x:c>
      <x:c r="G1256" s="21" t="n">
        <x:f>F1250</x:f>
        <x:v>171.45273237229705</x:v>
      </x:c>
      <x:c r="H1256" s="21" t="n">
        <x:f>F1255</x:f>
        <x:v>171.01401184736537</x:v>
      </x:c>
      <x:c r="I1256" s="27" t="n">
        <x:f>IF(AND(ISNUMBER(G1256),ISNUMBER(H1256),H1256&gt;0),G1256/H1256-1,"")</x:f>
        <x:v>0.0025654068938121277</x:v>
      </x:c>
      <x:c r="J1256" s="27" t="n">
        <x:f>IF(AND(ISNUMBER(G1256),F1256&gt;0),G1256/F1256-1,"")</x:f>
        <x:v>0.018016109747992948</x:v>
      </x:c>
      <x:c r="K1256" s="19" t="str">
        <x:v>Exp_4/EXP043/results/seed151801615_Relative_cutoff_1e-2.json</x:v>
      </x:c>
    </x:row>
    <x:row r="1257" ht="15" hidden="0" customHeight="1">
      <x:c r="A1257" s="3" t="str">
        <x:v>EXP043</x:v>
      </x:c>
      <x:c r="B1257" s="3" t="str">
        <x:v>Exp. 4</x:v>
      </x:c>
      <x:c r="C1257" s="18" t="n">
        <x:v>151801615</x:v>
      </x:c>
      <x:c r="D1257" s="3" t="str">
        <x:v>Relative cutoff 1e-4</x:v>
      </x:c>
      <x:c r="E1257" s="18" t="n">
        <x:v>200</x:v>
      </x:c>
      <x:c r="F1257" s="21" t="n">
        <x:v>171.45273237229705</x:v>
      </x:c>
      <x:c r="G1257" s="21" t="n">
        <x:f>F1250</x:f>
        <x:v>171.45273237229705</x:v>
      </x:c>
      <x:c r="H1257" s="21" t="n">
        <x:f>F1255</x:f>
        <x:v>171.01401184736537</x:v>
      </x:c>
      <x:c r="I1257" s="27" t="n">
        <x:f>IF(AND(ISNUMBER(G1257),ISNUMBER(H1257),H1257&gt;0),G1257/H1257-1,"")</x:f>
        <x:v>0.0025654068938121277</x:v>
      </x:c>
      <x:c r="J1257" s="27" t="n">
        <x:f>IF(AND(ISNUMBER(G1257),F1257&gt;0),G1257/F1257-1,"")</x:f>
        <x:v>0</x:v>
      </x:c>
      <x:c r="K1257" s="19" t="str">
        <x:v>Exp_4/EXP043/results/seed151801615_Relative_cutoff_1e-4.json</x:v>
      </x:c>
    </x:row>
    <x:row r="1258" ht="15" hidden="0" customHeight="1">
      <x:c r="A1258" s="3" t="str">
        <x:v>EXP043</x:v>
      </x:c>
      <x:c r="B1258" s="3" t="str">
        <x:v>Exp. 4</x:v>
      </x:c>
      <x:c r="C1258" s="18" t="n">
        <x:v>159359747</x:v>
      </x:c>
      <x:c r="D1258" s="3" t="str">
        <x:v>BBP</x:v>
      </x:c>
      <x:c r="E1258" s="18" t="n">
        <x:v>200</x:v>
      </x:c>
      <x:c r="F1258" s="21" t="n">
        <x:v>165.99936828773636</x:v>
      </x:c>
      <x:c r="G1258" s="21" t="n">
        <x:f>F1258</x:f>
        <x:v>165.99936828773636</x:v>
      </x:c>
      <x:c r="H1258" s="21" t="n">
        <x:f>F1263</x:f>
        <x:v>167.41085469701727</x:v>
      </x:c>
      <x:c r="I1258" s="27" t="n">
        <x:f>IF(AND(ISNUMBER(G1258),ISNUMBER(H1258),H1258&gt;0),G1258/H1258-1,"")</x:f>
        <x:v>-0.008431271746598745</x:v>
      </x:c>
      <x:c r="J1258" s="27" t="n">
        <x:f>IF(AND(ISNUMBER(G1258),F1258&gt;0),G1258/F1258-1,"")</x:f>
        <x:v>0</x:v>
      </x:c>
      <x:c r="K1258" s="19" t="str">
        <x:v>Exp_4/EXP043/results/seed159359747_BBP.json</x:v>
      </x:c>
    </x:row>
    <x:row r="1259" ht="15" hidden="0" customHeight="1">
      <x:c r="A1259" s="3" t="str">
        <x:v>EXP043</x:v>
      </x:c>
      <x:c r="B1259" s="3" t="str">
        <x:v>Exp. 4</x:v>
      </x:c>
      <x:c r="C1259" s="18" t="n">
        <x:v>159359747</x:v>
      </x:c>
      <x:c r="D1259" s="3" t="str">
        <x:v>Relative cutoff 1e-5</x:v>
      </x:c>
      <x:c r="E1259" s="18" t="n">
        <x:v>200</x:v>
      </x:c>
      <x:c r="F1259" s="21" t="n">
        <x:v>167.41085469701727</x:v>
      </x:c>
      <x:c r="G1259" s="21" t="n">
        <x:f>F1258</x:f>
        <x:v>165.99936828773636</x:v>
      </x:c>
      <x:c r="H1259" s="21" t="n">
        <x:f>F1263</x:f>
        <x:v>167.41085469701727</x:v>
      </x:c>
      <x:c r="I1259" s="27" t="n">
        <x:f>IF(AND(ISNUMBER(G1259),ISNUMBER(H1259),H1259&gt;0),G1259/H1259-1,"")</x:f>
        <x:v>-0.008431271746598745</x:v>
      </x:c>
      <x:c r="J1259" s="27" t="n">
        <x:f>IF(AND(ISNUMBER(G1259),F1259&gt;0),G1259/F1259-1,"")</x:f>
        <x:v>-0.008431271746598745</x:v>
      </x:c>
      <x:c r="K1259" s="19" t="str">
        <x:v>Exp_4/EXP043/results/seed159359747_Relative_cutoff_1e-5.json</x:v>
      </x:c>
    </x:row>
    <x:row r="1260" ht="15" hidden="0" customHeight="1">
      <x:c r="A1260" s="3" t="str">
        <x:v>EXP043</x:v>
      </x:c>
      <x:c r="B1260" s="3" t="str">
        <x:v>Exp. 4</x:v>
      </x:c>
      <x:c r="C1260" s="18" t="n">
        <x:v>159359747</x:v>
      </x:c>
      <x:c r="D1260" s="3" t="str">
        <x:v>Fixed rank 10</x:v>
      </x:c>
      <x:c r="E1260" s="18" t="n">
        <x:v>200</x:v>
      </x:c>
      <x:c r="F1260" s="21" t="n">
        <x:v>167.00778117757588</x:v>
      </x:c>
      <x:c r="G1260" s="21" t="n">
        <x:f>F1258</x:f>
        <x:v>165.99936828773636</x:v>
      </x:c>
      <x:c r="H1260" s="21" t="n">
        <x:f>F1263</x:f>
        <x:v>167.41085469701727</x:v>
      </x:c>
      <x:c r="I1260" s="27" t="n">
        <x:f>IF(AND(ISNUMBER(G1260),ISNUMBER(H1260),H1260&gt;0),G1260/H1260-1,"")</x:f>
        <x:v>-0.008431271746598745</x:v>
      </x:c>
      <x:c r="J1260" s="27" t="n">
        <x:f>IF(AND(ISNUMBER(G1260),F1260&gt;0),G1260/F1260-1,"")</x:f>
        <x:v>-0.006038119198573666</x:v>
      </x:c>
      <x:c r="K1260" s="19" t="str">
        <x:v>Exp_4/EXP043/results/seed159359747_Fixed_rank_10.json</x:v>
      </x:c>
    </x:row>
    <x:row r="1261" ht="15" hidden="0" customHeight="1">
      <x:c r="A1261" s="3" t="str">
        <x:v>EXP043</x:v>
      </x:c>
      <x:c r="B1261" s="3" t="str">
        <x:v>Exp. 4</x:v>
      </x:c>
      <x:c r="C1261" s="18" t="n">
        <x:v>159359747</x:v>
      </x:c>
      <x:c r="D1261" s="3" t="str">
        <x:v>Fixed rank 25</x:v>
      </x:c>
      <x:c r="E1261" s="18" t="n">
        <x:v>200</x:v>
      </x:c>
      <x:c r="F1261" s="21" t="n">
        <x:v>165.99936828773636</x:v>
      </x:c>
      <x:c r="G1261" s="21" t="n">
        <x:f>F1258</x:f>
        <x:v>165.99936828773636</x:v>
      </x:c>
      <x:c r="H1261" s="21" t="n">
        <x:f>F1263</x:f>
        <x:v>167.41085469701727</x:v>
      </x:c>
      <x:c r="I1261" s="27" t="n">
        <x:f>IF(AND(ISNUMBER(G1261),ISNUMBER(H1261),H1261&gt;0),G1261/H1261-1,"")</x:f>
        <x:v>-0.008431271746598745</x:v>
      </x:c>
      <x:c r="J1261" s="27" t="n">
        <x:f>IF(AND(ISNUMBER(G1261),F1261&gt;0),G1261/F1261-1,"")</x:f>
        <x:v>0</x:v>
      </x:c>
      <x:c r="K1261" s="19" t="str">
        <x:v>Exp_4/EXP043/results/seed159359747_Fixed_rank_25.json</x:v>
      </x:c>
    </x:row>
    <x:row r="1262" ht="15" hidden="0" customHeight="1">
      <x:c r="A1262" s="3" t="str">
        <x:v>EXP043</x:v>
      </x:c>
      <x:c r="B1262" s="3" t="str">
        <x:v>Exp. 4</x:v>
      </x:c>
      <x:c r="C1262" s="18" t="n">
        <x:v>159359747</x:v>
      </x:c>
      <x:c r="D1262" s="3" t="str">
        <x:v>Relative cutoff 1e-6</x:v>
      </x:c>
      <x:c r="E1262" s="18" t="n">
        <x:v>200</x:v>
      </x:c>
      <x:c r="F1262" s="21" t="n">
        <x:v>167.41085469701727</x:v>
      </x:c>
      <x:c r="G1262" s="21" t="n">
        <x:f>F1258</x:f>
        <x:v>165.99936828773636</x:v>
      </x:c>
      <x:c r="H1262" s="21" t="n">
        <x:f>F1263</x:f>
        <x:v>167.41085469701727</x:v>
      </x:c>
      <x:c r="I1262" s="27" t="n">
        <x:f>IF(AND(ISNUMBER(G1262),ISNUMBER(H1262),H1262&gt;0),G1262/H1262-1,"")</x:f>
        <x:v>-0.008431271746598745</x:v>
      </x:c>
      <x:c r="J1262" s="27" t="n">
        <x:f>IF(AND(ISNUMBER(G1262),F1262&gt;0),G1262/F1262-1,"")</x:f>
        <x:v>-0.008431271746598745</x:v>
      </x:c>
      <x:c r="K1262" s="19" t="str">
        <x:v>Exp_4/EXP043/results/seed159359747_Relative_cutoff_1e-6.json</x:v>
      </x:c>
    </x:row>
    <x:row r="1263" ht="15" hidden="0" customHeight="1">
      <x:c r="A1263" s="3" t="str">
        <x:v>EXP043</x:v>
      </x:c>
      <x:c r="B1263" s="3" t="str">
        <x:v>Exp. 4</x:v>
      </x:c>
      <x:c r="C1263" s="18" t="n">
        <x:v>159359747</x:v>
      </x:c>
      <x:c r="D1263" s="3" t="str">
        <x:v>Full</x:v>
      </x:c>
      <x:c r="E1263" s="18" t="n">
        <x:v>200</x:v>
      </x:c>
      <x:c r="F1263" s="21" t="n">
        <x:v>167.41085469701727</x:v>
      </x:c>
      <x:c r="G1263" s="21" t="n">
        <x:f>F1258</x:f>
        <x:v>165.99936828773636</x:v>
      </x:c>
      <x:c r="H1263" s="21" t="n">
        <x:f>F1263</x:f>
        <x:v>167.41085469701727</x:v>
      </x:c>
      <x:c r="I1263" s="27" t="n">
        <x:f>IF(AND(ISNUMBER(G1263),ISNUMBER(H1263),H1263&gt;0),G1263/H1263-1,"")</x:f>
        <x:v>-0.008431271746598745</x:v>
      </x:c>
      <x:c r="J1263" s="27" t="n">
        <x:f>IF(AND(ISNUMBER(G1263),F1263&gt;0),G1263/F1263-1,"")</x:f>
        <x:v>-0.008431271746598745</x:v>
      </x:c>
      <x:c r="K1263" s="19" t="str">
        <x:v>Exp_4/EXP043/results/seed159359747_Full.json</x:v>
      </x:c>
    </x:row>
    <x:row r="1264" ht="15" hidden="0" customHeight="1">
      <x:c r="A1264" s="3" t="str">
        <x:v>EXP043</x:v>
      </x:c>
      <x:c r="B1264" s="3" t="str">
        <x:v>Exp. 4</x:v>
      </x:c>
      <x:c r="C1264" s="18" t="n">
        <x:v>159359747</x:v>
      </x:c>
      <x:c r="D1264" s="3" t="str">
        <x:v>Relative cutoff 1e-2</x:v>
      </x:c>
      <x:c r="E1264" s="18" t="n">
        <x:v>200</x:v>
      </x:c>
      <x:c r="F1264" s="21" t="n">
        <x:v>182.95524423172748</x:v>
      </x:c>
      <x:c r="G1264" s="21" t="n">
        <x:f>F1258</x:f>
        <x:v>165.99936828773636</x:v>
      </x:c>
      <x:c r="H1264" s="21" t="n">
        <x:f>F1263</x:f>
        <x:v>167.41085469701727</x:v>
      </x:c>
      <x:c r="I1264" s="27" t="n">
        <x:f>IF(AND(ISNUMBER(G1264),ISNUMBER(H1264),H1264&gt;0),G1264/H1264-1,"")</x:f>
        <x:v>-0.008431271746598745</x:v>
      </x:c>
      <x:c r="J1264" s="27" t="n">
        <x:f>IF(AND(ISNUMBER(G1264),F1264&gt;0),G1264/F1264-1,"")</x:f>
        <x:v>-0.09267772572025945</x:v>
      </x:c>
      <x:c r="K1264" s="19" t="str">
        <x:v>Exp_4/EXP043/results/seed159359747_Relative_cutoff_1e-2.json</x:v>
      </x:c>
    </x:row>
    <x:row r="1265" ht="15" hidden="0" customHeight="1">
      <x:c r="A1265" s="3" t="str">
        <x:v>EXP043</x:v>
      </x:c>
      <x:c r="B1265" s="3" t="str">
        <x:v>Exp. 4</x:v>
      </x:c>
      <x:c r="C1265" s="18" t="n">
        <x:v>159359747</x:v>
      </x:c>
      <x:c r="D1265" s="3" t="str">
        <x:v>Relative cutoff 1e-4</x:v>
      </x:c>
      <x:c r="E1265" s="18" t="n">
        <x:v>200</x:v>
      </x:c>
      <x:c r="F1265" s="21" t="n">
        <x:v>165.99936828773636</x:v>
      </x:c>
      <x:c r="G1265" s="21" t="n">
        <x:f>F1258</x:f>
        <x:v>165.99936828773636</x:v>
      </x:c>
      <x:c r="H1265" s="21" t="n">
        <x:f>F1263</x:f>
        <x:v>167.41085469701727</x:v>
      </x:c>
      <x:c r="I1265" s="27" t="n">
        <x:f>IF(AND(ISNUMBER(G1265),ISNUMBER(H1265),H1265&gt;0),G1265/H1265-1,"")</x:f>
        <x:v>-0.008431271746598745</x:v>
      </x:c>
      <x:c r="J1265" s="27" t="n">
        <x:f>IF(AND(ISNUMBER(G1265),F1265&gt;0),G1265/F1265-1,"")</x:f>
        <x:v>0</x:v>
      </x:c>
      <x:c r="K1265" s="19" t="str">
        <x:v>Exp_4/EXP043/results/seed159359747_Relative_cutoff_1e-4.json</x:v>
      </x:c>
    </x:row>
    <x:row r="1266" ht="15" hidden="0" customHeight="1">
      <x:c r="A1266" s="3" t="str">
        <x:v>EXP043</x:v>
      </x:c>
      <x:c r="B1266" s="3" t="str">
        <x:v>Exp. 4</x:v>
      </x:c>
      <x:c r="C1266" s="18" t="n">
        <x:v>254786210</x:v>
      </x:c>
      <x:c r="D1266" s="3" t="str">
        <x:v>BBP</x:v>
      </x:c>
      <x:c r="E1266" s="18" t="n">
        <x:v>200</x:v>
      </x:c>
      <x:c r="F1266" s="21" t="n">
        <x:v>156.50368929995545</x:v>
      </x:c>
      <x:c r="G1266" s="21" t="n">
        <x:f>F1266</x:f>
        <x:v>156.50368929995545</x:v>
      </x:c>
      <x:c r="H1266" s="21" t="n">
        <x:f>F1271</x:f>
        <x:v>156.50368929995545</x:v>
      </x:c>
      <x:c r="I1266" s="27" t="n">
        <x:f>IF(AND(ISNUMBER(G1266),ISNUMBER(H1266),H1266&gt;0),G1266/H1266-1,"")</x:f>
        <x:v>0</x:v>
      </x:c>
      <x:c r="J1266" s="27" t="n">
        <x:f>IF(AND(ISNUMBER(G1266),F1266&gt;0),G1266/F1266-1,"")</x:f>
        <x:v>0</x:v>
      </x:c>
      <x:c r="K1266" s="19" t="str">
        <x:v>Exp_4/EXP043/results/seed254786210_BBP.json</x:v>
      </x:c>
    </x:row>
    <x:row r="1267" ht="15" hidden="0" customHeight="1">
      <x:c r="A1267" s="3" t="str">
        <x:v>EXP043</x:v>
      </x:c>
      <x:c r="B1267" s="3" t="str">
        <x:v>Exp. 4</x:v>
      </x:c>
      <x:c r="C1267" s="18" t="n">
        <x:v>254786210</x:v>
      </x:c>
      <x:c r="D1267" s="3" t="str">
        <x:v>Relative cutoff 1e-5</x:v>
      </x:c>
      <x:c r="E1267" s="18" t="n">
        <x:v>200</x:v>
      </x:c>
      <x:c r="F1267" s="21" t="n">
        <x:v>156.50368929995545</x:v>
      </x:c>
      <x:c r="G1267" s="21" t="n">
        <x:f>F1266</x:f>
        <x:v>156.50368929995545</x:v>
      </x:c>
      <x:c r="H1267" s="21" t="n">
        <x:f>F1271</x:f>
        <x:v>156.50368929995545</x:v>
      </x:c>
      <x:c r="I1267" s="27" t="n">
        <x:f>IF(AND(ISNUMBER(G1267),ISNUMBER(H1267),H1267&gt;0),G1267/H1267-1,"")</x:f>
        <x:v>0</x:v>
      </x:c>
      <x:c r="J1267" s="27" t="n">
        <x:f>IF(AND(ISNUMBER(G1267),F1267&gt;0),G1267/F1267-1,"")</x:f>
        <x:v>0</x:v>
      </x:c>
      <x:c r="K1267" s="19" t="str">
        <x:v>Exp_4/EXP043/results/seed254786210_Relative_cutoff_1e-5.json</x:v>
      </x:c>
    </x:row>
    <x:row r="1268" ht="15" hidden="0" customHeight="1">
      <x:c r="A1268" s="3" t="str">
        <x:v>EXP043</x:v>
      </x:c>
      <x:c r="B1268" s="3" t="str">
        <x:v>Exp. 4</x:v>
      </x:c>
      <x:c r="C1268" s="18" t="n">
        <x:v>254786210</x:v>
      </x:c>
      <x:c r="D1268" s="3" t="str">
        <x:v>Fixed rank 10</x:v>
      </x:c>
      <x:c r="E1268" s="18" t="n">
        <x:v>200</x:v>
      </x:c>
      <x:c r="F1268" s="21" t="n">
        <x:v>156.95623569864776</x:v>
      </x:c>
      <x:c r="G1268" s="21" t="n">
        <x:f>F1266</x:f>
        <x:v>156.50368929995545</x:v>
      </x:c>
      <x:c r="H1268" s="21" t="n">
        <x:f>F1271</x:f>
        <x:v>156.50368929995545</x:v>
      </x:c>
      <x:c r="I1268" s="27" t="n">
        <x:f>IF(AND(ISNUMBER(G1268),ISNUMBER(H1268),H1268&gt;0),G1268/H1268-1,"")</x:f>
        <x:v>0</x:v>
      </x:c>
      <x:c r="J1268" s="27" t="n">
        <x:f>IF(AND(ISNUMBER(G1268),F1268&gt;0),G1268/F1268-1,"")</x:f>
        <x:v>-0.002883264858372314</x:v>
      </x:c>
      <x:c r="K1268" s="19" t="str">
        <x:v>Exp_4/EXP043/results/seed254786210_Fixed_rank_10.json</x:v>
      </x:c>
    </x:row>
    <x:row r="1269" ht="15" hidden="0" customHeight="1">
      <x:c r="A1269" s="3" t="str">
        <x:v>EXP043</x:v>
      </x:c>
      <x:c r="B1269" s="3" t="str">
        <x:v>Exp. 4</x:v>
      </x:c>
      <x:c r="C1269" s="18" t="n">
        <x:v>254786210</x:v>
      </x:c>
      <x:c r="D1269" s="3" t="str">
        <x:v>Fixed rank 25</x:v>
      </x:c>
      <x:c r="E1269" s="18" t="n">
        <x:v>200</x:v>
      </x:c>
      <x:c r="F1269" s="21" t="n">
        <x:v>156.50368929995545</x:v>
      </x:c>
      <x:c r="G1269" s="21" t="n">
        <x:f>F1266</x:f>
        <x:v>156.50368929995545</x:v>
      </x:c>
      <x:c r="H1269" s="21" t="n">
        <x:f>F1271</x:f>
        <x:v>156.50368929995545</x:v>
      </x:c>
      <x:c r="I1269" s="27" t="n">
        <x:f>IF(AND(ISNUMBER(G1269),ISNUMBER(H1269),H1269&gt;0),G1269/H1269-1,"")</x:f>
        <x:v>0</x:v>
      </x:c>
      <x:c r="J1269" s="27" t="n">
        <x:f>IF(AND(ISNUMBER(G1269),F1269&gt;0),G1269/F1269-1,"")</x:f>
        <x:v>0</x:v>
      </x:c>
      <x:c r="K1269" s="19" t="str">
        <x:v>Exp_4/EXP043/results/seed254786210_Fixed_rank_25.json</x:v>
      </x:c>
    </x:row>
    <x:row r="1270" ht="15" hidden="0" customHeight="1">
      <x:c r="A1270" s="3" t="str">
        <x:v>EXP043</x:v>
      </x:c>
      <x:c r="B1270" s="3" t="str">
        <x:v>Exp. 4</x:v>
      </x:c>
      <x:c r="C1270" s="18" t="n">
        <x:v>254786210</x:v>
      </x:c>
      <x:c r="D1270" s="3" t="str">
        <x:v>Relative cutoff 1e-6</x:v>
      </x:c>
      <x:c r="E1270" s="18" t="n">
        <x:v>200</x:v>
      </x:c>
      <x:c r="F1270" s="21" t="n">
        <x:v>156.50368929995545</x:v>
      </x:c>
      <x:c r="G1270" s="21" t="n">
        <x:f>F1266</x:f>
        <x:v>156.50368929995545</x:v>
      </x:c>
      <x:c r="H1270" s="21" t="n">
        <x:f>F1271</x:f>
        <x:v>156.50368929995545</x:v>
      </x:c>
      <x:c r="I1270" s="27" t="n">
        <x:f>IF(AND(ISNUMBER(G1270),ISNUMBER(H1270),H1270&gt;0),G1270/H1270-1,"")</x:f>
        <x:v>0</x:v>
      </x:c>
      <x:c r="J1270" s="27" t="n">
        <x:f>IF(AND(ISNUMBER(G1270),F1270&gt;0),G1270/F1270-1,"")</x:f>
        <x:v>0</x:v>
      </x:c>
      <x:c r="K1270" s="19" t="str">
        <x:v>Exp_4/EXP043/results/seed254786210_Relative_cutoff_1e-6.json</x:v>
      </x:c>
    </x:row>
    <x:row r="1271" ht="15" hidden="0" customHeight="1">
      <x:c r="A1271" s="3" t="str">
        <x:v>EXP043</x:v>
      </x:c>
      <x:c r="B1271" s="3" t="str">
        <x:v>Exp. 4</x:v>
      </x:c>
      <x:c r="C1271" s="18" t="n">
        <x:v>254786210</x:v>
      </x:c>
      <x:c r="D1271" s="3" t="str">
        <x:v>Full</x:v>
      </x:c>
      <x:c r="E1271" s="18" t="n">
        <x:v>200</x:v>
      </x:c>
      <x:c r="F1271" s="21" t="n">
        <x:v>156.50368929995545</x:v>
      </x:c>
      <x:c r="G1271" s="21" t="n">
        <x:f>F1266</x:f>
        <x:v>156.50368929995545</x:v>
      </x:c>
      <x:c r="H1271" s="21" t="n">
        <x:f>F1271</x:f>
        <x:v>156.50368929995545</x:v>
      </x:c>
      <x:c r="I1271" s="27" t="n">
        <x:f>IF(AND(ISNUMBER(G1271),ISNUMBER(H1271),H1271&gt;0),G1271/H1271-1,"")</x:f>
        <x:v>0</x:v>
      </x:c>
      <x:c r="J1271" s="27" t="n">
        <x:f>IF(AND(ISNUMBER(G1271),F1271&gt;0),G1271/F1271-1,"")</x:f>
        <x:v>0</x:v>
      </x:c>
      <x:c r="K1271" s="19" t="str">
        <x:v>Exp_4/EXP043/results/seed254786210_Full.json</x:v>
      </x:c>
    </x:row>
    <x:row r="1272" ht="15" hidden="0" customHeight="1">
      <x:c r="A1272" s="3" t="str">
        <x:v>EXP043</x:v>
      </x:c>
      <x:c r="B1272" s="3" t="str">
        <x:v>Exp. 4</x:v>
      </x:c>
      <x:c r="C1272" s="18" t="n">
        <x:v>254786210</x:v>
      </x:c>
      <x:c r="D1272" s="3" t="str">
        <x:v>Relative cutoff 1e-2</x:v>
      </x:c>
      <x:c r="E1272" s="18" t="n">
        <x:v>200</x:v>
      </x:c>
      <x:c r="F1272" s="21" t="n">
        <x:v>164.5901983096084</x:v>
      </x:c>
      <x:c r="G1272" s="21" t="n">
        <x:f>F1266</x:f>
        <x:v>156.50368929995545</x:v>
      </x:c>
      <x:c r="H1272" s="21" t="n">
        <x:f>F1271</x:f>
        <x:v>156.50368929995545</x:v>
      </x:c>
      <x:c r="I1272" s="27" t="n">
        <x:f>IF(AND(ISNUMBER(G1272),ISNUMBER(H1272),H1272&gt;0),G1272/H1272-1,"")</x:f>
        <x:v>0</x:v>
      </x:c>
      <x:c r="J1272" s="27" t="n">
        <x:f>IF(AND(ISNUMBER(G1272),F1272&gt;0),G1272/F1272-1,"")</x:f>
        <x:v>-0.04913116997672928</x:v>
      </x:c>
      <x:c r="K1272" s="19" t="str">
        <x:v>Exp_4/EXP043/results/seed254786210_Relative_cutoff_1e-2.json</x:v>
      </x:c>
    </x:row>
    <x:row r="1273" ht="15" hidden="0" customHeight="1">
      <x:c r="A1273" s="3" t="str">
        <x:v>EXP043</x:v>
      </x:c>
      <x:c r="B1273" s="3" t="str">
        <x:v>Exp. 4</x:v>
      </x:c>
      <x:c r="C1273" s="18" t="n">
        <x:v>254786210</x:v>
      </x:c>
      <x:c r="D1273" s="3" t="str">
        <x:v>Relative cutoff 1e-4</x:v>
      </x:c>
      <x:c r="E1273" s="18" t="n">
        <x:v>200</x:v>
      </x:c>
      <x:c r="F1273" s="21" t="n">
        <x:v>156.95623569864776</x:v>
      </x:c>
      <x:c r="G1273" s="21" t="n">
        <x:f>F1266</x:f>
        <x:v>156.50368929995545</x:v>
      </x:c>
      <x:c r="H1273" s="21" t="n">
        <x:f>F1271</x:f>
        <x:v>156.50368929995545</x:v>
      </x:c>
      <x:c r="I1273" s="27" t="n">
        <x:f>IF(AND(ISNUMBER(G1273),ISNUMBER(H1273),H1273&gt;0),G1273/H1273-1,"")</x:f>
        <x:v>0</x:v>
      </x:c>
      <x:c r="J1273" s="27" t="n">
        <x:f>IF(AND(ISNUMBER(G1273),F1273&gt;0),G1273/F1273-1,"")</x:f>
        <x:v>-0.002883264858372314</x:v>
      </x:c>
      <x:c r="K1273" s="19" t="str">
        <x:v>Exp_4/EXP043/results/seed254786210_Relative_cutoff_1e-4.json</x:v>
      </x:c>
    </x:row>
    <x:row r="1274" ht="15" hidden="0" customHeight="1">
      <x:c r="A1274" s="3" t="str">
        <x:v>EXP043</x:v>
      </x:c>
      <x:c r="B1274" s="3" t="str">
        <x:v>Exp. 4</x:v>
      </x:c>
      <x:c r="C1274" s="18" t="n">
        <x:v>280737676</x:v>
      </x:c>
      <x:c r="D1274" s="3" t="str">
        <x:v>BBP</x:v>
      </x:c>
      <x:c r="E1274" s="18" t="n">
        <x:v>200</x:v>
      </x:c>
      <x:c r="F1274" s="21" t="n">
        <x:v>184.25013014019248</x:v>
      </x:c>
      <x:c r="G1274" s="21" t="n">
        <x:f>F1274</x:f>
        <x:v>184.25013014019248</x:v>
      </x:c>
      <x:c r="H1274" s="21" t="n">
        <x:f>F1279</x:f>
        <x:v>184.25013014019248</x:v>
      </x:c>
      <x:c r="I1274" s="27" t="n">
        <x:f>IF(AND(ISNUMBER(G1274),ISNUMBER(H1274),H1274&gt;0),G1274/H1274-1,"")</x:f>
        <x:v>0</x:v>
      </x:c>
      <x:c r="J1274" s="27" t="n">
        <x:f>IF(AND(ISNUMBER(G1274),F1274&gt;0),G1274/F1274-1,"")</x:f>
        <x:v>0</x:v>
      </x:c>
      <x:c r="K1274" s="19" t="str">
        <x:v>Exp_4/EXP043/results/seed280737676_BBP.json</x:v>
      </x:c>
    </x:row>
    <x:row r="1275" ht="15" hidden="0" customHeight="1">
      <x:c r="A1275" s="3" t="str">
        <x:v>EXP043</x:v>
      </x:c>
      <x:c r="B1275" s="3" t="str">
        <x:v>Exp. 4</x:v>
      </x:c>
      <x:c r="C1275" s="18" t="n">
        <x:v>280737676</x:v>
      </x:c>
      <x:c r="D1275" s="3" t="str">
        <x:v>Relative cutoff 1e-5</x:v>
      </x:c>
      <x:c r="E1275" s="18" t="n">
        <x:v>200</x:v>
      </x:c>
      <x:c r="F1275" s="21" t="n">
        <x:v>184.25013014019248</x:v>
      </x:c>
      <x:c r="G1275" s="21" t="n">
        <x:f>F1274</x:f>
        <x:v>184.25013014019248</x:v>
      </x:c>
      <x:c r="H1275" s="21" t="n">
        <x:f>F1279</x:f>
        <x:v>184.25013014019248</x:v>
      </x:c>
      <x:c r="I1275" s="27" t="n">
        <x:f>IF(AND(ISNUMBER(G1275),ISNUMBER(H1275),H1275&gt;0),G1275/H1275-1,"")</x:f>
        <x:v>0</x:v>
      </x:c>
      <x:c r="J1275" s="27" t="n">
        <x:f>IF(AND(ISNUMBER(G1275),F1275&gt;0),G1275/F1275-1,"")</x:f>
        <x:v>0</x:v>
      </x:c>
      <x:c r="K1275" s="19" t="str">
        <x:v>Exp_4/EXP043/results/seed280737676_Relative_cutoff_1e-5.json</x:v>
      </x:c>
    </x:row>
    <x:row r="1276" ht="15" hidden="0" customHeight="1">
      <x:c r="A1276" s="3" t="str">
        <x:v>EXP043</x:v>
      </x:c>
      <x:c r="B1276" s="3" t="str">
        <x:v>Exp. 4</x:v>
      </x:c>
      <x:c r="C1276" s="18" t="n">
        <x:v>280737676</x:v>
      </x:c>
      <x:c r="D1276" s="3" t="str">
        <x:v>Fixed rank 10</x:v>
      </x:c>
      <x:c r="E1276" s="18" t="n">
        <x:v>200</x:v>
      </x:c>
      <x:c r="F1276" s="21" t="n">
        <x:v>168.7253556338809</x:v>
      </x:c>
      <x:c r="G1276" s="21" t="n">
        <x:f>F1274</x:f>
        <x:v>184.25013014019248</x:v>
      </x:c>
      <x:c r="H1276" s="21" t="n">
        <x:f>F1279</x:f>
        <x:v>184.25013014019248</x:v>
      </x:c>
      <x:c r="I1276" s="27" t="n">
        <x:f>IF(AND(ISNUMBER(G1276),ISNUMBER(H1276),H1276&gt;0),G1276/H1276-1,"")</x:f>
        <x:v>0</x:v>
      </x:c>
      <x:c r="J1276" s="27" t="n">
        <x:f>IF(AND(ISNUMBER(G1276),F1276&gt;0),G1276/F1276-1,"")</x:f>
        <x:v>0.09201210125168724</x:v>
      </x:c>
      <x:c r="K1276" s="19" t="str">
        <x:v>Exp_4/EXP043/results/seed280737676_Fixed_rank_10.json</x:v>
      </x:c>
    </x:row>
    <x:row r="1277" ht="15" hidden="0" customHeight="1">
      <x:c r="A1277" s="3" t="str">
        <x:v>EXP043</x:v>
      </x:c>
      <x:c r="B1277" s="3" t="str">
        <x:v>Exp. 4</x:v>
      </x:c>
      <x:c r="C1277" s="18" t="n">
        <x:v>280737676</x:v>
      </x:c>
      <x:c r="D1277" s="3" t="str">
        <x:v>Fixed rank 25</x:v>
      </x:c>
      <x:c r="E1277" s="18" t="n">
        <x:v>200</x:v>
      </x:c>
      <x:c r="F1277" s="21" t="n">
        <x:v>184.25013014019248</x:v>
      </x:c>
      <x:c r="G1277" s="21" t="n">
        <x:f>F1274</x:f>
        <x:v>184.25013014019248</x:v>
      </x:c>
      <x:c r="H1277" s="21" t="n">
        <x:f>F1279</x:f>
        <x:v>184.25013014019248</x:v>
      </x:c>
      <x:c r="I1277" s="27" t="n">
        <x:f>IF(AND(ISNUMBER(G1277),ISNUMBER(H1277),H1277&gt;0),G1277/H1277-1,"")</x:f>
        <x:v>0</x:v>
      </x:c>
      <x:c r="J1277" s="27" t="n">
        <x:f>IF(AND(ISNUMBER(G1277),F1277&gt;0),G1277/F1277-1,"")</x:f>
        <x:v>0</x:v>
      </x:c>
      <x:c r="K1277" s="19" t="str">
        <x:v>Exp_4/EXP043/results/seed280737676_Fixed_rank_25.json</x:v>
      </x:c>
    </x:row>
    <x:row r="1278" ht="15" hidden="0" customHeight="1">
      <x:c r="A1278" s="3" t="str">
        <x:v>EXP043</x:v>
      </x:c>
      <x:c r="B1278" s="3" t="str">
        <x:v>Exp. 4</x:v>
      </x:c>
      <x:c r="C1278" s="18" t="n">
        <x:v>280737676</x:v>
      </x:c>
      <x:c r="D1278" s="3" t="str">
        <x:v>Relative cutoff 1e-6</x:v>
      </x:c>
      <x:c r="E1278" s="18" t="n">
        <x:v>200</x:v>
      </x:c>
      <x:c r="F1278" s="21" t="n">
        <x:v>184.25013014019248</x:v>
      </x:c>
      <x:c r="G1278" s="21" t="n">
        <x:f>F1274</x:f>
        <x:v>184.25013014019248</x:v>
      </x:c>
      <x:c r="H1278" s="21" t="n">
        <x:f>F1279</x:f>
        <x:v>184.25013014019248</x:v>
      </x:c>
      <x:c r="I1278" s="27" t="n">
        <x:f>IF(AND(ISNUMBER(G1278),ISNUMBER(H1278),H1278&gt;0),G1278/H1278-1,"")</x:f>
        <x:v>0</x:v>
      </x:c>
      <x:c r="J1278" s="27" t="n">
        <x:f>IF(AND(ISNUMBER(G1278),F1278&gt;0),G1278/F1278-1,"")</x:f>
        <x:v>0</x:v>
      </x:c>
      <x:c r="K1278" s="19" t="str">
        <x:v>Exp_4/EXP043/results/seed280737676_Relative_cutoff_1e-6.json</x:v>
      </x:c>
    </x:row>
    <x:row r="1279" ht="15" hidden="0" customHeight="1">
      <x:c r="A1279" s="3" t="str">
        <x:v>EXP043</x:v>
      </x:c>
      <x:c r="B1279" s="3" t="str">
        <x:v>Exp. 4</x:v>
      </x:c>
      <x:c r="C1279" s="18" t="n">
        <x:v>280737676</x:v>
      </x:c>
      <x:c r="D1279" s="3" t="str">
        <x:v>Full</x:v>
      </x:c>
      <x:c r="E1279" s="18" t="n">
        <x:v>200</x:v>
      </x:c>
      <x:c r="F1279" s="21" t="n">
        <x:v>184.25013014019248</x:v>
      </x:c>
      <x:c r="G1279" s="21" t="n">
        <x:f>F1274</x:f>
        <x:v>184.25013014019248</x:v>
      </x:c>
      <x:c r="H1279" s="21" t="n">
        <x:f>F1279</x:f>
        <x:v>184.25013014019248</x:v>
      </x:c>
      <x:c r="I1279" s="27" t="n">
        <x:f>IF(AND(ISNUMBER(G1279),ISNUMBER(H1279),H1279&gt;0),G1279/H1279-1,"")</x:f>
        <x:v>0</x:v>
      </x:c>
      <x:c r="J1279" s="27" t="n">
        <x:f>IF(AND(ISNUMBER(G1279),F1279&gt;0),G1279/F1279-1,"")</x:f>
        <x:v>0</x:v>
      </x:c>
      <x:c r="K1279" s="19" t="str">
        <x:v>Exp_4/EXP043/results/seed280737676_Full.json</x:v>
      </x:c>
    </x:row>
    <x:row r="1280" ht="15" hidden="0" customHeight="1">
      <x:c r="A1280" s="3" t="str">
        <x:v>EXP043</x:v>
      </x:c>
      <x:c r="B1280" s="3" t="str">
        <x:v>Exp. 4</x:v>
      </x:c>
      <x:c r="C1280" s="18" t="n">
        <x:v>280737676</x:v>
      </x:c>
      <x:c r="D1280" s="3" t="str">
        <x:v>Relative cutoff 1e-2</x:v>
      </x:c>
      <x:c r="E1280" s="18" t="n">
        <x:v>200</x:v>
      </x:c>
      <x:c r="F1280" s="21" t="n">
        <x:v>179.08651227227963</x:v>
      </x:c>
      <x:c r="G1280" s="21" t="n">
        <x:f>F1274</x:f>
        <x:v>184.25013014019248</x:v>
      </x:c>
      <x:c r="H1280" s="21" t="n">
        <x:f>F1279</x:f>
        <x:v>184.25013014019248</x:v>
      </x:c>
      <x:c r="I1280" s="27" t="n">
        <x:f>IF(AND(ISNUMBER(G1280),ISNUMBER(H1280),H1280&gt;0),G1280/H1280-1,"")</x:f>
        <x:v>0</x:v>
      </x:c>
      <x:c r="J1280" s="27" t="n">
        <x:f>IF(AND(ISNUMBER(G1280),F1280&gt;0),G1280/F1280-1,"")</x:f>
        <x:v>0.028833091908463615</x:v>
      </x:c>
      <x:c r="K1280" s="19" t="str">
        <x:v>Exp_4/EXP043/results/seed280737676_Relative_cutoff_1e-2.json</x:v>
      </x:c>
    </x:row>
    <x:row r="1281" ht="15" hidden="0" customHeight="1">
      <x:c r="A1281" s="3" t="str">
        <x:v>EXP043</x:v>
      </x:c>
      <x:c r="B1281" s="3" t="str">
        <x:v>Exp. 4</x:v>
      </x:c>
      <x:c r="C1281" s="18" t="n">
        <x:v>280737676</x:v>
      </x:c>
      <x:c r="D1281" s="3" t="str">
        <x:v>Relative cutoff 1e-4</x:v>
      </x:c>
      <x:c r="E1281" s="18" t="n">
        <x:v>200</x:v>
      </x:c>
      <x:c r="F1281" s="21" t="n">
        <x:v>184.25013014019248</x:v>
      </x:c>
      <x:c r="G1281" s="21" t="n">
        <x:f>F1274</x:f>
        <x:v>184.25013014019248</x:v>
      </x:c>
      <x:c r="H1281" s="21" t="n">
        <x:f>F1279</x:f>
        <x:v>184.25013014019248</x:v>
      </x:c>
      <x:c r="I1281" s="27" t="n">
        <x:f>IF(AND(ISNUMBER(G1281),ISNUMBER(H1281),H1281&gt;0),G1281/H1281-1,"")</x:f>
        <x:v>0</x:v>
      </x:c>
      <x:c r="J1281" s="27" t="n">
        <x:f>IF(AND(ISNUMBER(G1281),F1281&gt;0),G1281/F1281-1,"")</x:f>
        <x:v>0</x:v>
      </x:c>
      <x:c r="K1281" s="19" t="str">
        <x:v>Exp_4/EXP043/results/seed280737676_Relative_cutoff_1e-4.json</x:v>
      </x:c>
    </x:row>
    <x:row r="1282" ht="15" hidden="0" customHeight="1">
      <x:c r="A1282" s="3" t="str">
        <x:v>EXP043</x:v>
      </x:c>
      <x:c r="B1282" s="3" t="str">
        <x:v>Exp. 4</x:v>
      </x:c>
      <x:c r="C1282" s="18" t="n">
        <x:v>304444453</x:v>
      </x:c>
      <x:c r="D1282" s="3" t="str">
        <x:v>BBP</x:v>
      </x:c>
      <x:c r="E1282" s="18" t="n">
        <x:v>200</x:v>
      </x:c>
      <x:c r="F1282" s="21" t="n">
        <x:v>155.10764342405596</x:v>
      </x:c>
      <x:c r="G1282" s="21" t="n">
        <x:f>F1282</x:f>
        <x:v>155.10764342405596</x:v>
      </x:c>
      <x:c r="H1282" s="21" t="n">
        <x:f>F1287</x:f>
        <x:v>152.01989493426422</x:v>
      </x:c>
      <x:c r="I1282" s="27" t="n">
        <x:f>IF(AND(ISNUMBER(G1282),ISNUMBER(H1282),H1282&gt;0),G1282/H1282-1,"")</x:f>
        <x:v>0.02031147627833141</x:v>
      </x:c>
      <x:c r="J1282" s="27" t="n">
        <x:f>IF(AND(ISNUMBER(G1282),F1282&gt;0),G1282/F1282-1,"")</x:f>
        <x:v>0</x:v>
      </x:c>
      <x:c r="K1282" s="19" t="str">
        <x:v>Exp_4/EXP043/results/seed304444453_BBP.json</x:v>
      </x:c>
    </x:row>
    <x:row r="1283" ht="15" hidden="0" customHeight="1">
      <x:c r="A1283" s="3" t="str">
        <x:v>EXP043</x:v>
      </x:c>
      <x:c r="B1283" s="3" t="str">
        <x:v>Exp. 4</x:v>
      </x:c>
      <x:c r="C1283" s="18" t="n">
        <x:v>304444453</x:v>
      </x:c>
      <x:c r="D1283" s="3" t="str">
        <x:v>Relative cutoff 1e-5</x:v>
      </x:c>
      <x:c r="E1283" s="18" t="n">
        <x:v>200</x:v>
      </x:c>
      <x:c r="F1283" s="21" t="n">
        <x:v>155.10764342405596</x:v>
      </x:c>
      <x:c r="G1283" s="21" t="n">
        <x:f>F1282</x:f>
        <x:v>155.10764342405596</x:v>
      </x:c>
      <x:c r="H1283" s="21" t="n">
        <x:f>F1287</x:f>
        <x:v>152.01989493426422</x:v>
      </x:c>
      <x:c r="I1283" s="27" t="n">
        <x:f>IF(AND(ISNUMBER(G1283),ISNUMBER(H1283),H1283&gt;0),G1283/H1283-1,"")</x:f>
        <x:v>0.02031147627833141</x:v>
      </x:c>
      <x:c r="J1283" s="27" t="n">
        <x:f>IF(AND(ISNUMBER(G1283),F1283&gt;0),G1283/F1283-1,"")</x:f>
        <x:v>0</x:v>
      </x:c>
      <x:c r="K1283" s="19" t="str">
        <x:v>Exp_4/EXP043/results/seed304444453_Relative_cutoff_1e-5.json</x:v>
      </x:c>
    </x:row>
    <x:row r="1284" ht="15" hidden="0" customHeight="1">
      <x:c r="A1284" s="3" t="str">
        <x:v>EXP043</x:v>
      </x:c>
      <x:c r="B1284" s="3" t="str">
        <x:v>Exp. 4</x:v>
      </x:c>
      <x:c r="C1284" s="18" t="n">
        <x:v>304444453</x:v>
      </x:c>
      <x:c r="D1284" s="3" t="str">
        <x:v>Fixed rank 10</x:v>
      </x:c>
      <x:c r="E1284" s="18" t="n">
        <x:v>200</x:v>
      </x:c>
      <x:c r="F1284" s="21" t="n">
        <x:v>156.75071814923712</x:v>
      </x:c>
      <x:c r="G1284" s="21" t="n">
        <x:f>F1282</x:f>
        <x:v>155.10764342405596</x:v>
      </x:c>
      <x:c r="H1284" s="21" t="n">
        <x:f>F1287</x:f>
        <x:v>152.01989493426422</x:v>
      </x:c>
      <x:c r="I1284" s="27" t="n">
        <x:f>IF(AND(ISNUMBER(G1284),ISNUMBER(H1284),H1284&gt;0),G1284/H1284-1,"")</x:f>
        <x:v>0.02031147627833141</x:v>
      </x:c>
      <x:c r="J1284" s="27" t="n">
        <x:f>IF(AND(ISNUMBER(G1284),F1284&gt;0),G1284/F1284-1,"")</x:f>
        <x:v>-0.010482087384230288</x:v>
      </x:c>
      <x:c r="K1284" s="19" t="str">
        <x:v>Exp_4/EXP043/results/seed304444453_Fixed_rank_10.json</x:v>
      </x:c>
    </x:row>
    <x:row r="1285" ht="15" hidden="0" customHeight="1">
      <x:c r="A1285" s="3" t="str">
        <x:v>EXP043</x:v>
      </x:c>
      <x:c r="B1285" s="3" t="str">
        <x:v>Exp. 4</x:v>
      </x:c>
      <x:c r="C1285" s="18" t="n">
        <x:v>304444453</x:v>
      </x:c>
      <x:c r="D1285" s="3" t="str">
        <x:v>Fixed rank 25</x:v>
      </x:c>
      <x:c r="E1285" s="18" t="n">
        <x:v>200</x:v>
      </x:c>
      <x:c r="F1285" s="21" t="n">
        <x:v>155.10764342405596</x:v>
      </x:c>
      <x:c r="G1285" s="21" t="n">
        <x:f>F1282</x:f>
        <x:v>155.10764342405596</x:v>
      </x:c>
      <x:c r="H1285" s="21" t="n">
        <x:f>F1287</x:f>
        <x:v>152.01989493426422</x:v>
      </x:c>
      <x:c r="I1285" s="27" t="n">
        <x:f>IF(AND(ISNUMBER(G1285),ISNUMBER(H1285),H1285&gt;0),G1285/H1285-1,"")</x:f>
        <x:v>0.02031147627833141</x:v>
      </x:c>
      <x:c r="J1285" s="27" t="n">
        <x:f>IF(AND(ISNUMBER(G1285),F1285&gt;0),G1285/F1285-1,"")</x:f>
        <x:v>0</x:v>
      </x:c>
      <x:c r="K1285" s="19" t="str">
        <x:v>Exp_4/EXP043/results/seed304444453_Fixed_rank_25.json</x:v>
      </x:c>
    </x:row>
    <x:row r="1286" ht="15" hidden="0" customHeight="1">
      <x:c r="A1286" s="3" t="str">
        <x:v>EXP043</x:v>
      </x:c>
      <x:c r="B1286" s="3" t="str">
        <x:v>Exp. 4</x:v>
      </x:c>
      <x:c r="C1286" s="18" t="n">
        <x:v>304444453</x:v>
      </x:c>
      <x:c r="D1286" s="3" t="str">
        <x:v>Relative cutoff 1e-6</x:v>
      </x:c>
      <x:c r="E1286" s="18" t="n">
        <x:v>200</x:v>
      </x:c>
      <x:c r="F1286" s="21" t="n">
        <x:v>155.10764342405596</x:v>
      </x:c>
      <x:c r="G1286" s="21" t="n">
        <x:f>F1282</x:f>
        <x:v>155.10764342405596</x:v>
      </x:c>
      <x:c r="H1286" s="21" t="n">
        <x:f>F1287</x:f>
        <x:v>152.01989493426422</x:v>
      </x:c>
      <x:c r="I1286" s="27" t="n">
        <x:f>IF(AND(ISNUMBER(G1286),ISNUMBER(H1286),H1286&gt;0),G1286/H1286-1,"")</x:f>
        <x:v>0.02031147627833141</x:v>
      </x:c>
      <x:c r="J1286" s="27" t="n">
        <x:f>IF(AND(ISNUMBER(G1286),F1286&gt;0),G1286/F1286-1,"")</x:f>
        <x:v>0</x:v>
      </x:c>
      <x:c r="K1286" s="19" t="str">
        <x:v>Exp_4/EXP043/results/seed304444453_Relative_cutoff_1e-6.json</x:v>
      </x:c>
    </x:row>
    <x:row r="1287" ht="15" hidden="0" customHeight="1">
      <x:c r="A1287" s="3" t="str">
        <x:v>EXP043</x:v>
      </x:c>
      <x:c r="B1287" s="3" t="str">
        <x:v>Exp. 4</x:v>
      </x:c>
      <x:c r="C1287" s="18" t="n">
        <x:v>304444453</x:v>
      </x:c>
      <x:c r="D1287" s="3" t="str">
        <x:v>Full</x:v>
      </x:c>
      <x:c r="E1287" s="18" t="n">
        <x:v>200</x:v>
      </x:c>
      <x:c r="F1287" s="21" t="n">
        <x:v>152.01989493426422</x:v>
      </x:c>
      <x:c r="G1287" s="21" t="n">
        <x:f>F1282</x:f>
        <x:v>155.10764342405596</x:v>
      </x:c>
      <x:c r="H1287" s="21" t="n">
        <x:f>F1287</x:f>
        <x:v>152.01989493426422</x:v>
      </x:c>
      <x:c r="I1287" s="27" t="n">
        <x:f>IF(AND(ISNUMBER(G1287),ISNUMBER(H1287),H1287&gt;0),G1287/H1287-1,"")</x:f>
        <x:v>0.02031147627833141</x:v>
      </x:c>
      <x:c r="J1287" s="27" t="n">
        <x:f>IF(AND(ISNUMBER(G1287),F1287&gt;0),G1287/F1287-1,"")</x:f>
        <x:v>0.02031147627833141</x:v>
      </x:c>
      <x:c r="K1287" s="19" t="str">
        <x:v>Exp_4/EXP043/results/seed304444453_Full.json</x:v>
      </x:c>
    </x:row>
    <x:row r="1288" ht="15" hidden="0" customHeight="1">
      <x:c r="A1288" s="3" t="str">
        <x:v>EXP043</x:v>
      </x:c>
      <x:c r="B1288" s="3" t="str">
        <x:v>Exp. 4</x:v>
      </x:c>
      <x:c r="C1288" s="18" t="n">
        <x:v>304444453</x:v>
      </x:c>
      <x:c r="D1288" s="3" t="str">
        <x:v>Relative cutoff 1e-2</x:v>
      </x:c>
      <x:c r="E1288" s="18" t="n">
        <x:v>200</x:v>
      </x:c>
      <x:c r="F1288" s="21" t="n">
        <x:v>141.4650019362516</x:v>
      </x:c>
      <x:c r="G1288" s="21" t="n">
        <x:f>F1282</x:f>
        <x:v>155.10764342405596</x:v>
      </x:c>
      <x:c r="H1288" s="21" t="n">
        <x:f>F1287</x:f>
        <x:v>152.01989493426422</x:v>
      </x:c>
      <x:c r="I1288" s="27" t="n">
        <x:f>IF(AND(ISNUMBER(G1288),ISNUMBER(H1288),H1288&gt;0),G1288/H1288-1,"")</x:f>
        <x:v>0.02031147627833141</x:v>
      </x:c>
      <x:c r="J1288" s="27" t="n">
        <x:f>IF(AND(ISNUMBER(G1288),F1288&gt;0),G1288/F1288-1,"")</x:f>
        <x:v>0.09643828014756717</x:v>
      </x:c>
      <x:c r="K1288" s="19" t="str">
        <x:v>Exp_4/EXP043/results/seed304444453_Relative_cutoff_1e-2.json</x:v>
      </x:c>
    </x:row>
    <x:row r="1289" ht="15" hidden="0" customHeight="1">
      <x:c r="A1289" s="3" t="str">
        <x:v>EXP043</x:v>
      </x:c>
      <x:c r="B1289" s="3" t="str">
        <x:v>Exp. 4</x:v>
      </x:c>
      <x:c r="C1289" s="18" t="n">
        <x:v>304444453</x:v>
      </x:c>
      <x:c r="D1289" s="3" t="str">
        <x:v>Relative cutoff 1e-4</x:v>
      </x:c>
      <x:c r="E1289" s="18" t="n">
        <x:v>200</x:v>
      </x:c>
      <x:c r="F1289" s="21" t="n">
        <x:v>153.1790793419719</x:v>
      </x:c>
      <x:c r="G1289" s="21" t="n">
        <x:f>F1282</x:f>
        <x:v>155.10764342405596</x:v>
      </x:c>
      <x:c r="H1289" s="21" t="n">
        <x:f>F1287</x:f>
        <x:v>152.01989493426422</x:v>
      </x:c>
      <x:c r="I1289" s="27" t="n">
        <x:f>IF(AND(ISNUMBER(G1289),ISNUMBER(H1289),H1289&gt;0),G1289/H1289-1,"")</x:f>
        <x:v>0.02031147627833141</x:v>
      </x:c>
      <x:c r="J1289" s="27" t="n">
        <x:f>IF(AND(ISNUMBER(G1289),F1289&gt;0),G1289/F1289-1,"")</x:f>
        <x:v>0.012590257692948637</x:v>
      </x:c>
      <x:c r="K1289" s="19" t="str">
        <x:v>Exp_4/EXP043/results/seed304444453_Relative_cutoff_1e-4.json</x:v>
      </x:c>
    </x:row>
    <x:row r="1290" ht="15" hidden="0" customHeight="1">
      <x:c r="A1290" s="3" t="str">
        <x:v>EXP043</x:v>
      </x:c>
      <x:c r="B1290" s="3" t="str">
        <x:v>Exp. 4</x:v>
      </x:c>
      <x:c r="C1290" s="18" t="n">
        <x:v>319922324</x:v>
      </x:c>
      <x:c r="D1290" s="3" t="str">
        <x:v>BBP</x:v>
      </x:c>
      <x:c r="E1290" s="18" t="n">
        <x:v>200</x:v>
      </x:c>
      <x:c r="F1290" s="21" t="n">
        <x:v>174.54506816339102</x:v>
      </x:c>
      <x:c r="G1290" s="21" t="n">
        <x:f>F1290</x:f>
        <x:v>174.54506816339102</x:v>
      </x:c>
      <x:c r="H1290" s="21" t="n">
        <x:f>F1295</x:f>
        <x:v>177.21274855830882</x:v>
      </x:c>
      <x:c r="I1290" s="27" t="n">
        <x:f>IF(AND(ISNUMBER(G1290),ISNUMBER(H1290),H1290&gt;0),G1290/H1290-1,"")</x:f>
        <x:v>-0.015053546748867497</x:v>
      </x:c>
      <x:c r="J1290" s="27" t="n">
        <x:f>IF(AND(ISNUMBER(G1290),F1290&gt;0),G1290/F1290-1,"")</x:f>
        <x:v>0</x:v>
      </x:c>
      <x:c r="K1290" s="19" t="str">
        <x:v>Exp_4/EXP043/results/seed319922324_BBP.json</x:v>
      </x:c>
    </x:row>
    <x:row r="1291" ht="15" hidden="0" customHeight="1">
      <x:c r="A1291" s="3" t="str">
        <x:v>EXP043</x:v>
      </x:c>
      <x:c r="B1291" s="3" t="str">
        <x:v>Exp. 4</x:v>
      </x:c>
      <x:c r="C1291" s="18" t="n">
        <x:v>319922324</x:v>
      </x:c>
      <x:c r="D1291" s="3" t="str">
        <x:v>Relative cutoff 1e-5</x:v>
      </x:c>
      <x:c r="E1291" s="18" t="n">
        <x:v>200</x:v>
      </x:c>
      <x:c r="F1291" s="21" t="n">
        <x:v>177.21274855830882</x:v>
      </x:c>
      <x:c r="G1291" s="21" t="n">
        <x:f>F1290</x:f>
        <x:v>174.54506816339102</x:v>
      </x:c>
      <x:c r="H1291" s="21" t="n">
        <x:f>F1295</x:f>
        <x:v>177.21274855830882</x:v>
      </x:c>
      <x:c r="I1291" s="27" t="n">
        <x:f>IF(AND(ISNUMBER(G1291),ISNUMBER(H1291),H1291&gt;0),G1291/H1291-1,"")</x:f>
        <x:v>-0.015053546748867497</x:v>
      </x:c>
      <x:c r="J1291" s="27" t="n">
        <x:f>IF(AND(ISNUMBER(G1291),F1291&gt;0),G1291/F1291-1,"")</x:f>
        <x:v>-0.015053546748867497</x:v>
      </x:c>
      <x:c r="K1291" s="19" t="str">
        <x:v>Exp_4/EXP043/results/seed319922324_Relative_cutoff_1e-5.json</x:v>
      </x:c>
    </x:row>
    <x:row r="1292" ht="15" hidden="0" customHeight="1">
      <x:c r="A1292" s="3" t="str">
        <x:v>EXP043</x:v>
      </x:c>
      <x:c r="B1292" s="3" t="str">
        <x:v>Exp. 4</x:v>
      </x:c>
      <x:c r="C1292" s="18" t="n">
        <x:v>319922324</x:v>
      </x:c>
      <x:c r="D1292" s="3" t="str">
        <x:v>Fixed rank 10</x:v>
      </x:c>
      <x:c r="E1292" s="18" t="n">
        <x:v>200</x:v>
      </x:c>
      <x:c r="F1292" s="21" t="n">
        <x:v>167.84561021317708</x:v>
      </x:c>
      <x:c r="G1292" s="21" t="n">
        <x:f>F1290</x:f>
        <x:v>174.54506816339102</x:v>
      </x:c>
      <x:c r="H1292" s="21" t="n">
        <x:f>F1295</x:f>
        <x:v>177.21274855830882</x:v>
      </x:c>
      <x:c r="I1292" s="27" t="n">
        <x:f>IF(AND(ISNUMBER(G1292),ISNUMBER(H1292),H1292&gt;0),G1292/H1292-1,"")</x:f>
        <x:v>-0.015053546748867497</x:v>
      </x:c>
      <x:c r="J1292" s="27" t="n">
        <x:f>IF(AND(ISNUMBER(G1292),F1292&gt;0),G1292/F1292-1,"")</x:f>
        <x:v>0.03991440670807589</x:v>
      </x:c>
      <x:c r="K1292" s="19" t="str">
        <x:v>Exp_4/EXP043/results/seed319922324_Fixed_rank_10.json</x:v>
      </x:c>
    </x:row>
    <x:row r="1293" ht="15" hidden="0" customHeight="1">
      <x:c r="A1293" s="3" t="str">
        <x:v>EXP043</x:v>
      </x:c>
      <x:c r="B1293" s="3" t="str">
        <x:v>Exp. 4</x:v>
      </x:c>
      <x:c r="C1293" s="18" t="n">
        <x:v>319922324</x:v>
      </x:c>
      <x:c r="D1293" s="3" t="str">
        <x:v>Fixed rank 25</x:v>
      </x:c>
      <x:c r="E1293" s="18" t="n">
        <x:v>200</x:v>
      </x:c>
      <x:c r="F1293" s="21" t="n">
        <x:v>174.54506816339102</x:v>
      </x:c>
      <x:c r="G1293" s="21" t="n">
        <x:f>F1290</x:f>
        <x:v>174.54506816339102</x:v>
      </x:c>
      <x:c r="H1293" s="21" t="n">
        <x:f>F1295</x:f>
        <x:v>177.21274855830882</x:v>
      </x:c>
      <x:c r="I1293" s="27" t="n">
        <x:f>IF(AND(ISNUMBER(G1293),ISNUMBER(H1293),H1293&gt;0),G1293/H1293-1,"")</x:f>
        <x:v>-0.015053546748867497</x:v>
      </x:c>
      <x:c r="J1293" s="27" t="n">
        <x:f>IF(AND(ISNUMBER(G1293),F1293&gt;0),G1293/F1293-1,"")</x:f>
        <x:v>0</x:v>
      </x:c>
      <x:c r="K1293" s="19" t="str">
        <x:v>Exp_4/EXP043/results/seed319922324_Fixed_rank_25.json</x:v>
      </x:c>
    </x:row>
    <x:row r="1294" ht="15" hidden="0" customHeight="1">
      <x:c r="A1294" s="3" t="str">
        <x:v>EXP043</x:v>
      </x:c>
      <x:c r="B1294" s="3" t="str">
        <x:v>Exp. 4</x:v>
      </x:c>
      <x:c r="C1294" s="18" t="n">
        <x:v>319922324</x:v>
      </x:c>
      <x:c r="D1294" s="3" t="str">
        <x:v>Relative cutoff 1e-6</x:v>
      </x:c>
      <x:c r="E1294" s="18" t="n">
        <x:v>200</x:v>
      </x:c>
      <x:c r="F1294" s="21" t="n">
        <x:v>177.21274855830882</x:v>
      </x:c>
      <x:c r="G1294" s="21" t="n">
        <x:f>F1290</x:f>
        <x:v>174.54506816339102</x:v>
      </x:c>
      <x:c r="H1294" s="21" t="n">
        <x:f>F1295</x:f>
        <x:v>177.21274855830882</x:v>
      </x:c>
      <x:c r="I1294" s="27" t="n">
        <x:f>IF(AND(ISNUMBER(G1294),ISNUMBER(H1294),H1294&gt;0),G1294/H1294-1,"")</x:f>
        <x:v>-0.015053546748867497</x:v>
      </x:c>
      <x:c r="J1294" s="27" t="n">
        <x:f>IF(AND(ISNUMBER(G1294),F1294&gt;0),G1294/F1294-1,"")</x:f>
        <x:v>-0.015053546748867497</x:v>
      </x:c>
      <x:c r="K1294" s="19" t="str">
        <x:v>Exp_4/EXP043/results/seed319922324_Relative_cutoff_1e-6.json</x:v>
      </x:c>
    </x:row>
    <x:row r="1295" ht="15" hidden="0" customHeight="1">
      <x:c r="A1295" s="3" t="str">
        <x:v>EXP043</x:v>
      </x:c>
      <x:c r="B1295" s="3" t="str">
        <x:v>Exp. 4</x:v>
      </x:c>
      <x:c r="C1295" s="18" t="n">
        <x:v>319922324</x:v>
      </x:c>
      <x:c r="D1295" s="3" t="str">
        <x:v>Full</x:v>
      </x:c>
      <x:c r="E1295" s="18" t="n">
        <x:v>200</x:v>
      </x:c>
      <x:c r="F1295" s="21" t="n">
        <x:v>177.21274855830882</x:v>
      </x:c>
      <x:c r="G1295" s="21" t="n">
        <x:f>F1290</x:f>
        <x:v>174.54506816339102</x:v>
      </x:c>
      <x:c r="H1295" s="21" t="n">
        <x:f>F1295</x:f>
        <x:v>177.21274855830882</x:v>
      </x:c>
      <x:c r="I1295" s="27" t="n">
        <x:f>IF(AND(ISNUMBER(G1295),ISNUMBER(H1295),H1295&gt;0),G1295/H1295-1,"")</x:f>
        <x:v>-0.015053546748867497</x:v>
      </x:c>
      <x:c r="J1295" s="27" t="n">
        <x:f>IF(AND(ISNUMBER(G1295),F1295&gt;0),G1295/F1295-1,"")</x:f>
        <x:v>-0.015053546748867497</x:v>
      </x:c>
      <x:c r="K1295" s="19" t="str">
        <x:v>Exp_4/EXP043/results/seed319922324_Full.json</x:v>
      </x:c>
    </x:row>
    <x:row r="1296" ht="15" hidden="0" customHeight="1">
      <x:c r="A1296" s="3" t="str">
        <x:v>EXP043</x:v>
      </x:c>
      <x:c r="B1296" s="3" t="str">
        <x:v>Exp. 4</x:v>
      </x:c>
      <x:c r="C1296" s="18" t="n">
        <x:v>319922324</x:v>
      </x:c>
      <x:c r="D1296" s="3" t="str">
        <x:v>Relative cutoff 1e-2</x:v>
      </x:c>
      <x:c r="E1296" s="18" t="n">
        <x:v>200</x:v>
      </x:c>
      <x:c r="F1296" s="21" t="n">
        <x:v>177.21874349552087</x:v>
      </x:c>
      <x:c r="G1296" s="21" t="n">
        <x:f>F1290</x:f>
        <x:v>174.54506816339102</x:v>
      </x:c>
      <x:c r="H1296" s="21" t="n">
        <x:f>F1295</x:f>
        <x:v>177.21274855830882</x:v>
      </x:c>
      <x:c r="I1296" s="27" t="n">
        <x:f>IF(AND(ISNUMBER(G1296),ISNUMBER(H1296),H1296&gt;0),G1296/H1296-1,"")</x:f>
        <x:v>-0.015053546748867497</x:v>
      </x:c>
      <x:c r="J1296" s="27" t="n">
        <x:f>IF(AND(ISNUMBER(G1296),F1296&gt;0),G1296/F1296-1,"")</x:f>
        <x:v>-0.01508686541498594</x:v>
      </x:c>
      <x:c r="K1296" s="19" t="str">
        <x:v>Exp_4/EXP043/results/seed319922324_Relative_cutoff_1e-2.json</x:v>
      </x:c>
    </x:row>
    <x:row r="1297" ht="15" hidden="0" customHeight="1">
      <x:c r="A1297" s="3" t="str">
        <x:v>EXP043</x:v>
      </x:c>
      <x:c r="B1297" s="3" t="str">
        <x:v>Exp. 4</x:v>
      </x:c>
      <x:c r="C1297" s="18" t="n">
        <x:v>319922324</x:v>
      </x:c>
      <x:c r="D1297" s="3" t="str">
        <x:v>Relative cutoff 1e-4</x:v>
      </x:c>
      <x:c r="E1297" s="18" t="n">
        <x:v>200</x:v>
      </x:c>
      <x:c r="F1297" s="21" t="n">
        <x:v>174.54506816339102</x:v>
      </x:c>
      <x:c r="G1297" s="21" t="n">
        <x:f>F1290</x:f>
        <x:v>174.54506816339102</x:v>
      </x:c>
      <x:c r="H1297" s="21" t="n">
        <x:f>F1295</x:f>
        <x:v>177.21274855830882</x:v>
      </x:c>
      <x:c r="I1297" s="27" t="n">
        <x:f>IF(AND(ISNUMBER(G1297),ISNUMBER(H1297),H1297&gt;0),G1297/H1297-1,"")</x:f>
        <x:v>-0.015053546748867497</x:v>
      </x:c>
      <x:c r="J1297" s="27" t="n">
        <x:f>IF(AND(ISNUMBER(G1297),F1297&gt;0),G1297/F1297-1,"")</x:f>
        <x:v>0</x:v>
      </x:c>
      <x:c r="K1297" s="19" t="str">
        <x:v>Exp_4/EXP043/results/seed319922324_Relative_cutoff_1e-4.json</x:v>
      </x:c>
    </x:row>
    <x:row r="1298" ht="15" hidden="0" customHeight="1">
      <x:c r="A1298" s="3" t="str">
        <x:v>EXP043</x:v>
      </x:c>
      <x:c r="B1298" s="3" t="str">
        <x:v>Exp. 4</x:v>
      </x:c>
      <x:c r="C1298" s="18" t="n">
        <x:v>560889375</x:v>
      </x:c>
      <x:c r="D1298" s="3" t="str">
        <x:v>BBP</x:v>
      </x:c>
      <x:c r="E1298" s="18" t="n">
        <x:v>200</x:v>
      </x:c>
      <x:c r="F1298" s="21" t="n">
        <x:v>180.2244027505429</x:v>
      </x:c>
      <x:c r="G1298" s="21" t="n">
        <x:f>F1298</x:f>
        <x:v>180.2244027505429</x:v>
      </x:c>
      <x:c r="H1298" s="21" t="n">
        <x:f>F1303</x:f>
        <x:v>180.2244027505429</x:v>
      </x:c>
      <x:c r="I1298" s="27" t="n">
        <x:f>IF(AND(ISNUMBER(G1298),ISNUMBER(H1298),H1298&gt;0),G1298/H1298-1,"")</x:f>
        <x:v>0</x:v>
      </x:c>
      <x:c r="J1298" s="27" t="n">
        <x:f>IF(AND(ISNUMBER(G1298),F1298&gt;0),G1298/F1298-1,"")</x:f>
        <x:v>0</x:v>
      </x:c>
      <x:c r="K1298" s="19" t="str">
        <x:v>Exp_4/EXP043/results/seed560889375_BBP.json</x:v>
      </x:c>
    </x:row>
    <x:row r="1299" ht="15" hidden="0" customHeight="1">
      <x:c r="A1299" s="3" t="str">
        <x:v>EXP043</x:v>
      </x:c>
      <x:c r="B1299" s="3" t="str">
        <x:v>Exp. 4</x:v>
      </x:c>
      <x:c r="C1299" s="18" t="n">
        <x:v>560889375</x:v>
      </x:c>
      <x:c r="D1299" s="3" t="str">
        <x:v>Relative cutoff 1e-5</x:v>
      </x:c>
      <x:c r="E1299" s="18" t="n">
        <x:v>200</x:v>
      </x:c>
      <x:c r="F1299" s="21" t="n">
        <x:v>180.2244027505429</x:v>
      </x:c>
      <x:c r="G1299" s="21" t="n">
        <x:f>F1298</x:f>
        <x:v>180.2244027505429</x:v>
      </x:c>
      <x:c r="H1299" s="21" t="n">
        <x:f>F1303</x:f>
        <x:v>180.2244027505429</x:v>
      </x:c>
      <x:c r="I1299" s="27" t="n">
        <x:f>IF(AND(ISNUMBER(G1299),ISNUMBER(H1299),H1299&gt;0),G1299/H1299-1,"")</x:f>
        <x:v>0</x:v>
      </x:c>
      <x:c r="J1299" s="27" t="n">
        <x:f>IF(AND(ISNUMBER(G1299),F1299&gt;0),G1299/F1299-1,"")</x:f>
        <x:v>0</x:v>
      </x:c>
      <x:c r="K1299" s="19" t="str">
        <x:v>Exp_4/EXP043/results/seed560889375_Relative_cutoff_1e-5.json</x:v>
      </x:c>
    </x:row>
    <x:row r="1300" ht="15" hidden="0" customHeight="1">
      <x:c r="A1300" s="3" t="str">
        <x:v>EXP043</x:v>
      </x:c>
      <x:c r="B1300" s="3" t="str">
        <x:v>Exp. 4</x:v>
      </x:c>
      <x:c r="C1300" s="18" t="n">
        <x:v>560889375</x:v>
      </x:c>
      <x:c r="D1300" s="3" t="str">
        <x:v>Fixed rank 10</x:v>
      </x:c>
      <x:c r="E1300" s="18" t="n">
        <x:v>200</x:v>
      </x:c>
      <x:c r="F1300" s="21" t="n">
        <x:v>181.03232885019034</x:v>
      </x:c>
      <x:c r="G1300" s="21" t="n">
        <x:f>F1298</x:f>
        <x:v>180.2244027505429</x:v>
      </x:c>
      <x:c r="H1300" s="21" t="n">
        <x:f>F1303</x:f>
        <x:v>180.2244027505429</x:v>
      </x:c>
      <x:c r="I1300" s="27" t="n">
        <x:f>IF(AND(ISNUMBER(G1300),ISNUMBER(H1300),H1300&gt;0),G1300/H1300-1,"")</x:f>
        <x:v>0</x:v>
      </x:c>
      <x:c r="J1300" s="27" t="n">
        <x:f>IF(AND(ISNUMBER(G1300),F1300&gt;0),G1300/F1300-1,"")</x:f>
        <x:v>-0.004462882982166239</x:v>
      </x:c>
      <x:c r="K1300" s="19" t="str">
        <x:v>Exp_4/EXP043/results/seed560889375_Fixed_rank_10.json</x:v>
      </x:c>
    </x:row>
    <x:row r="1301" ht="15" hidden="0" customHeight="1">
      <x:c r="A1301" s="3" t="str">
        <x:v>EXP043</x:v>
      </x:c>
      <x:c r="B1301" s="3" t="str">
        <x:v>Exp. 4</x:v>
      </x:c>
      <x:c r="C1301" s="18" t="n">
        <x:v>560889375</x:v>
      </x:c>
      <x:c r="D1301" s="3" t="str">
        <x:v>Fixed rank 25</x:v>
      </x:c>
      <x:c r="E1301" s="18" t="n">
        <x:v>200</x:v>
      </x:c>
      <x:c r="F1301" s="21" t="n">
        <x:v>180.2244027505429</x:v>
      </x:c>
      <x:c r="G1301" s="21" t="n">
        <x:f>F1298</x:f>
        <x:v>180.2244027505429</x:v>
      </x:c>
      <x:c r="H1301" s="21" t="n">
        <x:f>F1303</x:f>
        <x:v>180.2244027505429</x:v>
      </x:c>
      <x:c r="I1301" s="27" t="n">
        <x:f>IF(AND(ISNUMBER(G1301),ISNUMBER(H1301),H1301&gt;0),G1301/H1301-1,"")</x:f>
        <x:v>0</x:v>
      </x:c>
      <x:c r="J1301" s="27" t="n">
        <x:f>IF(AND(ISNUMBER(G1301),F1301&gt;0),G1301/F1301-1,"")</x:f>
        <x:v>0</x:v>
      </x:c>
      <x:c r="K1301" s="19" t="str">
        <x:v>Exp_4/EXP043/results/seed560889375_Fixed_rank_25.json</x:v>
      </x:c>
    </x:row>
    <x:row r="1302" ht="15" hidden="0" customHeight="1">
      <x:c r="A1302" s="3" t="str">
        <x:v>EXP043</x:v>
      </x:c>
      <x:c r="B1302" s="3" t="str">
        <x:v>Exp. 4</x:v>
      </x:c>
      <x:c r="C1302" s="18" t="n">
        <x:v>560889375</x:v>
      </x:c>
      <x:c r="D1302" s="3" t="str">
        <x:v>Relative cutoff 1e-6</x:v>
      </x:c>
      <x:c r="E1302" s="18" t="n">
        <x:v>200</x:v>
      </x:c>
      <x:c r="F1302" s="21" t="n">
        <x:v>180.2244027505429</x:v>
      </x:c>
      <x:c r="G1302" s="21" t="n">
        <x:f>F1298</x:f>
        <x:v>180.2244027505429</x:v>
      </x:c>
      <x:c r="H1302" s="21" t="n">
        <x:f>F1303</x:f>
        <x:v>180.2244027505429</x:v>
      </x:c>
      <x:c r="I1302" s="27" t="n">
        <x:f>IF(AND(ISNUMBER(G1302),ISNUMBER(H1302),H1302&gt;0),G1302/H1302-1,"")</x:f>
        <x:v>0</x:v>
      </x:c>
      <x:c r="J1302" s="27" t="n">
        <x:f>IF(AND(ISNUMBER(G1302),F1302&gt;0),G1302/F1302-1,"")</x:f>
        <x:v>0</x:v>
      </x:c>
      <x:c r="K1302" s="19" t="str">
        <x:v>Exp_4/EXP043/results/seed560889375_Relative_cutoff_1e-6.json</x:v>
      </x:c>
    </x:row>
    <x:row r="1303" ht="15" hidden="0" customHeight="1">
      <x:c r="A1303" s="3" t="str">
        <x:v>EXP043</x:v>
      </x:c>
      <x:c r="B1303" s="3" t="str">
        <x:v>Exp. 4</x:v>
      </x:c>
      <x:c r="C1303" s="18" t="n">
        <x:v>560889375</x:v>
      </x:c>
      <x:c r="D1303" s="3" t="str">
        <x:v>Full</x:v>
      </x:c>
      <x:c r="E1303" s="18" t="n">
        <x:v>200</x:v>
      </x:c>
      <x:c r="F1303" s="21" t="n">
        <x:v>180.2244027505429</x:v>
      </x:c>
      <x:c r="G1303" s="21" t="n">
        <x:f>F1298</x:f>
        <x:v>180.2244027505429</x:v>
      </x:c>
      <x:c r="H1303" s="21" t="n">
        <x:f>F1303</x:f>
        <x:v>180.2244027505429</x:v>
      </x:c>
      <x:c r="I1303" s="27" t="n">
        <x:f>IF(AND(ISNUMBER(G1303),ISNUMBER(H1303),H1303&gt;0),G1303/H1303-1,"")</x:f>
        <x:v>0</x:v>
      </x:c>
      <x:c r="J1303" s="27" t="n">
        <x:f>IF(AND(ISNUMBER(G1303),F1303&gt;0),G1303/F1303-1,"")</x:f>
        <x:v>0</x:v>
      </x:c>
      <x:c r="K1303" s="19" t="str">
        <x:v>Exp_4/EXP043/results/seed560889375_Full.json</x:v>
      </x:c>
    </x:row>
    <x:row r="1304" ht="15" hidden="0" customHeight="1">
      <x:c r="A1304" s="3" t="str">
        <x:v>EXP043</x:v>
      </x:c>
      <x:c r="B1304" s="3" t="str">
        <x:v>Exp. 4</x:v>
      </x:c>
      <x:c r="C1304" s="18" t="n">
        <x:v>560889375</x:v>
      </x:c>
      <x:c r="D1304" s="3" t="str">
        <x:v>Relative cutoff 1e-2</x:v>
      </x:c>
      <x:c r="E1304" s="18" t="n">
        <x:v>200</x:v>
      </x:c>
      <x:c r="F1304" s="21" t="n">
        <x:v>179.05483101671356</x:v>
      </x:c>
      <x:c r="G1304" s="21" t="n">
        <x:f>F1298</x:f>
        <x:v>180.2244027505429</x:v>
      </x:c>
      <x:c r="H1304" s="21" t="n">
        <x:f>F1303</x:f>
        <x:v>180.2244027505429</x:v>
      </x:c>
      <x:c r="I1304" s="27" t="n">
        <x:f>IF(AND(ISNUMBER(G1304),ISNUMBER(H1304),H1304&gt;0),G1304/H1304-1,"")</x:f>
        <x:v>0</x:v>
      </x:c>
      <x:c r="J1304" s="27" t="n">
        <x:f>IF(AND(ISNUMBER(G1304),F1304&gt;0),G1304/F1304-1,"")</x:f>
        <x:v>0.006531919452763546</x:v>
      </x:c>
      <x:c r="K1304" s="19" t="str">
        <x:v>Exp_4/EXP043/results/seed560889375_Relative_cutoff_1e-2.json</x:v>
      </x:c>
    </x:row>
    <x:row r="1305" ht="15" hidden="0" customHeight="1">
      <x:c r="A1305" s="3" t="str">
        <x:v>EXP043</x:v>
      </x:c>
      <x:c r="B1305" s="3" t="str">
        <x:v>Exp. 4</x:v>
      </x:c>
      <x:c r="C1305" s="18" t="n">
        <x:v>560889375</x:v>
      </x:c>
      <x:c r="D1305" s="3" t="str">
        <x:v>Relative cutoff 1e-4</x:v>
      </x:c>
      <x:c r="E1305" s="18" t="n">
        <x:v>200</x:v>
      </x:c>
      <x:c r="F1305" s="21" t="n">
        <x:v>180.2244027505429</x:v>
      </x:c>
      <x:c r="G1305" s="21" t="n">
        <x:f>F1298</x:f>
        <x:v>180.2244027505429</x:v>
      </x:c>
      <x:c r="H1305" s="21" t="n">
        <x:f>F1303</x:f>
        <x:v>180.2244027505429</x:v>
      </x:c>
      <x:c r="I1305" s="27" t="n">
        <x:f>IF(AND(ISNUMBER(G1305),ISNUMBER(H1305),H1305&gt;0),G1305/H1305-1,"")</x:f>
        <x:v>0</x:v>
      </x:c>
      <x:c r="J1305" s="27" t="n">
        <x:f>IF(AND(ISNUMBER(G1305),F1305&gt;0),G1305/F1305-1,"")</x:f>
        <x:v>0</x:v>
      </x:c>
      <x:c r="K1305" s="19" t="str">
        <x:v>Exp_4/EXP043/results/seed560889375_Relative_cutoff_1e-4.json</x:v>
      </x:c>
    </x:row>
    <x:row r="1306" ht="15" hidden="0" customHeight="1">
      <x:c r="A1306" s="3" t="str">
        <x:v>EXP043</x:v>
      </x:c>
      <x:c r="B1306" s="3" t="str">
        <x:v>Exp. 4</x:v>
      </x:c>
      <x:c r="C1306" s="18" t="n">
        <x:v>666829030</x:v>
      </x:c>
      <x:c r="D1306" s="3" t="str">
        <x:v>BBP</x:v>
      </x:c>
      <x:c r="E1306" s="18" t="n">
        <x:v>200</x:v>
      </x:c>
      <x:c r="F1306" s="21" t="n">
        <x:v>158.70894946317145</x:v>
      </x:c>
      <x:c r="G1306" s="21" t="n">
        <x:f>F1306</x:f>
        <x:v>158.70894946317145</x:v>
      </x:c>
      <x:c r="H1306" s="21" t="n">
        <x:f>F1311</x:f>
        <x:v>158.70894946317145</x:v>
      </x:c>
      <x:c r="I1306" s="27" t="n">
        <x:f>IF(AND(ISNUMBER(G1306),ISNUMBER(H1306),H1306&gt;0),G1306/H1306-1,"")</x:f>
        <x:v>0</x:v>
      </x:c>
      <x:c r="J1306" s="27" t="n">
        <x:f>IF(AND(ISNUMBER(G1306),F1306&gt;0),G1306/F1306-1,"")</x:f>
        <x:v>0</x:v>
      </x:c>
      <x:c r="K1306" s="19" t="str">
        <x:v>Exp_4/EXP043/results/seed666829030_BBP.json</x:v>
      </x:c>
    </x:row>
    <x:row r="1307" ht="15" hidden="0" customHeight="1">
      <x:c r="A1307" s="3" t="str">
        <x:v>EXP043</x:v>
      </x:c>
      <x:c r="B1307" s="3" t="str">
        <x:v>Exp. 4</x:v>
      </x:c>
      <x:c r="C1307" s="18" t="n">
        <x:v>666829030</x:v>
      </x:c>
      <x:c r="D1307" s="3" t="str">
        <x:v>Relative cutoff 1e-5</x:v>
      </x:c>
      <x:c r="E1307" s="18" t="n">
        <x:v>200</x:v>
      </x:c>
      <x:c r="F1307" s="21" t="n">
        <x:v>158.70894946317145</x:v>
      </x:c>
      <x:c r="G1307" s="21" t="n">
        <x:f>F1306</x:f>
        <x:v>158.70894946317145</x:v>
      </x:c>
      <x:c r="H1307" s="21" t="n">
        <x:f>F1311</x:f>
        <x:v>158.70894946317145</x:v>
      </x:c>
      <x:c r="I1307" s="27" t="n">
        <x:f>IF(AND(ISNUMBER(G1307),ISNUMBER(H1307),H1307&gt;0),G1307/H1307-1,"")</x:f>
        <x:v>0</x:v>
      </x:c>
      <x:c r="J1307" s="27" t="n">
        <x:f>IF(AND(ISNUMBER(G1307),F1307&gt;0),G1307/F1307-1,"")</x:f>
        <x:v>0</x:v>
      </x:c>
      <x:c r="K1307" s="19" t="str">
        <x:v>Exp_4/EXP043/results/seed666829030_Relative_cutoff_1e-5.json</x:v>
      </x:c>
    </x:row>
    <x:row r="1308" ht="15" hidden="0" customHeight="1">
      <x:c r="A1308" s="3" t="str">
        <x:v>EXP043</x:v>
      </x:c>
      <x:c r="B1308" s="3" t="str">
        <x:v>Exp. 4</x:v>
      </x:c>
      <x:c r="C1308" s="18" t="n">
        <x:v>666829030</x:v>
      </x:c>
      <x:c r="D1308" s="3" t="str">
        <x:v>Fixed rank 10</x:v>
      </x:c>
      <x:c r="E1308" s="18" t="n">
        <x:v>200</x:v>
      </x:c>
      <x:c r="F1308" s="21" t="n">
        <x:v>155.08545153199424</x:v>
      </x:c>
      <x:c r="G1308" s="21" t="n">
        <x:f>F1306</x:f>
        <x:v>158.70894946317145</x:v>
      </x:c>
      <x:c r="H1308" s="21" t="n">
        <x:f>F1311</x:f>
        <x:v>158.70894946317145</x:v>
      </x:c>
      <x:c r="I1308" s="27" t="n">
        <x:f>IF(AND(ISNUMBER(G1308),ISNUMBER(H1308),H1308&gt;0),G1308/H1308-1,"")</x:f>
        <x:v>0</x:v>
      </x:c>
      <x:c r="J1308" s="27" t="n">
        <x:f>IF(AND(ISNUMBER(G1308),F1308&gt;0),G1308/F1308-1,"")</x:f>
        <x:v>0.023364525140062486</x:v>
      </x:c>
      <x:c r="K1308" s="19" t="str">
        <x:v>Exp_4/EXP043/results/seed666829030_Fixed_rank_10.json</x:v>
      </x:c>
    </x:row>
    <x:row r="1309" ht="15" hidden="0" customHeight="1">
      <x:c r="A1309" s="3" t="str">
        <x:v>EXP043</x:v>
      </x:c>
      <x:c r="B1309" s="3" t="str">
        <x:v>Exp. 4</x:v>
      </x:c>
      <x:c r="C1309" s="18" t="n">
        <x:v>666829030</x:v>
      </x:c>
      <x:c r="D1309" s="3" t="str">
        <x:v>Fixed rank 25</x:v>
      </x:c>
      <x:c r="E1309" s="18" t="n">
        <x:v>200</x:v>
      </x:c>
      <x:c r="F1309" s="21" t="n">
        <x:v>158.70894946317145</x:v>
      </x:c>
      <x:c r="G1309" s="21" t="n">
        <x:f>F1306</x:f>
        <x:v>158.70894946317145</x:v>
      </x:c>
      <x:c r="H1309" s="21" t="n">
        <x:f>F1311</x:f>
        <x:v>158.70894946317145</x:v>
      </x:c>
      <x:c r="I1309" s="27" t="n">
        <x:f>IF(AND(ISNUMBER(G1309),ISNUMBER(H1309),H1309&gt;0),G1309/H1309-1,"")</x:f>
        <x:v>0</x:v>
      </x:c>
      <x:c r="J1309" s="27" t="n">
        <x:f>IF(AND(ISNUMBER(G1309),F1309&gt;0),G1309/F1309-1,"")</x:f>
        <x:v>0</x:v>
      </x:c>
      <x:c r="K1309" s="19" t="str">
        <x:v>Exp_4/EXP043/results/seed666829030_Fixed_rank_25.json</x:v>
      </x:c>
    </x:row>
    <x:row r="1310" ht="15" hidden="0" customHeight="1">
      <x:c r="A1310" s="3" t="str">
        <x:v>EXP043</x:v>
      </x:c>
      <x:c r="B1310" s="3" t="str">
        <x:v>Exp. 4</x:v>
      </x:c>
      <x:c r="C1310" s="18" t="n">
        <x:v>666829030</x:v>
      </x:c>
      <x:c r="D1310" s="3" t="str">
        <x:v>Relative cutoff 1e-6</x:v>
      </x:c>
      <x:c r="E1310" s="18" t="n">
        <x:v>200</x:v>
      </x:c>
      <x:c r="F1310" s="21" t="n">
        <x:v>158.70894946317145</x:v>
      </x:c>
      <x:c r="G1310" s="21" t="n">
        <x:f>F1306</x:f>
        <x:v>158.70894946317145</x:v>
      </x:c>
      <x:c r="H1310" s="21" t="n">
        <x:f>F1311</x:f>
        <x:v>158.70894946317145</x:v>
      </x:c>
      <x:c r="I1310" s="27" t="n">
        <x:f>IF(AND(ISNUMBER(G1310),ISNUMBER(H1310),H1310&gt;0),G1310/H1310-1,"")</x:f>
        <x:v>0</x:v>
      </x:c>
      <x:c r="J1310" s="27" t="n">
        <x:f>IF(AND(ISNUMBER(G1310),F1310&gt;0),G1310/F1310-1,"")</x:f>
        <x:v>0</x:v>
      </x:c>
      <x:c r="K1310" s="19" t="str">
        <x:v>Exp_4/EXP043/results/seed666829030_Relative_cutoff_1e-6.json</x:v>
      </x:c>
    </x:row>
    <x:row r="1311" ht="15" hidden="0" customHeight="1">
      <x:c r="A1311" s="3" t="str">
        <x:v>EXP043</x:v>
      </x:c>
      <x:c r="B1311" s="3" t="str">
        <x:v>Exp. 4</x:v>
      </x:c>
      <x:c r="C1311" s="18" t="n">
        <x:v>666829030</x:v>
      </x:c>
      <x:c r="D1311" s="3" t="str">
        <x:v>Full</x:v>
      </x:c>
      <x:c r="E1311" s="18" t="n">
        <x:v>200</x:v>
      </x:c>
      <x:c r="F1311" s="21" t="n">
        <x:v>158.70894946317145</x:v>
      </x:c>
      <x:c r="G1311" s="21" t="n">
        <x:f>F1306</x:f>
        <x:v>158.70894946317145</x:v>
      </x:c>
      <x:c r="H1311" s="21" t="n">
        <x:f>F1311</x:f>
        <x:v>158.70894946317145</x:v>
      </x:c>
      <x:c r="I1311" s="27" t="n">
        <x:f>IF(AND(ISNUMBER(G1311),ISNUMBER(H1311),H1311&gt;0),G1311/H1311-1,"")</x:f>
        <x:v>0</x:v>
      </x:c>
      <x:c r="J1311" s="27" t="n">
        <x:f>IF(AND(ISNUMBER(G1311),F1311&gt;0),G1311/F1311-1,"")</x:f>
        <x:v>0</x:v>
      </x:c>
      <x:c r="K1311" s="19" t="str">
        <x:v>Exp_4/EXP043/results/seed666829030_Full.json</x:v>
      </x:c>
    </x:row>
    <x:row r="1312" ht="15" hidden="0" customHeight="1">
      <x:c r="A1312" s="3" t="str">
        <x:v>EXP043</x:v>
      </x:c>
      <x:c r="B1312" s="3" t="str">
        <x:v>Exp. 4</x:v>
      </x:c>
      <x:c r="C1312" s="18" t="n">
        <x:v>666829030</x:v>
      </x:c>
      <x:c r="D1312" s="3" t="str">
        <x:v>Relative cutoff 1e-2</x:v>
      </x:c>
      <x:c r="E1312" s="18" t="n">
        <x:v>200</x:v>
      </x:c>
      <x:c r="F1312" s="21" t="n">
        <x:v>162.93124737854183</x:v>
      </x:c>
      <x:c r="G1312" s="21" t="n">
        <x:f>F1306</x:f>
        <x:v>158.70894946317145</x:v>
      </x:c>
      <x:c r="H1312" s="21" t="n">
        <x:f>F1311</x:f>
        <x:v>158.70894946317145</x:v>
      </x:c>
      <x:c r="I1312" s="27" t="n">
        <x:f>IF(AND(ISNUMBER(G1312),ISNUMBER(H1312),H1312&gt;0),G1312/H1312-1,"")</x:f>
        <x:v>0</x:v>
      </x:c>
      <x:c r="J1312" s="27" t="n">
        <x:f>IF(AND(ISNUMBER(G1312),F1312&gt;0),G1312/F1312-1,"")</x:f>
        <x:v>-0.02591459884647307</x:v>
      </x:c>
      <x:c r="K1312" s="19" t="str">
        <x:v>Exp_4/EXP043/results/seed666829030_Relative_cutoff_1e-2.json</x:v>
      </x:c>
    </x:row>
    <x:row r="1313" ht="15" hidden="0" customHeight="1">
      <x:c r="A1313" s="3" t="str">
        <x:v>EXP043</x:v>
      </x:c>
      <x:c r="B1313" s="3" t="str">
        <x:v>Exp. 4</x:v>
      </x:c>
      <x:c r="C1313" s="18" t="n">
        <x:v>666829030</x:v>
      </x:c>
      <x:c r="D1313" s="3" t="str">
        <x:v>Relative cutoff 1e-4</x:v>
      </x:c>
      <x:c r="E1313" s="18" t="n">
        <x:v>200</x:v>
      </x:c>
      <x:c r="F1313" s="21" t="n">
        <x:v>154.53894142908138</x:v>
      </x:c>
      <x:c r="G1313" s="21" t="n">
        <x:f>F1306</x:f>
        <x:v>158.70894946317145</x:v>
      </x:c>
      <x:c r="H1313" s="21" t="n">
        <x:f>F1311</x:f>
        <x:v>158.70894946317145</x:v>
      </x:c>
      <x:c r="I1313" s="27" t="n">
        <x:f>IF(AND(ISNUMBER(G1313),ISNUMBER(H1313),H1313&gt;0),G1313/H1313-1,"")</x:f>
        <x:v>0</x:v>
      </x:c>
      <x:c r="J1313" s="27" t="n">
        <x:f>IF(AND(ISNUMBER(G1313),F1313&gt;0),G1313/F1313-1,"")</x:f>
        <x:v>0.02698354211261189</x:v>
      </x:c>
      <x:c r="K1313" s="19" t="str">
        <x:v>Exp_4/EXP043/results/seed666829030_Relative_cutoff_1e-4.json</x:v>
      </x:c>
    </x:row>
    <x:row r="1314" ht="15" hidden="0" customHeight="1">
      <x:c r="A1314" s="3" t="str">
        <x:v>EXP043</x:v>
      </x:c>
      <x:c r="B1314" s="3" t="str">
        <x:v>Exp. 4</x:v>
      </x:c>
      <x:c r="C1314" s="18" t="n">
        <x:v>748076223</x:v>
      </x:c>
      <x:c r="D1314" s="3" t="str">
        <x:v>BBP</x:v>
      </x:c>
      <x:c r="E1314" s="18" t="n">
        <x:v>200</x:v>
      </x:c>
      <x:c r="F1314" s="21" t="n">
        <x:v>162.37982794142482</x:v>
      </x:c>
      <x:c r="G1314" s="21" t="n">
        <x:f>F1314</x:f>
        <x:v>162.37982794142482</x:v>
      </x:c>
      <x:c r="H1314" s="21" t="n">
        <x:f>F1319</x:f>
        <x:v>162.3332796174462</x:v>
      </x:c>
      <x:c r="I1314" s="27" t="n">
        <x:f>IF(AND(ISNUMBER(G1314),ISNUMBER(H1314),H1314&gt;0),G1314/H1314-1,"")</x:f>
        <x:v>0.00028674541713380464</x:v>
      </x:c>
      <x:c r="J1314" s="27" t="n">
        <x:f>IF(AND(ISNUMBER(G1314),F1314&gt;0),G1314/F1314-1,"")</x:f>
        <x:v>0</x:v>
      </x:c>
      <x:c r="K1314" s="19" t="str">
        <x:v>Exp_4/EXP043/results/seed748076223_BBP.json</x:v>
      </x:c>
    </x:row>
    <x:row r="1315" ht="15" hidden="0" customHeight="1">
      <x:c r="A1315" s="3" t="str">
        <x:v>EXP043</x:v>
      </x:c>
      <x:c r="B1315" s="3" t="str">
        <x:v>Exp. 4</x:v>
      </x:c>
      <x:c r="C1315" s="18" t="n">
        <x:v>748076223</x:v>
      </x:c>
      <x:c r="D1315" s="3" t="str">
        <x:v>Relative cutoff 1e-5</x:v>
      </x:c>
      <x:c r="E1315" s="18" t="n">
        <x:v>200</x:v>
      </x:c>
      <x:c r="F1315" s="21" t="n">
        <x:v>162.3332796174462</x:v>
      </x:c>
      <x:c r="G1315" s="21" t="n">
        <x:f>F1314</x:f>
        <x:v>162.37982794142482</x:v>
      </x:c>
      <x:c r="H1315" s="21" t="n">
        <x:f>F1319</x:f>
        <x:v>162.3332796174462</x:v>
      </x:c>
      <x:c r="I1315" s="27" t="n">
        <x:f>IF(AND(ISNUMBER(G1315),ISNUMBER(H1315),H1315&gt;0),G1315/H1315-1,"")</x:f>
        <x:v>0.00028674541713380464</x:v>
      </x:c>
      <x:c r="J1315" s="27" t="n">
        <x:f>IF(AND(ISNUMBER(G1315),F1315&gt;0),G1315/F1315-1,"")</x:f>
        <x:v>0.00028674541713380464</x:v>
      </x:c>
      <x:c r="K1315" s="19" t="str">
        <x:v>Exp_4/EXP043/results/seed748076223_Relative_cutoff_1e-5.json</x:v>
      </x:c>
    </x:row>
    <x:row r="1316" ht="15" hidden="0" customHeight="1">
      <x:c r="A1316" s="3" t="str">
        <x:v>EXP043</x:v>
      </x:c>
      <x:c r="B1316" s="3" t="str">
        <x:v>Exp. 4</x:v>
      </x:c>
      <x:c r="C1316" s="18" t="n">
        <x:v>748076223</x:v>
      </x:c>
      <x:c r="D1316" s="3" t="str">
        <x:v>Fixed rank 10</x:v>
      </x:c>
      <x:c r="E1316" s="18" t="n">
        <x:v>200</x:v>
      </x:c>
      <x:c r="F1316" s="21" t="n">
        <x:v>159.04820296425385</x:v>
      </x:c>
      <x:c r="G1316" s="21" t="n">
        <x:f>F1314</x:f>
        <x:v>162.37982794142482</x:v>
      </x:c>
      <x:c r="H1316" s="21" t="n">
        <x:f>F1319</x:f>
        <x:v>162.3332796174462</x:v>
      </x:c>
      <x:c r="I1316" s="27" t="n">
        <x:f>IF(AND(ISNUMBER(G1316),ISNUMBER(H1316),H1316&gt;0),G1316/H1316-1,"")</x:f>
        <x:v>0.00028674541713380464</x:v>
      </x:c>
      <x:c r="J1316" s="27" t="n">
        <x:f>IF(AND(ISNUMBER(G1316),F1316&gt;0),G1316/F1316-1,"")</x:f>
        <x:v>0.02094726576646555</x:v>
      </x:c>
      <x:c r="K1316" s="19" t="str">
        <x:v>Exp_4/EXP043/results/seed748076223_Fixed_rank_10.json</x:v>
      </x:c>
    </x:row>
    <x:row r="1317" ht="15" hidden="0" customHeight="1">
      <x:c r="A1317" s="3" t="str">
        <x:v>EXP043</x:v>
      </x:c>
      <x:c r="B1317" s="3" t="str">
        <x:v>Exp. 4</x:v>
      </x:c>
      <x:c r="C1317" s="18" t="n">
        <x:v>748076223</x:v>
      </x:c>
      <x:c r="D1317" s="3" t="str">
        <x:v>Fixed rank 25</x:v>
      </x:c>
      <x:c r="E1317" s="18" t="n">
        <x:v>200</x:v>
      </x:c>
      <x:c r="F1317" s="21" t="n">
        <x:v>162.37982794142482</x:v>
      </x:c>
      <x:c r="G1317" s="21" t="n">
        <x:f>F1314</x:f>
        <x:v>162.37982794142482</x:v>
      </x:c>
      <x:c r="H1317" s="21" t="n">
        <x:f>F1319</x:f>
        <x:v>162.3332796174462</x:v>
      </x:c>
      <x:c r="I1317" s="27" t="n">
        <x:f>IF(AND(ISNUMBER(G1317),ISNUMBER(H1317),H1317&gt;0),G1317/H1317-1,"")</x:f>
        <x:v>0.00028674541713380464</x:v>
      </x:c>
      <x:c r="J1317" s="27" t="n">
        <x:f>IF(AND(ISNUMBER(G1317),F1317&gt;0),G1317/F1317-1,"")</x:f>
        <x:v>0</x:v>
      </x:c>
      <x:c r="K1317" s="19" t="str">
        <x:v>Exp_4/EXP043/results/seed748076223_Fixed_rank_25.json</x:v>
      </x:c>
    </x:row>
    <x:row r="1318" ht="15" hidden="0" customHeight="1">
      <x:c r="A1318" s="3" t="str">
        <x:v>EXP043</x:v>
      </x:c>
      <x:c r="B1318" s="3" t="str">
        <x:v>Exp. 4</x:v>
      </x:c>
      <x:c r="C1318" s="18" t="n">
        <x:v>748076223</x:v>
      </x:c>
      <x:c r="D1318" s="3" t="str">
        <x:v>Relative cutoff 1e-6</x:v>
      </x:c>
      <x:c r="E1318" s="18" t="n">
        <x:v>200</x:v>
      </x:c>
      <x:c r="F1318" s="21" t="n">
        <x:v>162.3332796174462</x:v>
      </x:c>
      <x:c r="G1318" s="21" t="n">
        <x:f>F1314</x:f>
        <x:v>162.37982794142482</x:v>
      </x:c>
      <x:c r="H1318" s="21" t="n">
        <x:f>F1319</x:f>
        <x:v>162.3332796174462</x:v>
      </x:c>
      <x:c r="I1318" s="27" t="n">
        <x:f>IF(AND(ISNUMBER(G1318),ISNUMBER(H1318),H1318&gt;0),G1318/H1318-1,"")</x:f>
        <x:v>0.00028674541713380464</x:v>
      </x:c>
      <x:c r="J1318" s="27" t="n">
        <x:f>IF(AND(ISNUMBER(G1318),F1318&gt;0),G1318/F1318-1,"")</x:f>
        <x:v>0.00028674541713380464</x:v>
      </x:c>
      <x:c r="K1318" s="19" t="str">
        <x:v>Exp_4/EXP043/results/seed748076223_Relative_cutoff_1e-6.json</x:v>
      </x:c>
    </x:row>
    <x:row r="1319" ht="15" hidden="0" customHeight="1">
      <x:c r="A1319" s="3" t="str">
        <x:v>EXP043</x:v>
      </x:c>
      <x:c r="B1319" s="3" t="str">
        <x:v>Exp. 4</x:v>
      </x:c>
      <x:c r="C1319" s="18" t="n">
        <x:v>748076223</x:v>
      </x:c>
      <x:c r="D1319" s="3" t="str">
        <x:v>Full</x:v>
      </x:c>
      <x:c r="E1319" s="18" t="n">
        <x:v>200</x:v>
      </x:c>
      <x:c r="F1319" s="21" t="n">
        <x:v>162.3332796174462</x:v>
      </x:c>
      <x:c r="G1319" s="21" t="n">
        <x:f>F1314</x:f>
        <x:v>162.37982794142482</x:v>
      </x:c>
      <x:c r="H1319" s="21" t="n">
        <x:f>F1319</x:f>
        <x:v>162.3332796174462</x:v>
      </x:c>
      <x:c r="I1319" s="27" t="n">
        <x:f>IF(AND(ISNUMBER(G1319),ISNUMBER(H1319),H1319&gt;0),G1319/H1319-1,"")</x:f>
        <x:v>0.00028674541713380464</x:v>
      </x:c>
      <x:c r="J1319" s="27" t="n">
        <x:f>IF(AND(ISNUMBER(G1319),F1319&gt;0),G1319/F1319-1,"")</x:f>
        <x:v>0.00028674541713380464</x:v>
      </x:c>
      <x:c r="K1319" s="19" t="str">
        <x:v>Exp_4/EXP043/results/seed748076223_Full.json</x:v>
      </x:c>
    </x:row>
    <x:row r="1320" ht="15" hidden="0" customHeight="1">
      <x:c r="A1320" s="3" t="str">
        <x:v>EXP043</x:v>
      </x:c>
      <x:c r="B1320" s="3" t="str">
        <x:v>Exp. 4</x:v>
      </x:c>
      <x:c r="C1320" s="18" t="n">
        <x:v>748076223</x:v>
      </x:c>
      <x:c r="D1320" s="3" t="str">
        <x:v>Relative cutoff 1e-2</x:v>
      </x:c>
      <x:c r="E1320" s="18" t="n">
        <x:v>200</x:v>
      </x:c>
      <x:c r="F1320" s="21" t="n">
        <x:v>161.52440453678014</x:v>
      </x:c>
      <x:c r="G1320" s="21" t="n">
        <x:f>F1314</x:f>
        <x:v>162.37982794142482</x:v>
      </x:c>
      <x:c r="H1320" s="21" t="n">
        <x:f>F1319</x:f>
        <x:v>162.3332796174462</x:v>
      </x:c>
      <x:c r="I1320" s="27" t="n">
        <x:f>IF(AND(ISNUMBER(G1320),ISNUMBER(H1320),H1320&gt;0),G1320/H1320-1,"")</x:f>
        <x:v>0.00028674541713380464</x:v>
      </x:c>
      <x:c r="J1320" s="27" t="n">
        <x:f>IF(AND(ISNUMBER(G1320),F1320&gt;0),G1320/F1320-1,"")</x:f>
        <x:v>0.0052959390693800845</x:v>
      </x:c>
      <x:c r="K1320" s="19" t="str">
        <x:v>Exp_4/EXP043/results/seed748076223_Relative_cutoff_1e-2.json</x:v>
      </x:c>
    </x:row>
    <x:row r="1321" ht="15" hidden="0" customHeight="1">
      <x:c r="A1321" s="3" t="str">
        <x:v>EXP043</x:v>
      </x:c>
      <x:c r="B1321" s="3" t="str">
        <x:v>Exp. 4</x:v>
      </x:c>
      <x:c r="C1321" s="18" t="n">
        <x:v>748076223</x:v>
      </x:c>
      <x:c r="D1321" s="3" t="str">
        <x:v>Relative cutoff 1e-4</x:v>
      </x:c>
      <x:c r="E1321" s="18" t="n">
        <x:v>200</x:v>
      </x:c>
      <x:c r="F1321" s="21" t="n">
        <x:v>162.37982794142482</x:v>
      </x:c>
      <x:c r="G1321" s="21" t="n">
        <x:f>F1314</x:f>
        <x:v>162.37982794142482</x:v>
      </x:c>
      <x:c r="H1321" s="21" t="n">
        <x:f>F1319</x:f>
        <x:v>162.3332796174462</x:v>
      </x:c>
      <x:c r="I1321" s="27" t="n">
        <x:f>IF(AND(ISNUMBER(G1321),ISNUMBER(H1321),H1321&gt;0),G1321/H1321-1,"")</x:f>
        <x:v>0.00028674541713380464</x:v>
      </x:c>
      <x:c r="J1321" s="27" t="n">
        <x:f>IF(AND(ISNUMBER(G1321),F1321&gt;0),G1321/F1321-1,"")</x:f>
        <x:v>0</x:v>
      </x:c>
      <x:c r="K1321" s="19" t="str">
        <x:v>Exp_4/EXP043/results/seed748076223_Relative_cutoff_1e-4.json</x:v>
      </x:c>
    </x:row>
    <x:row r="1322" ht="15" hidden="0" customHeight="1">
      <x:c r="A1322" s="3" t="str">
        <x:v>EXP043</x:v>
      </x:c>
      <x:c r="B1322" s="3" t="str">
        <x:v>Exp. 4</x:v>
      </x:c>
      <x:c r="C1322" s="18" t="n">
        <x:v>806884711</x:v>
      </x:c>
      <x:c r="D1322" s="3" t="str">
        <x:v>BBP</x:v>
      </x:c>
      <x:c r="E1322" s="18" t="n">
        <x:v>200</x:v>
      </x:c>
      <x:c r="F1322" s="21" t="n">
        <x:v>169.1457517255148</x:v>
      </x:c>
      <x:c r="G1322" s="21" t="n">
        <x:f>F1322</x:f>
        <x:v>169.1457517255148</x:v>
      </x:c>
      <x:c r="H1322" s="21" t="n">
        <x:f>F1327</x:f>
        <x:v>177.627666577542</x:v>
      </x:c>
      <x:c r="I1322" s="27" t="n">
        <x:f>IF(AND(ISNUMBER(G1322),ISNUMBER(H1322),H1322&gt;0),G1322/H1322-1,"")</x:f>
        <x:v>-0.04775109089396545</x:v>
      </x:c>
      <x:c r="J1322" s="27" t="n">
        <x:f>IF(AND(ISNUMBER(G1322),F1322&gt;0),G1322/F1322-1,"")</x:f>
        <x:v>0</x:v>
      </x:c>
      <x:c r="K1322" s="19" t="str">
        <x:v>Exp_4/EXP043/results/seed806884711_BBP.json</x:v>
      </x:c>
    </x:row>
    <x:row r="1323" ht="15" hidden="0" customHeight="1">
      <x:c r="A1323" s="3" t="str">
        <x:v>EXP043</x:v>
      </x:c>
      <x:c r="B1323" s="3" t="str">
        <x:v>Exp. 4</x:v>
      </x:c>
      <x:c r="C1323" s="18" t="n">
        <x:v>806884711</x:v>
      </x:c>
      <x:c r="D1323" s="3" t="str">
        <x:v>Relative cutoff 1e-5</x:v>
      </x:c>
      <x:c r="E1323" s="18" t="n">
        <x:v>200</x:v>
      </x:c>
      <x:c r="F1323" s="21" t="n">
        <x:v>177.627666577542</x:v>
      </x:c>
      <x:c r="G1323" s="21" t="n">
        <x:f>F1322</x:f>
        <x:v>169.1457517255148</x:v>
      </x:c>
      <x:c r="H1323" s="21" t="n">
        <x:f>F1327</x:f>
        <x:v>177.627666577542</x:v>
      </x:c>
      <x:c r="I1323" s="27" t="n">
        <x:f>IF(AND(ISNUMBER(G1323),ISNUMBER(H1323),H1323&gt;0),G1323/H1323-1,"")</x:f>
        <x:v>-0.04775109089396545</x:v>
      </x:c>
      <x:c r="J1323" s="27" t="n">
        <x:f>IF(AND(ISNUMBER(G1323),F1323&gt;0),G1323/F1323-1,"")</x:f>
        <x:v>-0.04775109089396545</x:v>
      </x:c>
      <x:c r="K1323" s="19" t="str">
        <x:v>Exp_4/EXP043/results/seed806884711_Relative_cutoff_1e-5.json</x:v>
      </x:c>
    </x:row>
    <x:row r="1324" ht="15" hidden="0" customHeight="1">
      <x:c r="A1324" s="3" t="str">
        <x:v>EXP043</x:v>
      </x:c>
      <x:c r="B1324" s="3" t="str">
        <x:v>Exp. 4</x:v>
      </x:c>
      <x:c r="C1324" s="18" t="n">
        <x:v>806884711</x:v>
      </x:c>
      <x:c r="D1324" s="3" t="str">
        <x:v>Fixed rank 10</x:v>
      </x:c>
      <x:c r="E1324" s="18" t="n">
        <x:v>200</x:v>
      </x:c>
      <x:c r="F1324" s="21" t="n">
        <x:v>166.47440886895575</x:v>
      </x:c>
      <x:c r="G1324" s="21" t="n">
        <x:f>F1322</x:f>
        <x:v>169.1457517255148</x:v>
      </x:c>
      <x:c r="H1324" s="21" t="n">
        <x:f>F1327</x:f>
        <x:v>177.627666577542</x:v>
      </x:c>
      <x:c r="I1324" s="27" t="n">
        <x:f>IF(AND(ISNUMBER(G1324),ISNUMBER(H1324),H1324&gt;0),G1324/H1324-1,"")</x:f>
        <x:v>-0.04775109089396545</x:v>
      </x:c>
      <x:c r="J1324" s="27" t="n">
        <x:f>IF(AND(ISNUMBER(G1324),F1324&gt;0),G1324/F1324-1,"")</x:f>
        <x:v>0.01604656760584655</x:v>
      </x:c>
      <x:c r="K1324" s="19" t="str">
        <x:v>Exp_4/EXP043/results/seed806884711_Fixed_rank_10.json</x:v>
      </x:c>
    </x:row>
    <x:row r="1325" ht="15" hidden="0" customHeight="1">
      <x:c r="A1325" s="3" t="str">
        <x:v>EXP043</x:v>
      </x:c>
      <x:c r="B1325" s="3" t="str">
        <x:v>Exp. 4</x:v>
      </x:c>
      <x:c r="C1325" s="18" t="n">
        <x:v>806884711</x:v>
      </x:c>
      <x:c r="D1325" s="3" t="str">
        <x:v>Fixed rank 25</x:v>
      </x:c>
      <x:c r="E1325" s="18" t="n">
        <x:v>200</x:v>
      </x:c>
      <x:c r="F1325" s="21" t="n">
        <x:v>169.1457517255148</x:v>
      </x:c>
      <x:c r="G1325" s="21" t="n">
        <x:f>F1322</x:f>
        <x:v>169.1457517255148</x:v>
      </x:c>
      <x:c r="H1325" s="21" t="n">
        <x:f>F1327</x:f>
        <x:v>177.627666577542</x:v>
      </x:c>
      <x:c r="I1325" s="27" t="n">
        <x:f>IF(AND(ISNUMBER(G1325),ISNUMBER(H1325),H1325&gt;0),G1325/H1325-1,"")</x:f>
        <x:v>-0.04775109089396545</x:v>
      </x:c>
      <x:c r="J1325" s="27" t="n">
        <x:f>IF(AND(ISNUMBER(G1325),F1325&gt;0),G1325/F1325-1,"")</x:f>
        <x:v>0</x:v>
      </x:c>
      <x:c r="K1325" s="19" t="str">
        <x:v>Exp_4/EXP043/results/seed806884711_Fixed_rank_25.json</x:v>
      </x:c>
    </x:row>
    <x:row r="1326" ht="15" hidden="0" customHeight="1">
      <x:c r="A1326" s="3" t="str">
        <x:v>EXP043</x:v>
      </x:c>
      <x:c r="B1326" s="3" t="str">
        <x:v>Exp. 4</x:v>
      </x:c>
      <x:c r="C1326" s="18" t="n">
        <x:v>806884711</x:v>
      </x:c>
      <x:c r="D1326" s="3" t="str">
        <x:v>Relative cutoff 1e-6</x:v>
      </x:c>
      <x:c r="E1326" s="18" t="n">
        <x:v>200</x:v>
      </x:c>
      <x:c r="F1326" s="21" t="n">
        <x:v>177.627666577542</x:v>
      </x:c>
      <x:c r="G1326" s="21" t="n">
        <x:f>F1322</x:f>
        <x:v>169.1457517255148</x:v>
      </x:c>
      <x:c r="H1326" s="21" t="n">
        <x:f>F1327</x:f>
        <x:v>177.627666577542</x:v>
      </x:c>
      <x:c r="I1326" s="27" t="n">
        <x:f>IF(AND(ISNUMBER(G1326),ISNUMBER(H1326),H1326&gt;0),G1326/H1326-1,"")</x:f>
        <x:v>-0.04775109089396545</x:v>
      </x:c>
      <x:c r="J1326" s="27" t="n">
        <x:f>IF(AND(ISNUMBER(G1326),F1326&gt;0),G1326/F1326-1,"")</x:f>
        <x:v>-0.04775109089396545</x:v>
      </x:c>
      <x:c r="K1326" s="19" t="str">
        <x:v>Exp_4/EXP043/results/seed806884711_Relative_cutoff_1e-6.json</x:v>
      </x:c>
    </x:row>
    <x:row r="1327" ht="15" hidden="0" customHeight="1">
      <x:c r="A1327" s="3" t="str">
        <x:v>EXP043</x:v>
      </x:c>
      <x:c r="B1327" s="3" t="str">
        <x:v>Exp. 4</x:v>
      </x:c>
      <x:c r="C1327" s="18" t="n">
        <x:v>806884711</x:v>
      </x:c>
      <x:c r="D1327" s="3" t="str">
        <x:v>Full</x:v>
      </x:c>
      <x:c r="E1327" s="18" t="n">
        <x:v>200</x:v>
      </x:c>
      <x:c r="F1327" s="21" t="n">
        <x:v>177.627666577542</x:v>
      </x:c>
      <x:c r="G1327" s="21" t="n">
        <x:f>F1322</x:f>
        <x:v>169.1457517255148</x:v>
      </x:c>
      <x:c r="H1327" s="21" t="n">
        <x:f>F1327</x:f>
        <x:v>177.627666577542</x:v>
      </x:c>
      <x:c r="I1327" s="27" t="n">
        <x:f>IF(AND(ISNUMBER(G1327),ISNUMBER(H1327),H1327&gt;0),G1327/H1327-1,"")</x:f>
        <x:v>-0.04775109089396545</x:v>
      </x:c>
      <x:c r="J1327" s="27" t="n">
        <x:f>IF(AND(ISNUMBER(G1327),F1327&gt;0),G1327/F1327-1,"")</x:f>
        <x:v>-0.04775109089396545</x:v>
      </x:c>
      <x:c r="K1327" s="19" t="str">
        <x:v>Exp_4/EXP043/results/seed806884711_Full.json</x:v>
      </x:c>
    </x:row>
    <x:row r="1328" ht="15" hidden="0" customHeight="1">
      <x:c r="A1328" s="3" t="str">
        <x:v>EXP043</x:v>
      </x:c>
      <x:c r="B1328" s="3" t="str">
        <x:v>Exp. 4</x:v>
      </x:c>
      <x:c r="C1328" s="18" t="n">
        <x:v>806884711</x:v>
      </x:c>
      <x:c r="D1328" s="3" t="str">
        <x:v>Relative cutoff 1e-2</x:v>
      </x:c>
      <x:c r="E1328" s="18" t="n">
        <x:v>200</x:v>
      </x:c>
      <x:c r="F1328" s="21" t="n">
        <x:v>171.71906649613587</x:v>
      </x:c>
      <x:c r="G1328" s="21" t="n">
        <x:f>F1322</x:f>
        <x:v>169.1457517255148</x:v>
      </x:c>
      <x:c r="H1328" s="21" t="n">
        <x:f>F1327</x:f>
        <x:v>177.627666577542</x:v>
      </x:c>
      <x:c r="I1328" s="27" t="n">
        <x:f>IF(AND(ISNUMBER(G1328),ISNUMBER(H1328),H1328&gt;0),G1328/H1328-1,"")</x:f>
        <x:v>-0.04775109089396545</x:v>
      </x:c>
      <x:c r="J1328" s="27" t="n">
        <x:f>IF(AND(ISNUMBER(G1328),F1328&gt;0),G1328/F1328-1,"")</x:f>
        <x:v>-0.014985608896720737</x:v>
      </x:c>
      <x:c r="K1328" s="19" t="str">
        <x:v>Exp_4/EXP043/results/seed806884711_Relative_cutoff_1e-2.json</x:v>
      </x:c>
    </x:row>
    <x:row r="1329" ht="15" hidden="0" customHeight="1">
      <x:c r="A1329" s="3" t="str">
        <x:v>EXP043</x:v>
      </x:c>
      <x:c r="B1329" s="3" t="str">
        <x:v>Exp. 4</x:v>
      </x:c>
      <x:c r="C1329" s="18" t="n">
        <x:v>806884711</x:v>
      </x:c>
      <x:c r="D1329" s="3" t="str">
        <x:v>Relative cutoff 1e-4</x:v>
      </x:c>
      <x:c r="E1329" s="18" t="n">
        <x:v>200</x:v>
      </x:c>
      <x:c r="F1329" s="21" t="n">
        <x:v>169.1457517255148</x:v>
      </x:c>
      <x:c r="G1329" s="21" t="n">
        <x:f>F1322</x:f>
        <x:v>169.1457517255148</x:v>
      </x:c>
      <x:c r="H1329" s="21" t="n">
        <x:f>F1327</x:f>
        <x:v>177.627666577542</x:v>
      </x:c>
      <x:c r="I1329" s="27" t="n">
        <x:f>IF(AND(ISNUMBER(G1329),ISNUMBER(H1329),H1329&gt;0),G1329/H1329-1,"")</x:f>
        <x:v>-0.04775109089396545</x:v>
      </x:c>
      <x:c r="J1329" s="27" t="n">
        <x:f>IF(AND(ISNUMBER(G1329),F1329&gt;0),G1329/F1329-1,"")</x:f>
        <x:v>0</x:v>
      </x:c>
      <x:c r="K1329" s="19" t="str">
        <x:v>Exp_4/EXP043/results/seed806884711_Relative_cutoff_1e-4.json</x:v>
      </x:c>
    </x:row>
    <x:row r="1330" ht="15" hidden="0" customHeight="1">
      <x:c r="A1330" s="3" t="str">
        <x:v>EXP043</x:v>
      </x:c>
      <x:c r="B1330" s="3" t="str">
        <x:v>Exp. 4</x:v>
      </x:c>
      <x:c r="C1330" s="18" t="n">
        <x:v>1084613802</x:v>
      </x:c>
      <x:c r="D1330" s="3" t="str">
        <x:v>BBP</x:v>
      </x:c>
      <x:c r="E1330" s="18" t="n">
        <x:v>200</x:v>
      </x:c>
      <x:c r="F1330" s="21" t="n">
        <x:v>180.8241901897508</x:v>
      </x:c>
      <x:c r="G1330" s="21" t="n">
        <x:f>F1330</x:f>
        <x:v>180.8241901897508</x:v>
      </x:c>
      <x:c r="H1330" s="21" t="n">
        <x:f>F1335</x:f>
        <x:v>180.8241901897508</x:v>
      </x:c>
      <x:c r="I1330" s="27" t="n">
        <x:f>IF(AND(ISNUMBER(G1330),ISNUMBER(H1330),H1330&gt;0),G1330/H1330-1,"")</x:f>
        <x:v>0</x:v>
      </x:c>
      <x:c r="J1330" s="27" t="n">
        <x:f>IF(AND(ISNUMBER(G1330),F1330&gt;0),G1330/F1330-1,"")</x:f>
        <x:v>0</x:v>
      </x:c>
      <x:c r="K1330" s="19" t="str">
        <x:v>Exp_4/EXP043/results/seed1084613802_BBP.json</x:v>
      </x:c>
    </x:row>
    <x:row r="1331" ht="15" hidden="0" customHeight="1">
      <x:c r="A1331" s="3" t="str">
        <x:v>EXP043</x:v>
      </x:c>
      <x:c r="B1331" s="3" t="str">
        <x:v>Exp. 4</x:v>
      </x:c>
      <x:c r="C1331" s="18" t="n">
        <x:v>1084613802</x:v>
      </x:c>
      <x:c r="D1331" s="3" t="str">
        <x:v>Relative cutoff 1e-5</x:v>
      </x:c>
      <x:c r="E1331" s="18" t="n">
        <x:v>200</x:v>
      </x:c>
      <x:c r="F1331" s="21" t="n">
        <x:v>180.8241901897508</x:v>
      </x:c>
      <x:c r="G1331" s="21" t="n">
        <x:f>F1330</x:f>
        <x:v>180.8241901897508</x:v>
      </x:c>
      <x:c r="H1331" s="21" t="n">
        <x:f>F1335</x:f>
        <x:v>180.8241901897508</x:v>
      </x:c>
      <x:c r="I1331" s="27" t="n">
        <x:f>IF(AND(ISNUMBER(G1331),ISNUMBER(H1331),H1331&gt;0),G1331/H1331-1,"")</x:f>
        <x:v>0</x:v>
      </x:c>
      <x:c r="J1331" s="27" t="n">
        <x:f>IF(AND(ISNUMBER(G1331),F1331&gt;0),G1331/F1331-1,"")</x:f>
        <x:v>0</x:v>
      </x:c>
      <x:c r="K1331" s="19" t="str">
        <x:v>Exp_4/EXP043/results/seed1084613802_Relative_cutoff_1e-5.json</x:v>
      </x:c>
    </x:row>
    <x:row r="1332" ht="15" hidden="0" customHeight="1">
      <x:c r="A1332" s="3" t="str">
        <x:v>EXP043</x:v>
      </x:c>
      <x:c r="B1332" s="3" t="str">
        <x:v>Exp. 4</x:v>
      </x:c>
      <x:c r="C1332" s="18" t="n">
        <x:v>1084613802</x:v>
      </x:c>
      <x:c r="D1332" s="3" t="str">
        <x:v>Fixed rank 10</x:v>
      </x:c>
      <x:c r="E1332" s="18" t="n">
        <x:v>200</x:v>
      </x:c>
      <x:c r="F1332" s="21" t="n">
        <x:v>183.45070124667572</x:v>
      </x:c>
      <x:c r="G1332" s="21" t="n">
        <x:f>F1330</x:f>
        <x:v>180.8241901897508</x:v>
      </x:c>
      <x:c r="H1332" s="21" t="n">
        <x:f>F1335</x:f>
        <x:v>180.8241901897508</x:v>
      </x:c>
      <x:c r="I1332" s="27" t="n">
        <x:f>IF(AND(ISNUMBER(G1332),ISNUMBER(H1332),H1332&gt;0),G1332/H1332-1,"")</x:f>
        <x:v>0</x:v>
      </x:c>
      <x:c r="J1332" s="27" t="n">
        <x:f>IF(AND(ISNUMBER(G1332),F1332&gt;0),G1332/F1332-1,"")</x:f>
        <x:v>-0.014317258201118621</x:v>
      </x:c>
      <x:c r="K1332" s="19" t="str">
        <x:v>Exp_4/EXP043/results/seed1084613802_Fixed_rank_10.json</x:v>
      </x:c>
    </x:row>
    <x:row r="1333" ht="15" hidden="0" customHeight="1">
      <x:c r="A1333" s="3" t="str">
        <x:v>EXP043</x:v>
      </x:c>
      <x:c r="B1333" s="3" t="str">
        <x:v>Exp. 4</x:v>
      </x:c>
      <x:c r="C1333" s="18" t="n">
        <x:v>1084613802</x:v>
      </x:c>
      <x:c r="D1333" s="3" t="str">
        <x:v>Fixed rank 25</x:v>
      </x:c>
      <x:c r="E1333" s="18" t="n">
        <x:v>200</x:v>
      </x:c>
      <x:c r="F1333" s="21" t="n">
        <x:v>180.8241901897508</x:v>
      </x:c>
      <x:c r="G1333" s="21" t="n">
        <x:f>F1330</x:f>
        <x:v>180.8241901897508</x:v>
      </x:c>
      <x:c r="H1333" s="21" t="n">
        <x:f>F1335</x:f>
        <x:v>180.8241901897508</x:v>
      </x:c>
      <x:c r="I1333" s="27" t="n">
        <x:f>IF(AND(ISNUMBER(G1333),ISNUMBER(H1333),H1333&gt;0),G1333/H1333-1,"")</x:f>
        <x:v>0</x:v>
      </x:c>
      <x:c r="J1333" s="27" t="n">
        <x:f>IF(AND(ISNUMBER(G1333),F1333&gt;0),G1333/F1333-1,"")</x:f>
        <x:v>0</x:v>
      </x:c>
      <x:c r="K1333" s="19" t="str">
        <x:v>Exp_4/EXP043/results/seed1084613802_Fixed_rank_25.json</x:v>
      </x:c>
    </x:row>
    <x:row r="1334" ht="15" hidden="0" customHeight="1">
      <x:c r="A1334" s="3" t="str">
        <x:v>EXP043</x:v>
      </x:c>
      <x:c r="B1334" s="3" t="str">
        <x:v>Exp. 4</x:v>
      </x:c>
      <x:c r="C1334" s="18" t="n">
        <x:v>1084613802</x:v>
      </x:c>
      <x:c r="D1334" s="3" t="str">
        <x:v>Relative cutoff 1e-6</x:v>
      </x:c>
      <x:c r="E1334" s="18" t="n">
        <x:v>200</x:v>
      </x:c>
      <x:c r="F1334" s="21" t="n">
        <x:v>180.8241901897508</x:v>
      </x:c>
      <x:c r="G1334" s="21" t="n">
        <x:f>F1330</x:f>
        <x:v>180.8241901897508</x:v>
      </x:c>
      <x:c r="H1334" s="21" t="n">
        <x:f>F1335</x:f>
        <x:v>180.8241901897508</x:v>
      </x:c>
      <x:c r="I1334" s="27" t="n">
        <x:f>IF(AND(ISNUMBER(G1334),ISNUMBER(H1334),H1334&gt;0),G1334/H1334-1,"")</x:f>
        <x:v>0</x:v>
      </x:c>
      <x:c r="J1334" s="27" t="n">
        <x:f>IF(AND(ISNUMBER(G1334),F1334&gt;0),G1334/F1334-1,"")</x:f>
        <x:v>0</x:v>
      </x:c>
      <x:c r="K1334" s="19" t="str">
        <x:v>Exp_4/EXP043/results/seed1084613802_Relative_cutoff_1e-6.json</x:v>
      </x:c>
    </x:row>
    <x:row r="1335" ht="15" hidden="0" customHeight="1">
      <x:c r="A1335" s="3" t="str">
        <x:v>EXP043</x:v>
      </x:c>
      <x:c r="B1335" s="3" t="str">
        <x:v>Exp. 4</x:v>
      </x:c>
      <x:c r="C1335" s="18" t="n">
        <x:v>1084613802</x:v>
      </x:c>
      <x:c r="D1335" s="3" t="str">
        <x:v>Full</x:v>
      </x:c>
      <x:c r="E1335" s="18" t="n">
        <x:v>200</x:v>
      </x:c>
      <x:c r="F1335" s="21" t="n">
        <x:v>180.8241901897508</x:v>
      </x:c>
      <x:c r="G1335" s="21" t="n">
        <x:f>F1330</x:f>
        <x:v>180.8241901897508</x:v>
      </x:c>
      <x:c r="H1335" s="21" t="n">
        <x:f>F1335</x:f>
        <x:v>180.8241901897508</x:v>
      </x:c>
      <x:c r="I1335" s="27" t="n">
        <x:f>IF(AND(ISNUMBER(G1335),ISNUMBER(H1335),H1335&gt;0),G1335/H1335-1,"")</x:f>
        <x:v>0</x:v>
      </x:c>
      <x:c r="J1335" s="27" t="n">
        <x:f>IF(AND(ISNUMBER(G1335),F1335&gt;0),G1335/F1335-1,"")</x:f>
        <x:v>0</x:v>
      </x:c>
      <x:c r="K1335" s="19" t="str">
        <x:v>Exp_4/EXP043/results/seed1084613802_Full.json</x:v>
      </x:c>
    </x:row>
    <x:row r="1336" ht="15" hidden="0" customHeight="1">
      <x:c r="A1336" s="3" t="str">
        <x:v>EXP043</x:v>
      </x:c>
      <x:c r="B1336" s="3" t="str">
        <x:v>Exp. 4</x:v>
      </x:c>
      <x:c r="C1336" s="18" t="n">
        <x:v>1084613802</x:v>
      </x:c>
      <x:c r="D1336" s="3" t="str">
        <x:v>Relative cutoff 1e-2</x:v>
      </x:c>
      <x:c r="E1336" s="18" t="n">
        <x:v>200</x:v>
      </x:c>
      <x:c r="F1336" s="21" t="n">
        <x:v>182.51349361614555</x:v>
      </x:c>
      <x:c r="G1336" s="21" t="n">
        <x:f>F1330</x:f>
        <x:v>180.8241901897508</x:v>
      </x:c>
      <x:c r="H1336" s="21" t="n">
        <x:f>F1335</x:f>
        <x:v>180.8241901897508</x:v>
      </x:c>
      <x:c r="I1336" s="27" t="n">
        <x:f>IF(AND(ISNUMBER(G1336),ISNUMBER(H1336),H1336&gt;0),G1336/H1336-1,"")</x:f>
        <x:v>0</x:v>
      </x:c>
      <x:c r="J1336" s="27" t="n">
        <x:f>IF(AND(ISNUMBER(G1336),F1336&gt;0),G1336/F1336-1,"")</x:f>
        <x:v>-0.009255772781094351</x:v>
      </x:c>
      <x:c r="K1336" s="19" t="str">
        <x:v>Exp_4/EXP043/results/seed1084613802_Relative_cutoff_1e-2.json</x:v>
      </x:c>
    </x:row>
    <x:row r="1337" ht="15" hidden="0" customHeight="1">
      <x:c r="A1337" s="3" t="str">
        <x:v>EXP043</x:v>
      </x:c>
      <x:c r="B1337" s="3" t="str">
        <x:v>Exp. 4</x:v>
      </x:c>
      <x:c r="C1337" s="18" t="n">
        <x:v>1084613802</x:v>
      </x:c>
      <x:c r="D1337" s="3" t="str">
        <x:v>Relative cutoff 1e-4</x:v>
      </x:c>
      <x:c r="E1337" s="18" t="n">
        <x:v>200</x:v>
      </x:c>
      <x:c r="F1337" s="21" t="n">
        <x:v>180.8241901897508</x:v>
      </x:c>
      <x:c r="G1337" s="21" t="n">
        <x:f>F1330</x:f>
        <x:v>180.8241901897508</x:v>
      </x:c>
      <x:c r="H1337" s="21" t="n">
        <x:f>F1335</x:f>
        <x:v>180.8241901897508</x:v>
      </x:c>
      <x:c r="I1337" s="27" t="n">
        <x:f>IF(AND(ISNUMBER(G1337),ISNUMBER(H1337),H1337&gt;0),G1337/H1337-1,"")</x:f>
        <x:v>0</x:v>
      </x:c>
      <x:c r="J1337" s="27" t="n">
        <x:f>IF(AND(ISNUMBER(G1337),F1337&gt;0),G1337/F1337-1,"")</x:f>
        <x:v>0</x:v>
      </x:c>
      <x:c r="K1337" s="19" t="str">
        <x:v>Exp_4/EXP043/results/seed1084613802_Relative_cutoff_1e-4.json</x:v>
      </x:c>
    </x:row>
    <x:row r="1338" ht="15" hidden="0" customHeight="1">
      <x:c r="A1338" s="3" t="str">
        <x:v>EXP043</x:v>
      </x:c>
      <x:c r="B1338" s="3" t="str">
        <x:v>Exp. 4</x:v>
      </x:c>
      <x:c r="C1338" s="18" t="n">
        <x:v>1390358485</x:v>
      </x:c>
      <x:c r="D1338" s="3" t="str">
        <x:v>BBP</x:v>
      </x:c>
      <x:c r="E1338" s="18" t="n">
        <x:v>200</x:v>
      </x:c>
      <x:c r="F1338" s="21" t="n">
        <x:v>171.58091836004172</x:v>
      </x:c>
      <x:c r="G1338" s="21" t="n">
        <x:f>F1338</x:f>
        <x:v>171.58091836004172</x:v>
      </x:c>
      <x:c r="H1338" s="21" t="n">
        <x:f>F1343</x:f>
        <x:v>183.36542299172723</x:v>
      </x:c>
      <x:c r="I1338" s="27" t="n">
        <x:f>IF(AND(ISNUMBER(G1338),ISNUMBER(H1338),H1338&gt;0),G1338/H1338-1,"")</x:f>
        <x:v>-0.06426786707882859</x:v>
      </x:c>
      <x:c r="J1338" s="27" t="n">
        <x:f>IF(AND(ISNUMBER(G1338),F1338&gt;0),G1338/F1338-1,"")</x:f>
        <x:v>0</x:v>
      </x:c>
      <x:c r="K1338" s="19" t="str">
        <x:v>Exp_4/EXP043/results/seed1390358485_BBP.json</x:v>
      </x:c>
    </x:row>
    <x:row r="1339" ht="15" hidden="0" customHeight="1">
      <x:c r="A1339" s="3" t="str">
        <x:v>EXP043</x:v>
      </x:c>
      <x:c r="B1339" s="3" t="str">
        <x:v>Exp. 4</x:v>
      </x:c>
      <x:c r="C1339" s="18" t="n">
        <x:v>1390358485</x:v>
      </x:c>
      <x:c r="D1339" s="3" t="str">
        <x:v>Relative cutoff 1e-5</x:v>
      </x:c>
      <x:c r="E1339" s="18" t="n">
        <x:v>200</x:v>
      </x:c>
      <x:c r="F1339" s="21" t="n">
        <x:v>171.58091836004172</x:v>
      </x:c>
      <x:c r="G1339" s="21" t="n">
        <x:f>F1338</x:f>
        <x:v>171.58091836004172</x:v>
      </x:c>
      <x:c r="H1339" s="21" t="n">
        <x:f>F1343</x:f>
        <x:v>183.36542299172723</x:v>
      </x:c>
      <x:c r="I1339" s="27" t="n">
        <x:f>IF(AND(ISNUMBER(G1339),ISNUMBER(H1339),H1339&gt;0),G1339/H1339-1,"")</x:f>
        <x:v>-0.06426786707882859</x:v>
      </x:c>
      <x:c r="J1339" s="27" t="n">
        <x:f>IF(AND(ISNUMBER(G1339),F1339&gt;0),G1339/F1339-1,"")</x:f>
        <x:v>0</x:v>
      </x:c>
      <x:c r="K1339" s="19" t="str">
        <x:v>Exp_4/EXP043/results/seed1390358485_Relative_cutoff_1e-5.json</x:v>
      </x:c>
    </x:row>
    <x:row r="1340" ht="15" hidden="0" customHeight="1">
      <x:c r="A1340" s="3" t="str">
        <x:v>EXP043</x:v>
      </x:c>
      <x:c r="B1340" s="3" t="str">
        <x:v>Exp. 4</x:v>
      </x:c>
      <x:c r="C1340" s="18" t="n">
        <x:v>1390358485</x:v>
      </x:c>
      <x:c r="D1340" s="3" t="str">
        <x:v>Fixed rank 10</x:v>
      </x:c>
      <x:c r="E1340" s="18" t="n">
        <x:v>200</x:v>
      </x:c>
      <x:c r="F1340" s="21" t="n">
        <x:v>170.40157162969754</x:v>
      </x:c>
      <x:c r="G1340" s="21" t="n">
        <x:f>F1338</x:f>
        <x:v>171.58091836004172</x:v>
      </x:c>
      <x:c r="H1340" s="21" t="n">
        <x:f>F1343</x:f>
        <x:v>183.36542299172723</x:v>
      </x:c>
      <x:c r="I1340" s="27" t="n">
        <x:f>IF(AND(ISNUMBER(G1340),ISNUMBER(H1340),H1340&gt;0),G1340/H1340-1,"")</x:f>
        <x:v>-0.06426786707882859</x:v>
      </x:c>
      <x:c r="J1340" s="27" t="n">
        <x:f>IF(AND(ISNUMBER(G1340),F1340&gt;0),G1340/F1340-1,"")</x:f>
        <x:v>0.006920985053512574</x:v>
      </x:c>
      <x:c r="K1340" s="19" t="str">
        <x:v>Exp_4/EXP043/results/seed1390358485_Fixed_rank_10.json</x:v>
      </x:c>
    </x:row>
    <x:row r="1341" ht="15" hidden="0" customHeight="1">
      <x:c r="A1341" s="3" t="str">
        <x:v>EXP043</x:v>
      </x:c>
      <x:c r="B1341" s="3" t="str">
        <x:v>Exp. 4</x:v>
      </x:c>
      <x:c r="C1341" s="18" t="n">
        <x:v>1390358485</x:v>
      </x:c>
      <x:c r="D1341" s="3" t="str">
        <x:v>Fixed rank 25</x:v>
      </x:c>
      <x:c r="E1341" s="18" t="n">
        <x:v>200</x:v>
      </x:c>
      <x:c r="F1341" s="21" t="n">
        <x:v>171.58091836004172</x:v>
      </x:c>
      <x:c r="G1341" s="21" t="n">
        <x:f>F1338</x:f>
        <x:v>171.58091836004172</x:v>
      </x:c>
      <x:c r="H1341" s="21" t="n">
        <x:f>F1343</x:f>
        <x:v>183.36542299172723</x:v>
      </x:c>
      <x:c r="I1341" s="27" t="n">
        <x:f>IF(AND(ISNUMBER(G1341),ISNUMBER(H1341),H1341&gt;0),G1341/H1341-1,"")</x:f>
        <x:v>-0.06426786707882859</x:v>
      </x:c>
      <x:c r="J1341" s="27" t="n">
        <x:f>IF(AND(ISNUMBER(G1341),F1341&gt;0),G1341/F1341-1,"")</x:f>
        <x:v>0</x:v>
      </x:c>
      <x:c r="K1341" s="19" t="str">
        <x:v>Exp_4/EXP043/results/seed1390358485_Fixed_rank_25.json</x:v>
      </x:c>
    </x:row>
    <x:row r="1342" ht="15" hidden="0" customHeight="1">
      <x:c r="A1342" s="3" t="str">
        <x:v>EXP043</x:v>
      </x:c>
      <x:c r="B1342" s="3" t="str">
        <x:v>Exp. 4</x:v>
      </x:c>
      <x:c r="C1342" s="18" t="n">
        <x:v>1390358485</x:v>
      </x:c>
      <x:c r="D1342" s="3" t="str">
        <x:v>Relative cutoff 1e-6</x:v>
      </x:c>
      <x:c r="E1342" s="18" t="n">
        <x:v>200</x:v>
      </x:c>
      <x:c r="F1342" s="21" t="n">
        <x:v>183.36542299172723</x:v>
      </x:c>
      <x:c r="G1342" s="21" t="n">
        <x:f>F1338</x:f>
        <x:v>171.58091836004172</x:v>
      </x:c>
      <x:c r="H1342" s="21" t="n">
        <x:f>F1343</x:f>
        <x:v>183.36542299172723</x:v>
      </x:c>
      <x:c r="I1342" s="27" t="n">
        <x:f>IF(AND(ISNUMBER(G1342),ISNUMBER(H1342),H1342&gt;0),G1342/H1342-1,"")</x:f>
        <x:v>-0.06426786707882859</x:v>
      </x:c>
      <x:c r="J1342" s="27" t="n">
        <x:f>IF(AND(ISNUMBER(G1342),F1342&gt;0),G1342/F1342-1,"")</x:f>
        <x:v>-0.06426786707882859</x:v>
      </x:c>
      <x:c r="K1342" s="19" t="str">
        <x:v>Exp_4/EXP043/results/seed1390358485_Relative_cutoff_1e-6.json</x:v>
      </x:c>
    </x:row>
    <x:row r="1343" ht="15" hidden="0" customHeight="1">
      <x:c r="A1343" s="3" t="str">
        <x:v>EXP043</x:v>
      </x:c>
      <x:c r="B1343" s="3" t="str">
        <x:v>Exp. 4</x:v>
      </x:c>
      <x:c r="C1343" s="18" t="n">
        <x:v>1390358485</x:v>
      </x:c>
      <x:c r="D1343" s="3" t="str">
        <x:v>Full</x:v>
      </x:c>
      <x:c r="E1343" s="18" t="n">
        <x:v>200</x:v>
      </x:c>
      <x:c r="F1343" s="21" t="n">
        <x:v>183.36542299172723</x:v>
      </x:c>
      <x:c r="G1343" s="21" t="n">
        <x:f>F1338</x:f>
        <x:v>171.58091836004172</x:v>
      </x:c>
      <x:c r="H1343" s="21" t="n">
        <x:f>F1343</x:f>
        <x:v>183.36542299172723</x:v>
      </x:c>
      <x:c r="I1343" s="27" t="n">
        <x:f>IF(AND(ISNUMBER(G1343),ISNUMBER(H1343),H1343&gt;0),G1343/H1343-1,"")</x:f>
        <x:v>-0.06426786707882859</x:v>
      </x:c>
      <x:c r="J1343" s="27" t="n">
        <x:f>IF(AND(ISNUMBER(G1343),F1343&gt;0),G1343/F1343-1,"")</x:f>
        <x:v>-0.06426786707882859</x:v>
      </x:c>
      <x:c r="K1343" s="19" t="str">
        <x:v>Exp_4/EXP043/results/seed1390358485_Full.json</x:v>
      </x:c>
    </x:row>
    <x:row r="1344" ht="15" hidden="0" customHeight="1">
      <x:c r="A1344" s="3" t="str">
        <x:v>EXP043</x:v>
      </x:c>
      <x:c r="B1344" s="3" t="str">
        <x:v>Exp. 4</x:v>
      </x:c>
      <x:c r="C1344" s="18" t="n">
        <x:v>1390358485</x:v>
      </x:c>
      <x:c r="D1344" s="3" t="str">
        <x:v>Relative cutoff 1e-2</x:v>
      </x:c>
      <x:c r="E1344" s="18" t="n">
        <x:v>200</x:v>
      </x:c>
      <x:c r="F1344" s="21" t="n">
        <x:v>170.39463965424494</x:v>
      </x:c>
      <x:c r="G1344" s="21" t="n">
        <x:f>F1338</x:f>
        <x:v>171.58091836004172</x:v>
      </x:c>
      <x:c r="H1344" s="21" t="n">
        <x:f>F1343</x:f>
        <x:v>183.36542299172723</x:v>
      </x:c>
      <x:c r="I1344" s="27" t="n">
        <x:f>IF(AND(ISNUMBER(G1344),ISNUMBER(H1344),H1344&gt;0),G1344/H1344-1,"")</x:f>
        <x:v>-0.06426786707882859</x:v>
      </x:c>
      <x:c r="J1344" s="27" t="n">
        <x:f>IF(AND(ISNUMBER(G1344),F1344&gt;0),G1344/F1344-1,"")</x:f>
        <x:v>0.006961948499107251</x:v>
      </x:c>
      <x:c r="K1344" s="19" t="str">
        <x:v>Exp_4/EXP043/results/seed1390358485_Relative_cutoff_1e-2.json</x:v>
      </x:c>
    </x:row>
    <x:row r="1345" ht="15" hidden="0" customHeight="1">
      <x:c r="A1345" s="3" t="str">
        <x:v>EXP043</x:v>
      </x:c>
      <x:c r="B1345" s="3" t="str">
        <x:v>Exp. 4</x:v>
      </x:c>
      <x:c r="C1345" s="18" t="n">
        <x:v>1390358485</x:v>
      </x:c>
      <x:c r="D1345" s="3" t="str">
        <x:v>Relative cutoff 1e-4</x:v>
      </x:c>
      <x:c r="E1345" s="18" t="n">
        <x:v>200</x:v>
      </x:c>
      <x:c r="F1345" s="21" t="n">
        <x:v>171.58091836004172</x:v>
      </x:c>
      <x:c r="G1345" s="21" t="n">
        <x:f>F1338</x:f>
        <x:v>171.58091836004172</x:v>
      </x:c>
      <x:c r="H1345" s="21" t="n">
        <x:f>F1343</x:f>
        <x:v>183.36542299172723</x:v>
      </x:c>
      <x:c r="I1345" s="27" t="n">
        <x:f>IF(AND(ISNUMBER(G1345),ISNUMBER(H1345),H1345&gt;0),G1345/H1345-1,"")</x:f>
        <x:v>-0.06426786707882859</x:v>
      </x:c>
      <x:c r="J1345" s="27" t="n">
        <x:f>IF(AND(ISNUMBER(G1345),F1345&gt;0),G1345/F1345-1,"")</x:f>
        <x:v>0</x:v>
      </x:c>
      <x:c r="K1345" s="19" t="str">
        <x:v>Exp_4/EXP043/results/seed1390358485_Relative_cutoff_1e-4.json</x:v>
      </x:c>
    </x:row>
    <x:row r="1346" ht="15" hidden="0" customHeight="1">
      <x:c r="A1346" s="3" t="str">
        <x:v>EXP043</x:v>
      </x:c>
      <x:c r="B1346" s="3" t="str">
        <x:v>Exp. 4</x:v>
      </x:c>
      <x:c r="C1346" s="18" t="n">
        <x:v>1711112905</x:v>
      </x:c>
      <x:c r="D1346" s="3" t="str">
        <x:v>BBP</x:v>
      </x:c>
      <x:c r="E1346" s="18" t="n">
        <x:v>200</x:v>
      </x:c>
      <x:c r="F1346" s="21" t="n">
        <x:v>174.303677783953</x:v>
      </x:c>
      <x:c r="G1346" s="21" t="n">
        <x:f>F1346</x:f>
        <x:v>174.303677783953</x:v>
      </x:c>
      <x:c r="H1346" s="21" t="n">
        <x:f>F1351</x:f>
        <x:v>174.303677783953</x:v>
      </x:c>
      <x:c r="I1346" s="27" t="n">
        <x:f>IF(AND(ISNUMBER(G1346),ISNUMBER(H1346),H1346&gt;0),G1346/H1346-1,"")</x:f>
        <x:v>0</x:v>
      </x:c>
      <x:c r="J1346" s="27" t="n">
        <x:f>IF(AND(ISNUMBER(G1346),F1346&gt;0),G1346/F1346-1,"")</x:f>
        <x:v>0</x:v>
      </x:c>
      <x:c r="K1346" s="19" t="str">
        <x:v>Exp_4/EXP043/results/seed1711112905_BBP.json</x:v>
      </x:c>
    </x:row>
    <x:row r="1347" ht="15" hidden="0" customHeight="1">
      <x:c r="A1347" s="3" t="str">
        <x:v>EXP043</x:v>
      </x:c>
      <x:c r="B1347" s="3" t="str">
        <x:v>Exp. 4</x:v>
      </x:c>
      <x:c r="C1347" s="18" t="n">
        <x:v>1711112905</x:v>
      </x:c>
      <x:c r="D1347" s="3" t="str">
        <x:v>Relative cutoff 1e-5</x:v>
      </x:c>
      <x:c r="E1347" s="18" t="n">
        <x:v>200</x:v>
      </x:c>
      <x:c r="F1347" s="21" t="n">
        <x:v>174.303677783953</x:v>
      </x:c>
      <x:c r="G1347" s="21" t="n">
        <x:f>F1346</x:f>
        <x:v>174.303677783953</x:v>
      </x:c>
      <x:c r="H1347" s="21" t="n">
        <x:f>F1351</x:f>
        <x:v>174.303677783953</x:v>
      </x:c>
      <x:c r="I1347" s="27" t="n">
        <x:f>IF(AND(ISNUMBER(G1347),ISNUMBER(H1347),H1347&gt;0),G1347/H1347-1,"")</x:f>
        <x:v>0</x:v>
      </x:c>
      <x:c r="J1347" s="27" t="n">
        <x:f>IF(AND(ISNUMBER(G1347),F1347&gt;0),G1347/F1347-1,"")</x:f>
        <x:v>0</x:v>
      </x:c>
      <x:c r="K1347" s="19" t="str">
        <x:v>Exp_4/EXP043/results/seed1711112905_Relative_cutoff_1e-5.json</x:v>
      </x:c>
    </x:row>
    <x:row r="1348" ht="15" hidden="0" customHeight="1">
      <x:c r="A1348" s="3" t="str">
        <x:v>EXP043</x:v>
      </x:c>
      <x:c r="B1348" s="3" t="str">
        <x:v>Exp. 4</x:v>
      </x:c>
      <x:c r="C1348" s="18" t="n">
        <x:v>1711112905</x:v>
      </x:c>
      <x:c r="D1348" s="3" t="str">
        <x:v>Fixed rank 10</x:v>
      </x:c>
      <x:c r="E1348" s="18" t="n">
        <x:v>200</x:v>
      </x:c>
      <x:c r="F1348" s="21" t="n">
        <x:v>174.17658778092078</x:v>
      </x:c>
      <x:c r="G1348" s="21" t="n">
        <x:f>F1346</x:f>
        <x:v>174.303677783953</x:v>
      </x:c>
      <x:c r="H1348" s="21" t="n">
        <x:f>F1351</x:f>
        <x:v>174.303677783953</x:v>
      </x:c>
      <x:c r="I1348" s="27" t="n">
        <x:f>IF(AND(ISNUMBER(G1348),ISNUMBER(H1348),H1348&gt;0),G1348/H1348-1,"")</x:f>
        <x:v>0</x:v>
      </x:c>
      <x:c r="J1348" s="27" t="n">
        <x:f>IF(AND(ISNUMBER(G1348),F1348&gt;0),G1348/F1348-1,"")</x:f>
        <x:v>0.0007296618027221591</x:v>
      </x:c>
      <x:c r="K1348" s="19" t="str">
        <x:v>Exp_4/EXP043/results/seed1711112905_Fixed_rank_10.json</x:v>
      </x:c>
    </x:row>
    <x:row r="1349" ht="15" hidden="0" customHeight="1">
      <x:c r="A1349" s="3" t="str">
        <x:v>EXP043</x:v>
      </x:c>
      <x:c r="B1349" s="3" t="str">
        <x:v>Exp. 4</x:v>
      </x:c>
      <x:c r="C1349" s="18" t="n">
        <x:v>1711112905</x:v>
      </x:c>
      <x:c r="D1349" s="3" t="str">
        <x:v>Fixed rank 25</x:v>
      </x:c>
      <x:c r="E1349" s="18" t="n">
        <x:v>200</x:v>
      </x:c>
      <x:c r="F1349" s="21" t="n">
        <x:v>174.303677783953</x:v>
      </x:c>
      <x:c r="G1349" s="21" t="n">
        <x:f>F1346</x:f>
        <x:v>174.303677783953</x:v>
      </x:c>
      <x:c r="H1349" s="21" t="n">
        <x:f>F1351</x:f>
        <x:v>174.303677783953</x:v>
      </x:c>
      <x:c r="I1349" s="27" t="n">
        <x:f>IF(AND(ISNUMBER(G1349),ISNUMBER(H1349),H1349&gt;0),G1349/H1349-1,"")</x:f>
        <x:v>0</x:v>
      </x:c>
      <x:c r="J1349" s="27" t="n">
        <x:f>IF(AND(ISNUMBER(G1349),F1349&gt;0),G1349/F1349-1,"")</x:f>
        <x:v>0</x:v>
      </x:c>
      <x:c r="K1349" s="19" t="str">
        <x:v>Exp_4/EXP043/results/seed1711112905_Fixed_rank_25.json</x:v>
      </x:c>
    </x:row>
    <x:row r="1350" ht="15" hidden="0" customHeight="1">
      <x:c r="A1350" s="3" t="str">
        <x:v>EXP043</x:v>
      </x:c>
      <x:c r="B1350" s="3" t="str">
        <x:v>Exp. 4</x:v>
      </x:c>
      <x:c r="C1350" s="18" t="n">
        <x:v>1711112905</x:v>
      </x:c>
      <x:c r="D1350" s="3" t="str">
        <x:v>Relative cutoff 1e-6</x:v>
      </x:c>
      <x:c r="E1350" s="18" t="n">
        <x:v>200</x:v>
      </x:c>
      <x:c r="F1350" s="21" t="n">
        <x:v>174.303677783953</x:v>
      </x:c>
      <x:c r="G1350" s="21" t="n">
        <x:f>F1346</x:f>
        <x:v>174.303677783953</x:v>
      </x:c>
      <x:c r="H1350" s="21" t="n">
        <x:f>F1351</x:f>
        <x:v>174.303677783953</x:v>
      </x:c>
      <x:c r="I1350" s="27" t="n">
        <x:f>IF(AND(ISNUMBER(G1350),ISNUMBER(H1350),H1350&gt;0),G1350/H1350-1,"")</x:f>
        <x:v>0</x:v>
      </x:c>
      <x:c r="J1350" s="27" t="n">
        <x:f>IF(AND(ISNUMBER(G1350),F1350&gt;0),G1350/F1350-1,"")</x:f>
        <x:v>0</x:v>
      </x:c>
      <x:c r="K1350" s="19" t="str">
        <x:v>Exp_4/EXP043/results/seed1711112905_Relative_cutoff_1e-6.json</x:v>
      </x:c>
    </x:row>
    <x:row r="1351" ht="15" hidden="0" customHeight="1">
      <x:c r="A1351" s="3" t="str">
        <x:v>EXP043</x:v>
      </x:c>
      <x:c r="B1351" s="3" t="str">
        <x:v>Exp. 4</x:v>
      </x:c>
      <x:c r="C1351" s="18" t="n">
        <x:v>1711112905</x:v>
      </x:c>
      <x:c r="D1351" s="3" t="str">
        <x:v>Full</x:v>
      </x:c>
      <x:c r="E1351" s="18" t="n">
        <x:v>200</x:v>
      </x:c>
      <x:c r="F1351" s="21" t="n">
        <x:v>174.303677783953</x:v>
      </x:c>
      <x:c r="G1351" s="21" t="n">
        <x:f>F1346</x:f>
        <x:v>174.303677783953</x:v>
      </x:c>
      <x:c r="H1351" s="21" t="n">
        <x:f>F1351</x:f>
        <x:v>174.303677783953</x:v>
      </x:c>
      <x:c r="I1351" s="27" t="n">
        <x:f>IF(AND(ISNUMBER(G1351),ISNUMBER(H1351),H1351&gt;0),G1351/H1351-1,"")</x:f>
        <x:v>0</x:v>
      </x:c>
      <x:c r="J1351" s="27" t="n">
        <x:f>IF(AND(ISNUMBER(G1351),F1351&gt;0),G1351/F1351-1,"")</x:f>
        <x:v>0</x:v>
      </x:c>
      <x:c r="K1351" s="19" t="str">
        <x:v>Exp_4/EXP043/results/seed1711112905_Full.json</x:v>
      </x:c>
    </x:row>
    <x:row r="1352" ht="15" hidden="0" customHeight="1">
      <x:c r="A1352" s="3" t="str">
        <x:v>EXP043</x:v>
      </x:c>
      <x:c r="B1352" s="3" t="str">
        <x:v>Exp. 4</x:v>
      </x:c>
      <x:c r="C1352" s="18" t="n">
        <x:v>1711112905</x:v>
      </x:c>
      <x:c r="D1352" s="3" t="str">
        <x:v>Relative cutoff 1e-2</x:v>
      </x:c>
      <x:c r="E1352" s="18" t="n">
        <x:v>200</x:v>
      </x:c>
      <x:c r="F1352" s="21" t="n">
        <x:v>173.91066036378086</x:v>
      </x:c>
      <x:c r="G1352" s="21" t="n">
        <x:f>F1346</x:f>
        <x:v>174.303677783953</x:v>
      </x:c>
      <x:c r="H1352" s="21" t="n">
        <x:f>F1351</x:f>
        <x:v>174.303677783953</x:v>
      </x:c>
      <x:c r="I1352" s="27" t="n">
        <x:f>IF(AND(ISNUMBER(G1352),ISNUMBER(H1352),H1352&gt;0),G1352/H1352-1,"")</x:f>
        <x:v>0</x:v>
      </x:c>
      <x:c r="J1352" s="27" t="n">
        <x:f>IF(AND(ISNUMBER(G1352),F1352&gt;0),G1352/F1352-1,"")</x:f>
        <x:v>0.0022598811329335167</x:v>
      </x:c>
      <x:c r="K1352" s="19" t="str">
        <x:v>Exp_4/EXP043/results/seed1711112905_Relative_cutoff_1e-2.json</x:v>
      </x:c>
    </x:row>
    <x:row r="1353" ht="15" hidden="0" customHeight="1">
      <x:c r="A1353" s="3" t="str">
        <x:v>EXP043</x:v>
      </x:c>
      <x:c r="B1353" s="3" t="str">
        <x:v>Exp. 4</x:v>
      </x:c>
      <x:c r="C1353" s="18" t="n">
        <x:v>1711112905</x:v>
      </x:c>
      <x:c r="D1353" s="3" t="str">
        <x:v>Relative cutoff 1e-4</x:v>
      </x:c>
      <x:c r="E1353" s="18" t="n">
        <x:v>200</x:v>
      </x:c>
      <x:c r="F1353" s="21" t="n">
        <x:v>174.303677783953</x:v>
      </x:c>
      <x:c r="G1353" s="21" t="n">
        <x:f>F1346</x:f>
        <x:v>174.303677783953</x:v>
      </x:c>
      <x:c r="H1353" s="21" t="n">
        <x:f>F1351</x:f>
        <x:v>174.303677783953</x:v>
      </x:c>
      <x:c r="I1353" s="27" t="n">
        <x:f>IF(AND(ISNUMBER(G1353),ISNUMBER(H1353),H1353&gt;0),G1353/H1353-1,"")</x:f>
        <x:v>0</x:v>
      </x:c>
      <x:c r="J1353" s="27" t="n">
        <x:f>IF(AND(ISNUMBER(G1353),F1353&gt;0),G1353/F1353-1,"")</x:f>
        <x:v>0</x:v>
      </x:c>
      <x:c r="K1353" s="19" t="str">
        <x:v>Exp_4/EXP043/results/seed1711112905_Relative_cutoff_1e-4.json</x:v>
      </x:c>
    </x:row>
    <x:row r="1354" ht="15" hidden="0" customHeight="1">
      <x:c r="A1354" s="3" t="str">
        <x:v>EXP046</x:v>
      </x:c>
      <x:c r="B1354" s="3" t="str">
        <x:v>Exp. 4</x:v>
      </x:c>
      <x:c r="C1354" s="18" t="n">
        <x:v>1000</x:v>
      </x:c>
      <x:c r="D1354" s="3" t="str">
        <x:v>Fixed rank 10</x:v>
      </x:c>
      <x:c r="E1354" s="18" t="n">
        <x:v>200</x:v>
      </x:c>
      <x:c r="F1354" s="21" t="n">
        <x:v>179.14701717317763</x:v>
      </x:c>
      <x:c r="G1354" s="21" t="str">
        <x:f>""</x:f>
      </x:c>
      <x:c r="H1354" s="21" t="n">
        <x:f>F1357</x:f>
        <x:v>178.884205779833</x:v>
      </x:c>
      <x:c r="I1354" s="27" t="str">
        <x:f>IF(AND(ISNUMBER(G1354),ISNUMBER(H1354),H1354&gt;0),G1354/H1354-1,"")</x:f>
      </x:c>
      <x:c r="J1354" s="27" t="str">
        <x:f>IF(AND(ISNUMBER(G1354),F1354&gt;0),G1354/F1354-1,"")</x:f>
      </x:c>
      <x:c r="K1354" s="19" t="str">
        <x:v>Exp_4/EXP046/results/seed1000_Fixed_rank_10.json</x:v>
      </x:c>
    </x:row>
    <x:row r="1355" ht="15" hidden="0" customHeight="1">
      <x:c r="A1355" s="3" t="str">
        <x:v>EXP046</x:v>
      </x:c>
      <x:c r="B1355" s="3" t="str">
        <x:v>Exp. 4</x:v>
      </x:c>
      <x:c r="C1355" s="18" t="n">
        <x:v>1000</x:v>
      </x:c>
      <x:c r="D1355" s="3" t="str">
        <x:v>Fixed rank 3</x:v>
      </x:c>
      <x:c r="E1355" s="18" t="n">
        <x:v>200</x:v>
      </x:c>
      <x:c r="F1355" s="21" t="n">
        <x:v>168.2416402756882</x:v>
      </x:c>
      <x:c r="G1355" s="21" t="str">
        <x:f>""</x:f>
      </x:c>
      <x:c r="H1355" s="21" t="n">
        <x:f>F1357</x:f>
        <x:v>178.884205779833</x:v>
      </x:c>
      <x:c r="I1355" s="27" t="str">
        <x:f>IF(AND(ISNUMBER(G1355),ISNUMBER(H1355),H1355&gt;0),G1355/H1355-1,"")</x:f>
      </x:c>
      <x:c r="J1355" s="27" t="str">
        <x:f>IF(AND(ISNUMBER(G1355),F1355&gt;0),G1355/F1355-1,"")</x:f>
      </x:c>
      <x:c r="K1355" s="19" t="str">
        <x:v>Exp_4/EXP046/results/seed1000_Fixed_rank_3.json</x:v>
      </x:c>
    </x:row>
    <x:row r="1356" ht="15" hidden="0" customHeight="1">
      <x:c r="A1356" s="3" t="str">
        <x:v>EXP046</x:v>
      </x:c>
      <x:c r="B1356" s="3" t="str">
        <x:v>Exp. 4</x:v>
      </x:c>
      <x:c r="C1356" s="18" t="n">
        <x:v>1000</x:v>
      </x:c>
      <x:c r="D1356" s="3" t="str">
        <x:v>Fixed rank 5</x:v>
      </x:c>
      <x:c r="E1356" s="18" t="n">
        <x:v>200</x:v>
      </x:c>
      <x:c r="F1356" s="21" t="n">
        <x:v>176.4741076500446</x:v>
      </x:c>
      <x:c r="G1356" s="21" t="str">
        <x:f>""</x:f>
      </x:c>
      <x:c r="H1356" s="21" t="n">
        <x:f>F1357</x:f>
        <x:v>178.884205779833</x:v>
      </x:c>
      <x:c r="I1356" s="27" t="str">
        <x:f>IF(AND(ISNUMBER(G1356),ISNUMBER(H1356),H1356&gt;0),G1356/H1356-1,"")</x:f>
      </x:c>
      <x:c r="J1356" s="27" t="str">
        <x:f>IF(AND(ISNUMBER(G1356),F1356&gt;0),G1356/F1356-1,"")</x:f>
      </x:c>
      <x:c r="K1356" s="19" t="str">
        <x:v>Exp_4/EXP046/results/seed1000_Fixed_rank_5.json</x:v>
      </x:c>
    </x:row>
    <x:row r="1357" ht="15" hidden="0" customHeight="1">
      <x:c r="A1357" s="3" t="str">
        <x:v>EXP046</x:v>
      </x:c>
      <x:c r="B1357" s="3" t="str">
        <x:v>Exp. 4</x:v>
      </x:c>
      <x:c r="C1357" s="18" t="n">
        <x:v>1000</x:v>
      </x:c>
      <x:c r="D1357" s="3" t="str">
        <x:v>Full</x:v>
      </x:c>
      <x:c r="E1357" s="18" t="n">
        <x:v>200</x:v>
      </x:c>
      <x:c r="F1357" s="21" t="n">
        <x:v>178.884205779833</x:v>
      </x:c>
      <x:c r="G1357" s="21" t="str">
        <x:f>""</x:f>
      </x:c>
      <x:c r="H1357" s="21" t="n">
        <x:f>F1357</x:f>
        <x:v>178.884205779833</x:v>
      </x:c>
      <x:c r="I1357" s="27" t="str">
        <x:f>IF(AND(ISNUMBER(G1357),ISNUMBER(H1357),H1357&gt;0),G1357/H1357-1,"")</x:f>
      </x:c>
      <x:c r="J1357" s="27" t="str">
        <x:f>IF(AND(ISNUMBER(G1357),F1357&gt;0),G1357/F1357-1,"")</x:f>
      </x:c>
      <x:c r="K1357" s="19" t="str">
        <x:v>Exp_4/EXP046/results/seed1000_Full.json</x:v>
      </x:c>
    </x:row>
    <x:row r="1358" ht="15" hidden="0" customHeight="1">
      <x:c r="A1358" s="3" t="str">
        <x:v>EXP046</x:v>
      </x:c>
      <x:c r="B1358" s="3" t="str">
        <x:v>Exp. 4</x:v>
      </x:c>
      <x:c r="C1358" s="18" t="n">
        <x:v>1000</x:v>
      </x:c>
      <x:c r="D1358" s="3" t="str">
        <x:v>Relative cutoff 1e-2</x:v>
      </x:c>
      <x:c r="E1358" s="18" t="n">
        <x:v>200</x:v>
      </x:c>
      <x:c r="F1358" s="21" t="n">
        <x:v>166.8301313116155</x:v>
      </x:c>
      <x:c r="G1358" s="21" t="str">
        <x:f>""</x:f>
      </x:c>
      <x:c r="H1358" s="21" t="n">
        <x:f>F1357</x:f>
        <x:v>178.884205779833</x:v>
      </x:c>
      <x:c r="I1358" s="27" t="str">
        <x:f>IF(AND(ISNUMBER(G1358),ISNUMBER(H1358),H1358&gt;0),G1358/H1358-1,"")</x:f>
      </x:c>
      <x:c r="J1358" s="27" t="str">
        <x:f>IF(AND(ISNUMBER(G1358),F1358&gt;0),G1358/F1358-1,"")</x:f>
      </x:c>
      <x:c r="K1358" s="19" t="str">
        <x:v>Exp_4/EXP046/results/seed1000_Relative_cutoff_1e-2.json</x:v>
      </x:c>
    </x:row>
    <x:row r="1359" ht="15" hidden="0" customHeight="1">
      <x:c r="A1359" s="3" t="str">
        <x:v>EXP046</x:v>
      </x:c>
      <x:c r="B1359" s="3" t="str">
        <x:v>Exp. 4</x:v>
      </x:c>
      <x:c r="C1359" s="18" t="n">
        <x:v>1001</x:v>
      </x:c>
      <x:c r="D1359" s="3" t="str">
        <x:v>Fixed rank 10</x:v>
      </x:c>
      <x:c r="E1359" s="18" t="n">
        <x:v>200</x:v>
      </x:c>
      <x:c r="F1359" s="21" t="n">
        <x:v>172.1258218754841</x:v>
      </x:c>
      <x:c r="G1359" s="21" t="str">
        <x:f>""</x:f>
      </x:c>
      <x:c r="H1359" s="21" t="n">
        <x:f>F1362</x:f>
        <x:v>179.17721023378587</x:v>
      </x:c>
      <x:c r="I1359" s="27" t="str">
        <x:f>IF(AND(ISNUMBER(G1359),ISNUMBER(H1359),H1359&gt;0),G1359/H1359-1,"")</x:f>
      </x:c>
      <x:c r="J1359" s="27" t="str">
        <x:f>IF(AND(ISNUMBER(G1359),F1359&gt;0),G1359/F1359-1,"")</x:f>
      </x:c>
      <x:c r="K1359" s="19" t="str">
        <x:v>Exp_4/EXP046/results/seed1001_Fixed_rank_10.json</x:v>
      </x:c>
    </x:row>
    <x:row r="1360" ht="15" hidden="0" customHeight="1">
      <x:c r="A1360" s="3" t="str">
        <x:v>EXP046</x:v>
      </x:c>
      <x:c r="B1360" s="3" t="str">
        <x:v>Exp. 4</x:v>
      </x:c>
      <x:c r="C1360" s="18" t="n">
        <x:v>1001</x:v>
      </x:c>
      <x:c r="D1360" s="3" t="str">
        <x:v>Fixed rank 3</x:v>
      </x:c>
      <x:c r="E1360" s="18" t="n">
        <x:v>200</x:v>
      </x:c>
      <x:c r="F1360" s="21" t="n">
        <x:v>179.02696317507028</x:v>
      </x:c>
      <x:c r="G1360" s="21" t="str">
        <x:f>""</x:f>
      </x:c>
      <x:c r="H1360" s="21" t="n">
        <x:f>F1362</x:f>
        <x:v>179.17721023378587</x:v>
      </x:c>
      <x:c r="I1360" s="27" t="str">
        <x:f>IF(AND(ISNUMBER(G1360),ISNUMBER(H1360),H1360&gt;0),G1360/H1360-1,"")</x:f>
      </x:c>
      <x:c r="J1360" s="27" t="str">
        <x:f>IF(AND(ISNUMBER(G1360),F1360&gt;0),G1360/F1360-1,"")</x:f>
      </x:c>
      <x:c r="K1360" s="19" t="str">
        <x:v>Exp_4/EXP046/results/seed1001_Fixed_rank_3.json</x:v>
      </x:c>
    </x:row>
    <x:row r="1361" ht="15" hidden="0" customHeight="1">
      <x:c r="A1361" s="3" t="str">
        <x:v>EXP046</x:v>
      </x:c>
      <x:c r="B1361" s="3" t="str">
        <x:v>Exp. 4</x:v>
      </x:c>
      <x:c r="C1361" s="18" t="n">
        <x:v>1001</x:v>
      </x:c>
      <x:c r="D1361" s="3" t="str">
        <x:v>Fixed rank 5</x:v>
      </x:c>
      <x:c r="E1361" s="18" t="n">
        <x:v>200</x:v>
      </x:c>
      <x:c r="F1361" s="21" t="n">
        <x:v>180.91988482894212</x:v>
      </x:c>
      <x:c r="G1361" s="21" t="str">
        <x:f>""</x:f>
      </x:c>
      <x:c r="H1361" s="21" t="n">
        <x:f>F1362</x:f>
        <x:v>179.17721023378587</x:v>
      </x:c>
      <x:c r="I1361" s="27" t="str">
        <x:f>IF(AND(ISNUMBER(G1361),ISNUMBER(H1361),H1361&gt;0),G1361/H1361-1,"")</x:f>
      </x:c>
      <x:c r="J1361" s="27" t="str">
        <x:f>IF(AND(ISNUMBER(G1361),F1361&gt;0),G1361/F1361-1,"")</x:f>
      </x:c>
      <x:c r="K1361" s="19" t="str">
        <x:v>Exp_4/EXP046/results/seed1001_Fixed_rank_5.json</x:v>
      </x:c>
    </x:row>
    <x:row r="1362" ht="15" hidden="0" customHeight="1">
      <x:c r="A1362" s="3" t="str">
        <x:v>EXP046</x:v>
      </x:c>
      <x:c r="B1362" s="3" t="str">
        <x:v>Exp. 4</x:v>
      </x:c>
      <x:c r="C1362" s="18" t="n">
        <x:v>1001</x:v>
      </x:c>
      <x:c r="D1362" s="3" t="str">
        <x:v>Full</x:v>
      </x:c>
      <x:c r="E1362" s="18" t="n">
        <x:v>200</x:v>
      </x:c>
      <x:c r="F1362" s="21" t="n">
        <x:v>179.17721023378587</x:v>
      </x:c>
      <x:c r="G1362" s="21" t="str">
        <x:f>""</x:f>
      </x:c>
      <x:c r="H1362" s="21" t="n">
        <x:f>F1362</x:f>
        <x:v>179.17721023378587</x:v>
      </x:c>
      <x:c r="I1362" s="27" t="str">
        <x:f>IF(AND(ISNUMBER(G1362),ISNUMBER(H1362),H1362&gt;0),G1362/H1362-1,"")</x:f>
      </x:c>
      <x:c r="J1362" s="27" t="str">
        <x:f>IF(AND(ISNUMBER(G1362),F1362&gt;0),G1362/F1362-1,"")</x:f>
      </x:c>
      <x:c r="K1362" s="19" t="str">
        <x:v>Exp_4/EXP046/results/seed1001_Full.json</x:v>
      </x:c>
    </x:row>
    <x:row r="1363" ht="15" hidden="0" customHeight="1">
      <x:c r="A1363" s="3" t="str">
        <x:v>EXP046</x:v>
      </x:c>
      <x:c r="B1363" s="3" t="str">
        <x:v>Exp. 4</x:v>
      </x:c>
      <x:c r="C1363" s="18" t="n">
        <x:v>1001</x:v>
      </x:c>
      <x:c r="D1363" s="3" t="str">
        <x:v>Relative cutoff 1e-2</x:v>
      </x:c>
      <x:c r="E1363" s="18" t="n">
        <x:v>200</x:v>
      </x:c>
      <x:c r="F1363" s="21" t="n">
        <x:v>180.91202005329973</x:v>
      </x:c>
      <x:c r="G1363" s="21" t="str">
        <x:f>""</x:f>
      </x:c>
      <x:c r="H1363" s="21" t="n">
        <x:f>F1362</x:f>
        <x:v>179.17721023378587</x:v>
      </x:c>
      <x:c r="I1363" s="27" t="str">
        <x:f>IF(AND(ISNUMBER(G1363),ISNUMBER(H1363),H1363&gt;0),G1363/H1363-1,"")</x:f>
      </x:c>
      <x:c r="J1363" s="27" t="str">
        <x:f>IF(AND(ISNUMBER(G1363),F1363&gt;0),G1363/F1363-1,"")</x:f>
      </x:c>
      <x:c r="K1363" s="19" t="str">
        <x:v>Exp_4/EXP046/results/seed1001_Relative_cutoff_1e-2.json</x:v>
      </x:c>
    </x:row>
    <x:row r="1364" ht="15" hidden="0" customHeight="1">
      <x:c r="A1364" s="3" t="str">
        <x:v>EXP046</x:v>
      </x:c>
      <x:c r="B1364" s="3" t="str">
        <x:v>Exp. 4</x:v>
      </x:c>
      <x:c r="C1364" s="18" t="n">
        <x:v>1002</x:v>
      </x:c>
      <x:c r="D1364" s="3" t="str">
        <x:v>Fixed rank 10</x:v>
      </x:c>
      <x:c r="E1364" s="18" t="n">
        <x:v>200</x:v>
      </x:c>
      <x:c r="F1364" s="21" t="n">
        <x:v>160.27533729323395</x:v>
      </x:c>
      <x:c r="G1364" s="21" t="str">
        <x:f>""</x:f>
      </x:c>
      <x:c r="H1364" s="21" t="n">
        <x:f>F1367</x:f>
        <x:v>159.4367553779468</x:v>
      </x:c>
      <x:c r="I1364" s="27" t="str">
        <x:f>IF(AND(ISNUMBER(G1364),ISNUMBER(H1364),H1364&gt;0),G1364/H1364-1,"")</x:f>
      </x:c>
      <x:c r="J1364" s="27" t="str">
        <x:f>IF(AND(ISNUMBER(G1364),F1364&gt;0),G1364/F1364-1,"")</x:f>
      </x:c>
      <x:c r="K1364" s="19" t="str">
        <x:v>Exp_4/EXP046/results/seed1002_Fixed_rank_10.json</x:v>
      </x:c>
    </x:row>
    <x:row r="1365" ht="15" hidden="0" customHeight="1">
      <x:c r="A1365" s="3" t="str">
        <x:v>EXP046</x:v>
      </x:c>
      <x:c r="B1365" s="3" t="str">
        <x:v>Exp. 4</x:v>
      </x:c>
      <x:c r="C1365" s="18" t="n">
        <x:v>1002</x:v>
      </x:c>
      <x:c r="D1365" s="3" t="str">
        <x:v>Fixed rank 3</x:v>
      </x:c>
      <x:c r="E1365" s="18" t="n">
        <x:v>200</x:v>
      </x:c>
      <x:c r="F1365" s="21" t="n">
        <x:v>174.49406394434567</x:v>
      </x:c>
      <x:c r="G1365" s="21" t="str">
        <x:f>""</x:f>
      </x:c>
      <x:c r="H1365" s="21" t="n">
        <x:f>F1367</x:f>
        <x:v>159.4367553779468</x:v>
      </x:c>
      <x:c r="I1365" s="27" t="str">
        <x:f>IF(AND(ISNUMBER(G1365),ISNUMBER(H1365),H1365&gt;0),G1365/H1365-1,"")</x:f>
      </x:c>
      <x:c r="J1365" s="27" t="str">
        <x:f>IF(AND(ISNUMBER(G1365),F1365&gt;0),G1365/F1365-1,"")</x:f>
      </x:c>
      <x:c r="K1365" s="19" t="str">
        <x:v>Exp_4/EXP046/results/seed1002_Fixed_rank_3.json</x:v>
      </x:c>
    </x:row>
    <x:row r="1366" ht="15" hidden="0" customHeight="1">
      <x:c r="A1366" s="3" t="str">
        <x:v>EXP046</x:v>
      </x:c>
      <x:c r="B1366" s="3" t="str">
        <x:v>Exp. 4</x:v>
      </x:c>
      <x:c r="C1366" s="18" t="n">
        <x:v>1002</x:v>
      </x:c>
      <x:c r="D1366" s="3" t="str">
        <x:v>Fixed rank 5</x:v>
      </x:c>
      <x:c r="E1366" s="18" t="n">
        <x:v>200</x:v>
      </x:c>
      <x:c r="F1366" s="21" t="n">
        <x:v>156.84987482481782</x:v>
      </x:c>
      <x:c r="G1366" s="21" t="str">
        <x:f>""</x:f>
      </x:c>
      <x:c r="H1366" s="21" t="n">
        <x:f>F1367</x:f>
        <x:v>159.4367553779468</x:v>
      </x:c>
      <x:c r="I1366" s="27" t="str">
        <x:f>IF(AND(ISNUMBER(G1366),ISNUMBER(H1366),H1366&gt;0),G1366/H1366-1,"")</x:f>
      </x:c>
      <x:c r="J1366" s="27" t="str">
        <x:f>IF(AND(ISNUMBER(G1366),F1366&gt;0),G1366/F1366-1,"")</x:f>
      </x:c>
      <x:c r="K1366" s="19" t="str">
        <x:v>Exp_4/EXP046/results/seed1002_Fixed_rank_5.json</x:v>
      </x:c>
    </x:row>
    <x:row r="1367" ht="15" hidden="0" customHeight="1">
      <x:c r="A1367" s="3" t="str">
        <x:v>EXP046</x:v>
      </x:c>
      <x:c r="B1367" s="3" t="str">
        <x:v>Exp. 4</x:v>
      </x:c>
      <x:c r="C1367" s="18" t="n">
        <x:v>1002</x:v>
      </x:c>
      <x:c r="D1367" s="3" t="str">
        <x:v>Full</x:v>
      </x:c>
      <x:c r="E1367" s="18" t="n">
        <x:v>200</x:v>
      </x:c>
      <x:c r="F1367" s="21" t="n">
        <x:v>159.4367553779468</x:v>
      </x:c>
      <x:c r="G1367" s="21" t="str">
        <x:f>""</x:f>
      </x:c>
      <x:c r="H1367" s="21" t="n">
        <x:f>F1367</x:f>
        <x:v>159.4367553779468</x:v>
      </x:c>
      <x:c r="I1367" s="27" t="str">
        <x:f>IF(AND(ISNUMBER(G1367),ISNUMBER(H1367),H1367&gt;0),G1367/H1367-1,"")</x:f>
      </x:c>
      <x:c r="J1367" s="27" t="str">
        <x:f>IF(AND(ISNUMBER(G1367),F1367&gt;0),G1367/F1367-1,"")</x:f>
      </x:c>
      <x:c r="K1367" s="19" t="str">
        <x:v>Exp_4/EXP046/results/seed1002_Full.json</x:v>
      </x:c>
    </x:row>
    <x:row r="1368" ht="15" hidden="0" customHeight="1">
      <x:c r="A1368" s="3" t="str">
        <x:v>EXP046</x:v>
      </x:c>
      <x:c r="B1368" s="3" t="str">
        <x:v>Exp. 4</x:v>
      </x:c>
      <x:c r="C1368" s="18" t="n">
        <x:v>1002</x:v>
      </x:c>
      <x:c r="D1368" s="3" t="str">
        <x:v>Relative cutoff 1e-2</x:v>
      </x:c>
      <x:c r="E1368" s="18" t="n">
        <x:v>200</x:v>
      </x:c>
      <x:c r="F1368" s="21" t="n">
        <x:v>157.55639611652364</x:v>
      </x:c>
      <x:c r="G1368" s="21" t="str">
        <x:f>""</x:f>
      </x:c>
      <x:c r="H1368" s="21" t="n">
        <x:f>F1367</x:f>
        <x:v>159.4367553779468</x:v>
      </x:c>
      <x:c r="I1368" s="27" t="str">
        <x:f>IF(AND(ISNUMBER(G1368),ISNUMBER(H1368),H1368&gt;0),G1368/H1368-1,"")</x:f>
      </x:c>
      <x:c r="J1368" s="27" t="str">
        <x:f>IF(AND(ISNUMBER(G1368),F1368&gt;0),G1368/F1368-1,"")</x:f>
      </x:c>
      <x:c r="K1368" s="19" t="str">
        <x:v>Exp_4/EXP046/results/seed1002_Relative_cutoff_1e-2.json</x:v>
      </x:c>
    </x:row>
    <x:row r="1369" ht="15" hidden="0" customHeight="1">
      <x:c r="A1369" s="3" t="str">
        <x:v>EXP046</x:v>
      </x:c>
      <x:c r="B1369" s="3" t="str">
        <x:v>Exp. 4</x:v>
      </x:c>
      <x:c r="C1369" s="18" t="n">
        <x:v>1003</x:v>
      </x:c>
      <x:c r="D1369" s="3" t="str">
        <x:v>Fixed rank 10</x:v>
      </x:c>
      <x:c r="E1369" s="18" t="n">
        <x:v>200</x:v>
      </x:c>
      <x:c r="F1369" s="21" t="n">
        <x:v>194.36981479223826</x:v>
      </x:c>
      <x:c r="G1369" s="21" t="str">
        <x:f>""</x:f>
      </x:c>
      <x:c r="H1369" s="21" t="n">
        <x:f>F1372</x:f>
        <x:v>186.2696892961123</x:v>
      </x:c>
      <x:c r="I1369" s="27" t="str">
        <x:f>IF(AND(ISNUMBER(G1369),ISNUMBER(H1369),H1369&gt;0),G1369/H1369-1,"")</x:f>
      </x:c>
      <x:c r="J1369" s="27" t="str">
        <x:f>IF(AND(ISNUMBER(G1369),F1369&gt;0),G1369/F1369-1,"")</x:f>
      </x:c>
      <x:c r="K1369" s="19" t="str">
        <x:v>Exp_4/EXP046/results/seed1003_Fixed_rank_10.json</x:v>
      </x:c>
    </x:row>
    <x:row r="1370" ht="15" hidden="0" customHeight="1">
      <x:c r="A1370" s="3" t="str">
        <x:v>EXP046</x:v>
      </x:c>
      <x:c r="B1370" s="3" t="str">
        <x:v>Exp. 4</x:v>
      </x:c>
      <x:c r="C1370" s="18" t="n">
        <x:v>1003</x:v>
      </x:c>
      <x:c r="D1370" s="3" t="str">
        <x:v>Fixed rank 3</x:v>
      </x:c>
      <x:c r="E1370" s="18" t="n">
        <x:v>200</x:v>
      </x:c>
      <x:c r="F1370" s="21" t="n">
        <x:v>184.1873814792491</x:v>
      </x:c>
      <x:c r="G1370" s="21" t="str">
        <x:f>""</x:f>
      </x:c>
      <x:c r="H1370" s="21" t="n">
        <x:f>F1372</x:f>
        <x:v>186.2696892961123</x:v>
      </x:c>
      <x:c r="I1370" s="27" t="str">
        <x:f>IF(AND(ISNUMBER(G1370),ISNUMBER(H1370),H1370&gt;0),G1370/H1370-1,"")</x:f>
      </x:c>
      <x:c r="J1370" s="27" t="str">
        <x:f>IF(AND(ISNUMBER(G1370),F1370&gt;0),G1370/F1370-1,"")</x:f>
      </x:c>
      <x:c r="K1370" s="19" t="str">
        <x:v>Exp_4/EXP046/results/seed1003_Fixed_rank_3.json</x:v>
      </x:c>
    </x:row>
    <x:row r="1371" ht="15" hidden="0" customHeight="1">
      <x:c r="A1371" s="3" t="str">
        <x:v>EXP046</x:v>
      </x:c>
      <x:c r="B1371" s="3" t="str">
        <x:v>Exp. 4</x:v>
      </x:c>
      <x:c r="C1371" s="18" t="n">
        <x:v>1003</x:v>
      </x:c>
      <x:c r="D1371" s="3" t="str">
        <x:v>Fixed rank 5</x:v>
      </x:c>
      <x:c r="E1371" s="18" t="n">
        <x:v>200</x:v>
      </x:c>
      <x:c r="F1371" s="21" t="n">
        <x:v>185.5231726609127</x:v>
      </x:c>
      <x:c r="G1371" s="21" t="str">
        <x:f>""</x:f>
      </x:c>
      <x:c r="H1371" s="21" t="n">
        <x:f>F1372</x:f>
        <x:v>186.2696892961123</x:v>
      </x:c>
      <x:c r="I1371" s="27" t="str">
        <x:f>IF(AND(ISNUMBER(G1371),ISNUMBER(H1371),H1371&gt;0),G1371/H1371-1,"")</x:f>
      </x:c>
      <x:c r="J1371" s="27" t="str">
        <x:f>IF(AND(ISNUMBER(G1371),F1371&gt;0),G1371/F1371-1,"")</x:f>
      </x:c>
      <x:c r="K1371" s="19" t="str">
        <x:v>Exp_4/EXP046/results/seed1003_Fixed_rank_5.json</x:v>
      </x:c>
    </x:row>
    <x:row r="1372" ht="15" hidden="0" customHeight="1">
      <x:c r="A1372" s="3" t="str">
        <x:v>EXP046</x:v>
      </x:c>
      <x:c r="B1372" s="3" t="str">
        <x:v>Exp. 4</x:v>
      </x:c>
      <x:c r="C1372" s="18" t="n">
        <x:v>1003</x:v>
      </x:c>
      <x:c r="D1372" s="3" t="str">
        <x:v>Full</x:v>
      </x:c>
      <x:c r="E1372" s="18" t="n">
        <x:v>200</x:v>
      </x:c>
      <x:c r="F1372" s="21" t="n">
        <x:v>186.2696892961123</x:v>
      </x:c>
      <x:c r="G1372" s="21" t="str">
        <x:f>""</x:f>
      </x:c>
      <x:c r="H1372" s="21" t="n">
        <x:f>F1372</x:f>
        <x:v>186.2696892961123</x:v>
      </x:c>
      <x:c r="I1372" s="27" t="str">
        <x:f>IF(AND(ISNUMBER(G1372),ISNUMBER(H1372),H1372&gt;0),G1372/H1372-1,"")</x:f>
      </x:c>
      <x:c r="J1372" s="27" t="str">
        <x:f>IF(AND(ISNUMBER(G1372),F1372&gt;0),G1372/F1372-1,"")</x:f>
      </x:c>
      <x:c r="K1372" s="19" t="str">
        <x:v>Exp_4/EXP046/results/seed1003_Full.json</x:v>
      </x:c>
    </x:row>
    <x:row r="1373" ht="15" hidden="0" customHeight="1">
      <x:c r="A1373" s="3" t="str">
        <x:v>EXP046</x:v>
      </x:c>
      <x:c r="B1373" s="3" t="str">
        <x:v>Exp. 4</x:v>
      </x:c>
      <x:c r="C1373" s="18" t="n">
        <x:v>1003</x:v>
      </x:c>
      <x:c r="D1373" s="3" t="str">
        <x:v>Relative cutoff 1e-2</x:v>
      </x:c>
      <x:c r="E1373" s="18" t="n">
        <x:v>200</x:v>
      </x:c>
      <x:c r="F1373" s="21" t="n">
        <x:v>184.1873814792491</x:v>
      </x:c>
      <x:c r="G1373" s="21" t="str">
        <x:f>""</x:f>
      </x:c>
      <x:c r="H1373" s="21" t="n">
        <x:f>F1372</x:f>
        <x:v>186.2696892961123</x:v>
      </x:c>
      <x:c r="I1373" s="27" t="str">
        <x:f>IF(AND(ISNUMBER(G1373),ISNUMBER(H1373),H1373&gt;0),G1373/H1373-1,"")</x:f>
      </x:c>
      <x:c r="J1373" s="27" t="str">
        <x:f>IF(AND(ISNUMBER(G1373),F1373&gt;0),G1373/F1373-1,"")</x:f>
      </x:c>
      <x:c r="K1373" s="19" t="str">
        <x:v>Exp_4/EXP046/results/seed1003_Relative_cutoff_1e-2.json</x:v>
      </x:c>
    </x:row>
    <x:row r="1374" ht="15" hidden="0" customHeight="1">
      <x:c r="A1374" s="3" t="str">
        <x:v>EXP046</x:v>
      </x:c>
      <x:c r="B1374" s="3" t="str">
        <x:v>Exp. 4</x:v>
      </x:c>
      <x:c r="C1374" s="18" t="n">
        <x:v>1004</x:v>
      </x:c>
      <x:c r="D1374" s="3" t="str">
        <x:v>Fixed rank 10</x:v>
      </x:c>
      <x:c r="E1374" s="18" t="n">
        <x:v>200</x:v>
      </x:c>
      <x:c r="F1374" s="21" t="n">
        <x:v>176.346895051081</x:v>
      </x:c>
      <x:c r="G1374" s="21" t="str">
        <x:f>""</x:f>
      </x:c>
      <x:c r="H1374" s="21" t="n">
        <x:f>F1377</x:f>
        <x:v>168.04798931369015</x:v>
      </x:c>
      <x:c r="I1374" s="27" t="str">
        <x:f>IF(AND(ISNUMBER(G1374),ISNUMBER(H1374),H1374&gt;0),G1374/H1374-1,"")</x:f>
      </x:c>
      <x:c r="J1374" s="27" t="str">
        <x:f>IF(AND(ISNUMBER(G1374),F1374&gt;0),G1374/F1374-1,"")</x:f>
      </x:c>
      <x:c r="K1374" s="19" t="str">
        <x:v>Exp_4/EXP046/results/seed1004_Fixed_rank_10.json</x:v>
      </x:c>
    </x:row>
    <x:row r="1375" ht="15" hidden="0" customHeight="1">
      <x:c r="A1375" s="3" t="str">
        <x:v>EXP046</x:v>
      </x:c>
      <x:c r="B1375" s="3" t="str">
        <x:v>Exp. 4</x:v>
      </x:c>
      <x:c r="C1375" s="18" t="n">
        <x:v>1004</x:v>
      </x:c>
      <x:c r="D1375" s="3" t="str">
        <x:v>Fixed rank 3</x:v>
      </x:c>
      <x:c r="E1375" s="18" t="n">
        <x:v>200</x:v>
      </x:c>
      <x:c r="F1375" s="21" t="n">
        <x:v>177.93031634986204</x:v>
      </x:c>
      <x:c r="G1375" s="21" t="str">
        <x:f>""</x:f>
      </x:c>
      <x:c r="H1375" s="21" t="n">
        <x:f>F1377</x:f>
        <x:v>168.04798931369015</x:v>
      </x:c>
      <x:c r="I1375" s="27" t="str">
        <x:f>IF(AND(ISNUMBER(G1375),ISNUMBER(H1375),H1375&gt;0),G1375/H1375-1,"")</x:f>
      </x:c>
      <x:c r="J1375" s="27" t="str">
        <x:f>IF(AND(ISNUMBER(G1375),F1375&gt;0),G1375/F1375-1,"")</x:f>
      </x:c>
      <x:c r="K1375" s="19" t="str">
        <x:v>Exp_4/EXP046/results/seed1004_Fixed_rank_3.json</x:v>
      </x:c>
    </x:row>
    <x:row r="1376" ht="15" hidden="0" customHeight="1">
      <x:c r="A1376" s="3" t="str">
        <x:v>EXP046</x:v>
      </x:c>
      <x:c r="B1376" s="3" t="str">
        <x:v>Exp. 4</x:v>
      </x:c>
      <x:c r="C1376" s="18" t="n">
        <x:v>1004</x:v>
      </x:c>
      <x:c r="D1376" s="3" t="str">
        <x:v>Fixed rank 5</x:v>
      </x:c>
      <x:c r="E1376" s="18" t="n">
        <x:v>200</x:v>
      </x:c>
      <x:c r="F1376" s="21" t="n">
        <x:v>170.96881439145264</x:v>
      </x:c>
      <x:c r="G1376" s="21" t="str">
        <x:f>""</x:f>
      </x:c>
      <x:c r="H1376" s="21" t="n">
        <x:f>F1377</x:f>
        <x:v>168.04798931369015</x:v>
      </x:c>
      <x:c r="I1376" s="27" t="str">
        <x:f>IF(AND(ISNUMBER(G1376),ISNUMBER(H1376),H1376&gt;0),G1376/H1376-1,"")</x:f>
      </x:c>
      <x:c r="J1376" s="27" t="str">
        <x:f>IF(AND(ISNUMBER(G1376),F1376&gt;0),G1376/F1376-1,"")</x:f>
      </x:c>
      <x:c r="K1376" s="19" t="str">
        <x:v>Exp_4/EXP046/results/seed1004_Fixed_rank_5.json</x:v>
      </x:c>
    </x:row>
    <x:row r="1377" ht="15" hidden="0" customHeight="1">
      <x:c r="A1377" s="3" t="str">
        <x:v>EXP046</x:v>
      </x:c>
      <x:c r="B1377" s="3" t="str">
        <x:v>Exp. 4</x:v>
      </x:c>
      <x:c r="C1377" s="18" t="n">
        <x:v>1004</x:v>
      </x:c>
      <x:c r="D1377" s="3" t="str">
        <x:v>Full</x:v>
      </x:c>
      <x:c r="E1377" s="18" t="n">
        <x:v>200</x:v>
      </x:c>
      <x:c r="F1377" s="21" t="n">
        <x:v>168.04798931369015</x:v>
      </x:c>
      <x:c r="G1377" s="21" t="str">
        <x:f>""</x:f>
      </x:c>
      <x:c r="H1377" s="21" t="n">
        <x:f>F1377</x:f>
        <x:v>168.04798931369015</x:v>
      </x:c>
      <x:c r="I1377" s="27" t="str">
        <x:f>IF(AND(ISNUMBER(G1377),ISNUMBER(H1377),H1377&gt;0),G1377/H1377-1,"")</x:f>
      </x:c>
      <x:c r="J1377" s="27" t="str">
        <x:f>IF(AND(ISNUMBER(G1377),F1377&gt;0),G1377/F1377-1,"")</x:f>
      </x:c>
      <x:c r="K1377" s="19" t="str">
        <x:v>Exp_4/EXP046/results/seed1004_Full.json</x:v>
      </x:c>
    </x:row>
    <x:row r="1378" ht="15" hidden="0" customHeight="1">
      <x:c r="A1378" s="3" t="str">
        <x:v>EXP046</x:v>
      </x:c>
      <x:c r="B1378" s="3" t="str">
        <x:v>Exp. 4</x:v>
      </x:c>
      <x:c r="C1378" s="18" t="n">
        <x:v>1004</x:v>
      </x:c>
      <x:c r="D1378" s="3" t="str">
        <x:v>Relative cutoff 1e-2</x:v>
      </x:c>
      <x:c r="E1378" s="18" t="n">
        <x:v>200</x:v>
      </x:c>
      <x:c r="F1378" s="21" t="n">
        <x:v>171.23694652211518</x:v>
      </x:c>
      <x:c r="G1378" s="21" t="str">
        <x:f>""</x:f>
      </x:c>
      <x:c r="H1378" s="21" t="n">
        <x:f>F1377</x:f>
        <x:v>168.04798931369015</x:v>
      </x:c>
      <x:c r="I1378" s="27" t="str">
        <x:f>IF(AND(ISNUMBER(G1378),ISNUMBER(H1378),H1378&gt;0),G1378/H1378-1,"")</x:f>
      </x:c>
      <x:c r="J1378" s="27" t="str">
        <x:f>IF(AND(ISNUMBER(G1378),F1378&gt;0),G1378/F1378-1,"")</x:f>
      </x:c>
      <x:c r="K1378" s="19" t="str">
        <x:v>Exp_4/EXP046/results/seed1004_Relative_cutoff_1e-2.json</x:v>
      </x:c>
    </x:row>
    <x:row r="1379" ht="15" hidden="0" customHeight="1">
      <x:c r="A1379" s="3" t="str">
        <x:v>EXP046</x:v>
      </x:c>
      <x:c r="B1379" s="3" t="str">
        <x:v>Exp. 4</x:v>
      </x:c>
      <x:c r="C1379" s="18" t="n">
        <x:v>1005</x:v>
      </x:c>
      <x:c r="D1379" s="3" t="str">
        <x:v>Fixed rank 10</x:v>
      </x:c>
      <x:c r="E1379" s="18" t="n">
        <x:v>200</x:v>
      </x:c>
      <x:c r="F1379" s="21" t="n">
        <x:v>137.68155922129816</x:v>
      </x:c>
      <x:c r="G1379" s="21" t="str">
        <x:f>""</x:f>
      </x:c>
      <x:c r="H1379" s="21" t="n">
        <x:f>F1382</x:f>
        <x:v>130.87897416058445</x:v>
      </x:c>
      <x:c r="I1379" s="27" t="str">
        <x:f>IF(AND(ISNUMBER(G1379),ISNUMBER(H1379),H1379&gt;0),G1379/H1379-1,"")</x:f>
      </x:c>
      <x:c r="J1379" s="27" t="str">
        <x:f>IF(AND(ISNUMBER(G1379),F1379&gt;0),G1379/F1379-1,"")</x:f>
      </x:c>
      <x:c r="K1379" s="19" t="str">
        <x:v>Exp_4/EXP046/results/seed1005_Fixed_rank_10.json</x:v>
      </x:c>
    </x:row>
    <x:row r="1380" ht="15" hidden="0" customHeight="1">
      <x:c r="A1380" s="3" t="str">
        <x:v>EXP046</x:v>
      </x:c>
      <x:c r="B1380" s="3" t="str">
        <x:v>Exp. 4</x:v>
      </x:c>
      <x:c r="C1380" s="18" t="n">
        <x:v>1005</x:v>
      </x:c>
      <x:c r="D1380" s="3" t="str">
        <x:v>Fixed rank 3</x:v>
      </x:c>
      <x:c r="E1380" s="18" t="n">
        <x:v>200</x:v>
      </x:c>
      <x:c r="F1380" s="21" t="n">
        <x:v>137.55067523833327</x:v>
      </x:c>
      <x:c r="G1380" s="21" t="str">
        <x:f>""</x:f>
      </x:c>
      <x:c r="H1380" s="21" t="n">
        <x:f>F1382</x:f>
        <x:v>130.87897416058445</x:v>
      </x:c>
      <x:c r="I1380" s="27" t="str">
        <x:f>IF(AND(ISNUMBER(G1380),ISNUMBER(H1380),H1380&gt;0),G1380/H1380-1,"")</x:f>
      </x:c>
      <x:c r="J1380" s="27" t="str">
        <x:f>IF(AND(ISNUMBER(G1380),F1380&gt;0),G1380/F1380-1,"")</x:f>
      </x:c>
      <x:c r="K1380" s="19" t="str">
        <x:v>Exp_4/EXP046/results/seed1005_Fixed_rank_3.json</x:v>
      </x:c>
    </x:row>
    <x:row r="1381" ht="15" hidden="0" customHeight="1">
      <x:c r="A1381" s="3" t="str">
        <x:v>EXP046</x:v>
      </x:c>
      <x:c r="B1381" s="3" t="str">
        <x:v>Exp. 4</x:v>
      </x:c>
      <x:c r="C1381" s="18" t="n">
        <x:v>1005</x:v>
      </x:c>
      <x:c r="D1381" s="3" t="str">
        <x:v>Fixed rank 5</x:v>
      </x:c>
      <x:c r="E1381" s="18" t="n">
        <x:v>200</x:v>
      </x:c>
      <x:c r="F1381" s="21" t="n">
        <x:v>132.54670424096105</x:v>
      </x:c>
      <x:c r="G1381" s="21" t="str">
        <x:f>""</x:f>
      </x:c>
      <x:c r="H1381" s="21" t="n">
        <x:f>F1382</x:f>
        <x:v>130.87897416058445</x:v>
      </x:c>
      <x:c r="I1381" s="27" t="str">
        <x:f>IF(AND(ISNUMBER(G1381),ISNUMBER(H1381),H1381&gt;0),G1381/H1381-1,"")</x:f>
      </x:c>
      <x:c r="J1381" s="27" t="str">
        <x:f>IF(AND(ISNUMBER(G1381),F1381&gt;0),G1381/F1381-1,"")</x:f>
      </x:c>
      <x:c r="K1381" s="19" t="str">
        <x:v>Exp_4/EXP046/results/seed1005_Fixed_rank_5.json</x:v>
      </x:c>
    </x:row>
    <x:row r="1382" ht="15" hidden="0" customHeight="1">
      <x:c r="A1382" s="3" t="str">
        <x:v>EXP046</x:v>
      </x:c>
      <x:c r="B1382" s="3" t="str">
        <x:v>Exp. 4</x:v>
      </x:c>
      <x:c r="C1382" s="18" t="n">
        <x:v>1005</x:v>
      </x:c>
      <x:c r="D1382" s="3" t="str">
        <x:v>Full</x:v>
      </x:c>
      <x:c r="E1382" s="18" t="n">
        <x:v>200</x:v>
      </x:c>
      <x:c r="F1382" s="21" t="n">
        <x:v>130.87897416058445</x:v>
      </x:c>
      <x:c r="G1382" s="21" t="str">
        <x:f>""</x:f>
      </x:c>
      <x:c r="H1382" s="21" t="n">
        <x:f>F1382</x:f>
        <x:v>130.87897416058445</x:v>
      </x:c>
      <x:c r="I1382" s="27" t="str">
        <x:f>IF(AND(ISNUMBER(G1382),ISNUMBER(H1382),H1382&gt;0),G1382/H1382-1,"")</x:f>
      </x:c>
      <x:c r="J1382" s="27" t="str">
        <x:f>IF(AND(ISNUMBER(G1382),F1382&gt;0),G1382/F1382-1,"")</x:f>
      </x:c>
      <x:c r="K1382" s="19" t="str">
        <x:v>Exp_4/EXP046/results/seed1005_Full.json</x:v>
      </x:c>
    </x:row>
    <x:row r="1383" ht="15" hidden="0" customHeight="1">
      <x:c r="A1383" s="3" t="str">
        <x:v>EXP046</x:v>
      </x:c>
      <x:c r="B1383" s="3" t="str">
        <x:v>Exp. 4</x:v>
      </x:c>
      <x:c r="C1383" s="18" t="n">
        <x:v>1005</x:v>
      </x:c>
      <x:c r="D1383" s="3" t="str">
        <x:v>Relative cutoff 1e-2</x:v>
      </x:c>
      <x:c r="E1383" s="18" t="n">
        <x:v>200</x:v>
      </x:c>
      <x:c r="F1383" s="21" t="n">
        <x:v>141.14411498223097</x:v>
      </x:c>
      <x:c r="G1383" s="21" t="str">
        <x:f>""</x:f>
      </x:c>
      <x:c r="H1383" s="21" t="n">
        <x:f>F1382</x:f>
        <x:v>130.87897416058445</x:v>
      </x:c>
      <x:c r="I1383" s="27" t="str">
        <x:f>IF(AND(ISNUMBER(G1383),ISNUMBER(H1383),H1383&gt;0),G1383/H1383-1,"")</x:f>
      </x:c>
      <x:c r="J1383" s="27" t="str">
        <x:f>IF(AND(ISNUMBER(G1383),F1383&gt;0),G1383/F1383-1,"")</x:f>
      </x:c>
      <x:c r="K1383" s="19" t="str">
        <x:v>Exp_4/EXP046/results/seed1005_Relative_cutoff_1e-2.json</x:v>
      </x:c>
    </x:row>
    <x:row r="1384" ht="15" hidden="0" customHeight="1">
      <x:c r="A1384" s="3" t="str">
        <x:v>EXP046</x:v>
      </x:c>
      <x:c r="B1384" s="3" t="str">
        <x:v>Exp. 4</x:v>
      </x:c>
      <x:c r="C1384" s="18" t="n">
        <x:v>1006</x:v>
      </x:c>
      <x:c r="D1384" s="3" t="str">
        <x:v>Fixed rank 10</x:v>
      </x:c>
      <x:c r="E1384" s="18" t="n">
        <x:v>200</x:v>
      </x:c>
      <x:c r="F1384" s="21" t="n">
        <x:v>175.01236863591635</x:v>
      </x:c>
      <x:c r="G1384" s="21" t="str">
        <x:f>""</x:f>
      </x:c>
      <x:c r="H1384" s="21" t="n">
        <x:f>F1387</x:f>
        <x:v>168.3558207668607</x:v>
      </x:c>
      <x:c r="I1384" s="27" t="str">
        <x:f>IF(AND(ISNUMBER(G1384),ISNUMBER(H1384),H1384&gt;0),G1384/H1384-1,"")</x:f>
      </x:c>
      <x:c r="J1384" s="27" t="str">
        <x:f>IF(AND(ISNUMBER(G1384),F1384&gt;0),G1384/F1384-1,"")</x:f>
      </x:c>
      <x:c r="K1384" s="19" t="str">
        <x:v>Exp_4/EXP046/results/seed1006_Fixed_rank_10.json</x:v>
      </x:c>
    </x:row>
    <x:row r="1385" ht="15" hidden="0" customHeight="1">
      <x:c r="A1385" s="3" t="str">
        <x:v>EXP046</x:v>
      </x:c>
      <x:c r="B1385" s="3" t="str">
        <x:v>Exp. 4</x:v>
      </x:c>
      <x:c r="C1385" s="18" t="n">
        <x:v>1006</x:v>
      </x:c>
      <x:c r="D1385" s="3" t="str">
        <x:v>Fixed rank 3</x:v>
      </x:c>
      <x:c r="E1385" s="18" t="n">
        <x:v>200</x:v>
      </x:c>
      <x:c r="F1385" s="21" t="n">
        <x:v>174.1793068591397</x:v>
      </x:c>
      <x:c r="G1385" s="21" t="str">
        <x:f>""</x:f>
      </x:c>
      <x:c r="H1385" s="21" t="n">
        <x:f>F1387</x:f>
        <x:v>168.3558207668607</x:v>
      </x:c>
      <x:c r="I1385" s="27" t="str">
        <x:f>IF(AND(ISNUMBER(G1385),ISNUMBER(H1385),H1385&gt;0),G1385/H1385-1,"")</x:f>
      </x:c>
      <x:c r="J1385" s="27" t="str">
        <x:f>IF(AND(ISNUMBER(G1385),F1385&gt;0),G1385/F1385-1,"")</x:f>
      </x:c>
      <x:c r="K1385" s="19" t="str">
        <x:v>Exp_4/EXP046/results/seed1006_Fixed_rank_3.json</x:v>
      </x:c>
    </x:row>
    <x:row r="1386" ht="15" hidden="0" customHeight="1">
      <x:c r="A1386" s="3" t="str">
        <x:v>EXP046</x:v>
      </x:c>
      <x:c r="B1386" s="3" t="str">
        <x:v>Exp. 4</x:v>
      </x:c>
      <x:c r="C1386" s="18" t="n">
        <x:v>1006</x:v>
      </x:c>
      <x:c r="D1386" s="3" t="str">
        <x:v>Fixed rank 5</x:v>
      </x:c>
      <x:c r="E1386" s="18" t="n">
        <x:v>200</x:v>
      </x:c>
      <x:c r="F1386" s="21" t="n">
        <x:v>169.09079859383465</x:v>
      </x:c>
      <x:c r="G1386" s="21" t="str">
        <x:f>""</x:f>
      </x:c>
      <x:c r="H1386" s="21" t="n">
        <x:f>F1387</x:f>
        <x:v>168.3558207668607</x:v>
      </x:c>
      <x:c r="I1386" s="27" t="str">
        <x:f>IF(AND(ISNUMBER(G1386),ISNUMBER(H1386),H1386&gt;0),G1386/H1386-1,"")</x:f>
      </x:c>
      <x:c r="J1386" s="27" t="str">
        <x:f>IF(AND(ISNUMBER(G1386),F1386&gt;0),G1386/F1386-1,"")</x:f>
      </x:c>
      <x:c r="K1386" s="19" t="str">
        <x:v>Exp_4/EXP046/results/seed1006_Fixed_rank_5.json</x:v>
      </x:c>
    </x:row>
    <x:row r="1387" ht="15" hidden="0" customHeight="1">
      <x:c r="A1387" s="3" t="str">
        <x:v>EXP046</x:v>
      </x:c>
      <x:c r="B1387" s="3" t="str">
        <x:v>Exp. 4</x:v>
      </x:c>
      <x:c r="C1387" s="18" t="n">
        <x:v>1006</x:v>
      </x:c>
      <x:c r="D1387" s="3" t="str">
        <x:v>Full</x:v>
      </x:c>
      <x:c r="E1387" s="18" t="n">
        <x:v>200</x:v>
      </x:c>
      <x:c r="F1387" s="21" t="n">
        <x:v>168.3558207668607</x:v>
      </x:c>
      <x:c r="G1387" s="21" t="str">
        <x:f>""</x:f>
      </x:c>
      <x:c r="H1387" s="21" t="n">
        <x:f>F1387</x:f>
        <x:v>168.3558207668607</x:v>
      </x:c>
      <x:c r="I1387" s="27" t="str">
        <x:f>IF(AND(ISNUMBER(G1387),ISNUMBER(H1387),H1387&gt;0),G1387/H1387-1,"")</x:f>
      </x:c>
      <x:c r="J1387" s="27" t="str">
        <x:f>IF(AND(ISNUMBER(G1387),F1387&gt;0),G1387/F1387-1,"")</x:f>
      </x:c>
      <x:c r="K1387" s="19" t="str">
        <x:v>Exp_4/EXP046/results/seed1006_Full.json</x:v>
      </x:c>
    </x:row>
    <x:row r="1388" ht="15" hidden="0" customHeight="1">
      <x:c r="A1388" s="3" t="str">
        <x:v>EXP046</x:v>
      </x:c>
      <x:c r="B1388" s="3" t="str">
        <x:v>Exp. 4</x:v>
      </x:c>
      <x:c r="C1388" s="18" t="n">
        <x:v>1006</x:v>
      </x:c>
      <x:c r="D1388" s="3" t="str">
        <x:v>Relative cutoff 1e-2</x:v>
      </x:c>
      <x:c r="E1388" s="18" t="n">
        <x:v>200</x:v>
      </x:c>
      <x:c r="F1388" s="21" t="n">
        <x:v>174.1793068591397</x:v>
      </x:c>
      <x:c r="G1388" s="21" t="str">
        <x:f>""</x:f>
      </x:c>
      <x:c r="H1388" s="21" t="n">
        <x:f>F1387</x:f>
        <x:v>168.3558207668607</x:v>
      </x:c>
      <x:c r="I1388" s="27" t="str">
        <x:f>IF(AND(ISNUMBER(G1388),ISNUMBER(H1388),H1388&gt;0),G1388/H1388-1,"")</x:f>
      </x:c>
      <x:c r="J1388" s="27" t="str">
        <x:f>IF(AND(ISNUMBER(G1388),F1388&gt;0),G1388/F1388-1,"")</x:f>
      </x:c>
      <x:c r="K1388" s="19" t="str">
        <x:v>Exp_4/EXP046/results/seed1006_Relative_cutoff_1e-2.json</x:v>
      </x:c>
    </x:row>
    <x:row r="1389" ht="15" hidden="0" customHeight="1">
      <x:c r="A1389" s="3" t="str">
        <x:v>EXP046</x:v>
      </x:c>
      <x:c r="B1389" s="3" t="str">
        <x:v>Exp. 4</x:v>
      </x:c>
      <x:c r="C1389" s="18" t="n">
        <x:v>1007</x:v>
      </x:c>
      <x:c r="D1389" s="3" t="str">
        <x:v>Fixed rank 10</x:v>
      </x:c>
      <x:c r="E1389" s="18" t="n">
        <x:v>200</x:v>
      </x:c>
      <x:c r="F1389" s="21" t="n">
        <x:v>177.03312809720524</x:v>
      </x:c>
      <x:c r="G1389" s="21" t="str">
        <x:f>""</x:f>
      </x:c>
      <x:c r="H1389" s="21" t="n">
        <x:f>F1392</x:f>
        <x:v>171.91658315038492</x:v>
      </x:c>
      <x:c r="I1389" s="27" t="str">
        <x:f>IF(AND(ISNUMBER(G1389),ISNUMBER(H1389),H1389&gt;0),G1389/H1389-1,"")</x:f>
      </x:c>
      <x:c r="J1389" s="27" t="str">
        <x:f>IF(AND(ISNUMBER(G1389),F1389&gt;0),G1389/F1389-1,"")</x:f>
      </x:c>
      <x:c r="K1389" s="19" t="str">
        <x:v>Exp_4/EXP046/results/seed1007_Fixed_rank_10.json</x:v>
      </x:c>
    </x:row>
    <x:row r="1390" ht="15" hidden="0" customHeight="1">
      <x:c r="A1390" s="3" t="str">
        <x:v>EXP046</x:v>
      </x:c>
      <x:c r="B1390" s="3" t="str">
        <x:v>Exp. 4</x:v>
      </x:c>
      <x:c r="C1390" s="18" t="n">
        <x:v>1007</x:v>
      </x:c>
      <x:c r="D1390" s="3" t="str">
        <x:v>Fixed rank 3</x:v>
      </x:c>
      <x:c r="E1390" s="18" t="n">
        <x:v>200</x:v>
      </x:c>
      <x:c r="F1390" s="21" t="n">
        <x:v>166.3116294643659</x:v>
      </x:c>
      <x:c r="G1390" s="21" t="str">
        <x:f>""</x:f>
      </x:c>
      <x:c r="H1390" s="21" t="n">
        <x:f>F1392</x:f>
        <x:v>171.91658315038492</x:v>
      </x:c>
      <x:c r="I1390" s="27" t="str">
        <x:f>IF(AND(ISNUMBER(G1390),ISNUMBER(H1390),H1390&gt;0),G1390/H1390-1,"")</x:f>
      </x:c>
      <x:c r="J1390" s="27" t="str">
        <x:f>IF(AND(ISNUMBER(G1390),F1390&gt;0),G1390/F1390-1,"")</x:f>
      </x:c>
      <x:c r="K1390" s="19" t="str">
        <x:v>Exp_4/EXP046/results/seed1007_Fixed_rank_3.json</x:v>
      </x:c>
    </x:row>
    <x:row r="1391" ht="15" hidden="0" customHeight="1">
      <x:c r="A1391" s="3" t="str">
        <x:v>EXP046</x:v>
      </x:c>
      <x:c r="B1391" s="3" t="str">
        <x:v>Exp. 4</x:v>
      </x:c>
      <x:c r="C1391" s="18" t="n">
        <x:v>1007</x:v>
      </x:c>
      <x:c r="D1391" s="3" t="str">
        <x:v>Fixed rank 5</x:v>
      </x:c>
      <x:c r="E1391" s="18" t="n">
        <x:v>200</x:v>
      </x:c>
      <x:c r="F1391" s="21" t="n">
        <x:v>169.77208833048294</x:v>
      </x:c>
      <x:c r="G1391" s="21" t="str">
        <x:f>""</x:f>
      </x:c>
      <x:c r="H1391" s="21" t="n">
        <x:f>F1392</x:f>
        <x:v>171.91658315038492</x:v>
      </x:c>
      <x:c r="I1391" s="27" t="str">
        <x:f>IF(AND(ISNUMBER(G1391),ISNUMBER(H1391),H1391&gt;0),G1391/H1391-1,"")</x:f>
      </x:c>
      <x:c r="J1391" s="27" t="str">
        <x:f>IF(AND(ISNUMBER(G1391),F1391&gt;0),G1391/F1391-1,"")</x:f>
      </x:c>
      <x:c r="K1391" s="19" t="str">
        <x:v>Exp_4/EXP046/results/seed1007_Fixed_rank_5.json</x:v>
      </x:c>
    </x:row>
    <x:row r="1392" ht="15" hidden="0" customHeight="1">
      <x:c r="A1392" s="3" t="str">
        <x:v>EXP046</x:v>
      </x:c>
      <x:c r="B1392" s="3" t="str">
        <x:v>Exp. 4</x:v>
      </x:c>
      <x:c r="C1392" s="18" t="n">
        <x:v>1007</x:v>
      </x:c>
      <x:c r="D1392" s="3" t="str">
        <x:v>Full</x:v>
      </x:c>
      <x:c r="E1392" s="18" t="n">
        <x:v>200</x:v>
      </x:c>
      <x:c r="F1392" s="21" t="n">
        <x:v>171.91658315038492</x:v>
      </x:c>
      <x:c r="G1392" s="21" t="str">
        <x:f>""</x:f>
      </x:c>
      <x:c r="H1392" s="21" t="n">
        <x:f>F1392</x:f>
        <x:v>171.91658315038492</x:v>
      </x:c>
      <x:c r="I1392" s="27" t="str">
        <x:f>IF(AND(ISNUMBER(G1392),ISNUMBER(H1392),H1392&gt;0),G1392/H1392-1,"")</x:f>
      </x:c>
      <x:c r="J1392" s="27" t="str">
        <x:f>IF(AND(ISNUMBER(G1392),F1392&gt;0),G1392/F1392-1,"")</x:f>
      </x:c>
      <x:c r="K1392" s="19" t="str">
        <x:v>Exp_4/EXP046/results/seed1007_Full.json</x:v>
      </x:c>
    </x:row>
    <x:row r="1393" ht="15" hidden="0" customHeight="1">
      <x:c r="A1393" s="3" t="str">
        <x:v>EXP046</x:v>
      </x:c>
      <x:c r="B1393" s="3" t="str">
        <x:v>Exp. 4</x:v>
      </x:c>
      <x:c r="C1393" s="18" t="n">
        <x:v>1007</x:v>
      </x:c>
      <x:c r="D1393" s="3" t="str">
        <x:v>Relative cutoff 1e-2</x:v>
      </x:c>
      <x:c r="E1393" s="18" t="n">
        <x:v>200</x:v>
      </x:c>
      <x:c r="F1393" s="21" t="n">
        <x:v>173.0005936523459</x:v>
      </x:c>
      <x:c r="G1393" s="21" t="str">
        <x:f>""</x:f>
      </x:c>
      <x:c r="H1393" s="21" t="n">
        <x:f>F1392</x:f>
        <x:v>171.91658315038492</x:v>
      </x:c>
      <x:c r="I1393" s="27" t="str">
        <x:f>IF(AND(ISNUMBER(G1393),ISNUMBER(H1393),H1393&gt;0),G1393/H1393-1,"")</x:f>
      </x:c>
      <x:c r="J1393" s="27" t="str">
        <x:f>IF(AND(ISNUMBER(G1393),F1393&gt;0),G1393/F1393-1,"")</x:f>
      </x:c>
      <x:c r="K1393" s="19" t="str">
        <x:v>Exp_4/EXP046/results/seed1007_Relative_cutoff_1e-2.json</x:v>
      </x:c>
    </x:row>
    <x:row r="1394" ht="15" hidden="0" customHeight="1">
      <x:c r="A1394" s="3" t="str">
        <x:v>EXP046</x:v>
      </x:c>
      <x:c r="B1394" s="3" t="str">
        <x:v>Exp. 4</x:v>
      </x:c>
      <x:c r="C1394" s="18" t="n">
        <x:v>1008</x:v>
      </x:c>
      <x:c r="D1394" s="3" t="str">
        <x:v>Fixed rank 10</x:v>
      </x:c>
      <x:c r="E1394" s="18" t="n">
        <x:v>200</x:v>
      </x:c>
      <x:c r="F1394" s="21" t="n">
        <x:v>177.67277762398223</x:v>
      </x:c>
      <x:c r="G1394" s="21" t="str">
        <x:f>""</x:f>
      </x:c>
      <x:c r="H1394" s="21" t="n">
        <x:f>F1397</x:f>
        <x:v>180.91328128477457</x:v>
      </x:c>
      <x:c r="I1394" s="27" t="str">
        <x:f>IF(AND(ISNUMBER(G1394),ISNUMBER(H1394),H1394&gt;0),G1394/H1394-1,"")</x:f>
      </x:c>
      <x:c r="J1394" s="27" t="str">
        <x:f>IF(AND(ISNUMBER(G1394),F1394&gt;0),G1394/F1394-1,"")</x:f>
      </x:c>
      <x:c r="K1394" s="19" t="str">
        <x:v>Exp_4/EXP046/results/seed1008_Fixed_rank_10.json</x:v>
      </x:c>
    </x:row>
    <x:row r="1395" ht="15" hidden="0" customHeight="1">
      <x:c r="A1395" s="3" t="str">
        <x:v>EXP046</x:v>
      </x:c>
      <x:c r="B1395" s="3" t="str">
        <x:v>Exp. 4</x:v>
      </x:c>
      <x:c r="C1395" s="18" t="n">
        <x:v>1008</x:v>
      </x:c>
      <x:c r="D1395" s="3" t="str">
        <x:v>Fixed rank 3</x:v>
      </x:c>
      <x:c r="E1395" s="18" t="n">
        <x:v>200</x:v>
      </x:c>
      <x:c r="F1395" s="21" t="n">
        <x:v>173.94815764773418</x:v>
      </x:c>
      <x:c r="G1395" s="21" t="str">
        <x:f>""</x:f>
      </x:c>
      <x:c r="H1395" s="21" t="n">
        <x:f>F1397</x:f>
        <x:v>180.91328128477457</x:v>
      </x:c>
      <x:c r="I1395" s="27" t="str">
        <x:f>IF(AND(ISNUMBER(G1395),ISNUMBER(H1395),H1395&gt;0),G1395/H1395-1,"")</x:f>
      </x:c>
      <x:c r="J1395" s="27" t="str">
        <x:f>IF(AND(ISNUMBER(G1395),F1395&gt;0),G1395/F1395-1,"")</x:f>
      </x:c>
      <x:c r="K1395" s="19" t="str">
        <x:v>Exp_4/EXP046/results/seed1008_Fixed_rank_3.json</x:v>
      </x:c>
    </x:row>
    <x:row r="1396" ht="15" hidden="0" customHeight="1">
      <x:c r="A1396" s="3" t="str">
        <x:v>EXP046</x:v>
      </x:c>
      <x:c r="B1396" s="3" t="str">
        <x:v>Exp. 4</x:v>
      </x:c>
      <x:c r="C1396" s="18" t="n">
        <x:v>1008</x:v>
      </x:c>
      <x:c r="D1396" s="3" t="str">
        <x:v>Fixed rank 5</x:v>
      </x:c>
      <x:c r="E1396" s="18" t="n">
        <x:v>200</x:v>
      </x:c>
      <x:c r="F1396" s="21" t="n">
        <x:v>172.41822633241816</x:v>
      </x:c>
      <x:c r="G1396" s="21" t="str">
        <x:f>""</x:f>
      </x:c>
      <x:c r="H1396" s="21" t="n">
        <x:f>F1397</x:f>
        <x:v>180.91328128477457</x:v>
      </x:c>
      <x:c r="I1396" s="27" t="str">
        <x:f>IF(AND(ISNUMBER(G1396),ISNUMBER(H1396),H1396&gt;0),G1396/H1396-1,"")</x:f>
      </x:c>
      <x:c r="J1396" s="27" t="str">
        <x:f>IF(AND(ISNUMBER(G1396),F1396&gt;0),G1396/F1396-1,"")</x:f>
      </x:c>
      <x:c r="K1396" s="19" t="str">
        <x:v>Exp_4/EXP046/results/seed1008_Fixed_rank_5.json</x:v>
      </x:c>
    </x:row>
    <x:row r="1397" ht="15" hidden="0" customHeight="1">
      <x:c r="A1397" s="3" t="str">
        <x:v>EXP046</x:v>
      </x:c>
      <x:c r="B1397" s="3" t="str">
        <x:v>Exp. 4</x:v>
      </x:c>
      <x:c r="C1397" s="18" t="n">
        <x:v>1008</x:v>
      </x:c>
      <x:c r="D1397" s="3" t="str">
        <x:v>Full</x:v>
      </x:c>
      <x:c r="E1397" s="18" t="n">
        <x:v>200</x:v>
      </x:c>
      <x:c r="F1397" s="21" t="n">
        <x:v>180.91328128477457</x:v>
      </x:c>
      <x:c r="G1397" s="21" t="str">
        <x:f>""</x:f>
      </x:c>
      <x:c r="H1397" s="21" t="n">
        <x:f>F1397</x:f>
        <x:v>180.91328128477457</x:v>
      </x:c>
      <x:c r="I1397" s="27" t="str">
        <x:f>IF(AND(ISNUMBER(G1397),ISNUMBER(H1397),H1397&gt;0),G1397/H1397-1,"")</x:f>
      </x:c>
      <x:c r="J1397" s="27" t="str">
        <x:f>IF(AND(ISNUMBER(G1397),F1397&gt;0),G1397/F1397-1,"")</x:f>
      </x:c>
      <x:c r="K1397" s="19" t="str">
        <x:v>Exp_4/EXP046/results/seed1008_Full.json</x:v>
      </x:c>
    </x:row>
    <x:row r="1398" ht="15" hidden="0" customHeight="1">
      <x:c r="A1398" s="3" t="str">
        <x:v>EXP046</x:v>
      </x:c>
      <x:c r="B1398" s="3" t="str">
        <x:v>Exp. 4</x:v>
      </x:c>
      <x:c r="C1398" s="18" t="n">
        <x:v>1008</x:v>
      </x:c>
      <x:c r="D1398" s="3" t="str">
        <x:v>Relative cutoff 1e-2</x:v>
      </x:c>
      <x:c r="E1398" s="18" t="n">
        <x:v>200</x:v>
      </x:c>
      <x:c r="F1398" s="21" t="n">
        <x:v>169.14300299107688</x:v>
      </x:c>
      <x:c r="G1398" s="21" t="str">
        <x:f>""</x:f>
      </x:c>
      <x:c r="H1398" s="21" t="n">
        <x:f>F1397</x:f>
        <x:v>180.91328128477457</x:v>
      </x:c>
      <x:c r="I1398" s="27" t="str">
        <x:f>IF(AND(ISNUMBER(G1398),ISNUMBER(H1398),H1398&gt;0),G1398/H1398-1,"")</x:f>
      </x:c>
      <x:c r="J1398" s="27" t="str">
        <x:f>IF(AND(ISNUMBER(G1398),F1398&gt;0),G1398/F1398-1,"")</x:f>
      </x:c>
      <x:c r="K1398" s="19" t="str">
        <x:v>Exp_4/EXP046/results/seed1008_Relative_cutoff_1e-2.json</x:v>
      </x:c>
    </x:row>
    <x:row r="1399" ht="15" hidden="0" customHeight="1">
      <x:c r="A1399" s="3" t="str">
        <x:v>EXP046</x:v>
      </x:c>
      <x:c r="B1399" s="3" t="str">
        <x:v>Exp. 4</x:v>
      </x:c>
      <x:c r="C1399" s="18" t="n">
        <x:v>1009</x:v>
      </x:c>
      <x:c r="D1399" s="3" t="str">
        <x:v>Fixed rank 10</x:v>
      </x:c>
      <x:c r="E1399" s="18" t="n">
        <x:v>200</x:v>
      </x:c>
      <x:c r="F1399" s="21" t="n">
        <x:v>182.844133541605</x:v>
      </x:c>
      <x:c r="G1399" s="21" t="str">
        <x:f>""</x:f>
      </x:c>
      <x:c r="H1399" s="21" t="n">
        <x:f>F1402</x:f>
        <x:v>167.20324447196816</x:v>
      </x:c>
      <x:c r="I1399" s="27" t="str">
        <x:f>IF(AND(ISNUMBER(G1399),ISNUMBER(H1399),H1399&gt;0),G1399/H1399-1,"")</x:f>
      </x:c>
      <x:c r="J1399" s="27" t="str">
        <x:f>IF(AND(ISNUMBER(G1399),F1399&gt;0),G1399/F1399-1,"")</x:f>
      </x:c>
      <x:c r="K1399" s="19" t="str">
        <x:v>Exp_4/EXP046/results/seed1009_Fixed_rank_10.json</x:v>
      </x:c>
    </x:row>
    <x:row r="1400" ht="15" hidden="0" customHeight="1">
      <x:c r="A1400" s="3" t="str">
        <x:v>EXP046</x:v>
      </x:c>
      <x:c r="B1400" s="3" t="str">
        <x:v>Exp. 4</x:v>
      </x:c>
      <x:c r="C1400" s="18" t="n">
        <x:v>1009</x:v>
      </x:c>
      <x:c r="D1400" s="3" t="str">
        <x:v>Fixed rank 3</x:v>
      </x:c>
      <x:c r="E1400" s="18" t="n">
        <x:v>200</x:v>
      </x:c>
      <x:c r="F1400" s="21" t="n">
        <x:v>180.38267695443182</x:v>
      </x:c>
      <x:c r="G1400" s="21" t="str">
        <x:f>""</x:f>
      </x:c>
      <x:c r="H1400" s="21" t="n">
        <x:f>F1402</x:f>
        <x:v>167.20324447196816</x:v>
      </x:c>
      <x:c r="I1400" s="27" t="str">
        <x:f>IF(AND(ISNUMBER(G1400),ISNUMBER(H1400),H1400&gt;0),G1400/H1400-1,"")</x:f>
      </x:c>
      <x:c r="J1400" s="27" t="str">
        <x:f>IF(AND(ISNUMBER(G1400),F1400&gt;0),G1400/F1400-1,"")</x:f>
      </x:c>
      <x:c r="K1400" s="19" t="str">
        <x:v>Exp_4/EXP046/results/seed1009_Fixed_rank_3.json</x:v>
      </x:c>
    </x:row>
    <x:row r="1401" ht="15" hidden="0" customHeight="1">
      <x:c r="A1401" s="3" t="str">
        <x:v>EXP046</x:v>
      </x:c>
      <x:c r="B1401" s="3" t="str">
        <x:v>Exp. 4</x:v>
      </x:c>
      <x:c r="C1401" s="18" t="n">
        <x:v>1009</x:v>
      </x:c>
      <x:c r="D1401" s="3" t="str">
        <x:v>Fixed rank 5</x:v>
      </x:c>
      <x:c r="E1401" s="18" t="n">
        <x:v>200</x:v>
      </x:c>
      <x:c r="F1401" s="21" t="n">
        <x:v>177.86514216654905</x:v>
      </x:c>
      <x:c r="G1401" s="21" t="str">
        <x:f>""</x:f>
      </x:c>
      <x:c r="H1401" s="21" t="n">
        <x:f>F1402</x:f>
        <x:v>167.20324447196816</x:v>
      </x:c>
      <x:c r="I1401" s="27" t="str">
        <x:f>IF(AND(ISNUMBER(G1401),ISNUMBER(H1401),H1401&gt;0),G1401/H1401-1,"")</x:f>
      </x:c>
      <x:c r="J1401" s="27" t="str">
        <x:f>IF(AND(ISNUMBER(G1401),F1401&gt;0),G1401/F1401-1,"")</x:f>
      </x:c>
      <x:c r="K1401" s="19" t="str">
        <x:v>Exp_4/EXP046/results/seed1009_Fixed_rank_5.json</x:v>
      </x:c>
    </x:row>
    <x:row r="1402" ht="15" hidden="0" customHeight="1">
      <x:c r="A1402" s="3" t="str">
        <x:v>EXP046</x:v>
      </x:c>
      <x:c r="B1402" s="3" t="str">
        <x:v>Exp. 4</x:v>
      </x:c>
      <x:c r="C1402" s="18" t="n">
        <x:v>1009</x:v>
      </x:c>
      <x:c r="D1402" s="3" t="str">
        <x:v>Full</x:v>
      </x:c>
      <x:c r="E1402" s="18" t="n">
        <x:v>200</x:v>
      </x:c>
      <x:c r="F1402" s="21" t="n">
        <x:v>167.20324447196816</x:v>
      </x:c>
      <x:c r="G1402" s="21" t="str">
        <x:f>""</x:f>
      </x:c>
      <x:c r="H1402" s="21" t="n">
        <x:f>F1402</x:f>
        <x:v>167.20324447196816</x:v>
      </x:c>
      <x:c r="I1402" s="27" t="str">
        <x:f>IF(AND(ISNUMBER(G1402),ISNUMBER(H1402),H1402&gt;0),G1402/H1402-1,"")</x:f>
      </x:c>
      <x:c r="J1402" s="27" t="str">
        <x:f>IF(AND(ISNUMBER(G1402),F1402&gt;0),G1402/F1402-1,"")</x:f>
      </x:c>
      <x:c r="K1402" s="19" t="str">
        <x:v>Exp_4/EXP046/results/seed1009_Full.json</x:v>
      </x:c>
    </x:row>
    <x:row r="1403" ht="15" hidden="0" customHeight="1">
      <x:c r="A1403" s="3" t="str">
        <x:v>EXP046</x:v>
      </x:c>
      <x:c r="B1403" s="3" t="str">
        <x:v>Exp. 4</x:v>
      </x:c>
      <x:c r="C1403" s="18" t="n">
        <x:v>1009</x:v>
      </x:c>
      <x:c r="D1403" s="3" t="str">
        <x:v>Relative cutoff 1e-2</x:v>
      </x:c>
      <x:c r="E1403" s="18" t="n">
        <x:v>200</x:v>
      </x:c>
      <x:c r="F1403" s="21" t="n">
        <x:v>183.1640324975023</x:v>
      </x:c>
      <x:c r="G1403" s="21" t="str">
        <x:f>""</x:f>
      </x:c>
      <x:c r="H1403" s="21" t="n">
        <x:f>F1402</x:f>
        <x:v>167.20324447196816</x:v>
      </x:c>
      <x:c r="I1403" s="27" t="str">
        <x:f>IF(AND(ISNUMBER(G1403),ISNUMBER(H1403),H1403&gt;0),G1403/H1403-1,"")</x:f>
      </x:c>
      <x:c r="J1403" s="27" t="str">
        <x:f>IF(AND(ISNUMBER(G1403),F1403&gt;0),G1403/F1403-1,"")</x:f>
      </x:c>
      <x:c r="K1403" s="19" t="str">
        <x:v>Exp_4/EXP046/results/seed1009_Relative_cutoff_1e-2.json</x:v>
      </x:c>
    </x:row>
    <x:row r="1404" ht="15" hidden="0" customHeight="1">
      <x:c r="A1404" s="3" t="str">
        <x:v>EXP046</x:v>
      </x:c>
      <x:c r="B1404" s="3" t="str">
        <x:v>Exp. 4</x:v>
      </x:c>
      <x:c r="C1404" s="18" t="n">
        <x:v>1010</x:v>
      </x:c>
      <x:c r="D1404" s="3" t="str">
        <x:v>Fixed rank 10</x:v>
      </x:c>
      <x:c r="E1404" s="18" t="n">
        <x:v>200</x:v>
      </x:c>
      <x:c r="F1404" s="21" t="n">
        <x:v>147.5530490865253</x:v>
      </x:c>
      <x:c r="G1404" s="21" t="str">
        <x:f>""</x:f>
      </x:c>
      <x:c r="H1404" s="21" t="n">
        <x:f>F1407</x:f>
        <x:v>147.5530490865253</x:v>
      </x:c>
      <x:c r="I1404" s="27" t="str">
        <x:f>IF(AND(ISNUMBER(G1404),ISNUMBER(H1404),H1404&gt;0),G1404/H1404-1,"")</x:f>
      </x:c>
      <x:c r="J1404" s="27" t="str">
        <x:f>IF(AND(ISNUMBER(G1404),F1404&gt;0),G1404/F1404-1,"")</x:f>
      </x:c>
      <x:c r="K1404" s="19" t="str">
        <x:v>Exp_4/EXP046/results/seed1010_Fixed_rank_10.json</x:v>
      </x:c>
    </x:row>
    <x:row r="1405" ht="15" hidden="0" customHeight="1">
      <x:c r="A1405" s="3" t="str">
        <x:v>EXP046</x:v>
      </x:c>
      <x:c r="B1405" s="3" t="str">
        <x:v>Exp. 4</x:v>
      </x:c>
      <x:c r="C1405" s="18" t="n">
        <x:v>1010</x:v>
      </x:c>
      <x:c r="D1405" s="3" t="str">
        <x:v>Fixed rank 3</x:v>
      </x:c>
      <x:c r="E1405" s="18" t="n">
        <x:v>200</x:v>
      </x:c>
      <x:c r="F1405" s="21" t="n">
        <x:v>142.43009726542223</x:v>
      </x:c>
      <x:c r="G1405" s="21" t="str">
        <x:f>""</x:f>
      </x:c>
      <x:c r="H1405" s="21" t="n">
        <x:f>F1407</x:f>
        <x:v>147.5530490865253</x:v>
      </x:c>
      <x:c r="I1405" s="27" t="str">
        <x:f>IF(AND(ISNUMBER(G1405),ISNUMBER(H1405),H1405&gt;0),G1405/H1405-1,"")</x:f>
      </x:c>
      <x:c r="J1405" s="27" t="str">
        <x:f>IF(AND(ISNUMBER(G1405),F1405&gt;0),G1405/F1405-1,"")</x:f>
      </x:c>
      <x:c r="K1405" s="19" t="str">
        <x:v>Exp_4/EXP046/results/seed1010_Fixed_rank_3.json</x:v>
      </x:c>
    </x:row>
    <x:row r="1406" ht="15" hidden="0" customHeight="1">
      <x:c r="A1406" s="3" t="str">
        <x:v>EXP046</x:v>
      </x:c>
      <x:c r="B1406" s="3" t="str">
        <x:v>Exp. 4</x:v>
      </x:c>
      <x:c r="C1406" s="18" t="n">
        <x:v>1010</x:v>
      </x:c>
      <x:c r="D1406" s="3" t="str">
        <x:v>Fixed rank 5</x:v>
      </x:c>
      <x:c r="E1406" s="18" t="n">
        <x:v>200</x:v>
      </x:c>
      <x:c r="F1406" s="21" t="n">
        <x:v>146.63309188097338</x:v>
      </x:c>
      <x:c r="G1406" s="21" t="str">
        <x:f>""</x:f>
      </x:c>
      <x:c r="H1406" s="21" t="n">
        <x:f>F1407</x:f>
        <x:v>147.5530490865253</x:v>
      </x:c>
      <x:c r="I1406" s="27" t="str">
        <x:f>IF(AND(ISNUMBER(G1406),ISNUMBER(H1406),H1406&gt;0),G1406/H1406-1,"")</x:f>
      </x:c>
      <x:c r="J1406" s="27" t="str">
        <x:f>IF(AND(ISNUMBER(G1406),F1406&gt;0),G1406/F1406-1,"")</x:f>
      </x:c>
      <x:c r="K1406" s="19" t="str">
        <x:v>Exp_4/EXP046/results/seed1010_Fixed_rank_5.json</x:v>
      </x:c>
    </x:row>
    <x:row r="1407" ht="15" hidden="0" customHeight="1">
      <x:c r="A1407" s="3" t="str">
        <x:v>EXP046</x:v>
      </x:c>
      <x:c r="B1407" s="3" t="str">
        <x:v>Exp. 4</x:v>
      </x:c>
      <x:c r="C1407" s="18" t="n">
        <x:v>1010</x:v>
      </x:c>
      <x:c r="D1407" s="3" t="str">
        <x:v>Full</x:v>
      </x:c>
      <x:c r="E1407" s="18" t="n">
        <x:v>200</x:v>
      </x:c>
      <x:c r="F1407" s="21" t="n">
        <x:v>147.5530490865253</x:v>
      </x:c>
      <x:c r="G1407" s="21" t="str">
        <x:f>""</x:f>
      </x:c>
      <x:c r="H1407" s="21" t="n">
        <x:f>F1407</x:f>
        <x:v>147.5530490865253</x:v>
      </x:c>
      <x:c r="I1407" s="27" t="str">
        <x:f>IF(AND(ISNUMBER(G1407),ISNUMBER(H1407),H1407&gt;0),G1407/H1407-1,"")</x:f>
      </x:c>
      <x:c r="J1407" s="27" t="str">
        <x:f>IF(AND(ISNUMBER(G1407),F1407&gt;0),G1407/F1407-1,"")</x:f>
      </x:c>
      <x:c r="K1407" s="19" t="str">
        <x:v>Exp_4/EXP046/results/seed1010_Full.json</x:v>
      </x:c>
    </x:row>
    <x:row r="1408" ht="15" hidden="0" customHeight="1">
      <x:c r="A1408" s="3" t="str">
        <x:v>EXP046</x:v>
      </x:c>
      <x:c r="B1408" s="3" t="str">
        <x:v>Exp. 4</x:v>
      </x:c>
      <x:c r="C1408" s="18" t="n">
        <x:v>1010</x:v>
      </x:c>
      <x:c r="D1408" s="3" t="str">
        <x:v>Relative cutoff 1e-2</x:v>
      </x:c>
      <x:c r="E1408" s="18" t="n">
        <x:v>200</x:v>
      </x:c>
      <x:c r="F1408" s="21" t="n">
        <x:v>142.43009726542223</x:v>
      </x:c>
      <x:c r="G1408" s="21" t="str">
        <x:f>""</x:f>
      </x:c>
      <x:c r="H1408" s="21" t="n">
        <x:f>F1407</x:f>
        <x:v>147.5530490865253</x:v>
      </x:c>
      <x:c r="I1408" s="27" t="str">
        <x:f>IF(AND(ISNUMBER(G1408),ISNUMBER(H1408),H1408&gt;0),G1408/H1408-1,"")</x:f>
      </x:c>
      <x:c r="J1408" s="27" t="str">
        <x:f>IF(AND(ISNUMBER(G1408),F1408&gt;0),G1408/F1408-1,"")</x:f>
      </x:c>
      <x:c r="K1408" s="19" t="str">
        <x:v>Exp_4/EXP046/results/seed1010_Relative_cutoff_1e-2.json</x:v>
      </x:c>
    </x:row>
    <x:row r="1409" ht="15" hidden="0" customHeight="1">
      <x:c r="A1409" s="3" t="str">
        <x:v>EXP046</x:v>
      </x:c>
      <x:c r="B1409" s="3" t="str">
        <x:v>Exp. 4</x:v>
      </x:c>
      <x:c r="C1409" s="18" t="n">
        <x:v>1011</x:v>
      </x:c>
      <x:c r="D1409" s="3" t="str">
        <x:v>Fixed rank 10</x:v>
      </x:c>
      <x:c r="E1409" s="18" t="n">
        <x:v>200</x:v>
      </x:c>
      <x:c r="F1409" s="21" t="n">
        <x:v>165.55395450740048</x:v>
      </x:c>
      <x:c r="G1409" s="21" t="str">
        <x:f>""</x:f>
      </x:c>
      <x:c r="H1409" s="21" t="n">
        <x:f>F1412</x:f>
        <x:v>166.57157288968273</x:v>
      </x:c>
      <x:c r="I1409" s="27" t="str">
        <x:f>IF(AND(ISNUMBER(G1409),ISNUMBER(H1409),H1409&gt;0),G1409/H1409-1,"")</x:f>
      </x:c>
      <x:c r="J1409" s="27" t="str">
        <x:f>IF(AND(ISNUMBER(G1409),F1409&gt;0),G1409/F1409-1,"")</x:f>
      </x:c>
      <x:c r="K1409" s="19" t="str">
        <x:v>Exp_4/EXP046/results/seed1011_Fixed_rank_10.json</x:v>
      </x:c>
    </x:row>
    <x:row r="1410" ht="15" hidden="0" customHeight="1">
      <x:c r="A1410" s="3" t="str">
        <x:v>EXP046</x:v>
      </x:c>
      <x:c r="B1410" s="3" t="str">
        <x:v>Exp. 4</x:v>
      </x:c>
      <x:c r="C1410" s="18" t="n">
        <x:v>1011</x:v>
      </x:c>
      <x:c r="D1410" s="3" t="str">
        <x:v>Fixed rank 3</x:v>
      </x:c>
      <x:c r="E1410" s="18" t="n">
        <x:v>200</x:v>
      </x:c>
      <x:c r="F1410" s="21" t="n">
        <x:v>171.6034687491205</x:v>
      </x:c>
      <x:c r="G1410" s="21" t="str">
        <x:f>""</x:f>
      </x:c>
      <x:c r="H1410" s="21" t="n">
        <x:f>F1412</x:f>
        <x:v>166.57157288968273</x:v>
      </x:c>
      <x:c r="I1410" s="27" t="str">
        <x:f>IF(AND(ISNUMBER(G1410),ISNUMBER(H1410),H1410&gt;0),G1410/H1410-1,"")</x:f>
      </x:c>
      <x:c r="J1410" s="27" t="str">
        <x:f>IF(AND(ISNUMBER(G1410),F1410&gt;0),G1410/F1410-1,"")</x:f>
      </x:c>
      <x:c r="K1410" s="19" t="str">
        <x:v>Exp_4/EXP046/results/seed1011_Fixed_rank_3.json</x:v>
      </x:c>
    </x:row>
    <x:row r="1411" ht="15" hidden="0" customHeight="1">
      <x:c r="A1411" s="3" t="str">
        <x:v>EXP046</x:v>
      </x:c>
      <x:c r="B1411" s="3" t="str">
        <x:v>Exp. 4</x:v>
      </x:c>
      <x:c r="C1411" s="18" t="n">
        <x:v>1011</x:v>
      </x:c>
      <x:c r="D1411" s="3" t="str">
        <x:v>Fixed rank 5</x:v>
      </x:c>
      <x:c r="E1411" s="18" t="n">
        <x:v>200</x:v>
      </x:c>
      <x:c r="F1411" s="21" t="n">
        <x:v>165.070909366518</x:v>
      </x:c>
      <x:c r="G1411" s="21" t="str">
        <x:f>""</x:f>
      </x:c>
      <x:c r="H1411" s="21" t="n">
        <x:f>F1412</x:f>
        <x:v>166.57157288968273</x:v>
      </x:c>
      <x:c r="I1411" s="27" t="str">
        <x:f>IF(AND(ISNUMBER(G1411),ISNUMBER(H1411),H1411&gt;0),G1411/H1411-1,"")</x:f>
      </x:c>
      <x:c r="J1411" s="27" t="str">
        <x:f>IF(AND(ISNUMBER(G1411),F1411&gt;0),G1411/F1411-1,"")</x:f>
      </x:c>
      <x:c r="K1411" s="19" t="str">
        <x:v>Exp_4/EXP046/results/seed1011_Fixed_rank_5.json</x:v>
      </x:c>
    </x:row>
    <x:row r="1412" ht="15" hidden="0" customHeight="1">
      <x:c r="A1412" s="3" t="str">
        <x:v>EXP046</x:v>
      </x:c>
      <x:c r="B1412" s="3" t="str">
        <x:v>Exp. 4</x:v>
      </x:c>
      <x:c r="C1412" s="18" t="n">
        <x:v>1011</x:v>
      </x:c>
      <x:c r="D1412" s="3" t="str">
        <x:v>Full</x:v>
      </x:c>
      <x:c r="E1412" s="18" t="n">
        <x:v>200</x:v>
      </x:c>
      <x:c r="F1412" s="21" t="n">
        <x:v>166.57157288968273</x:v>
      </x:c>
      <x:c r="G1412" s="21" t="str">
        <x:f>""</x:f>
      </x:c>
      <x:c r="H1412" s="21" t="n">
        <x:f>F1412</x:f>
        <x:v>166.57157288968273</x:v>
      </x:c>
      <x:c r="I1412" s="27" t="str">
        <x:f>IF(AND(ISNUMBER(G1412),ISNUMBER(H1412),H1412&gt;0),G1412/H1412-1,"")</x:f>
      </x:c>
      <x:c r="J1412" s="27" t="str">
        <x:f>IF(AND(ISNUMBER(G1412),F1412&gt;0),G1412/F1412-1,"")</x:f>
      </x:c>
      <x:c r="K1412" s="19" t="str">
        <x:v>Exp_4/EXP046/results/seed1011_Full.json</x:v>
      </x:c>
    </x:row>
    <x:row r="1413" ht="15" hidden="0" customHeight="1">
      <x:c r="A1413" s="3" t="str">
        <x:v>EXP046</x:v>
      </x:c>
      <x:c r="B1413" s="3" t="str">
        <x:v>Exp. 4</x:v>
      </x:c>
      <x:c r="C1413" s="18" t="n">
        <x:v>1011</x:v>
      </x:c>
      <x:c r="D1413" s="3" t="str">
        <x:v>Relative cutoff 1e-2</x:v>
      </x:c>
      <x:c r="E1413" s="18" t="n">
        <x:v>200</x:v>
      </x:c>
      <x:c r="F1413" s="21" t="n">
        <x:v>164.4973084120318</x:v>
      </x:c>
      <x:c r="G1413" s="21" t="str">
        <x:f>""</x:f>
      </x:c>
      <x:c r="H1413" s="21" t="n">
        <x:f>F1412</x:f>
        <x:v>166.57157288968273</x:v>
      </x:c>
      <x:c r="I1413" s="27" t="str">
        <x:f>IF(AND(ISNUMBER(G1413),ISNUMBER(H1413),H1413&gt;0),G1413/H1413-1,"")</x:f>
      </x:c>
      <x:c r="J1413" s="27" t="str">
        <x:f>IF(AND(ISNUMBER(G1413),F1413&gt;0),G1413/F1413-1,"")</x:f>
      </x:c>
      <x:c r="K1413" s="19" t="str">
        <x:v>Exp_4/EXP046/results/seed1011_Relative_cutoff_1e-2.json</x:v>
      </x:c>
    </x:row>
    <x:row r="1414" ht="15" hidden="0" customHeight="1">
      <x:c r="A1414" s="3" t="str">
        <x:v>EXP046</x:v>
      </x:c>
      <x:c r="B1414" s="3" t="str">
        <x:v>Exp. 4</x:v>
      </x:c>
      <x:c r="C1414" s="18" t="n">
        <x:v>1012</x:v>
      </x:c>
      <x:c r="D1414" s="3" t="str">
        <x:v>Fixed rank 10</x:v>
      </x:c>
      <x:c r="E1414" s="18" t="n">
        <x:v>200</x:v>
      </x:c>
      <x:c r="F1414" s="21" t="n">
        <x:v>169.6741435581886</x:v>
      </x:c>
      <x:c r="G1414" s="21" t="str">
        <x:f>""</x:f>
      </x:c>
      <x:c r="H1414" s="21" t="n">
        <x:f>F1417</x:f>
        <x:v>169.43295841213194</x:v>
      </x:c>
      <x:c r="I1414" s="27" t="str">
        <x:f>IF(AND(ISNUMBER(G1414),ISNUMBER(H1414),H1414&gt;0),G1414/H1414-1,"")</x:f>
      </x:c>
      <x:c r="J1414" s="27" t="str">
        <x:f>IF(AND(ISNUMBER(G1414),F1414&gt;0),G1414/F1414-1,"")</x:f>
      </x:c>
      <x:c r="K1414" s="19" t="str">
        <x:v>Exp_4/EXP046/results/seed1012_Fixed_rank_10.json</x:v>
      </x:c>
    </x:row>
    <x:row r="1415" ht="15" hidden="0" customHeight="1">
      <x:c r="A1415" s="3" t="str">
        <x:v>EXP046</x:v>
      </x:c>
      <x:c r="B1415" s="3" t="str">
        <x:v>Exp. 4</x:v>
      </x:c>
      <x:c r="C1415" s="18" t="n">
        <x:v>1012</x:v>
      </x:c>
      <x:c r="D1415" s="3" t="str">
        <x:v>Fixed rank 3</x:v>
      </x:c>
      <x:c r="E1415" s="18" t="n">
        <x:v>200</x:v>
      </x:c>
      <x:c r="F1415" s="21" t="n">
        <x:v>165.05637390520587</x:v>
      </x:c>
      <x:c r="G1415" s="21" t="str">
        <x:f>""</x:f>
      </x:c>
      <x:c r="H1415" s="21" t="n">
        <x:f>F1417</x:f>
        <x:v>169.43295841213194</x:v>
      </x:c>
      <x:c r="I1415" s="27" t="str">
        <x:f>IF(AND(ISNUMBER(G1415),ISNUMBER(H1415),H1415&gt;0),G1415/H1415-1,"")</x:f>
      </x:c>
      <x:c r="J1415" s="27" t="str">
        <x:f>IF(AND(ISNUMBER(G1415),F1415&gt;0),G1415/F1415-1,"")</x:f>
      </x:c>
      <x:c r="K1415" s="19" t="str">
        <x:v>Exp_4/EXP046/results/seed1012_Fixed_rank_3.json</x:v>
      </x:c>
    </x:row>
    <x:row r="1416" ht="15" hidden="0" customHeight="1">
      <x:c r="A1416" s="3" t="str">
        <x:v>EXP046</x:v>
      </x:c>
      <x:c r="B1416" s="3" t="str">
        <x:v>Exp. 4</x:v>
      </x:c>
      <x:c r="C1416" s="18" t="n">
        <x:v>1012</x:v>
      </x:c>
      <x:c r="D1416" s="3" t="str">
        <x:v>Fixed rank 5</x:v>
      </x:c>
      <x:c r="E1416" s="18" t="n">
        <x:v>200</x:v>
      </x:c>
      <x:c r="F1416" s="21" t="n">
        <x:v>166.16704827525382</x:v>
      </x:c>
      <x:c r="G1416" s="21" t="str">
        <x:f>""</x:f>
      </x:c>
      <x:c r="H1416" s="21" t="n">
        <x:f>F1417</x:f>
        <x:v>169.43295841213194</x:v>
      </x:c>
      <x:c r="I1416" s="27" t="str">
        <x:f>IF(AND(ISNUMBER(G1416),ISNUMBER(H1416),H1416&gt;0),G1416/H1416-1,"")</x:f>
      </x:c>
      <x:c r="J1416" s="27" t="str">
        <x:f>IF(AND(ISNUMBER(G1416),F1416&gt;0),G1416/F1416-1,"")</x:f>
      </x:c>
      <x:c r="K1416" s="19" t="str">
        <x:v>Exp_4/EXP046/results/seed1012_Fixed_rank_5.json</x:v>
      </x:c>
    </x:row>
    <x:row r="1417" ht="15" hidden="0" customHeight="1">
      <x:c r="A1417" s="3" t="str">
        <x:v>EXP046</x:v>
      </x:c>
      <x:c r="B1417" s="3" t="str">
        <x:v>Exp. 4</x:v>
      </x:c>
      <x:c r="C1417" s="18" t="n">
        <x:v>1012</x:v>
      </x:c>
      <x:c r="D1417" s="3" t="str">
        <x:v>Full</x:v>
      </x:c>
      <x:c r="E1417" s="18" t="n">
        <x:v>200</x:v>
      </x:c>
      <x:c r="F1417" s="21" t="n">
        <x:v>169.43295841213194</x:v>
      </x:c>
      <x:c r="G1417" s="21" t="str">
        <x:f>""</x:f>
      </x:c>
      <x:c r="H1417" s="21" t="n">
        <x:f>F1417</x:f>
        <x:v>169.43295841213194</x:v>
      </x:c>
      <x:c r="I1417" s="27" t="str">
        <x:f>IF(AND(ISNUMBER(G1417),ISNUMBER(H1417),H1417&gt;0),G1417/H1417-1,"")</x:f>
      </x:c>
      <x:c r="J1417" s="27" t="str">
        <x:f>IF(AND(ISNUMBER(G1417),F1417&gt;0),G1417/F1417-1,"")</x:f>
      </x:c>
      <x:c r="K1417" s="19" t="str">
        <x:v>Exp_4/EXP046/results/seed1012_Full.json</x:v>
      </x:c>
    </x:row>
    <x:row r="1418" ht="15" hidden="0" customHeight="1">
      <x:c r="A1418" s="3" t="str">
        <x:v>EXP046</x:v>
      </x:c>
      <x:c r="B1418" s="3" t="str">
        <x:v>Exp. 4</x:v>
      </x:c>
      <x:c r="C1418" s="18" t="n">
        <x:v>1012</x:v>
      </x:c>
      <x:c r="D1418" s="3" t="str">
        <x:v>Relative cutoff 1e-2</x:v>
      </x:c>
      <x:c r="E1418" s="18" t="n">
        <x:v>200</x:v>
      </x:c>
      <x:c r="F1418" s="21" t="n">
        <x:v>166.16704827525382</x:v>
      </x:c>
      <x:c r="G1418" s="21" t="str">
        <x:f>""</x:f>
      </x:c>
      <x:c r="H1418" s="21" t="n">
        <x:f>F1417</x:f>
        <x:v>169.43295841213194</x:v>
      </x:c>
      <x:c r="I1418" s="27" t="str">
        <x:f>IF(AND(ISNUMBER(G1418),ISNUMBER(H1418),H1418&gt;0),G1418/H1418-1,"")</x:f>
      </x:c>
      <x:c r="J1418" s="27" t="str">
        <x:f>IF(AND(ISNUMBER(G1418),F1418&gt;0),G1418/F1418-1,"")</x:f>
      </x:c>
      <x:c r="K1418" s="19" t="str">
        <x:v>Exp_4/EXP046/results/seed1012_Relative_cutoff_1e-2.json</x:v>
      </x:c>
    </x:row>
    <x:row r="1419" ht="15" hidden="0" customHeight="1">
      <x:c r="A1419" s="3" t="str">
        <x:v>EXP046</x:v>
      </x:c>
      <x:c r="B1419" s="3" t="str">
        <x:v>Exp. 4</x:v>
      </x:c>
      <x:c r="C1419" s="18" t="n">
        <x:v>1013</x:v>
      </x:c>
      <x:c r="D1419" s="3" t="str">
        <x:v>Fixed rank 10</x:v>
      </x:c>
      <x:c r="E1419" s="18" t="n">
        <x:v>200</x:v>
      </x:c>
      <x:c r="F1419" s="21" t="n">
        <x:v>144.35067236166392</x:v>
      </x:c>
      <x:c r="G1419" s="21" t="str">
        <x:f>""</x:f>
      </x:c>
      <x:c r="H1419" s="21" t="n">
        <x:f>F1422</x:f>
        <x:v>141.51934115738337</x:v>
      </x:c>
      <x:c r="I1419" s="27" t="str">
        <x:f>IF(AND(ISNUMBER(G1419),ISNUMBER(H1419),H1419&gt;0),G1419/H1419-1,"")</x:f>
      </x:c>
      <x:c r="J1419" s="27" t="str">
        <x:f>IF(AND(ISNUMBER(G1419),F1419&gt;0),G1419/F1419-1,"")</x:f>
      </x:c>
      <x:c r="K1419" s="19" t="str">
        <x:v>Exp_4/EXP046/results/seed1013_Fixed_rank_10.json</x:v>
      </x:c>
    </x:row>
    <x:row r="1420" ht="15" hidden="0" customHeight="1">
      <x:c r="A1420" s="3" t="str">
        <x:v>EXP046</x:v>
      </x:c>
      <x:c r="B1420" s="3" t="str">
        <x:v>Exp. 4</x:v>
      </x:c>
      <x:c r="C1420" s="18" t="n">
        <x:v>1013</x:v>
      </x:c>
      <x:c r="D1420" s="3" t="str">
        <x:v>Fixed rank 3</x:v>
      </x:c>
      <x:c r="E1420" s="18" t="n">
        <x:v>200</x:v>
      </x:c>
      <x:c r="F1420" s="21" t="n">
        <x:v>133.98102468167164</x:v>
      </x:c>
      <x:c r="G1420" s="21" t="str">
        <x:f>""</x:f>
      </x:c>
      <x:c r="H1420" s="21" t="n">
        <x:f>F1422</x:f>
        <x:v>141.51934115738337</x:v>
      </x:c>
      <x:c r="I1420" s="27" t="str">
        <x:f>IF(AND(ISNUMBER(G1420),ISNUMBER(H1420),H1420&gt;0),G1420/H1420-1,"")</x:f>
      </x:c>
      <x:c r="J1420" s="27" t="str">
        <x:f>IF(AND(ISNUMBER(G1420),F1420&gt;0),G1420/F1420-1,"")</x:f>
      </x:c>
      <x:c r="K1420" s="19" t="str">
        <x:v>Exp_4/EXP046/results/seed1013_Fixed_rank_3.json</x:v>
      </x:c>
    </x:row>
    <x:row r="1421" ht="15" hidden="0" customHeight="1">
      <x:c r="A1421" s="3" t="str">
        <x:v>EXP046</x:v>
      </x:c>
      <x:c r="B1421" s="3" t="str">
        <x:v>Exp. 4</x:v>
      </x:c>
      <x:c r="C1421" s="18" t="n">
        <x:v>1013</x:v>
      </x:c>
      <x:c r="D1421" s="3" t="str">
        <x:v>Fixed rank 5</x:v>
      </x:c>
      <x:c r="E1421" s="18" t="n">
        <x:v>200</x:v>
      </x:c>
      <x:c r="F1421" s="21" t="n">
        <x:v>155.18213300046992</x:v>
      </x:c>
      <x:c r="G1421" s="21" t="str">
        <x:f>""</x:f>
      </x:c>
      <x:c r="H1421" s="21" t="n">
        <x:f>F1422</x:f>
        <x:v>141.51934115738337</x:v>
      </x:c>
      <x:c r="I1421" s="27" t="str">
        <x:f>IF(AND(ISNUMBER(G1421),ISNUMBER(H1421),H1421&gt;0),G1421/H1421-1,"")</x:f>
      </x:c>
      <x:c r="J1421" s="27" t="str">
        <x:f>IF(AND(ISNUMBER(G1421),F1421&gt;0),G1421/F1421-1,"")</x:f>
      </x:c>
      <x:c r="K1421" s="19" t="str">
        <x:v>Exp_4/EXP046/results/seed1013_Fixed_rank_5.json</x:v>
      </x:c>
    </x:row>
    <x:row r="1422" ht="15" hidden="0" customHeight="1">
      <x:c r="A1422" s="3" t="str">
        <x:v>EXP046</x:v>
      </x:c>
      <x:c r="B1422" s="3" t="str">
        <x:v>Exp. 4</x:v>
      </x:c>
      <x:c r="C1422" s="18" t="n">
        <x:v>1013</x:v>
      </x:c>
      <x:c r="D1422" s="3" t="str">
        <x:v>Full</x:v>
      </x:c>
      <x:c r="E1422" s="18" t="n">
        <x:v>200</x:v>
      </x:c>
      <x:c r="F1422" s="21" t="n">
        <x:v>141.51934115738337</x:v>
      </x:c>
      <x:c r="G1422" s="21" t="str">
        <x:f>""</x:f>
      </x:c>
      <x:c r="H1422" s="21" t="n">
        <x:f>F1422</x:f>
        <x:v>141.51934115738337</x:v>
      </x:c>
      <x:c r="I1422" s="27" t="str">
        <x:f>IF(AND(ISNUMBER(G1422),ISNUMBER(H1422),H1422&gt;0),G1422/H1422-1,"")</x:f>
      </x:c>
      <x:c r="J1422" s="27" t="str">
        <x:f>IF(AND(ISNUMBER(G1422),F1422&gt;0),G1422/F1422-1,"")</x:f>
      </x:c>
      <x:c r="K1422" s="19" t="str">
        <x:v>Exp_4/EXP046/results/seed1013_Full.json</x:v>
      </x:c>
    </x:row>
    <x:row r="1423" ht="15" hidden="0" customHeight="1">
      <x:c r="A1423" s="3" t="str">
        <x:v>EXP046</x:v>
      </x:c>
      <x:c r="B1423" s="3" t="str">
        <x:v>Exp. 4</x:v>
      </x:c>
      <x:c r="C1423" s="18" t="n">
        <x:v>1013</x:v>
      </x:c>
      <x:c r="D1423" s="3" t="str">
        <x:v>Relative cutoff 1e-2</x:v>
      </x:c>
      <x:c r="E1423" s="18" t="n">
        <x:v>200</x:v>
      </x:c>
      <x:c r="F1423" s="21" t="n">
        <x:v>157.8354935200439</x:v>
      </x:c>
      <x:c r="G1423" s="21" t="str">
        <x:f>""</x:f>
      </x:c>
      <x:c r="H1423" s="21" t="n">
        <x:f>F1422</x:f>
        <x:v>141.51934115738337</x:v>
      </x:c>
      <x:c r="I1423" s="27" t="str">
        <x:f>IF(AND(ISNUMBER(G1423),ISNUMBER(H1423),H1423&gt;0),G1423/H1423-1,"")</x:f>
      </x:c>
      <x:c r="J1423" s="27" t="str">
        <x:f>IF(AND(ISNUMBER(G1423),F1423&gt;0),G1423/F1423-1,"")</x:f>
      </x:c>
      <x:c r="K1423" s="19" t="str">
        <x:v>Exp_4/EXP046/results/seed1013_Relative_cutoff_1e-2.json</x:v>
      </x:c>
    </x:row>
    <x:row r="1424" ht="15" hidden="0" customHeight="1">
      <x:c r="A1424" s="3" t="str">
        <x:v>EXP046</x:v>
      </x:c>
      <x:c r="B1424" s="3" t="str">
        <x:v>Exp. 4</x:v>
      </x:c>
      <x:c r="C1424" s="18" t="n">
        <x:v>1014</x:v>
      </x:c>
      <x:c r="D1424" s="3" t="str">
        <x:v>Fixed rank 10</x:v>
      </x:c>
      <x:c r="E1424" s="18" t="n">
        <x:v>200</x:v>
      </x:c>
      <x:c r="F1424" s="21" t="n">
        <x:v>160.03170533307394</x:v>
      </x:c>
      <x:c r="G1424" s="21" t="str">
        <x:f>""</x:f>
      </x:c>
      <x:c r="H1424" s="21" t="n">
        <x:f>F1427</x:f>
        <x:v>160.03170533307394</x:v>
      </x:c>
      <x:c r="I1424" s="27" t="str">
        <x:f>IF(AND(ISNUMBER(G1424),ISNUMBER(H1424),H1424&gt;0),G1424/H1424-1,"")</x:f>
      </x:c>
      <x:c r="J1424" s="27" t="str">
        <x:f>IF(AND(ISNUMBER(G1424),F1424&gt;0),G1424/F1424-1,"")</x:f>
      </x:c>
      <x:c r="K1424" s="19" t="str">
        <x:v>Exp_4/EXP046/results/seed1014_Fixed_rank_10.json</x:v>
      </x:c>
    </x:row>
    <x:row r="1425" ht="15" hidden="0" customHeight="1">
      <x:c r="A1425" s="3" t="str">
        <x:v>EXP046</x:v>
      </x:c>
      <x:c r="B1425" s="3" t="str">
        <x:v>Exp. 4</x:v>
      </x:c>
      <x:c r="C1425" s="18" t="n">
        <x:v>1014</x:v>
      </x:c>
      <x:c r="D1425" s="3" t="str">
        <x:v>Fixed rank 3</x:v>
      </x:c>
      <x:c r="E1425" s="18" t="n">
        <x:v>200</x:v>
      </x:c>
      <x:c r="F1425" s="21" t="n">
        <x:v>161.61992684837435</x:v>
      </x:c>
      <x:c r="G1425" s="21" t="str">
        <x:f>""</x:f>
      </x:c>
      <x:c r="H1425" s="21" t="n">
        <x:f>F1427</x:f>
        <x:v>160.03170533307394</x:v>
      </x:c>
      <x:c r="I1425" s="27" t="str">
        <x:f>IF(AND(ISNUMBER(G1425),ISNUMBER(H1425),H1425&gt;0),G1425/H1425-1,"")</x:f>
      </x:c>
      <x:c r="J1425" s="27" t="str">
        <x:f>IF(AND(ISNUMBER(G1425),F1425&gt;0),G1425/F1425-1,"")</x:f>
      </x:c>
      <x:c r="K1425" s="19" t="str">
        <x:v>Exp_4/EXP046/results/seed1014_Fixed_rank_3.json</x:v>
      </x:c>
    </x:row>
    <x:row r="1426" ht="15" hidden="0" customHeight="1">
      <x:c r="A1426" s="3" t="str">
        <x:v>EXP046</x:v>
      </x:c>
      <x:c r="B1426" s="3" t="str">
        <x:v>Exp. 4</x:v>
      </x:c>
      <x:c r="C1426" s="18" t="n">
        <x:v>1014</x:v>
      </x:c>
      <x:c r="D1426" s="3" t="str">
        <x:v>Fixed rank 5</x:v>
      </x:c>
      <x:c r="E1426" s="18" t="n">
        <x:v>200</x:v>
      </x:c>
      <x:c r="F1426" s="21" t="n">
        <x:v>168.6073184085018</x:v>
      </x:c>
      <x:c r="G1426" s="21" t="str">
        <x:f>""</x:f>
      </x:c>
      <x:c r="H1426" s="21" t="n">
        <x:f>F1427</x:f>
        <x:v>160.03170533307394</x:v>
      </x:c>
      <x:c r="I1426" s="27" t="str">
        <x:f>IF(AND(ISNUMBER(G1426),ISNUMBER(H1426),H1426&gt;0),G1426/H1426-1,"")</x:f>
      </x:c>
      <x:c r="J1426" s="27" t="str">
        <x:f>IF(AND(ISNUMBER(G1426),F1426&gt;0),G1426/F1426-1,"")</x:f>
      </x:c>
      <x:c r="K1426" s="19" t="str">
        <x:v>Exp_4/EXP046/results/seed1014_Fixed_rank_5.json</x:v>
      </x:c>
    </x:row>
    <x:row r="1427" ht="15" hidden="0" customHeight="1">
      <x:c r="A1427" s="3" t="str">
        <x:v>EXP046</x:v>
      </x:c>
      <x:c r="B1427" s="3" t="str">
        <x:v>Exp. 4</x:v>
      </x:c>
      <x:c r="C1427" s="18" t="n">
        <x:v>1014</x:v>
      </x:c>
      <x:c r="D1427" s="3" t="str">
        <x:v>Full</x:v>
      </x:c>
      <x:c r="E1427" s="18" t="n">
        <x:v>200</x:v>
      </x:c>
      <x:c r="F1427" s="21" t="n">
        <x:v>160.03170533307394</x:v>
      </x:c>
      <x:c r="G1427" s="21" t="str">
        <x:f>""</x:f>
      </x:c>
      <x:c r="H1427" s="21" t="n">
        <x:f>F1427</x:f>
        <x:v>160.03170533307394</x:v>
      </x:c>
      <x:c r="I1427" s="27" t="str">
        <x:f>IF(AND(ISNUMBER(G1427),ISNUMBER(H1427),H1427&gt;0),G1427/H1427-1,"")</x:f>
      </x:c>
      <x:c r="J1427" s="27" t="str">
        <x:f>IF(AND(ISNUMBER(G1427),F1427&gt;0),G1427/F1427-1,"")</x:f>
      </x:c>
      <x:c r="K1427" s="19" t="str">
        <x:v>Exp_4/EXP046/results/seed1014_Full.json</x:v>
      </x:c>
    </x:row>
    <x:row r="1428" ht="15" hidden="0" customHeight="1">
      <x:c r="A1428" s="3" t="str">
        <x:v>EXP046</x:v>
      </x:c>
      <x:c r="B1428" s="3" t="str">
        <x:v>Exp. 4</x:v>
      </x:c>
      <x:c r="C1428" s="18" t="n">
        <x:v>1014</x:v>
      </x:c>
      <x:c r="D1428" s="3" t="str">
        <x:v>Relative cutoff 1e-2</x:v>
      </x:c>
      <x:c r="E1428" s="18" t="n">
        <x:v>200</x:v>
      </x:c>
      <x:c r="F1428" s="21" t="n">
        <x:v>162.38558550353233</x:v>
      </x:c>
      <x:c r="G1428" s="21" t="str">
        <x:f>""</x:f>
      </x:c>
      <x:c r="H1428" s="21" t="n">
        <x:f>F1427</x:f>
        <x:v>160.03170533307394</x:v>
      </x:c>
      <x:c r="I1428" s="27" t="str">
        <x:f>IF(AND(ISNUMBER(G1428),ISNUMBER(H1428),H1428&gt;0),G1428/H1428-1,"")</x:f>
      </x:c>
      <x:c r="J1428" s="27" t="str">
        <x:f>IF(AND(ISNUMBER(G1428),F1428&gt;0),G1428/F1428-1,"")</x:f>
      </x:c>
      <x:c r="K1428" s="19" t="str">
        <x:v>Exp_4/EXP046/results/seed1014_Relative_cutoff_1e-2.json</x:v>
      </x:c>
    </x:row>
    <x:row r="1429" ht="15" hidden="0" customHeight="1">
      <x:c r="A1429" s="3" t="str">
        <x:v>EXP046</x:v>
      </x:c>
      <x:c r="B1429" s="3" t="str">
        <x:v>Exp. 4</x:v>
      </x:c>
      <x:c r="C1429" s="18" t="n">
        <x:v>1015</x:v>
      </x:c>
      <x:c r="D1429" s="3" t="str">
        <x:v>Fixed rank 10</x:v>
      </x:c>
      <x:c r="E1429" s="18" t="n">
        <x:v>200</x:v>
      </x:c>
      <x:c r="F1429" s="21" t="n">
        <x:v>141.17176443686154</x:v>
      </x:c>
      <x:c r="G1429" s="21" t="str">
        <x:f>""</x:f>
      </x:c>
      <x:c r="H1429" s="21" t="n">
        <x:f>F1432</x:f>
        <x:v>141.17176443686154</x:v>
      </x:c>
      <x:c r="I1429" s="27" t="str">
        <x:f>IF(AND(ISNUMBER(G1429),ISNUMBER(H1429),H1429&gt;0),G1429/H1429-1,"")</x:f>
      </x:c>
      <x:c r="J1429" s="27" t="str">
        <x:f>IF(AND(ISNUMBER(G1429),F1429&gt;0),G1429/F1429-1,"")</x:f>
      </x:c>
      <x:c r="K1429" s="19" t="str">
        <x:v>Exp_4/EXP046/results/seed1015_Fixed_rank_10.json</x:v>
      </x:c>
    </x:row>
    <x:row r="1430" ht="15" hidden="0" customHeight="1">
      <x:c r="A1430" s="3" t="str">
        <x:v>EXP046</x:v>
      </x:c>
      <x:c r="B1430" s="3" t="str">
        <x:v>Exp. 4</x:v>
      </x:c>
      <x:c r="C1430" s="18" t="n">
        <x:v>1015</x:v>
      </x:c>
      <x:c r="D1430" s="3" t="str">
        <x:v>Fixed rank 3</x:v>
      </x:c>
      <x:c r="E1430" s="18" t="n">
        <x:v>200</x:v>
      </x:c>
      <x:c r="F1430" s="21" t="n">
        <x:v>143.22463837228682</x:v>
      </x:c>
      <x:c r="G1430" s="21" t="str">
        <x:f>""</x:f>
      </x:c>
      <x:c r="H1430" s="21" t="n">
        <x:f>F1432</x:f>
        <x:v>141.17176443686154</x:v>
      </x:c>
      <x:c r="I1430" s="27" t="str">
        <x:f>IF(AND(ISNUMBER(G1430),ISNUMBER(H1430),H1430&gt;0),G1430/H1430-1,"")</x:f>
      </x:c>
      <x:c r="J1430" s="27" t="str">
        <x:f>IF(AND(ISNUMBER(G1430),F1430&gt;0),G1430/F1430-1,"")</x:f>
      </x:c>
      <x:c r="K1430" s="19" t="str">
        <x:v>Exp_4/EXP046/results/seed1015_Fixed_rank_3.json</x:v>
      </x:c>
    </x:row>
    <x:row r="1431" ht="15" hidden="0" customHeight="1">
      <x:c r="A1431" s="3" t="str">
        <x:v>EXP046</x:v>
      </x:c>
      <x:c r="B1431" s="3" t="str">
        <x:v>Exp. 4</x:v>
      </x:c>
      <x:c r="C1431" s="18" t="n">
        <x:v>1015</x:v>
      </x:c>
      <x:c r="D1431" s="3" t="str">
        <x:v>Fixed rank 5</x:v>
      </x:c>
      <x:c r="E1431" s="18" t="n">
        <x:v>200</x:v>
      </x:c>
      <x:c r="F1431" s="21" t="n">
        <x:v>141.17176443686154</x:v>
      </x:c>
      <x:c r="G1431" s="21" t="str">
        <x:f>""</x:f>
      </x:c>
      <x:c r="H1431" s="21" t="n">
        <x:f>F1432</x:f>
        <x:v>141.17176443686154</x:v>
      </x:c>
      <x:c r="I1431" s="27" t="str">
        <x:f>IF(AND(ISNUMBER(G1431),ISNUMBER(H1431),H1431&gt;0),G1431/H1431-1,"")</x:f>
      </x:c>
      <x:c r="J1431" s="27" t="str">
        <x:f>IF(AND(ISNUMBER(G1431),F1431&gt;0),G1431/F1431-1,"")</x:f>
      </x:c>
      <x:c r="K1431" s="19" t="str">
        <x:v>Exp_4/EXP046/results/seed1015_Fixed_rank_5.json</x:v>
      </x:c>
    </x:row>
    <x:row r="1432" ht="15" hidden="0" customHeight="1">
      <x:c r="A1432" s="3" t="str">
        <x:v>EXP046</x:v>
      </x:c>
      <x:c r="B1432" s="3" t="str">
        <x:v>Exp. 4</x:v>
      </x:c>
      <x:c r="C1432" s="18" t="n">
        <x:v>1015</x:v>
      </x:c>
      <x:c r="D1432" s="3" t="str">
        <x:v>Full</x:v>
      </x:c>
      <x:c r="E1432" s="18" t="n">
        <x:v>200</x:v>
      </x:c>
      <x:c r="F1432" s="21" t="n">
        <x:v>141.17176443686154</x:v>
      </x:c>
      <x:c r="G1432" s="21" t="str">
        <x:f>""</x:f>
      </x:c>
      <x:c r="H1432" s="21" t="n">
        <x:f>F1432</x:f>
        <x:v>141.17176443686154</x:v>
      </x:c>
      <x:c r="I1432" s="27" t="str">
        <x:f>IF(AND(ISNUMBER(G1432),ISNUMBER(H1432),H1432&gt;0),G1432/H1432-1,"")</x:f>
      </x:c>
      <x:c r="J1432" s="27" t="str">
        <x:f>IF(AND(ISNUMBER(G1432),F1432&gt;0),G1432/F1432-1,"")</x:f>
      </x:c>
      <x:c r="K1432" s="19" t="str">
        <x:v>Exp_4/EXP046/results/seed1015_Full.json</x:v>
      </x:c>
    </x:row>
    <x:row r="1433" ht="15" hidden="0" customHeight="1">
      <x:c r="A1433" s="3" t="str">
        <x:v>EXP046</x:v>
      </x:c>
      <x:c r="B1433" s="3" t="str">
        <x:v>Exp. 4</x:v>
      </x:c>
      <x:c r="C1433" s="18" t="n">
        <x:v>1015</x:v>
      </x:c>
      <x:c r="D1433" s="3" t="str">
        <x:v>Relative cutoff 1e-2</x:v>
      </x:c>
      <x:c r="E1433" s="18" t="n">
        <x:v>200</x:v>
      </x:c>
      <x:c r="F1433" s="21" t="n">
        <x:v>142.96810538072245</x:v>
      </x:c>
      <x:c r="G1433" s="21" t="str">
        <x:f>""</x:f>
      </x:c>
      <x:c r="H1433" s="21" t="n">
        <x:f>F1432</x:f>
        <x:v>141.17176443686154</x:v>
      </x:c>
      <x:c r="I1433" s="27" t="str">
        <x:f>IF(AND(ISNUMBER(G1433),ISNUMBER(H1433),H1433&gt;0),G1433/H1433-1,"")</x:f>
      </x:c>
      <x:c r="J1433" s="27" t="str">
        <x:f>IF(AND(ISNUMBER(G1433),F1433&gt;0),G1433/F1433-1,"")</x:f>
      </x:c>
      <x:c r="K1433" s="19" t="str">
        <x:v>Exp_4/EXP046/results/seed1015_Relative_cutoff_1e-2.json</x:v>
      </x:c>
    </x:row>
    <x:row r="1434" ht="15" hidden="0" customHeight="1">
      <x:c r="A1434" s="3" t="str">
        <x:v>EXP046</x:v>
      </x:c>
      <x:c r="B1434" s="3" t="str">
        <x:v>Exp. 4</x:v>
      </x:c>
      <x:c r="C1434" s="18" t="n">
        <x:v>1016</x:v>
      </x:c>
      <x:c r="D1434" s="3" t="str">
        <x:v>Fixed rank 10</x:v>
      </x:c>
      <x:c r="E1434" s="18" t="n">
        <x:v>200</x:v>
      </x:c>
      <x:c r="F1434" s="21" t="n">
        <x:v>152.11426485567262</x:v>
      </x:c>
      <x:c r="G1434" s="21" t="str">
        <x:f>""</x:f>
      </x:c>
      <x:c r="H1434" s="21" t="n">
        <x:f>F1437</x:f>
        <x:v>151.5575041723477</x:v>
      </x:c>
      <x:c r="I1434" s="27" t="str">
        <x:f>IF(AND(ISNUMBER(G1434),ISNUMBER(H1434),H1434&gt;0),G1434/H1434-1,"")</x:f>
      </x:c>
      <x:c r="J1434" s="27" t="str">
        <x:f>IF(AND(ISNUMBER(G1434),F1434&gt;0),G1434/F1434-1,"")</x:f>
      </x:c>
      <x:c r="K1434" s="19" t="str">
        <x:v>Exp_4/EXP046/results/seed1016_Fixed_rank_10.json</x:v>
      </x:c>
    </x:row>
    <x:row r="1435" ht="15" hidden="0" customHeight="1">
      <x:c r="A1435" s="3" t="str">
        <x:v>EXP046</x:v>
      </x:c>
      <x:c r="B1435" s="3" t="str">
        <x:v>Exp. 4</x:v>
      </x:c>
      <x:c r="C1435" s="18" t="n">
        <x:v>1016</x:v>
      </x:c>
      <x:c r="D1435" s="3" t="str">
        <x:v>Fixed rank 3</x:v>
      </x:c>
      <x:c r="E1435" s="18" t="n">
        <x:v>200</x:v>
      </x:c>
      <x:c r="F1435" s="21" t="n">
        <x:v>151.08156926945094</x:v>
      </x:c>
      <x:c r="G1435" s="21" t="str">
        <x:f>""</x:f>
      </x:c>
      <x:c r="H1435" s="21" t="n">
        <x:f>F1437</x:f>
        <x:v>151.5575041723477</x:v>
      </x:c>
      <x:c r="I1435" s="27" t="str">
        <x:f>IF(AND(ISNUMBER(G1435),ISNUMBER(H1435),H1435&gt;0),G1435/H1435-1,"")</x:f>
      </x:c>
      <x:c r="J1435" s="27" t="str">
        <x:f>IF(AND(ISNUMBER(G1435),F1435&gt;0),G1435/F1435-1,"")</x:f>
      </x:c>
      <x:c r="K1435" s="19" t="str">
        <x:v>Exp_4/EXP046/results/seed1016_Fixed_rank_3.json</x:v>
      </x:c>
    </x:row>
    <x:row r="1436" ht="15" hidden="0" customHeight="1">
      <x:c r="A1436" s="3" t="str">
        <x:v>EXP046</x:v>
      </x:c>
      <x:c r="B1436" s="3" t="str">
        <x:v>Exp. 4</x:v>
      </x:c>
      <x:c r="C1436" s="18" t="n">
        <x:v>1016</x:v>
      </x:c>
      <x:c r="D1436" s="3" t="str">
        <x:v>Fixed rank 5</x:v>
      </x:c>
      <x:c r="E1436" s="18" t="n">
        <x:v>200</x:v>
      </x:c>
      <x:c r="F1436" s="21" t="n">
        <x:v>152.27087031398494</x:v>
      </x:c>
      <x:c r="G1436" s="21" t="str">
        <x:f>""</x:f>
      </x:c>
      <x:c r="H1436" s="21" t="n">
        <x:f>F1437</x:f>
        <x:v>151.5575041723477</x:v>
      </x:c>
      <x:c r="I1436" s="27" t="str">
        <x:f>IF(AND(ISNUMBER(G1436),ISNUMBER(H1436),H1436&gt;0),G1436/H1436-1,"")</x:f>
      </x:c>
      <x:c r="J1436" s="27" t="str">
        <x:f>IF(AND(ISNUMBER(G1436),F1436&gt;0),G1436/F1436-1,"")</x:f>
      </x:c>
      <x:c r="K1436" s="19" t="str">
        <x:v>Exp_4/EXP046/results/seed1016_Fixed_rank_5.json</x:v>
      </x:c>
    </x:row>
    <x:row r="1437" ht="15" hidden="0" customHeight="1">
      <x:c r="A1437" s="3" t="str">
        <x:v>EXP046</x:v>
      </x:c>
      <x:c r="B1437" s="3" t="str">
        <x:v>Exp. 4</x:v>
      </x:c>
      <x:c r="C1437" s="18" t="n">
        <x:v>1016</x:v>
      </x:c>
      <x:c r="D1437" s="3" t="str">
        <x:v>Full</x:v>
      </x:c>
      <x:c r="E1437" s="18" t="n">
        <x:v>200</x:v>
      </x:c>
      <x:c r="F1437" s="21" t="n">
        <x:v>151.5575041723477</x:v>
      </x:c>
      <x:c r="G1437" s="21" t="str">
        <x:f>""</x:f>
      </x:c>
      <x:c r="H1437" s="21" t="n">
        <x:f>F1437</x:f>
        <x:v>151.5575041723477</x:v>
      </x:c>
      <x:c r="I1437" s="27" t="str">
        <x:f>IF(AND(ISNUMBER(G1437),ISNUMBER(H1437),H1437&gt;0),G1437/H1437-1,"")</x:f>
      </x:c>
      <x:c r="J1437" s="27" t="str">
        <x:f>IF(AND(ISNUMBER(G1437),F1437&gt;0),G1437/F1437-1,"")</x:f>
      </x:c>
      <x:c r="K1437" s="19" t="str">
        <x:v>Exp_4/EXP046/results/seed1016_Full.json</x:v>
      </x:c>
    </x:row>
    <x:row r="1438" ht="15" hidden="0" customHeight="1">
      <x:c r="A1438" s="3" t="str">
        <x:v>EXP046</x:v>
      </x:c>
      <x:c r="B1438" s="3" t="str">
        <x:v>Exp. 4</x:v>
      </x:c>
      <x:c r="C1438" s="18" t="n">
        <x:v>1016</x:v>
      </x:c>
      <x:c r="D1438" s="3" t="str">
        <x:v>Relative cutoff 1e-2</x:v>
      </x:c>
      <x:c r="E1438" s="18" t="n">
        <x:v>200</x:v>
      </x:c>
      <x:c r="F1438" s="21" t="n">
        <x:v>153.04420960281385</x:v>
      </x:c>
      <x:c r="G1438" s="21" t="str">
        <x:f>""</x:f>
      </x:c>
      <x:c r="H1438" s="21" t="n">
        <x:f>F1437</x:f>
        <x:v>151.5575041723477</x:v>
      </x:c>
      <x:c r="I1438" s="27" t="str">
        <x:f>IF(AND(ISNUMBER(G1438),ISNUMBER(H1438),H1438&gt;0),G1438/H1438-1,"")</x:f>
      </x:c>
      <x:c r="J1438" s="27" t="str">
        <x:f>IF(AND(ISNUMBER(G1438),F1438&gt;0),G1438/F1438-1,"")</x:f>
      </x:c>
      <x:c r="K1438" s="19" t="str">
        <x:v>Exp_4/EXP046/results/seed1016_Relative_cutoff_1e-2.json</x:v>
      </x:c>
    </x:row>
    <x:row r="1439" ht="15" hidden="0" customHeight="1">
      <x:c r="A1439" s="3" t="str">
        <x:v>EXP046</x:v>
      </x:c>
      <x:c r="B1439" s="3" t="str">
        <x:v>Exp. 4</x:v>
      </x:c>
      <x:c r="C1439" s="18" t="n">
        <x:v>1017</x:v>
      </x:c>
      <x:c r="D1439" s="3" t="str">
        <x:v>Fixed rank 10</x:v>
      </x:c>
      <x:c r="E1439" s="18" t="n">
        <x:v>200</x:v>
      </x:c>
      <x:c r="F1439" s="21" t="n">
        <x:v>180.1540255839099</x:v>
      </x:c>
      <x:c r="G1439" s="21" t="str">
        <x:f>""</x:f>
      </x:c>
      <x:c r="H1439" s="21" t="n">
        <x:f>F1442</x:f>
        <x:v>181.07272559774265</x:v>
      </x:c>
      <x:c r="I1439" s="27" t="str">
        <x:f>IF(AND(ISNUMBER(G1439),ISNUMBER(H1439),H1439&gt;0),G1439/H1439-1,"")</x:f>
      </x:c>
      <x:c r="J1439" s="27" t="str">
        <x:f>IF(AND(ISNUMBER(G1439),F1439&gt;0),G1439/F1439-1,"")</x:f>
      </x:c>
      <x:c r="K1439" s="19" t="str">
        <x:v>Exp_4/EXP046/results/seed1017_Fixed_rank_10.json</x:v>
      </x:c>
    </x:row>
    <x:row r="1440" ht="15" hidden="0" customHeight="1">
      <x:c r="A1440" s="3" t="str">
        <x:v>EXP046</x:v>
      </x:c>
      <x:c r="B1440" s="3" t="str">
        <x:v>Exp. 4</x:v>
      </x:c>
      <x:c r="C1440" s="18" t="n">
        <x:v>1017</x:v>
      </x:c>
      <x:c r="D1440" s="3" t="str">
        <x:v>Fixed rank 3</x:v>
      </x:c>
      <x:c r="E1440" s="18" t="n">
        <x:v>200</x:v>
      </x:c>
      <x:c r="F1440" s="21" t="n">
        <x:v>171.54871025750944</x:v>
      </x:c>
      <x:c r="G1440" s="21" t="str">
        <x:f>""</x:f>
      </x:c>
      <x:c r="H1440" s="21" t="n">
        <x:f>F1442</x:f>
        <x:v>181.07272559774265</x:v>
      </x:c>
      <x:c r="I1440" s="27" t="str">
        <x:f>IF(AND(ISNUMBER(G1440),ISNUMBER(H1440),H1440&gt;0),G1440/H1440-1,"")</x:f>
      </x:c>
      <x:c r="J1440" s="27" t="str">
        <x:f>IF(AND(ISNUMBER(G1440),F1440&gt;0),G1440/F1440-1,"")</x:f>
      </x:c>
      <x:c r="K1440" s="19" t="str">
        <x:v>Exp_4/EXP046/results/seed1017_Fixed_rank_3.json</x:v>
      </x:c>
    </x:row>
    <x:row r="1441" ht="15" hidden="0" customHeight="1">
      <x:c r="A1441" s="3" t="str">
        <x:v>EXP046</x:v>
      </x:c>
      <x:c r="B1441" s="3" t="str">
        <x:v>Exp. 4</x:v>
      </x:c>
      <x:c r="C1441" s="18" t="n">
        <x:v>1017</x:v>
      </x:c>
      <x:c r="D1441" s="3" t="str">
        <x:v>Fixed rank 5</x:v>
      </x:c>
      <x:c r="E1441" s="18" t="n">
        <x:v>200</x:v>
      </x:c>
      <x:c r="F1441" s="21" t="n">
        <x:v>179.98098130711725</x:v>
      </x:c>
      <x:c r="G1441" s="21" t="str">
        <x:f>""</x:f>
      </x:c>
      <x:c r="H1441" s="21" t="n">
        <x:f>F1442</x:f>
        <x:v>181.07272559774265</x:v>
      </x:c>
      <x:c r="I1441" s="27" t="str">
        <x:f>IF(AND(ISNUMBER(G1441),ISNUMBER(H1441),H1441&gt;0),G1441/H1441-1,"")</x:f>
      </x:c>
      <x:c r="J1441" s="27" t="str">
        <x:f>IF(AND(ISNUMBER(G1441),F1441&gt;0),G1441/F1441-1,"")</x:f>
      </x:c>
      <x:c r="K1441" s="19" t="str">
        <x:v>Exp_4/EXP046/results/seed1017_Fixed_rank_5.json</x:v>
      </x:c>
    </x:row>
    <x:row r="1442" ht="15" hidden="0" customHeight="1">
      <x:c r="A1442" s="3" t="str">
        <x:v>EXP046</x:v>
      </x:c>
      <x:c r="B1442" s="3" t="str">
        <x:v>Exp. 4</x:v>
      </x:c>
      <x:c r="C1442" s="18" t="n">
        <x:v>1017</x:v>
      </x:c>
      <x:c r="D1442" s="3" t="str">
        <x:v>Full</x:v>
      </x:c>
      <x:c r="E1442" s="18" t="n">
        <x:v>200</x:v>
      </x:c>
      <x:c r="F1442" s="21" t="n">
        <x:v>181.07272559774265</x:v>
      </x:c>
      <x:c r="G1442" s="21" t="str">
        <x:f>""</x:f>
      </x:c>
      <x:c r="H1442" s="21" t="n">
        <x:f>F1442</x:f>
        <x:v>181.07272559774265</x:v>
      </x:c>
      <x:c r="I1442" s="27" t="str">
        <x:f>IF(AND(ISNUMBER(G1442),ISNUMBER(H1442),H1442&gt;0),G1442/H1442-1,"")</x:f>
      </x:c>
      <x:c r="J1442" s="27" t="str">
        <x:f>IF(AND(ISNUMBER(G1442),F1442&gt;0),G1442/F1442-1,"")</x:f>
      </x:c>
      <x:c r="K1442" s="19" t="str">
        <x:v>Exp_4/EXP046/results/seed1017_Full.json</x:v>
      </x:c>
    </x:row>
    <x:row r="1443" ht="15" hidden="0" customHeight="1">
      <x:c r="A1443" s="3" t="str">
        <x:v>EXP046</x:v>
      </x:c>
      <x:c r="B1443" s="3" t="str">
        <x:v>Exp. 4</x:v>
      </x:c>
      <x:c r="C1443" s="18" t="n">
        <x:v>1017</x:v>
      </x:c>
      <x:c r="D1443" s="3" t="str">
        <x:v>Relative cutoff 1e-2</x:v>
      </x:c>
      <x:c r="E1443" s="18" t="n">
        <x:v>200</x:v>
      </x:c>
      <x:c r="F1443" s="21" t="n">
        <x:v>177.7140788248944</x:v>
      </x:c>
      <x:c r="G1443" s="21" t="str">
        <x:f>""</x:f>
      </x:c>
      <x:c r="H1443" s="21" t="n">
        <x:f>F1442</x:f>
        <x:v>181.07272559774265</x:v>
      </x:c>
      <x:c r="I1443" s="27" t="str">
        <x:f>IF(AND(ISNUMBER(G1443),ISNUMBER(H1443),H1443&gt;0),G1443/H1443-1,"")</x:f>
      </x:c>
      <x:c r="J1443" s="27" t="str">
        <x:f>IF(AND(ISNUMBER(G1443),F1443&gt;0),G1443/F1443-1,"")</x:f>
      </x:c>
      <x:c r="K1443" s="19" t="str">
        <x:v>Exp_4/EXP046/results/seed1017_Relative_cutoff_1e-2.json</x:v>
      </x:c>
    </x:row>
    <x:row r="1444" ht="15" hidden="0" customHeight="1">
      <x:c r="A1444" s="3" t="str">
        <x:v>EXP046</x:v>
      </x:c>
      <x:c r="B1444" s="3" t="str">
        <x:v>Exp. 4</x:v>
      </x:c>
      <x:c r="C1444" s="18" t="n">
        <x:v>1018</x:v>
      </x:c>
      <x:c r="D1444" s="3" t="str">
        <x:v>Fixed rank 10</x:v>
      </x:c>
      <x:c r="E1444" s="18" t="n">
        <x:v>200</x:v>
      </x:c>
      <x:c r="F1444" s="21" t="n">
        <x:v>136.25962462161354</x:v>
      </x:c>
      <x:c r="G1444" s="21" t="str">
        <x:f>""</x:f>
      </x:c>
      <x:c r="H1444" s="21" t="n">
        <x:f>F1447</x:f>
        <x:v>143.0845134839615</x:v>
      </x:c>
      <x:c r="I1444" s="27" t="str">
        <x:f>IF(AND(ISNUMBER(G1444),ISNUMBER(H1444),H1444&gt;0),G1444/H1444-1,"")</x:f>
      </x:c>
      <x:c r="J1444" s="27" t="str">
        <x:f>IF(AND(ISNUMBER(G1444),F1444&gt;0),G1444/F1444-1,"")</x:f>
      </x:c>
      <x:c r="K1444" s="19" t="str">
        <x:v>Exp_4/EXP046/results/seed1018_Fixed_rank_10.json</x:v>
      </x:c>
    </x:row>
    <x:row r="1445" ht="15" hidden="0" customHeight="1">
      <x:c r="A1445" s="3" t="str">
        <x:v>EXP046</x:v>
      </x:c>
      <x:c r="B1445" s="3" t="str">
        <x:v>Exp. 4</x:v>
      </x:c>
      <x:c r="C1445" s="18" t="n">
        <x:v>1018</x:v>
      </x:c>
      <x:c r="D1445" s="3" t="str">
        <x:v>Fixed rank 3</x:v>
      </x:c>
      <x:c r="E1445" s="18" t="n">
        <x:v>200</x:v>
      </x:c>
      <x:c r="F1445" s="21" t="n">
        <x:v>163.01768660588863</x:v>
      </x:c>
      <x:c r="G1445" s="21" t="str">
        <x:f>""</x:f>
      </x:c>
      <x:c r="H1445" s="21" t="n">
        <x:f>F1447</x:f>
        <x:v>143.0845134839615</x:v>
      </x:c>
      <x:c r="I1445" s="27" t="str">
        <x:f>IF(AND(ISNUMBER(G1445),ISNUMBER(H1445),H1445&gt;0),G1445/H1445-1,"")</x:f>
      </x:c>
      <x:c r="J1445" s="27" t="str">
        <x:f>IF(AND(ISNUMBER(G1445),F1445&gt;0),G1445/F1445-1,"")</x:f>
      </x:c>
      <x:c r="K1445" s="19" t="str">
        <x:v>Exp_4/EXP046/results/seed1018_Fixed_rank_3.json</x:v>
      </x:c>
    </x:row>
    <x:row r="1446" ht="15" hidden="0" customHeight="1">
      <x:c r="A1446" s="3" t="str">
        <x:v>EXP046</x:v>
      </x:c>
      <x:c r="B1446" s="3" t="str">
        <x:v>Exp. 4</x:v>
      </x:c>
      <x:c r="C1446" s="18" t="n">
        <x:v>1018</x:v>
      </x:c>
      <x:c r="D1446" s="3" t="str">
        <x:v>Fixed rank 5</x:v>
      </x:c>
      <x:c r="E1446" s="18" t="n">
        <x:v>200</x:v>
      </x:c>
      <x:c r="F1446" s="21" t="n">
        <x:v>142.62440080833764</x:v>
      </x:c>
      <x:c r="G1446" s="21" t="str">
        <x:f>""</x:f>
      </x:c>
      <x:c r="H1446" s="21" t="n">
        <x:f>F1447</x:f>
        <x:v>143.0845134839615</x:v>
      </x:c>
      <x:c r="I1446" s="27" t="str">
        <x:f>IF(AND(ISNUMBER(G1446),ISNUMBER(H1446),H1446&gt;0),G1446/H1446-1,"")</x:f>
      </x:c>
      <x:c r="J1446" s="27" t="str">
        <x:f>IF(AND(ISNUMBER(G1446),F1446&gt;0),G1446/F1446-1,"")</x:f>
      </x:c>
      <x:c r="K1446" s="19" t="str">
        <x:v>Exp_4/EXP046/results/seed1018_Fixed_rank_5.json</x:v>
      </x:c>
    </x:row>
    <x:row r="1447" ht="15" hidden="0" customHeight="1">
      <x:c r="A1447" s="3" t="str">
        <x:v>EXP046</x:v>
      </x:c>
      <x:c r="B1447" s="3" t="str">
        <x:v>Exp. 4</x:v>
      </x:c>
      <x:c r="C1447" s="18" t="n">
        <x:v>1018</x:v>
      </x:c>
      <x:c r="D1447" s="3" t="str">
        <x:v>Full</x:v>
      </x:c>
      <x:c r="E1447" s="18" t="n">
        <x:v>200</x:v>
      </x:c>
      <x:c r="F1447" s="21" t="n">
        <x:v>143.0845134839615</x:v>
      </x:c>
      <x:c r="G1447" s="21" t="str">
        <x:f>""</x:f>
      </x:c>
      <x:c r="H1447" s="21" t="n">
        <x:f>F1447</x:f>
        <x:v>143.0845134839615</x:v>
      </x:c>
      <x:c r="I1447" s="27" t="str">
        <x:f>IF(AND(ISNUMBER(G1447),ISNUMBER(H1447),H1447&gt;0),G1447/H1447-1,"")</x:f>
      </x:c>
      <x:c r="J1447" s="27" t="str">
        <x:f>IF(AND(ISNUMBER(G1447),F1447&gt;0),G1447/F1447-1,"")</x:f>
      </x:c>
      <x:c r="K1447" s="19" t="str">
        <x:v>Exp_4/EXP046/results/seed1018_Full.json</x:v>
      </x:c>
    </x:row>
    <x:row r="1448" ht="15" hidden="0" customHeight="1">
      <x:c r="A1448" s="3" t="str">
        <x:v>EXP046</x:v>
      </x:c>
      <x:c r="B1448" s="3" t="str">
        <x:v>Exp. 4</x:v>
      </x:c>
      <x:c r="C1448" s="18" t="n">
        <x:v>1018</x:v>
      </x:c>
      <x:c r="D1448" s="3" t="str">
        <x:v>Relative cutoff 1e-2</x:v>
      </x:c>
      <x:c r="E1448" s="18" t="n">
        <x:v>200</x:v>
      </x:c>
      <x:c r="F1448" s="21" t="n">
        <x:v>136.63102281563422</x:v>
      </x:c>
      <x:c r="G1448" s="21" t="str">
        <x:f>""</x:f>
      </x:c>
      <x:c r="H1448" s="21" t="n">
        <x:f>F1447</x:f>
        <x:v>143.0845134839615</x:v>
      </x:c>
      <x:c r="I1448" s="27" t="str">
        <x:f>IF(AND(ISNUMBER(G1448),ISNUMBER(H1448),H1448&gt;0),G1448/H1448-1,"")</x:f>
      </x:c>
      <x:c r="J1448" s="27" t="str">
        <x:f>IF(AND(ISNUMBER(G1448),F1448&gt;0),G1448/F1448-1,"")</x:f>
      </x:c>
      <x:c r="K1448" s="19" t="str">
        <x:v>Exp_4/EXP046/results/seed1018_Relative_cutoff_1e-2.json</x:v>
      </x:c>
    </x:row>
    <x:row r="1449" ht="15" hidden="0" customHeight="1">
      <x:c r="A1449" s="3" t="str">
        <x:v>EXP046</x:v>
      </x:c>
      <x:c r="B1449" s="3" t="str">
        <x:v>Exp. 4</x:v>
      </x:c>
      <x:c r="C1449" s="18" t="n">
        <x:v>1019</x:v>
      </x:c>
      <x:c r="D1449" s="3" t="str">
        <x:v>Fixed rank 10</x:v>
      </x:c>
      <x:c r="E1449" s="18" t="n">
        <x:v>200</x:v>
      </x:c>
      <x:c r="F1449" s="21" t="n">
        <x:v>180.18153386178201</x:v>
      </x:c>
      <x:c r="G1449" s="21" t="str">
        <x:f>""</x:f>
      </x:c>
      <x:c r="H1449" s="21" t="n">
        <x:f>F1452</x:f>
        <x:v>182.81751591236716</x:v>
      </x:c>
      <x:c r="I1449" s="27" t="str">
        <x:f>IF(AND(ISNUMBER(G1449),ISNUMBER(H1449),H1449&gt;0),G1449/H1449-1,"")</x:f>
      </x:c>
      <x:c r="J1449" s="27" t="str">
        <x:f>IF(AND(ISNUMBER(G1449),F1449&gt;0),G1449/F1449-1,"")</x:f>
      </x:c>
      <x:c r="K1449" s="19" t="str">
        <x:v>Exp_4/EXP046/results/seed1019_Fixed_rank_10.json</x:v>
      </x:c>
    </x:row>
    <x:row r="1450" ht="15" hidden="0" customHeight="1">
      <x:c r="A1450" s="3" t="str">
        <x:v>EXP046</x:v>
      </x:c>
      <x:c r="B1450" s="3" t="str">
        <x:v>Exp. 4</x:v>
      </x:c>
      <x:c r="C1450" s="18" t="n">
        <x:v>1019</x:v>
      </x:c>
      <x:c r="D1450" s="3" t="str">
        <x:v>Fixed rank 3</x:v>
      </x:c>
      <x:c r="E1450" s="18" t="n">
        <x:v>200</x:v>
      </x:c>
      <x:c r="F1450" s="21" t="n">
        <x:v>178.0392753584543</x:v>
      </x:c>
      <x:c r="G1450" s="21" t="str">
        <x:f>""</x:f>
      </x:c>
      <x:c r="H1450" s="21" t="n">
        <x:f>F1452</x:f>
        <x:v>182.81751591236716</x:v>
      </x:c>
      <x:c r="I1450" s="27" t="str">
        <x:f>IF(AND(ISNUMBER(G1450),ISNUMBER(H1450),H1450&gt;0),G1450/H1450-1,"")</x:f>
      </x:c>
      <x:c r="J1450" s="27" t="str">
        <x:f>IF(AND(ISNUMBER(G1450),F1450&gt;0),G1450/F1450-1,"")</x:f>
      </x:c>
      <x:c r="K1450" s="19" t="str">
        <x:v>Exp_4/EXP046/results/seed1019_Fixed_rank_3.json</x:v>
      </x:c>
    </x:row>
    <x:row r="1451" ht="15" hidden="0" customHeight="1">
      <x:c r="A1451" s="3" t="str">
        <x:v>EXP046</x:v>
      </x:c>
      <x:c r="B1451" s="3" t="str">
        <x:v>Exp. 4</x:v>
      </x:c>
      <x:c r="C1451" s="18" t="n">
        <x:v>1019</x:v>
      </x:c>
      <x:c r="D1451" s="3" t="str">
        <x:v>Fixed rank 5</x:v>
      </x:c>
      <x:c r="E1451" s="18" t="n">
        <x:v>200</x:v>
      </x:c>
      <x:c r="F1451" s="21" t="n">
        <x:v>190.10347453827262</x:v>
      </x:c>
      <x:c r="G1451" s="21" t="str">
        <x:f>""</x:f>
      </x:c>
      <x:c r="H1451" s="21" t="n">
        <x:f>F1452</x:f>
        <x:v>182.81751591236716</x:v>
      </x:c>
      <x:c r="I1451" s="27" t="str">
        <x:f>IF(AND(ISNUMBER(G1451),ISNUMBER(H1451),H1451&gt;0),G1451/H1451-1,"")</x:f>
      </x:c>
      <x:c r="J1451" s="27" t="str">
        <x:f>IF(AND(ISNUMBER(G1451),F1451&gt;0),G1451/F1451-1,"")</x:f>
      </x:c>
      <x:c r="K1451" s="19" t="str">
        <x:v>Exp_4/EXP046/results/seed1019_Fixed_rank_5.json</x:v>
      </x:c>
    </x:row>
    <x:row r="1452" ht="15" hidden="0" customHeight="1">
      <x:c r="A1452" s="3" t="str">
        <x:v>EXP046</x:v>
      </x:c>
      <x:c r="B1452" s="3" t="str">
        <x:v>Exp. 4</x:v>
      </x:c>
      <x:c r="C1452" s="18" t="n">
        <x:v>1019</x:v>
      </x:c>
      <x:c r="D1452" s="3" t="str">
        <x:v>Full</x:v>
      </x:c>
      <x:c r="E1452" s="18" t="n">
        <x:v>200</x:v>
      </x:c>
      <x:c r="F1452" s="21" t="n">
        <x:v>182.81751591236716</x:v>
      </x:c>
      <x:c r="G1452" s="21" t="str">
        <x:f>""</x:f>
      </x:c>
      <x:c r="H1452" s="21" t="n">
        <x:f>F1452</x:f>
        <x:v>182.81751591236716</x:v>
      </x:c>
      <x:c r="I1452" s="27" t="str">
        <x:f>IF(AND(ISNUMBER(G1452),ISNUMBER(H1452),H1452&gt;0),G1452/H1452-1,"")</x:f>
      </x:c>
      <x:c r="J1452" s="27" t="str">
        <x:f>IF(AND(ISNUMBER(G1452),F1452&gt;0),G1452/F1452-1,"")</x:f>
      </x:c>
      <x:c r="K1452" s="19" t="str">
        <x:v>Exp_4/EXP046/results/seed1019_Full.json</x:v>
      </x:c>
    </x:row>
    <x:row r="1453" ht="15" hidden="0" customHeight="1">
      <x:c r="A1453" s="3" t="str">
        <x:v>EXP046</x:v>
      </x:c>
      <x:c r="B1453" s="3" t="str">
        <x:v>Exp. 4</x:v>
      </x:c>
      <x:c r="C1453" s="18" t="n">
        <x:v>1019</x:v>
      </x:c>
      <x:c r="D1453" s="3" t="str">
        <x:v>Relative cutoff 1e-2</x:v>
      </x:c>
      <x:c r="E1453" s="18" t="n">
        <x:v>200</x:v>
      </x:c>
      <x:c r="F1453" s="21" t="n">
        <x:v>179.20287411365067</x:v>
      </x:c>
      <x:c r="G1453" s="21" t="str">
        <x:f>""</x:f>
      </x:c>
      <x:c r="H1453" s="21" t="n">
        <x:f>F1452</x:f>
        <x:v>182.81751591236716</x:v>
      </x:c>
      <x:c r="I1453" s="27" t="str">
        <x:f>IF(AND(ISNUMBER(G1453),ISNUMBER(H1453),H1453&gt;0),G1453/H1453-1,"")</x:f>
      </x:c>
      <x:c r="J1453" s="27" t="str">
        <x:f>IF(AND(ISNUMBER(G1453),F1453&gt;0),G1453/F1453-1,"")</x:f>
      </x:c>
      <x:c r="K1453" s="19" t="str">
        <x:v>Exp_4/EXP046/results/seed1019_Relative_cutoff_1e-2.json</x:v>
      </x:c>
    </x:row>
    <x:row r="1454" ht="15" hidden="0" customHeight="1">
      <x:c r="A1454" s="3" t="str">
        <x:v>EXP049</x:v>
      </x:c>
      <x:c r="B1454" s="3" t="str">
        <x:v>Exp. 5</x:v>
      </x:c>
      <x:c r="C1454" s="18" t="n">
        <x:v>20284363</x:v>
      </x:c>
      <x:c r="D1454" s="3" t="str">
        <x:v>BBP</x:v>
      </x:c>
      <x:c r="E1454" s="18" t="n">
        <x:v>200</x:v>
      </x:c>
      <x:c r="F1454" s="21" t="n">
        <x:v>186.95916428443036</x:v>
      </x:c>
      <x:c r="G1454" s="21" t="n">
        <x:f>F1454</x:f>
        <x:v>186.95916428443036</x:v>
      </x:c>
      <x:c r="H1454" s="21" t="n">
        <x:f>F1460</x:f>
        <x:v>186.95916428443036</x:v>
      </x:c>
      <x:c r="I1454" s="27" t="n">
        <x:f>IF(AND(ISNUMBER(G1454),ISNUMBER(H1454),H1454&gt;0),G1454/H1454-1,"")</x:f>
        <x:v>0</x:v>
      </x:c>
      <x:c r="J1454" s="27" t="n">
        <x:f>IF(AND(ISNUMBER(G1454),F1454&gt;0),G1454/F1454-1,"")</x:f>
        <x:v>0</x:v>
      </x:c>
      <x:c r="K1454" s="19" t="str">
        <x:v>Exp_5/EXP049/results/seed20284363_BBP.json</x:v>
      </x:c>
    </x:row>
    <x:row r="1455" ht="15" hidden="0" customHeight="1">
      <x:c r="A1455" s="3" t="str">
        <x:v>EXP049</x:v>
      </x:c>
      <x:c r="B1455" s="3" t="str">
        <x:v>Exp. 5</x:v>
      </x:c>
      <x:c r="C1455" s="18" t="n">
        <x:v>20284363</x:v>
      </x:c>
      <x:c r="D1455" s="3" t="str">
        <x:v>Relative cutoff 1e-5</x:v>
      </x:c>
      <x:c r="E1455" s="18" t="n">
        <x:v>200</x:v>
      </x:c>
      <x:c r="F1455" s="21" t="n">
        <x:v>186.95916428443036</x:v>
      </x:c>
      <x:c r="G1455" s="21" t="n">
        <x:f>F1454</x:f>
        <x:v>186.95916428443036</x:v>
      </x:c>
      <x:c r="H1455" s="21" t="n">
        <x:f>F1460</x:f>
        <x:v>186.95916428443036</x:v>
      </x:c>
      <x:c r="I1455" s="27" t="n">
        <x:f>IF(AND(ISNUMBER(G1455),ISNUMBER(H1455),H1455&gt;0),G1455/H1455-1,"")</x:f>
        <x:v>0</x:v>
      </x:c>
      <x:c r="J1455" s="27" t="n">
        <x:f>IF(AND(ISNUMBER(G1455),F1455&gt;0),G1455/F1455-1,"")</x:f>
        <x:v>0</x:v>
      </x:c>
      <x:c r="K1455" s="19" t="str">
        <x:v>Exp_5/EXP049/results/seed20284363_Relative_cutoff_1e-5.json</x:v>
      </x:c>
    </x:row>
    <x:row r="1456" ht="15" hidden="0" customHeight="1">
      <x:c r="A1456" s="3" t="str">
        <x:v>EXP049</x:v>
      </x:c>
      <x:c r="B1456" s="3" t="str">
        <x:v>Exp. 5</x:v>
      </x:c>
      <x:c r="C1456" s="18" t="n">
        <x:v>20284363</x:v>
      </x:c>
      <x:c r="D1456" s="3" t="str">
        <x:v>NN-AGP (m=7)</x:v>
      </x:c>
      <x:c r="E1456" s="18" t="n">
        <x:v>200</x:v>
      </x:c>
      <x:c r="F1456" s="21" t="n">
        <x:v>252.78705666445683</x:v>
      </x:c>
      <x:c r="G1456" s="21" t="n">
        <x:f>F1454</x:f>
        <x:v>186.95916428443036</x:v>
      </x:c>
      <x:c r="H1456" s="21" t="n">
        <x:f>F1460</x:f>
        <x:v>186.95916428443036</x:v>
      </x:c>
      <x:c r="I1456" s="27" t="n">
        <x:f>IF(AND(ISNUMBER(G1456),ISNUMBER(H1456),H1456&gt;0),G1456/H1456-1,"")</x:f>
        <x:v>0</x:v>
      </x:c>
      <x:c r="J1456" s="27" t="n">
        <x:f>IF(AND(ISNUMBER(G1456),F1456&gt;0),G1456/F1456-1,"")</x:f>
        <x:v>-0.2604084767971516</x:v>
      </x:c>
      <x:c r="K1456" s="19" t="str">
        <x:v>Exp_5/EXP049/results/seed20284363_NN-AGP_m_7.json</x:v>
      </x:c>
    </x:row>
    <x:row r="1457" ht="15" hidden="0" customHeight="1">
      <x:c r="A1457" s="3" t="str">
        <x:v>EXP049</x:v>
      </x:c>
      <x:c r="B1457" s="3" t="str">
        <x:v>Exp. 5</x:v>
      </x:c>
      <x:c r="C1457" s="18" t="n">
        <x:v>20284363</x:v>
      </x:c>
      <x:c r="D1457" s="3" t="str">
        <x:v>Fixed rank 10</x:v>
      </x:c>
      <x:c r="E1457" s="18" t="n">
        <x:v>200</x:v>
      </x:c>
      <x:c r="F1457" s="21" t="n">
        <x:v>186.3288434344314</x:v>
      </x:c>
      <x:c r="G1457" s="21" t="n">
        <x:f>F1454</x:f>
        <x:v>186.95916428443036</x:v>
      </x:c>
      <x:c r="H1457" s="21" t="n">
        <x:f>F1460</x:f>
        <x:v>186.95916428443036</x:v>
      </x:c>
      <x:c r="I1457" s="27" t="n">
        <x:f>IF(AND(ISNUMBER(G1457),ISNUMBER(H1457),H1457&gt;0),G1457/H1457-1,"")</x:f>
        <x:v>0</x:v>
      </x:c>
      <x:c r="J1457" s="27" t="n">
        <x:f>IF(AND(ISNUMBER(G1457),F1457&gt;0),G1457/F1457-1,"")</x:f>
        <x:v>0.003382840994345271</x:v>
      </x:c>
      <x:c r="K1457" s="19" t="str">
        <x:v>Exp_5/EXP049/results/seed20284363_Fixed_rank_10.json</x:v>
      </x:c>
    </x:row>
    <x:row r="1458" ht="15" hidden="0" customHeight="1">
      <x:c r="A1458" s="3" t="str">
        <x:v>EXP049</x:v>
      </x:c>
      <x:c r="B1458" s="3" t="str">
        <x:v>Exp. 5</x:v>
      </x:c>
      <x:c r="C1458" s="18" t="n">
        <x:v>20284363</x:v>
      </x:c>
      <x:c r="D1458" s="3" t="str">
        <x:v>Fixed rank 25</x:v>
      </x:c>
      <x:c r="E1458" s="18" t="n">
        <x:v>200</x:v>
      </x:c>
      <x:c r="F1458" s="21" t="n">
        <x:v>186.95916428443036</x:v>
      </x:c>
      <x:c r="G1458" s="21" t="n">
        <x:f>F1454</x:f>
        <x:v>186.95916428443036</x:v>
      </x:c>
      <x:c r="H1458" s="21" t="n">
        <x:f>F1460</x:f>
        <x:v>186.95916428443036</x:v>
      </x:c>
      <x:c r="I1458" s="27" t="n">
        <x:f>IF(AND(ISNUMBER(G1458),ISNUMBER(H1458),H1458&gt;0),G1458/H1458-1,"")</x:f>
        <x:v>0</x:v>
      </x:c>
      <x:c r="J1458" s="27" t="n">
        <x:f>IF(AND(ISNUMBER(G1458),F1458&gt;0),G1458/F1458-1,"")</x:f>
        <x:v>0</x:v>
      </x:c>
      <x:c r="K1458" s="19" t="str">
        <x:v>Exp_5/EXP049/results/seed20284363_Fixed_rank_25.json</x:v>
      </x:c>
    </x:row>
    <x:row r="1459" ht="15" hidden="0" customHeight="1">
      <x:c r="A1459" s="3" t="str">
        <x:v>EXP049</x:v>
      </x:c>
      <x:c r="B1459" s="3" t="str">
        <x:v>Exp. 5</x:v>
      </x:c>
      <x:c r="C1459" s="18" t="n">
        <x:v>20284363</x:v>
      </x:c>
      <x:c r="D1459" s="3" t="str">
        <x:v>Relative cutoff 1e-6</x:v>
      </x:c>
      <x:c r="E1459" s="18" t="n">
        <x:v>200</x:v>
      </x:c>
      <x:c r="F1459" s="21" t="n">
        <x:v>186.95916428443036</x:v>
      </x:c>
      <x:c r="G1459" s="21" t="n">
        <x:f>F1454</x:f>
        <x:v>186.95916428443036</x:v>
      </x:c>
      <x:c r="H1459" s="21" t="n">
        <x:f>F1460</x:f>
        <x:v>186.95916428443036</x:v>
      </x:c>
      <x:c r="I1459" s="27" t="n">
        <x:f>IF(AND(ISNUMBER(G1459),ISNUMBER(H1459),H1459&gt;0),G1459/H1459-1,"")</x:f>
        <x:v>0</x:v>
      </x:c>
      <x:c r="J1459" s="27" t="n">
        <x:f>IF(AND(ISNUMBER(G1459),F1459&gt;0),G1459/F1459-1,"")</x:f>
        <x:v>0</x:v>
      </x:c>
      <x:c r="K1459" s="19" t="str">
        <x:v>Exp_5/EXP049/results/seed20284363_Relative_cutoff_1e-6.json</x:v>
      </x:c>
    </x:row>
    <x:row r="1460" ht="15" hidden="0" customHeight="1">
      <x:c r="A1460" s="3" t="str">
        <x:v>EXP049</x:v>
      </x:c>
      <x:c r="B1460" s="3" t="str">
        <x:v>Exp. 5</x:v>
      </x:c>
      <x:c r="C1460" s="18" t="n">
        <x:v>20284363</x:v>
      </x:c>
      <x:c r="D1460" s="3" t="str">
        <x:v>Full</x:v>
      </x:c>
      <x:c r="E1460" s="18" t="n">
        <x:v>200</x:v>
      </x:c>
      <x:c r="F1460" s="21" t="n">
        <x:v>186.95916428443036</x:v>
      </x:c>
      <x:c r="G1460" s="21" t="n">
        <x:f>F1454</x:f>
        <x:v>186.95916428443036</x:v>
      </x:c>
      <x:c r="H1460" s="21" t="n">
        <x:f>F1460</x:f>
        <x:v>186.95916428443036</x:v>
      </x:c>
      <x:c r="I1460" s="27" t="n">
        <x:f>IF(AND(ISNUMBER(G1460),ISNUMBER(H1460),H1460&gt;0),G1460/H1460-1,"")</x:f>
        <x:v>0</x:v>
      </x:c>
      <x:c r="J1460" s="27" t="n">
        <x:f>IF(AND(ISNUMBER(G1460),F1460&gt;0),G1460/F1460-1,"")</x:f>
        <x:v>0</x:v>
      </x:c>
      <x:c r="K1460" s="19" t="str">
        <x:v>Exp_5/EXP049/results/seed20284363_Full.json</x:v>
      </x:c>
    </x:row>
    <x:row r="1461" ht="15" hidden="0" customHeight="1">
      <x:c r="A1461" s="3" t="str">
        <x:v>EXP049</x:v>
      </x:c>
      <x:c r="B1461" s="3" t="str">
        <x:v>Exp. 5</x:v>
      </x:c>
      <x:c r="C1461" s="18" t="n">
        <x:v>20284363</x:v>
      </x:c>
      <x:c r="D1461" s="3" t="str">
        <x:v>GP-UCB (weighted sum)</x:v>
      </x:c>
      <x:c r="E1461" s="18" t="n">
        <x:v>200</x:v>
      </x:c>
      <x:c r="F1461" s="21" t="n">
        <x:v>368.12236400622663</x:v>
      </x:c>
      <x:c r="G1461" s="21" t="n">
        <x:f>F1454</x:f>
        <x:v>186.95916428443036</x:v>
      </x:c>
      <x:c r="H1461" s="21" t="n">
        <x:f>F1460</x:f>
        <x:v>186.95916428443036</x:v>
      </x:c>
      <x:c r="I1461" s="27" t="n">
        <x:f>IF(AND(ISNUMBER(G1461),ISNUMBER(H1461),H1461&gt;0),G1461/H1461-1,"")</x:f>
        <x:v>0</x:v>
      </x:c>
      <x:c r="J1461" s="27" t="n">
        <x:f>IF(AND(ISNUMBER(G1461),F1461&gt;0),G1461/F1461-1,"")</x:f>
        <x:v>-0.49212766578542344</x:v>
      </x:c>
      <x:c r="K1461" s="19" t="str">
        <x:v>Exp_5/EXP049/results/seed20284363_GP-UCB_weighted_sum.json</x:v>
      </x:c>
    </x:row>
    <x:row r="1462" ht="15" hidden="0" customHeight="1">
      <x:c r="A1462" s="3" t="str">
        <x:v>EXP049</x:v>
      </x:c>
      <x:c r="B1462" s="3" t="str">
        <x:v>Exp. 5</x:v>
      </x:c>
      <x:c r="C1462" s="18" t="n">
        <x:v>20284363</x:v>
      </x:c>
      <x:c r="D1462" s="3" t="str">
        <x:v>GP-UCB (product)</x:v>
      </x:c>
      <x:c r="E1462" s="18" t="n">
        <x:v>200</x:v>
      </x:c>
      <x:c r="F1462" s="21" t="n">
        <x:v>265.26286278512464</x:v>
      </x:c>
      <x:c r="G1462" s="21" t="n">
        <x:f>F1454</x:f>
        <x:v>186.95916428443036</x:v>
      </x:c>
      <x:c r="H1462" s="21" t="n">
        <x:f>F1460</x:f>
        <x:v>186.95916428443036</x:v>
      </x:c>
      <x:c r="I1462" s="27" t="n">
        <x:f>IF(AND(ISNUMBER(G1462),ISNUMBER(H1462),H1462&gt;0),G1462/H1462-1,"")</x:f>
        <x:v>0</x:v>
      </x:c>
      <x:c r="J1462" s="27" t="n">
        <x:f>IF(AND(ISNUMBER(G1462),F1462&gt;0),G1462/F1462-1,"")</x:f>
        <x:v>-0.2951928425960024</x:v>
      </x:c>
      <x:c r="K1462" s="19" t="str">
        <x:v>Exp_5/EXP049/results/seed20284363_GP-UCB_product.json</x:v>
      </x:c>
    </x:row>
    <x:row r="1463" ht="15" hidden="0" customHeight="1">
      <x:c r="A1463" s="3" t="str">
        <x:v>EXP049</x:v>
      </x:c>
      <x:c r="B1463" s="3" t="str">
        <x:v>Exp. 5</x:v>
      </x:c>
      <x:c r="C1463" s="18" t="n">
        <x:v>20284363</x:v>
      </x:c>
      <x:c r="D1463" s="3" t="str">
        <x:v>NeuralUCB</x:v>
      </x:c>
      <x:c r="E1463" s="18" t="n">
        <x:v>200</x:v>
      </x:c>
      <x:c r="F1463" s="21" t="n">
        <x:v>392.40147740682465</x:v>
      </x:c>
      <x:c r="G1463" s="21" t="n">
        <x:f>F1454</x:f>
        <x:v>186.95916428443036</x:v>
      </x:c>
      <x:c r="H1463" s="21" t="n">
        <x:f>F1460</x:f>
        <x:v>186.95916428443036</x:v>
      </x:c>
      <x:c r="I1463" s="27" t="n">
        <x:f>IF(AND(ISNUMBER(G1463),ISNUMBER(H1463),H1463&gt;0),G1463/H1463-1,"")</x:f>
        <x:v>0</x:v>
      </x:c>
      <x:c r="J1463" s="27" t="n">
        <x:f>IF(AND(ISNUMBER(G1463),F1463&gt;0),G1463/F1463-1,"")</x:f>
        <x:v>-0.5235513242204252</x:v>
      </x:c>
      <x:c r="K1463" s="19" t="str">
        <x:v>Exp_5/EXP049/results/seed20284363_NeuralUCB.json</x:v>
      </x:c>
    </x:row>
    <x:row r="1464" ht="15" hidden="0" customHeight="1">
      <x:c r="A1464" s="3" t="str">
        <x:v>EXP049</x:v>
      </x:c>
      <x:c r="B1464" s="3" t="str">
        <x:v>Exp. 5</x:v>
      </x:c>
      <x:c r="C1464" s="18" t="n">
        <x:v>20284363</x:v>
      </x:c>
      <x:c r="D1464" s="3" t="str">
        <x:v>NN-UCB</x:v>
      </x:c>
      <x:c r="E1464" s="18" t="n">
        <x:v>200</x:v>
      </x:c>
      <x:c r="F1464" s="21" t="n">
        <x:v>436.2304911579586</x:v>
      </x:c>
      <x:c r="G1464" s="21" t="n">
        <x:f>F1454</x:f>
        <x:v>186.95916428443036</x:v>
      </x:c>
      <x:c r="H1464" s="21" t="n">
        <x:f>F1460</x:f>
        <x:v>186.95916428443036</x:v>
      </x:c>
      <x:c r="I1464" s="27" t="n">
        <x:f>IF(AND(ISNUMBER(G1464),ISNUMBER(H1464),H1464&gt;0),G1464/H1464-1,"")</x:f>
        <x:v>0</x:v>
      </x:c>
      <x:c r="J1464" s="27" t="n">
        <x:f>IF(AND(ISNUMBER(G1464),F1464&gt;0),G1464/F1464-1,"")</x:f>
        <x:v>-0.5714211453029022</x:v>
      </x:c>
      <x:c r="K1464" s="19" t="str">
        <x:v>Exp_5/EXP049/results/seed20284363_NN-UCB.json</x:v>
      </x:c>
    </x:row>
    <x:row r="1465" ht="15" hidden="0" customHeight="1">
      <x:c r="A1465" s="3" t="str">
        <x:v>EXP049</x:v>
      </x:c>
      <x:c r="B1465" s="3" t="str">
        <x:v>Exp. 5</x:v>
      </x:c>
      <x:c r="C1465" s="18" t="n">
        <x:v>20284363</x:v>
      </x:c>
      <x:c r="D1465" s="3" t="str">
        <x:v>Relative cutoff 1e-2</x:v>
      </x:c>
      <x:c r="E1465" s="18" t="n">
        <x:v>200</x:v>
      </x:c>
      <x:c r="F1465" s="21" t="n">
        <x:v>194.39905729910987</x:v>
      </x:c>
      <x:c r="G1465" s="21" t="n">
        <x:f>F1454</x:f>
        <x:v>186.95916428443036</x:v>
      </x:c>
      <x:c r="H1465" s="21" t="n">
        <x:f>F1460</x:f>
        <x:v>186.95916428443036</x:v>
      </x:c>
      <x:c r="I1465" s="27" t="n">
        <x:f>IF(AND(ISNUMBER(G1465),ISNUMBER(H1465),H1465&gt;0),G1465/H1465-1,"")</x:f>
        <x:v>0</x:v>
      </x:c>
      <x:c r="J1465" s="27" t="n">
        <x:f>IF(AND(ISNUMBER(G1465),F1465&gt;0),G1465/F1465-1,"")</x:f>
        <x:v>-0.03827124019038941</x:v>
      </x:c>
      <x:c r="K1465" s="19" t="str">
        <x:v>Exp_5/EXP049/results/seed20284363_Relative_cutoff_1e-2.json</x:v>
      </x:c>
    </x:row>
    <x:row r="1466" ht="15" hidden="0" customHeight="1">
      <x:c r="A1466" s="3" t="str">
        <x:v>EXP049</x:v>
      </x:c>
      <x:c r="B1466" s="3" t="str">
        <x:v>Exp. 5</x:v>
      </x:c>
      <x:c r="C1466" s="18" t="n">
        <x:v>20284363</x:v>
      </x:c>
      <x:c r="D1466" s="3" t="str">
        <x:v>Relative cutoff 1e-4</x:v>
      </x:c>
      <x:c r="E1466" s="18" t="n">
        <x:v>200</x:v>
      </x:c>
      <x:c r="F1466" s="21" t="n">
        <x:v>186.95916428443036</x:v>
      </x:c>
      <x:c r="G1466" s="21" t="n">
        <x:f>F1454</x:f>
        <x:v>186.95916428443036</x:v>
      </x:c>
      <x:c r="H1466" s="21" t="n">
        <x:f>F1460</x:f>
        <x:v>186.95916428443036</x:v>
      </x:c>
      <x:c r="I1466" s="27" t="n">
        <x:f>IF(AND(ISNUMBER(G1466),ISNUMBER(H1466),H1466&gt;0),G1466/H1466-1,"")</x:f>
        <x:v>0</x:v>
      </x:c>
      <x:c r="J1466" s="27" t="n">
        <x:f>IF(AND(ISNUMBER(G1466),F1466&gt;0),G1466/F1466-1,"")</x:f>
        <x:v>0</x:v>
      </x:c>
      <x:c r="K1466" s="19" t="str">
        <x:v>Exp_5/EXP049/results/seed20284363_Relative_cutoff_1e-4.json</x:v>
      </x:c>
    </x:row>
    <x:row r="1467" ht="15" hidden="0" customHeight="1">
      <x:c r="A1467" s="3" t="str">
        <x:v>EXP049</x:v>
      </x:c>
      <x:c r="B1467" s="3" t="str">
        <x:v>Exp. 5</x:v>
      </x:c>
      <x:c r="C1467" s="18" t="n">
        <x:v>151801615</x:v>
      </x:c>
      <x:c r="D1467" s="3" t="str">
        <x:v>BBP</x:v>
      </x:c>
      <x:c r="E1467" s="18" t="n">
        <x:v>200</x:v>
      </x:c>
      <x:c r="F1467" s="21" t="n">
        <x:v>320.85443633975535</x:v>
      </x:c>
      <x:c r="G1467" s="21" t="n">
        <x:f>F1467</x:f>
        <x:v>320.85443633975535</x:v>
      </x:c>
      <x:c r="H1467" s="21" t="n">
        <x:f>F1473</x:f>
        <x:v>320.85443633975535</x:v>
      </x:c>
      <x:c r="I1467" s="27" t="n">
        <x:f>IF(AND(ISNUMBER(G1467),ISNUMBER(H1467),H1467&gt;0),G1467/H1467-1,"")</x:f>
        <x:v>0</x:v>
      </x:c>
      <x:c r="J1467" s="27" t="n">
        <x:f>IF(AND(ISNUMBER(G1467),F1467&gt;0),G1467/F1467-1,"")</x:f>
        <x:v>0</x:v>
      </x:c>
      <x:c r="K1467" s="19" t="str">
        <x:v>Exp_5/EXP049/results/seed151801615_BBP.json</x:v>
      </x:c>
    </x:row>
    <x:row r="1468" ht="15" hidden="0" customHeight="1">
      <x:c r="A1468" s="3" t="str">
        <x:v>EXP049</x:v>
      </x:c>
      <x:c r="B1468" s="3" t="str">
        <x:v>Exp. 5</x:v>
      </x:c>
      <x:c r="C1468" s="18" t="n">
        <x:v>151801615</x:v>
      </x:c>
      <x:c r="D1468" s="3" t="str">
        <x:v>Relative cutoff 1e-5</x:v>
      </x:c>
      <x:c r="E1468" s="18" t="n">
        <x:v>200</x:v>
      </x:c>
      <x:c r="F1468" s="21" t="n">
        <x:v>320.85443633975535</x:v>
      </x:c>
      <x:c r="G1468" s="21" t="n">
        <x:f>F1467</x:f>
        <x:v>320.85443633975535</x:v>
      </x:c>
      <x:c r="H1468" s="21" t="n">
        <x:f>F1473</x:f>
        <x:v>320.85443633975535</x:v>
      </x:c>
      <x:c r="I1468" s="27" t="n">
        <x:f>IF(AND(ISNUMBER(G1468),ISNUMBER(H1468),H1468&gt;0),G1468/H1468-1,"")</x:f>
        <x:v>0</x:v>
      </x:c>
      <x:c r="J1468" s="27" t="n">
        <x:f>IF(AND(ISNUMBER(G1468),F1468&gt;0),G1468/F1468-1,"")</x:f>
        <x:v>0</x:v>
      </x:c>
      <x:c r="K1468" s="19" t="str">
        <x:v>Exp_5/EXP049/results/seed151801615_Relative_cutoff_1e-5.json</x:v>
      </x:c>
    </x:row>
    <x:row r="1469" ht="15" hidden="0" customHeight="1">
      <x:c r="A1469" s="3" t="str">
        <x:v>EXP049</x:v>
      </x:c>
      <x:c r="B1469" s="3" t="str">
        <x:v>Exp. 5</x:v>
      </x:c>
      <x:c r="C1469" s="18" t="n">
        <x:v>151801615</x:v>
      </x:c>
      <x:c r="D1469" s="3" t="str">
        <x:v>NN-AGP (m=7)</x:v>
      </x:c>
      <x:c r="E1469" s="18" t="n">
        <x:v>200</x:v>
      </x:c>
      <x:c r="F1469" s="21" t="n">
        <x:v>203.96347560443712</x:v>
      </x:c>
      <x:c r="G1469" s="21" t="n">
        <x:f>F1467</x:f>
        <x:v>320.85443633975535</x:v>
      </x:c>
      <x:c r="H1469" s="21" t="n">
        <x:f>F1473</x:f>
        <x:v>320.85443633975535</x:v>
      </x:c>
      <x:c r="I1469" s="27" t="n">
        <x:f>IF(AND(ISNUMBER(G1469),ISNUMBER(H1469),H1469&gt;0),G1469/H1469-1,"")</x:f>
        <x:v>0</x:v>
      </x:c>
      <x:c r="J1469" s="27" t="n">
        <x:f>IF(AND(ISNUMBER(G1469),F1469&gt;0),G1469/F1469-1,"")</x:f>
        <x:v>0.5730975136058887</x:v>
      </x:c>
      <x:c r="K1469" s="19" t="str">
        <x:v>Exp_5/EXP049/results/seed151801615_NN-AGP_m_7.json</x:v>
      </x:c>
    </x:row>
    <x:row r="1470" ht="15" hidden="0" customHeight="1">
      <x:c r="A1470" s="3" t="str">
        <x:v>EXP049</x:v>
      </x:c>
      <x:c r="B1470" s="3" t="str">
        <x:v>Exp. 5</x:v>
      </x:c>
      <x:c r="C1470" s="18" t="n">
        <x:v>151801615</x:v>
      </x:c>
      <x:c r="D1470" s="3" t="str">
        <x:v>Fixed rank 10</x:v>
      </x:c>
      <x:c r="E1470" s="18" t="n">
        <x:v>200</x:v>
      </x:c>
      <x:c r="F1470" s="21" t="n">
        <x:v>320.53025337768054</x:v>
      </x:c>
      <x:c r="G1470" s="21" t="n">
        <x:f>F1467</x:f>
        <x:v>320.85443633975535</x:v>
      </x:c>
      <x:c r="H1470" s="21" t="n">
        <x:f>F1473</x:f>
        <x:v>320.85443633975535</x:v>
      </x:c>
      <x:c r="I1470" s="27" t="n">
        <x:f>IF(AND(ISNUMBER(G1470),ISNUMBER(H1470),H1470&gt;0),G1470/H1470-1,"")</x:f>
        <x:v>0</x:v>
      </x:c>
      <x:c r="J1470" s="27" t="n">
        <x:f>IF(AND(ISNUMBER(G1470),F1470&gt;0),G1470/F1470-1,"")</x:f>
        <x:v>0.0010113958313096028</x:v>
      </x:c>
      <x:c r="K1470" s="19" t="str">
        <x:v>Exp_5/EXP049/results/seed151801615_Fixed_rank_10.json</x:v>
      </x:c>
    </x:row>
    <x:row r="1471" ht="15" hidden="0" customHeight="1">
      <x:c r="A1471" s="3" t="str">
        <x:v>EXP049</x:v>
      </x:c>
      <x:c r="B1471" s="3" t="str">
        <x:v>Exp. 5</x:v>
      </x:c>
      <x:c r="C1471" s="18" t="n">
        <x:v>151801615</x:v>
      </x:c>
      <x:c r="D1471" s="3" t="str">
        <x:v>Fixed rank 25</x:v>
      </x:c>
      <x:c r="E1471" s="18" t="n">
        <x:v>200</x:v>
      </x:c>
      <x:c r="F1471" s="21" t="n">
        <x:v>319.65386881375764</x:v>
      </x:c>
      <x:c r="G1471" s="21" t="n">
        <x:f>F1467</x:f>
        <x:v>320.85443633975535</x:v>
      </x:c>
      <x:c r="H1471" s="21" t="n">
        <x:f>F1473</x:f>
        <x:v>320.85443633975535</x:v>
      </x:c>
      <x:c r="I1471" s="27" t="n">
        <x:f>IF(AND(ISNUMBER(G1471),ISNUMBER(H1471),H1471&gt;0),G1471/H1471-1,"")</x:f>
        <x:v>0</x:v>
      </x:c>
      <x:c r="J1471" s="27" t="n">
        <x:f>IF(AND(ISNUMBER(G1471),F1471&gt;0),G1471/F1471-1,"")</x:f>
        <x:v>0.0037558360562099935</x:v>
      </x:c>
      <x:c r="K1471" s="19" t="str">
        <x:v>Exp_5/EXP049/results/seed151801615_Fixed_rank_25.json</x:v>
      </x:c>
    </x:row>
    <x:row r="1472" ht="15" hidden="0" customHeight="1">
      <x:c r="A1472" s="3" t="str">
        <x:v>EXP049</x:v>
      </x:c>
      <x:c r="B1472" s="3" t="str">
        <x:v>Exp. 5</x:v>
      </x:c>
      <x:c r="C1472" s="18" t="n">
        <x:v>151801615</x:v>
      </x:c>
      <x:c r="D1472" s="3" t="str">
        <x:v>Relative cutoff 1e-6</x:v>
      </x:c>
      <x:c r="E1472" s="18" t="n">
        <x:v>200</x:v>
      </x:c>
      <x:c r="F1472" s="21" t="n">
        <x:v>320.85443633975535</x:v>
      </x:c>
      <x:c r="G1472" s="21" t="n">
        <x:f>F1467</x:f>
        <x:v>320.85443633975535</x:v>
      </x:c>
      <x:c r="H1472" s="21" t="n">
        <x:f>F1473</x:f>
        <x:v>320.85443633975535</x:v>
      </x:c>
      <x:c r="I1472" s="27" t="n">
        <x:f>IF(AND(ISNUMBER(G1472),ISNUMBER(H1472),H1472&gt;0),G1472/H1472-1,"")</x:f>
        <x:v>0</x:v>
      </x:c>
      <x:c r="J1472" s="27" t="n">
        <x:f>IF(AND(ISNUMBER(G1472),F1472&gt;0),G1472/F1472-1,"")</x:f>
        <x:v>0</x:v>
      </x:c>
      <x:c r="K1472" s="19" t="str">
        <x:v>Exp_5/EXP049/results/seed151801615_Relative_cutoff_1e-6.json</x:v>
      </x:c>
    </x:row>
    <x:row r="1473" ht="15" hidden="0" customHeight="1">
      <x:c r="A1473" s="3" t="str">
        <x:v>EXP049</x:v>
      </x:c>
      <x:c r="B1473" s="3" t="str">
        <x:v>Exp. 5</x:v>
      </x:c>
      <x:c r="C1473" s="18" t="n">
        <x:v>151801615</x:v>
      </x:c>
      <x:c r="D1473" s="3" t="str">
        <x:v>Full</x:v>
      </x:c>
      <x:c r="E1473" s="18" t="n">
        <x:v>200</x:v>
      </x:c>
      <x:c r="F1473" s="21" t="n">
        <x:v>320.85443633975535</x:v>
      </x:c>
      <x:c r="G1473" s="21" t="n">
        <x:f>F1467</x:f>
        <x:v>320.85443633975535</x:v>
      </x:c>
      <x:c r="H1473" s="21" t="n">
        <x:f>F1473</x:f>
        <x:v>320.85443633975535</x:v>
      </x:c>
      <x:c r="I1473" s="27" t="n">
        <x:f>IF(AND(ISNUMBER(G1473),ISNUMBER(H1473),H1473&gt;0),G1473/H1473-1,"")</x:f>
        <x:v>0</x:v>
      </x:c>
      <x:c r="J1473" s="27" t="n">
        <x:f>IF(AND(ISNUMBER(G1473),F1473&gt;0),G1473/F1473-1,"")</x:f>
        <x:v>0</x:v>
      </x:c>
      <x:c r="K1473" s="19" t="str">
        <x:v>Exp_5/EXP049/results/seed151801615_Full.json</x:v>
      </x:c>
    </x:row>
    <x:row r="1474" ht="15" hidden="0" customHeight="1">
      <x:c r="A1474" s="3" t="str">
        <x:v>EXP049</x:v>
      </x:c>
      <x:c r="B1474" s="3" t="str">
        <x:v>Exp. 5</x:v>
      </x:c>
      <x:c r="C1474" s="18" t="n">
        <x:v>151801615</x:v>
      </x:c>
      <x:c r="D1474" s="3" t="str">
        <x:v>GP-UCB (weighted sum)</x:v>
      </x:c>
      <x:c r="E1474" s="18" t="n">
        <x:v>200</x:v>
      </x:c>
      <x:c r="F1474" s="21" t="n">
        <x:v>534.2762525950113</x:v>
      </x:c>
      <x:c r="G1474" s="21" t="n">
        <x:f>F1467</x:f>
        <x:v>320.85443633975535</x:v>
      </x:c>
      <x:c r="H1474" s="21" t="n">
        <x:f>F1473</x:f>
        <x:v>320.85443633975535</x:v>
      </x:c>
      <x:c r="I1474" s="27" t="n">
        <x:f>IF(AND(ISNUMBER(G1474),ISNUMBER(H1474),H1474&gt;0),G1474/H1474-1,"")</x:f>
        <x:v>0</x:v>
      </x:c>
      <x:c r="J1474" s="27" t="n">
        <x:f>IF(AND(ISNUMBER(G1474),F1474&gt;0),G1474/F1474-1,"")</x:f>
        <x:v>-0.3994596713191979</x:v>
      </x:c>
      <x:c r="K1474" s="19" t="str">
        <x:v>Exp_5/EXP049/results/seed151801615_GP-UCB_weighted_sum.json</x:v>
      </x:c>
    </x:row>
    <x:row r="1475" ht="15" hidden="0" customHeight="1">
      <x:c r="A1475" s="3" t="str">
        <x:v>EXP049</x:v>
      </x:c>
      <x:c r="B1475" s="3" t="str">
        <x:v>Exp. 5</x:v>
      </x:c>
      <x:c r="C1475" s="18" t="n">
        <x:v>151801615</x:v>
      </x:c>
      <x:c r="D1475" s="3" t="str">
        <x:v>GP-UCB (product)</x:v>
      </x:c>
      <x:c r="E1475" s="18" t="n">
        <x:v>200</x:v>
      </x:c>
      <x:c r="F1475" s="21" t="n">
        <x:v>318.49242113782446</x:v>
      </x:c>
      <x:c r="G1475" s="21" t="n">
        <x:f>F1467</x:f>
        <x:v>320.85443633975535</x:v>
      </x:c>
      <x:c r="H1475" s="21" t="n">
        <x:f>F1473</x:f>
        <x:v>320.85443633975535</x:v>
      </x:c>
      <x:c r="I1475" s="27" t="n">
        <x:f>IF(AND(ISNUMBER(G1475),ISNUMBER(H1475),H1475&gt;0),G1475/H1475-1,"")</x:f>
        <x:v>0</x:v>
      </x:c>
      <x:c r="J1475" s="27" t="n">
        <x:f>IF(AND(ISNUMBER(G1475),F1475&gt;0),G1475/F1475-1,"")</x:f>
        <x:v>0.007416236761592421</x:v>
      </x:c>
      <x:c r="K1475" s="19" t="str">
        <x:v>Exp_5/EXP049/results/seed151801615_GP-UCB_product.json</x:v>
      </x:c>
    </x:row>
    <x:row r="1476" ht="15" hidden="0" customHeight="1">
      <x:c r="A1476" s="3" t="str">
        <x:v>EXP049</x:v>
      </x:c>
      <x:c r="B1476" s="3" t="str">
        <x:v>Exp. 5</x:v>
      </x:c>
      <x:c r="C1476" s="18" t="n">
        <x:v>151801615</x:v>
      </x:c>
      <x:c r="D1476" s="3" t="str">
        <x:v>NeuralUCB</x:v>
      </x:c>
      <x:c r="E1476" s="18" t="n">
        <x:v>200</x:v>
      </x:c>
      <x:c r="F1476" s="21" t="n">
        <x:v>613.2517018005817</x:v>
      </x:c>
      <x:c r="G1476" s="21" t="n">
        <x:f>F1467</x:f>
        <x:v>320.85443633975535</x:v>
      </x:c>
      <x:c r="H1476" s="21" t="n">
        <x:f>F1473</x:f>
        <x:v>320.85443633975535</x:v>
      </x:c>
      <x:c r="I1476" s="27" t="n">
        <x:f>IF(AND(ISNUMBER(G1476),ISNUMBER(H1476),H1476&gt;0),G1476/H1476-1,"")</x:f>
        <x:v>0</x:v>
      </x:c>
      <x:c r="J1476" s="27" t="n">
        <x:f>IF(AND(ISNUMBER(G1476),F1476&gt;0),G1476/F1476-1,"")</x:f>
        <x:v>-0.4767981313420123</x:v>
      </x:c>
      <x:c r="K1476" s="19" t="str">
        <x:v>Exp_5/EXP049/results/seed151801615_NeuralUCB.json</x:v>
      </x:c>
    </x:row>
    <x:row r="1477" ht="15" hidden="0" customHeight="1">
      <x:c r="A1477" s="3" t="str">
        <x:v>EXP049</x:v>
      </x:c>
      <x:c r="B1477" s="3" t="str">
        <x:v>Exp. 5</x:v>
      </x:c>
      <x:c r="C1477" s="18" t="n">
        <x:v>151801615</x:v>
      </x:c>
      <x:c r="D1477" s="3" t="str">
        <x:v>NN-UCB</x:v>
      </x:c>
      <x:c r="E1477" s="18" t="n">
        <x:v>200</x:v>
      </x:c>
      <x:c r="F1477" s="21" t="n">
        <x:v>518.0366988465822</x:v>
      </x:c>
      <x:c r="G1477" s="21" t="n">
        <x:f>F1467</x:f>
        <x:v>320.85443633975535</x:v>
      </x:c>
      <x:c r="H1477" s="21" t="n">
        <x:f>F1473</x:f>
        <x:v>320.85443633975535</x:v>
      </x:c>
      <x:c r="I1477" s="27" t="n">
        <x:f>IF(AND(ISNUMBER(G1477),ISNUMBER(H1477),H1477&gt;0),G1477/H1477-1,"")</x:f>
        <x:v>0</x:v>
      </x:c>
      <x:c r="J1477" s="27" t="n">
        <x:f>IF(AND(ISNUMBER(G1477),F1477&gt;0),G1477/F1477-1,"")</x:f>
        <x:v>-0.3806337715954422</x:v>
      </x:c>
      <x:c r="K1477" s="19" t="str">
        <x:v>Exp_5/EXP049/results/seed151801615_NN-UCB.json</x:v>
      </x:c>
    </x:row>
    <x:row r="1478" ht="15" hidden="0" customHeight="1">
      <x:c r="A1478" s="3" t="str">
        <x:v>EXP049</x:v>
      </x:c>
      <x:c r="B1478" s="3" t="str">
        <x:v>Exp. 5</x:v>
      </x:c>
      <x:c r="C1478" s="18" t="n">
        <x:v>151801615</x:v>
      </x:c>
      <x:c r="D1478" s="3" t="str">
        <x:v>Relative cutoff 1e-2</x:v>
      </x:c>
      <x:c r="E1478" s="18" t="n">
        <x:v>200</x:v>
      </x:c>
      <x:c r="F1478" s="21" t="n">
        <x:v>330.6444607591932</x:v>
      </x:c>
      <x:c r="G1478" s="21" t="n">
        <x:f>F1467</x:f>
        <x:v>320.85443633975535</x:v>
      </x:c>
      <x:c r="H1478" s="21" t="n">
        <x:f>F1473</x:f>
        <x:v>320.85443633975535</x:v>
      </x:c>
      <x:c r="I1478" s="27" t="n">
        <x:f>IF(AND(ISNUMBER(G1478),ISNUMBER(H1478),H1478&gt;0),G1478/H1478-1,"")</x:f>
        <x:v>0</x:v>
      </x:c>
      <x:c r="J1478" s="27" t="n">
        <x:f>IF(AND(ISNUMBER(G1478),F1478&gt;0),G1478/F1478-1,"")</x:f>
        <x:v>-0.029608917073520424</x:v>
      </x:c>
      <x:c r="K1478" s="19" t="str">
        <x:v>Exp_5/EXP049/results/seed151801615_Relative_cutoff_1e-2.json</x:v>
      </x:c>
    </x:row>
    <x:row r="1479" ht="15" hidden="0" customHeight="1">
      <x:c r="A1479" s="3" t="str">
        <x:v>EXP049</x:v>
      </x:c>
      <x:c r="B1479" s="3" t="str">
        <x:v>Exp. 5</x:v>
      </x:c>
      <x:c r="C1479" s="18" t="n">
        <x:v>151801615</x:v>
      </x:c>
      <x:c r="D1479" s="3" t="str">
        <x:v>Relative cutoff 1e-4</x:v>
      </x:c>
      <x:c r="E1479" s="18" t="n">
        <x:v>200</x:v>
      </x:c>
      <x:c r="F1479" s="21" t="n">
        <x:v>319.3406939240025</x:v>
      </x:c>
      <x:c r="G1479" s="21" t="n">
        <x:f>F1467</x:f>
        <x:v>320.85443633975535</x:v>
      </x:c>
      <x:c r="H1479" s="21" t="n">
        <x:f>F1473</x:f>
        <x:v>320.85443633975535</x:v>
      </x:c>
      <x:c r="I1479" s="27" t="n">
        <x:f>IF(AND(ISNUMBER(G1479),ISNUMBER(H1479),H1479&gt;0),G1479/H1479-1,"")</x:f>
        <x:v>0</x:v>
      </x:c>
      <x:c r="J1479" s="27" t="n">
        <x:f>IF(AND(ISNUMBER(G1479),F1479&gt;0),G1479/F1479-1,"")</x:f>
        <x:v>0.0047402114561481135</x:v>
      </x:c>
      <x:c r="K1479" s="19" t="str">
        <x:v>Exp_5/EXP049/results/seed151801615_Relative_cutoff_1e-4.json</x:v>
      </x:c>
    </x:row>
    <x:row r="1480" ht="15" hidden="0" customHeight="1">
      <x:c r="A1480" s="3" t="str">
        <x:v>EXP049</x:v>
      </x:c>
      <x:c r="B1480" s="3" t="str">
        <x:v>Exp. 5</x:v>
      </x:c>
      <x:c r="C1480" s="18" t="n">
        <x:v>159359747</x:v>
      </x:c>
      <x:c r="D1480" s="3" t="str">
        <x:v>BBP</x:v>
      </x:c>
      <x:c r="E1480" s="18" t="n">
        <x:v>200</x:v>
      </x:c>
      <x:c r="F1480" s="21" t="n">
        <x:v>178.65724508408124</x:v>
      </x:c>
      <x:c r="G1480" s="21" t="n">
        <x:f>F1480</x:f>
        <x:v>178.65724508408124</x:v>
      </x:c>
      <x:c r="H1480" s="21" t="n">
        <x:f>F1486</x:f>
        <x:v>180.21375738410842</x:v>
      </x:c>
      <x:c r="I1480" s="27" t="n">
        <x:f>IF(AND(ISNUMBER(G1480),ISNUMBER(H1480),H1480&gt;0),G1480/H1480-1,"")</x:f>
        <x:v>-0.008637033723843945</x:v>
      </x:c>
      <x:c r="J1480" s="27" t="n">
        <x:f>IF(AND(ISNUMBER(G1480),F1480&gt;0),G1480/F1480-1,"")</x:f>
        <x:v>0</x:v>
      </x:c>
      <x:c r="K1480" s="19" t="str">
        <x:v>Exp_5/EXP049/results/seed159359747_BBP.json</x:v>
      </x:c>
    </x:row>
    <x:row r="1481" ht="15" hidden="0" customHeight="1">
      <x:c r="A1481" s="3" t="str">
        <x:v>EXP049</x:v>
      </x:c>
      <x:c r="B1481" s="3" t="str">
        <x:v>Exp. 5</x:v>
      </x:c>
      <x:c r="C1481" s="18" t="n">
        <x:v>159359747</x:v>
      </x:c>
      <x:c r="D1481" s="3" t="str">
        <x:v>Relative cutoff 1e-5</x:v>
      </x:c>
      <x:c r="E1481" s="18" t="n">
        <x:v>200</x:v>
      </x:c>
      <x:c r="F1481" s="21" t="n">
        <x:v>178.65724508408124</x:v>
      </x:c>
      <x:c r="G1481" s="21" t="n">
        <x:f>F1480</x:f>
        <x:v>178.65724508408124</x:v>
      </x:c>
      <x:c r="H1481" s="21" t="n">
        <x:f>F1486</x:f>
        <x:v>180.21375738410842</x:v>
      </x:c>
      <x:c r="I1481" s="27" t="n">
        <x:f>IF(AND(ISNUMBER(G1481),ISNUMBER(H1481),H1481&gt;0),G1481/H1481-1,"")</x:f>
        <x:v>-0.008637033723843945</x:v>
      </x:c>
      <x:c r="J1481" s="27" t="n">
        <x:f>IF(AND(ISNUMBER(G1481),F1481&gt;0),G1481/F1481-1,"")</x:f>
        <x:v>0</x:v>
      </x:c>
      <x:c r="K1481" s="19" t="str">
        <x:v>Exp_5/EXP049/results/seed159359747_Relative_cutoff_1e-5.json</x:v>
      </x:c>
    </x:row>
    <x:row r="1482" ht="15" hidden="0" customHeight="1">
      <x:c r="A1482" s="3" t="str">
        <x:v>EXP049</x:v>
      </x:c>
      <x:c r="B1482" s="3" t="str">
        <x:v>Exp. 5</x:v>
      </x:c>
      <x:c r="C1482" s="18" t="n">
        <x:v>159359747</x:v>
      </x:c>
      <x:c r="D1482" s="3" t="str">
        <x:v>NN-AGP (m=7)</x:v>
      </x:c>
      <x:c r="E1482" s="18" t="n">
        <x:v>200</x:v>
      </x:c>
      <x:c r="F1482" s="21" t="n">
        <x:v>444.31303057256747</x:v>
      </x:c>
      <x:c r="G1482" s="21" t="n">
        <x:f>F1480</x:f>
        <x:v>178.65724508408124</x:v>
      </x:c>
      <x:c r="H1482" s="21" t="n">
        <x:f>F1486</x:f>
        <x:v>180.21375738410842</x:v>
      </x:c>
      <x:c r="I1482" s="27" t="n">
        <x:f>IF(AND(ISNUMBER(G1482),ISNUMBER(H1482),H1482&gt;0),G1482/H1482-1,"")</x:f>
        <x:v>-0.008637033723843945</x:v>
      </x:c>
      <x:c r="J1482" s="27" t="n">
        <x:f>IF(AND(ISNUMBER(G1482),F1482&gt;0),G1482/F1482-1,"")</x:f>
        <x:v>-0.5979023058273731</x:v>
      </x:c>
      <x:c r="K1482" s="19" t="str">
        <x:v>Exp_5/EXP049/results/seed159359747_NN-AGP_m_7.json</x:v>
      </x:c>
    </x:row>
    <x:row r="1483" ht="15" hidden="0" customHeight="1">
      <x:c r="A1483" s="3" t="str">
        <x:v>EXP049</x:v>
      </x:c>
      <x:c r="B1483" s="3" t="str">
        <x:v>Exp. 5</x:v>
      </x:c>
      <x:c r="C1483" s="18" t="n">
        <x:v>159359747</x:v>
      </x:c>
      <x:c r="D1483" s="3" t="str">
        <x:v>Fixed rank 10</x:v>
      </x:c>
      <x:c r="E1483" s="18" t="n">
        <x:v>200</x:v>
      </x:c>
      <x:c r="F1483" s="21" t="n">
        <x:v>184.84351933432418</x:v>
      </x:c>
      <x:c r="G1483" s="21" t="n">
        <x:f>F1480</x:f>
        <x:v>178.65724508408124</x:v>
      </x:c>
      <x:c r="H1483" s="21" t="n">
        <x:f>F1486</x:f>
        <x:v>180.21375738410842</x:v>
      </x:c>
      <x:c r="I1483" s="27" t="n">
        <x:f>IF(AND(ISNUMBER(G1483),ISNUMBER(H1483),H1483&gt;0),G1483/H1483-1,"")</x:f>
        <x:v>-0.008637033723843945</x:v>
      </x:c>
      <x:c r="J1483" s="27" t="n">
        <x:f>IF(AND(ISNUMBER(G1483),F1483&gt;0),G1483/F1483-1,"")</x:f>
        <x:v>-0.03346762857860275</x:v>
      </x:c>
      <x:c r="K1483" s="19" t="str">
        <x:v>Exp_5/EXP049/results/seed159359747_Fixed_rank_10.json</x:v>
      </x:c>
    </x:row>
    <x:row r="1484" ht="15" hidden="0" customHeight="1">
      <x:c r="A1484" s="3" t="str">
        <x:v>EXP049</x:v>
      </x:c>
      <x:c r="B1484" s="3" t="str">
        <x:v>Exp. 5</x:v>
      </x:c>
      <x:c r="C1484" s="18" t="n">
        <x:v>159359747</x:v>
      </x:c>
      <x:c r="D1484" s="3" t="str">
        <x:v>Fixed rank 25</x:v>
      </x:c>
      <x:c r="E1484" s="18" t="n">
        <x:v>200</x:v>
      </x:c>
      <x:c r="F1484" s="21" t="n">
        <x:v>178.65724508408124</x:v>
      </x:c>
      <x:c r="G1484" s="21" t="n">
        <x:f>F1480</x:f>
        <x:v>178.65724508408124</x:v>
      </x:c>
      <x:c r="H1484" s="21" t="n">
        <x:f>F1486</x:f>
        <x:v>180.21375738410842</x:v>
      </x:c>
      <x:c r="I1484" s="27" t="n">
        <x:f>IF(AND(ISNUMBER(G1484),ISNUMBER(H1484),H1484&gt;0),G1484/H1484-1,"")</x:f>
        <x:v>-0.008637033723843945</x:v>
      </x:c>
      <x:c r="J1484" s="27" t="n">
        <x:f>IF(AND(ISNUMBER(G1484),F1484&gt;0),G1484/F1484-1,"")</x:f>
        <x:v>0</x:v>
      </x:c>
      <x:c r="K1484" s="19" t="str">
        <x:v>Exp_5/EXP049/results/seed159359747_Fixed_rank_25.json</x:v>
      </x:c>
    </x:row>
    <x:row r="1485" ht="15" hidden="0" customHeight="1">
      <x:c r="A1485" s="3" t="str">
        <x:v>EXP049</x:v>
      </x:c>
      <x:c r="B1485" s="3" t="str">
        <x:v>Exp. 5</x:v>
      </x:c>
      <x:c r="C1485" s="18" t="n">
        <x:v>159359747</x:v>
      </x:c>
      <x:c r="D1485" s="3" t="str">
        <x:v>Relative cutoff 1e-6</x:v>
      </x:c>
      <x:c r="E1485" s="18" t="n">
        <x:v>200</x:v>
      </x:c>
      <x:c r="F1485" s="21" t="n">
        <x:v>180.21375738410842</x:v>
      </x:c>
      <x:c r="G1485" s="21" t="n">
        <x:f>F1480</x:f>
        <x:v>178.65724508408124</x:v>
      </x:c>
      <x:c r="H1485" s="21" t="n">
        <x:f>F1486</x:f>
        <x:v>180.21375738410842</x:v>
      </x:c>
      <x:c r="I1485" s="27" t="n">
        <x:f>IF(AND(ISNUMBER(G1485),ISNUMBER(H1485),H1485&gt;0),G1485/H1485-1,"")</x:f>
        <x:v>-0.008637033723843945</x:v>
      </x:c>
      <x:c r="J1485" s="27" t="n">
        <x:f>IF(AND(ISNUMBER(G1485),F1485&gt;0),G1485/F1485-1,"")</x:f>
        <x:v>-0.008637033723843945</x:v>
      </x:c>
      <x:c r="K1485" s="19" t="str">
        <x:v>Exp_5/EXP049/results/seed159359747_Relative_cutoff_1e-6.json</x:v>
      </x:c>
    </x:row>
    <x:row r="1486" ht="15" hidden="0" customHeight="1">
      <x:c r="A1486" s="3" t="str">
        <x:v>EXP049</x:v>
      </x:c>
      <x:c r="B1486" s="3" t="str">
        <x:v>Exp. 5</x:v>
      </x:c>
      <x:c r="C1486" s="18" t="n">
        <x:v>159359747</x:v>
      </x:c>
      <x:c r="D1486" s="3" t="str">
        <x:v>Full</x:v>
      </x:c>
      <x:c r="E1486" s="18" t="n">
        <x:v>200</x:v>
      </x:c>
      <x:c r="F1486" s="21" t="n">
        <x:v>180.21375738410842</x:v>
      </x:c>
      <x:c r="G1486" s="21" t="n">
        <x:f>F1480</x:f>
        <x:v>178.65724508408124</x:v>
      </x:c>
      <x:c r="H1486" s="21" t="n">
        <x:f>F1486</x:f>
        <x:v>180.21375738410842</x:v>
      </x:c>
      <x:c r="I1486" s="27" t="n">
        <x:f>IF(AND(ISNUMBER(G1486),ISNUMBER(H1486),H1486&gt;0),G1486/H1486-1,"")</x:f>
        <x:v>-0.008637033723843945</x:v>
      </x:c>
      <x:c r="J1486" s="27" t="n">
        <x:f>IF(AND(ISNUMBER(G1486),F1486&gt;0),G1486/F1486-1,"")</x:f>
        <x:v>-0.008637033723843945</x:v>
      </x:c>
      <x:c r="K1486" s="19" t="str">
        <x:v>Exp_5/EXP049/results/seed159359747_Full.json</x:v>
      </x:c>
    </x:row>
    <x:row r="1487" ht="15" hidden="0" customHeight="1">
      <x:c r="A1487" s="3" t="str">
        <x:v>EXP049</x:v>
      </x:c>
      <x:c r="B1487" s="3" t="str">
        <x:v>Exp. 5</x:v>
      </x:c>
      <x:c r="C1487" s="18" t="n">
        <x:v>159359747</x:v>
      </x:c>
      <x:c r="D1487" s="3" t="str">
        <x:v>GP-UCB (weighted sum)</x:v>
      </x:c>
      <x:c r="E1487" s="18" t="n">
        <x:v>200</x:v>
      </x:c>
      <x:c r="F1487" s="21" t="n">
        <x:v>367.3327597798255</x:v>
      </x:c>
      <x:c r="G1487" s="21" t="n">
        <x:f>F1480</x:f>
        <x:v>178.65724508408124</x:v>
      </x:c>
      <x:c r="H1487" s="21" t="n">
        <x:f>F1486</x:f>
        <x:v>180.21375738410842</x:v>
      </x:c>
      <x:c r="I1487" s="27" t="n">
        <x:f>IF(AND(ISNUMBER(G1487),ISNUMBER(H1487),H1487&gt;0),G1487/H1487-1,"")</x:f>
        <x:v>-0.008637033723843945</x:v>
      </x:c>
      <x:c r="J1487" s="27" t="n">
        <x:f>IF(AND(ISNUMBER(G1487),F1487&gt;0),G1487/F1487-1,"")</x:f>
        <x:v>-0.5136365044294822</x:v>
      </x:c>
      <x:c r="K1487" s="19" t="str">
        <x:v>Exp_5/EXP049/results/seed159359747_GP-UCB_weighted_sum.json</x:v>
      </x:c>
    </x:row>
    <x:row r="1488" ht="15" hidden="0" customHeight="1">
      <x:c r="A1488" s="3" t="str">
        <x:v>EXP049</x:v>
      </x:c>
      <x:c r="B1488" s="3" t="str">
        <x:v>Exp. 5</x:v>
      </x:c>
      <x:c r="C1488" s="18" t="n">
        <x:v>159359747</x:v>
      </x:c>
      <x:c r="D1488" s="3" t="str">
        <x:v>GP-UCB (product)</x:v>
      </x:c>
      <x:c r="E1488" s="18" t="n">
        <x:v>200</x:v>
      </x:c>
      <x:c r="F1488" s="21" t="n">
        <x:v>229.94404519801765</x:v>
      </x:c>
      <x:c r="G1488" s="21" t="n">
        <x:f>F1480</x:f>
        <x:v>178.65724508408124</x:v>
      </x:c>
      <x:c r="H1488" s="21" t="n">
        <x:f>F1486</x:f>
        <x:v>180.21375738410842</x:v>
      </x:c>
      <x:c r="I1488" s="27" t="n">
        <x:f>IF(AND(ISNUMBER(G1488),ISNUMBER(H1488),H1488&gt;0),G1488/H1488-1,"")</x:f>
        <x:v>-0.008637033723843945</x:v>
      </x:c>
      <x:c r="J1488" s="27" t="n">
        <x:f>IF(AND(ISNUMBER(G1488),F1488&gt;0),G1488/F1488-1,"")</x:f>
        <x:v>-0.22304034909784454</x:v>
      </x:c>
      <x:c r="K1488" s="19" t="str">
        <x:v>Exp_5/EXP049/results/seed159359747_GP-UCB_product.json</x:v>
      </x:c>
    </x:row>
    <x:row r="1489" ht="15" hidden="0" customHeight="1">
      <x:c r="A1489" s="3" t="str">
        <x:v>EXP049</x:v>
      </x:c>
      <x:c r="B1489" s="3" t="str">
        <x:v>Exp. 5</x:v>
      </x:c>
      <x:c r="C1489" s="18" t="n">
        <x:v>159359747</x:v>
      </x:c>
      <x:c r="D1489" s="3" t="str">
        <x:v>NeuralUCB</x:v>
      </x:c>
      <x:c r="E1489" s="18" t="n">
        <x:v>200</x:v>
      </x:c>
      <x:c r="F1489" s="21" t="n">
        <x:v>462.3924926962069</x:v>
      </x:c>
      <x:c r="G1489" s="21" t="n">
        <x:f>F1480</x:f>
        <x:v>178.65724508408124</x:v>
      </x:c>
      <x:c r="H1489" s="21" t="n">
        <x:f>F1486</x:f>
        <x:v>180.21375738410842</x:v>
      </x:c>
      <x:c r="I1489" s="27" t="n">
        <x:f>IF(AND(ISNUMBER(G1489),ISNUMBER(H1489),H1489&gt;0),G1489/H1489-1,"")</x:f>
        <x:v>-0.008637033723843945</x:v>
      </x:c>
      <x:c r="J1489" s="27" t="n">
        <x:f>IF(AND(ISNUMBER(G1489),F1489&gt;0),G1489/F1489-1,"")</x:f>
        <x:v>-0.6136242523265629</x:v>
      </x:c>
      <x:c r="K1489" s="19" t="str">
        <x:v>Exp_5/EXP049/results/seed159359747_NeuralUCB.json</x:v>
      </x:c>
    </x:row>
    <x:row r="1490" ht="15" hidden="0" customHeight="1">
      <x:c r="A1490" s="3" t="str">
        <x:v>EXP049</x:v>
      </x:c>
      <x:c r="B1490" s="3" t="str">
        <x:v>Exp. 5</x:v>
      </x:c>
      <x:c r="C1490" s="18" t="n">
        <x:v>159359747</x:v>
      </x:c>
      <x:c r="D1490" s="3" t="str">
        <x:v>NN-UCB</x:v>
      </x:c>
      <x:c r="E1490" s="18" t="n">
        <x:v>200</x:v>
      </x:c>
      <x:c r="F1490" s="21" t="n">
        <x:v>300.22311677549874</x:v>
      </x:c>
      <x:c r="G1490" s="21" t="n">
        <x:f>F1480</x:f>
        <x:v>178.65724508408124</x:v>
      </x:c>
      <x:c r="H1490" s="21" t="n">
        <x:f>F1486</x:f>
        <x:v>180.21375738410842</x:v>
      </x:c>
      <x:c r="I1490" s="27" t="n">
        <x:f>IF(AND(ISNUMBER(G1490),ISNUMBER(H1490),H1490&gt;0),G1490/H1490-1,"")</x:f>
        <x:v>-0.008637033723843945</x:v>
      </x:c>
      <x:c r="J1490" s="27" t="n">
        <x:f>IF(AND(ISNUMBER(G1490),F1490&gt;0),G1490/F1490-1,"")</x:f>
        <x:v>-0.4049184253267286</x:v>
      </x:c>
      <x:c r="K1490" s="19" t="str">
        <x:v>Exp_5/EXP049/results/seed159359747_NN-UCB.json</x:v>
      </x:c>
    </x:row>
    <x:row r="1491" ht="15" hidden="0" customHeight="1">
      <x:c r="A1491" s="3" t="str">
        <x:v>EXP049</x:v>
      </x:c>
      <x:c r="B1491" s="3" t="str">
        <x:v>Exp. 5</x:v>
      </x:c>
      <x:c r="C1491" s="18" t="n">
        <x:v>159359747</x:v>
      </x:c>
      <x:c r="D1491" s="3" t="str">
        <x:v>Relative cutoff 1e-2</x:v>
      </x:c>
      <x:c r="E1491" s="18" t="n">
        <x:v>200</x:v>
      </x:c>
      <x:c r="F1491" s="21" t="n">
        <x:v>169.00724708313606</x:v>
      </x:c>
      <x:c r="G1491" s="21" t="n">
        <x:f>F1480</x:f>
        <x:v>178.65724508408124</x:v>
      </x:c>
      <x:c r="H1491" s="21" t="n">
        <x:f>F1486</x:f>
        <x:v>180.21375738410842</x:v>
      </x:c>
      <x:c r="I1491" s="27" t="n">
        <x:f>IF(AND(ISNUMBER(G1491),ISNUMBER(H1491),H1491&gt;0),G1491/H1491-1,"")</x:f>
        <x:v>-0.008637033723843945</x:v>
      </x:c>
      <x:c r="J1491" s="27" t="n">
        <x:f>IF(AND(ISNUMBER(G1491),F1491&gt;0),G1491/F1491-1,"")</x:f>
        <x:v>0.05709813139668651</x:v>
      </x:c>
      <x:c r="K1491" s="19" t="str">
        <x:v>Exp_5/EXP049/results/seed159359747_Relative_cutoff_1e-2.json</x:v>
      </x:c>
    </x:row>
    <x:row r="1492" ht="15" hidden="0" customHeight="1">
      <x:c r="A1492" s="3" t="str">
        <x:v>EXP049</x:v>
      </x:c>
      <x:c r="B1492" s="3" t="str">
        <x:v>Exp. 5</x:v>
      </x:c>
      <x:c r="C1492" s="18" t="n">
        <x:v>159359747</x:v>
      </x:c>
      <x:c r="D1492" s="3" t="str">
        <x:v>Relative cutoff 1e-4</x:v>
      </x:c>
      <x:c r="E1492" s="18" t="n">
        <x:v>200</x:v>
      </x:c>
      <x:c r="F1492" s="21" t="n">
        <x:v>171.06663900316198</x:v>
      </x:c>
      <x:c r="G1492" s="21" t="n">
        <x:f>F1480</x:f>
        <x:v>178.65724508408124</x:v>
      </x:c>
      <x:c r="H1492" s="21" t="n">
        <x:f>F1486</x:f>
        <x:v>180.21375738410842</x:v>
      </x:c>
      <x:c r="I1492" s="27" t="n">
        <x:f>IF(AND(ISNUMBER(G1492),ISNUMBER(H1492),H1492&gt;0),G1492/H1492-1,"")</x:f>
        <x:v>-0.008637033723843945</x:v>
      </x:c>
      <x:c r="J1492" s="27" t="n">
        <x:f>IF(AND(ISNUMBER(G1492),F1492&gt;0),G1492/F1492-1,"")</x:f>
        <x:v>0.04437221731338825</x:v>
      </x:c>
      <x:c r="K1492" s="19" t="str">
        <x:v>Exp_5/EXP049/results/seed159359747_Relative_cutoff_1e-4.json</x:v>
      </x:c>
    </x:row>
    <x:row r="1493" ht="15" hidden="0" customHeight="1">
      <x:c r="A1493" s="3" t="str">
        <x:v>EXP049</x:v>
      </x:c>
      <x:c r="B1493" s="3" t="str">
        <x:v>Exp. 5</x:v>
      </x:c>
      <x:c r="C1493" s="18" t="n">
        <x:v>254786210</x:v>
      </x:c>
      <x:c r="D1493" s="3" t="str">
        <x:v>BBP</x:v>
      </x:c>
      <x:c r="E1493" s="18" t="n">
        <x:v>200</x:v>
      </x:c>
      <x:c r="F1493" s="21" t="n">
        <x:v>313.62033272387316</x:v>
      </x:c>
      <x:c r="G1493" s="21" t="n">
        <x:f>F1493</x:f>
        <x:v>313.62033272387316</x:v>
      </x:c>
      <x:c r="H1493" s="21" t="n">
        <x:f>F1499</x:f>
        <x:v>308.8661668866482</x:v>
      </x:c>
      <x:c r="I1493" s="27" t="n">
        <x:f>IF(AND(ISNUMBER(G1493),ISNUMBER(H1493),H1493&gt;0),G1493/H1493-1,"")</x:f>
        <x:v>0.015392316630683966</x:v>
      </x:c>
      <x:c r="J1493" s="27" t="n">
        <x:f>IF(AND(ISNUMBER(G1493),F1493&gt;0),G1493/F1493-1,"")</x:f>
        <x:v>0</x:v>
      </x:c>
      <x:c r="K1493" s="19" t="str">
        <x:v>Exp_5/EXP049/results/seed254786210_BBP.json</x:v>
      </x:c>
    </x:row>
    <x:row r="1494" ht="15" hidden="0" customHeight="1">
      <x:c r="A1494" s="3" t="str">
        <x:v>EXP049</x:v>
      </x:c>
      <x:c r="B1494" s="3" t="str">
        <x:v>Exp. 5</x:v>
      </x:c>
      <x:c r="C1494" s="18" t="n">
        <x:v>254786210</x:v>
      </x:c>
      <x:c r="D1494" s="3" t="str">
        <x:v>Relative cutoff 1e-5</x:v>
      </x:c>
      <x:c r="E1494" s="18" t="n">
        <x:v>200</x:v>
      </x:c>
      <x:c r="F1494" s="21" t="n">
        <x:v>308.8661668866482</x:v>
      </x:c>
      <x:c r="G1494" s="21" t="n">
        <x:f>F1493</x:f>
        <x:v>313.62033272387316</x:v>
      </x:c>
      <x:c r="H1494" s="21" t="n">
        <x:f>F1499</x:f>
        <x:v>308.8661668866482</x:v>
      </x:c>
      <x:c r="I1494" s="27" t="n">
        <x:f>IF(AND(ISNUMBER(G1494),ISNUMBER(H1494),H1494&gt;0),G1494/H1494-1,"")</x:f>
        <x:v>0.015392316630683966</x:v>
      </x:c>
      <x:c r="J1494" s="27" t="n">
        <x:f>IF(AND(ISNUMBER(G1494),F1494&gt;0),G1494/F1494-1,"")</x:f>
        <x:v>0.015392316630683966</x:v>
      </x:c>
      <x:c r="K1494" s="19" t="str">
        <x:v>Exp_5/EXP049/results/seed254786210_Relative_cutoff_1e-5.json</x:v>
      </x:c>
    </x:row>
    <x:row r="1495" ht="15" hidden="0" customHeight="1">
      <x:c r="A1495" s="3" t="str">
        <x:v>EXP049</x:v>
      </x:c>
      <x:c r="B1495" s="3" t="str">
        <x:v>Exp. 5</x:v>
      </x:c>
      <x:c r="C1495" s="18" t="n">
        <x:v>254786210</x:v>
      </x:c>
      <x:c r="D1495" s="3" t="str">
        <x:v>NN-AGP (m=7)</x:v>
      </x:c>
      <x:c r="E1495" s="18" t="n">
        <x:v>200</x:v>
      </x:c>
      <x:c r="F1495" s="21" t="n">
        <x:v>194.70739637558725</x:v>
      </x:c>
      <x:c r="G1495" s="21" t="n">
        <x:f>F1493</x:f>
        <x:v>313.62033272387316</x:v>
      </x:c>
      <x:c r="H1495" s="21" t="n">
        <x:f>F1499</x:f>
        <x:v>308.8661668866482</x:v>
      </x:c>
      <x:c r="I1495" s="27" t="n">
        <x:f>IF(AND(ISNUMBER(G1495),ISNUMBER(H1495),H1495&gt;0),G1495/H1495-1,"")</x:f>
        <x:v>0.015392316630683966</x:v>
      </x:c>
      <x:c r="J1495" s="27" t="n">
        <x:f>IF(AND(ISNUMBER(G1495),F1495&gt;0),G1495/F1495-1,"")</x:f>
        <x:v>0.6107263440516912</x:v>
      </x:c>
      <x:c r="K1495" s="19" t="str">
        <x:v>Exp_5/EXP049/results/seed254786210_NN-AGP_m_7.json</x:v>
      </x:c>
    </x:row>
    <x:row r="1496" ht="15" hidden="0" customHeight="1">
      <x:c r="A1496" s="3" t="str">
        <x:v>EXP049</x:v>
      </x:c>
      <x:c r="B1496" s="3" t="str">
        <x:v>Exp. 5</x:v>
      </x:c>
      <x:c r="C1496" s="18" t="n">
        <x:v>254786210</x:v>
      </x:c>
      <x:c r="D1496" s="3" t="str">
        <x:v>Fixed rank 10</x:v>
      </x:c>
      <x:c r="E1496" s="18" t="n">
        <x:v>200</x:v>
      </x:c>
      <x:c r="F1496" s="21" t="n">
        <x:v>314.6580422724959</x:v>
      </x:c>
      <x:c r="G1496" s="21" t="n">
        <x:f>F1493</x:f>
        <x:v>313.62033272387316</x:v>
      </x:c>
      <x:c r="H1496" s="21" t="n">
        <x:f>F1499</x:f>
        <x:v>308.8661668866482</x:v>
      </x:c>
      <x:c r="I1496" s="27" t="n">
        <x:f>IF(AND(ISNUMBER(G1496),ISNUMBER(H1496),H1496&gt;0),G1496/H1496-1,"")</x:f>
        <x:v>0.015392316630683966</x:v>
      </x:c>
      <x:c r="J1496" s="27" t="n">
        <x:f>IF(AND(ISNUMBER(G1496),F1496&gt;0),G1496/F1496-1,"")</x:f>
        <x:v>-0.0032978961577726507</x:v>
      </x:c>
      <x:c r="K1496" s="19" t="str">
        <x:v>Exp_5/EXP049/results/seed254786210_Fixed_rank_10.json</x:v>
      </x:c>
    </x:row>
    <x:row r="1497" ht="15" hidden="0" customHeight="1">
      <x:c r="A1497" s="3" t="str">
        <x:v>EXP049</x:v>
      </x:c>
      <x:c r="B1497" s="3" t="str">
        <x:v>Exp. 5</x:v>
      </x:c>
      <x:c r="C1497" s="18" t="n">
        <x:v>254786210</x:v>
      </x:c>
      <x:c r="D1497" s="3" t="str">
        <x:v>Fixed rank 25</x:v>
      </x:c>
      <x:c r="E1497" s="18" t="n">
        <x:v>200</x:v>
      </x:c>
      <x:c r="F1497" s="21" t="n">
        <x:v>313.62033272387316</x:v>
      </x:c>
      <x:c r="G1497" s="21" t="n">
        <x:f>F1493</x:f>
        <x:v>313.62033272387316</x:v>
      </x:c>
      <x:c r="H1497" s="21" t="n">
        <x:f>F1499</x:f>
        <x:v>308.8661668866482</x:v>
      </x:c>
      <x:c r="I1497" s="27" t="n">
        <x:f>IF(AND(ISNUMBER(G1497),ISNUMBER(H1497),H1497&gt;0),G1497/H1497-1,"")</x:f>
        <x:v>0.015392316630683966</x:v>
      </x:c>
      <x:c r="J1497" s="27" t="n">
        <x:f>IF(AND(ISNUMBER(G1497),F1497&gt;0),G1497/F1497-1,"")</x:f>
        <x:v>0</x:v>
      </x:c>
      <x:c r="K1497" s="19" t="str">
        <x:v>Exp_5/EXP049/results/seed254786210_Fixed_rank_25.json</x:v>
      </x:c>
    </x:row>
    <x:row r="1498" ht="15" hidden="0" customHeight="1">
      <x:c r="A1498" s="3" t="str">
        <x:v>EXP049</x:v>
      </x:c>
      <x:c r="B1498" s="3" t="str">
        <x:v>Exp. 5</x:v>
      </x:c>
      <x:c r="C1498" s="18" t="n">
        <x:v>254786210</x:v>
      </x:c>
      <x:c r="D1498" s="3" t="str">
        <x:v>Relative cutoff 1e-6</x:v>
      </x:c>
      <x:c r="E1498" s="18" t="n">
        <x:v>200</x:v>
      </x:c>
      <x:c r="F1498" s="21" t="n">
        <x:v>308.8661668866482</x:v>
      </x:c>
      <x:c r="G1498" s="21" t="n">
        <x:f>F1493</x:f>
        <x:v>313.62033272387316</x:v>
      </x:c>
      <x:c r="H1498" s="21" t="n">
        <x:f>F1499</x:f>
        <x:v>308.8661668866482</x:v>
      </x:c>
      <x:c r="I1498" s="27" t="n">
        <x:f>IF(AND(ISNUMBER(G1498),ISNUMBER(H1498),H1498&gt;0),G1498/H1498-1,"")</x:f>
        <x:v>0.015392316630683966</x:v>
      </x:c>
      <x:c r="J1498" s="27" t="n">
        <x:f>IF(AND(ISNUMBER(G1498),F1498&gt;0),G1498/F1498-1,"")</x:f>
        <x:v>0.015392316630683966</x:v>
      </x:c>
      <x:c r="K1498" s="19" t="str">
        <x:v>Exp_5/EXP049/results/seed254786210_Relative_cutoff_1e-6.json</x:v>
      </x:c>
    </x:row>
    <x:row r="1499" ht="15" hidden="0" customHeight="1">
      <x:c r="A1499" s="3" t="str">
        <x:v>EXP049</x:v>
      </x:c>
      <x:c r="B1499" s="3" t="str">
        <x:v>Exp. 5</x:v>
      </x:c>
      <x:c r="C1499" s="18" t="n">
        <x:v>254786210</x:v>
      </x:c>
      <x:c r="D1499" s="3" t="str">
        <x:v>Full</x:v>
      </x:c>
      <x:c r="E1499" s="18" t="n">
        <x:v>200</x:v>
      </x:c>
      <x:c r="F1499" s="21" t="n">
        <x:v>308.8661668866482</x:v>
      </x:c>
      <x:c r="G1499" s="21" t="n">
        <x:f>F1493</x:f>
        <x:v>313.62033272387316</x:v>
      </x:c>
      <x:c r="H1499" s="21" t="n">
        <x:f>F1499</x:f>
        <x:v>308.8661668866482</x:v>
      </x:c>
      <x:c r="I1499" s="27" t="n">
        <x:f>IF(AND(ISNUMBER(G1499),ISNUMBER(H1499),H1499&gt;0),G1499/H1499-1,"")</x:f>
        <x:v>0.015392316630683966</x:v>
      </x:c>
      <x:c r="J1499" s="27" t="n">
        <x:f>IF(AND(ISNUMBER(G1499),F1499&gt;0),G1499/F1499-1,"")</x:f>
        <x:v>0.015392316630683966</x:v>
      </x:c>
      <x:c r="K1499" s="19" t="str">
        <x:v>Exp_5/EXP049/results/seed254786210_Full.json</x:v>
      </x:c>
    </x:row>
    <x:row r="1500" ht="15" hidden="0" customHeight="1">
      <x:c r="A1500" s="3" t="str">
        <x:v>EXP049</x:v>
      </x:c>
      <x:c r="B1500" s="3" t="str">
        <x:v>Exp. 5</x:v>
      </x:c>
      <x:c r="C1500" s="18" t="n">
        <x:v>254786210</x:v>
      </x:c>
      <x:c r="D1500" s="3" t="str">
        <x:v>GP-UCB (weighted sum)</x:v>
      </x:c>
      <x:c r="E1500" s="18" t="n">
        <x:v>200</x:v>
      </x:c>
      <x:c r="F1500" s="21" t="n">
        <x:v>388.34798077017393</x:v>
      </x:c>
      <x:c r="G1500" s="21" t="n">
        <x:f>F1493</x:f>
        <x:v>313.62033272387316</x:v>
      </x:c>
      <x:c r="H1500" s="21" t="n">
        <x:f>F1499</x:f>
        <x:v>308.8661668866482</x:v>
      </x:c>
      <x:c r="I1500" s="27" t="n">
        <x:f>IF(AND(ISNUMBER(G1500),ISNUMBER(H1500),H1500&gt;0),G1500/H1500-1,"")</x:f>
        <x:v>0.015392316630683966</x:v>
      </x:c>
      <x:c r="J1500" s="27" t="n">
        <x:f>IF(AND(ISNUMBER(G1500),F1500&gt;0),G1500/F1500-1,"")</x:f>
        <x:v>-0.19242445370283756</x:v>
      </x:c>
      <x:c r="K1500" s="19" t="str">
        <x:v>Exp_5/EXP049/results/seed254786210_GP-UCB_weighted_sum.json</x:v>
      </x:c>
    </x:row>
    <x:row r="1501" ht="15" hidden="0" customHeight="1">
      <x:c r="A1501" s="3" t="str">
        <x:v>EXP049</x:v>
      </x:c>
      <x:c r="B1501" s="3" t="str">
        <x:v>Exp. 5</x:v>
      </x:c>
      <x:c r="C1501" s="18" t="n">
        <x:v>254786210</x:v>
      </x:c>
      <x:c r="D1501" s="3" t="str">
        <x:v>GP-UCB (product)</x:v>
      </x:c>
      <x:c r="E1501" s="18" t="n">
        <x:v>200</x:v>
      </x:c>
      <x:c r="F1501" s="21" t="n">
        <x:v>298.15184230730534</x:v>
      </x:c>
      <x:c r="G1501" s="21" t="n">
        <x:f>F1493</x:f>
        <x:v>313.62033272387316</x:v>
      </x:c>
      <x:c r="H1501" s="21" t="n">
        <x:f>F1499</x:f>
        <x:v>308.8661668866482</x:v>
      </x:c>
      <x:c r="I1501" s="27" t="n">
        <x:f>IF(AND(ISNUMBER(G1501),ISNUMBER(H1501),H1501&gt;0),G1501/H1501-1,"")</x:f>
        <x:v>0.015392316630683966</x:v>
      </x:c>
      <x:c r="J1501" s="27" t="n">
        <x:f>IF(AND(ISNUMBER(G1501),F1501&gt;0),G1501/F1501-1,"")</x:f>
        <x:v>0.05188125049592829</x:v>
      </x:c>
      <x:c r="K1501" s="19" t="str">
        <x:v>Exp_5/EXP049/results/seed254786210_GP-UCB_product.json</x:v>
      </x:c>
    </x:row>
    <x:row r="1502" ht="15" hidden="0" customHeight="1">
      <x:c r="A1502" s="3" t="str">
        <x:v>EXP049</x:v>
      </x:c>
      <x:c r="B1502" s="3" t="str">
        <x:v>Exp. 5</x:v>
      </x:c>
      <x:c r="C1502" s="18" t="n">
        <x:v>254786210</x:v>
      </x:c>
      <x:c r="D1502" s="3" t="str">
        <x:v>NeuralUCB</x:v>
      </x:c>
      <x:c r="E1502" s="18" t="n">
        <x:v>200</x:v>
      </x:c>
      <x:c r="F1502" s="21" t="n">
        <x:v>550.1811037218191</x:v>
      </x:c>
      <x:c r="G1502" s="21" t="n">
        <x:f>F1493</x:f>
        <x:v>313.62033272387316</x:v>
      </x:c>
      <x:c r="H1502" s="21" t="n">
        <x:f>F1499</x:f>
        <x:v>308.8661668866482</x:v>
      </x:c>
      <x:c r="I1502" s="27" t="n">
        <x:f>IF(AND(ISNUMBER(G1502),ISNUMBER(H1502),H1502&gt;0),G1502/H1502-1,"")</x:f>
        <x:v>0.015392316630683966</x:v>
      </x:c>
      <x:c r="J1502" s="27" t="n">
        <x:f>IF(AND(ISNUMBER(G1502),F1502&gt;0),G1502/F1502-1,"")</x:f>
        <x:v>-0.4299689127774099</x:v>
      </x:c>
      <x:c r="K1502" s="19" t="str">
        <x:v>Exp_5/EXP049/results/seed254786210_NeuralUCB.json</x:v>
      </x:c>
    </x:row>
    <x:row r="1503" ht="15" hidden="0" customHeight="1">
      <x:c r="A1503" s="3" t="str">
        <x:v>EXP049</x:v>
      </x:c>
      <x:c r="B1503" s="3" t="str">
        <x:v>Exp. 5</x:v>
      </x:c>
      <x:c r="C1503" s="18" t="n">
        <x:v>254786210</x:v>
      </x:c>
      <x:c r="D1503" s="3" t="str">
        <x:v>NN-UCB</x:v>
      </x:c>
      <x:c r="E1503" s="18" t="n">
        <x:v>200</x:v>
      </x:c>
      <x:c r="F1503" s="21" t="n">
        <x:v>426.51385105212694</x:v>
      </x:c>
      <x:c r="G1503" s="21" t="n">
        <x:f>F1493</x:f>
        <x:v>313.62033272387316</x:v>
      </x:c>
      <x:c r="H1503" s="21" t="n">
        <x:f>F1499</x:f>
        <x:v>308.8661668866482</x:v>
      </x:c>
      <x:c r="I1503" s="27" t="n">
        <x:f>IF(AND(ISNUMBER(G1503),ISNUMBER(H1503),H1503&gt;0),G1503/H1503-1,"")</x:f>
        <x:v>0.015392316630683966</x:v>
      </x:c>
      <x:c r="J1503" s="27" t="n">
        <x:f>IF(AND(ISNUMBER(G1503),F1503&gt;0),G1503/F1503-1,"")</x:f>
        <x:v>-0.2646889850113129</x:v>
      </x:c>
      <x:c r="K1503" s="19" t="str">
        <x:v>Exp_5/EXP049/results/seed254786210_NN-UCB.json</x:v>
      </x:c>
    </x:row>
    <x:row r="1504" ht="15" hidden="0" customHeight="1">
      <x:c r="A1504" s="3" t="str">
        <x:v>EXP049</x:v>
      </x:c>
      <x:c r="B1504" s="3" t="str">
        <x:v>Exp. 5</x:v>
      </x:c>
      <x:c r="C1504" s="18" t="n">
        <x:v>254786210</x:v>
      </x:c>
      <x:c r="D1504" s="3" t="str">
        <x:v>Relative cutoff 1e-2</x:v>
      </x:c>
      <x:c r="E1504" s="18" t="n">
        <x:v>200</x:v>
      </x:c>
      <x:c r="F1504" s="21" t="n">
        <x:v>314.64301886211194</x:v>
      </x:c>
      <x:c r="G1504" s="21" t="n">
        <x:f>F1493</x:f>
        <x:v>313.62033272387316</x:v>
      </x:c>
      <x:c r="H1504" s="21" t="n">
        <x:f>F1499</x:f>
        <x:v>308.8661668866482</x:v>
      </x:c>
      <x:c r="I1504" s="27" t="n">
        <x:f>IF(AND(ISNUMBER(G1504),ISNUMBER(H1504),H1504&gt;0),G1504/H1504-1,"")</x:f>
        <x:v>0.015392316630683966</x:v>
      </x:c>
      <x:c r="J1504" s="27" t="n">
        <x:f>IF(AND(ISNUMBER(G1504),F1504&gt;0),G1504/F1504-1,"")</x:f>
        <x:v>-0.0032503061467477057</x:v>
      </x:c>
      <x:c r="K1504" s="19" t="str">
        <x:v>Exp_5/EXP049/results/seed254786210_Relative_cutoff_1e-2.json</x:v>
      </x:c>
    </x:row>
    <x:row r="1505" ht="15" hidden="0" customHeight="1">
      <x:c r="A1505" s="3" t="str">
        <x:v>EXP049</x:v>
      </x:c>
      <x:c r="B1505" s="3" t="str">
        <x:v>Exp. 5</x:v>
      </x:c>
      <x:c r="C1505" s="18" t="n">
        <x:v>254786210</x:v>
      </x:c>
      <x:c r="D1505" s="3" t="str">
        <x:v>Relative cutoff 1e-4</x:v>
      </x:c>
      <x:c r="E1505" s="18" t="n">
        <x:v>200</x:v>
      </x:c>
      <x:c r="F1505" s="21" t="n">
        <x:v>316.6551687533794</x:v>
      </x:c>
      <x:c r="G1505" s="21" t="n">
        <x:f>F1493</x:f>
        <x:v>313.62033272387316</x:v>
      </x:c>
      <x:c r="H1505" s="21" t="n">
        <x:f>F1499</x:f>
        <x:v>308.8661668866482</x:v>
      </x:c>
      <x:c r="I1505" s="27" t="n">
        <x:f>IF(AND(ISNUMBER(G1505),ISNUMBER(H1505),H1505&gt;0),G1505/H1505-1,"")</x:f>
        <x:v>0.015392316630683966</x:v>
      </x:c>
      <x:c r="J1505" s="27" t="n">
        <x:f>IF(AND(ISNUMBER(G1505),F1505&gt;0),G1505/F1505-1,"")</x:f>
        <x:v>-0.009584040713606301</x:v>
      </x:c>
      <x:c r="K1505" s="19" t="str">
        <x:v>Exp_5/EXP049/results/seed254786210_Relative_cutoff_1e-4.json</x:v>
      </x:c>
    </x:row>
    <x:row r="1506" ht="15" hidden="0" customHeight="1">
      <x:c r="A1506" s="3" t="str">
        <x:v>EXP049</x:v>
      </x:c>
      <x:c r="B1506" s="3" t="str">
        <x:v>Exp. 5</x:v>
      </x:c>
      <x:c r="C1506" s="18" t="n">
        <x:v>280737676</x:v>
      </x:c>
      <x:c r="D1506" s="3" t="str">
        <x:v>BBP</x:v>
      </x:c>
      <x:c r="E1506" s="18" t="n">
        <x:v>200</x:v>
      </x:c>
      <x:c r="F1506" s="21" t="n">
        <x:v>369.3776980256342</x:v>
      </x:c>
      <x:c r="G1506" s="21" t="n">
        <x:f>F1506</x:f>
        <x:v>369.3776980256342</x:v>
      </x:c>
      <x:c r="H1506" s="21" t="n">
        <x:f>F1512</x:f>
        <x:v>378.58075801465225</x:v>
      </x:c>
      <x:c r="I1506" s="27" t="n">
        <x:f>IF(AND(ISNUMBER(G1506),ISNUMBER(H1506),H1506&gt;0),G1506/H1506-1,"")</x:f>
        <x:v>-0.024309370706743327</x:v>
      </x:c>
      <x:c r="J1506" s="27" t="n">
        <x:f>IF(AND(ISNUMBER(G1506),F1506&gt;0),G1506/F1506-1,"")</x:f>
        <x:v>0</x:v>
      </x:c>
      <x:c r="K1506" s="19" t="str">
        <x:v>Exp_5/EXP049/results/seed280737676_BBP.json</x:v>
      </x:c>
    </x:row>
    <x:row r="1507" ht="15" hidden="0" customHeight="1">
      <x:c r="A1507" s="3" t="str">
        <x:v>EXP049</x:v>
      </x:c>
      <x:c r="B1507" s="3" t="str">
        <x:v>Exp. 5</x:v>
      </x:c>
      <x:c r="C1507" s="18" t="n">
        <x:v>280737676</x:v>
      </x:c>
      <x:c r="D1507" s="3" t="str">
        <x:v>Relative cutoff 1e-5</x:v>
      </x:c>
      <x:c r="E1507" s="18" t="n">
        <x:v>200</x:v>
      </x:c>
      <x:c r="F1507" s="21" t="n">
        <x:v>378.58075801465225</x:v>
      </x:c>
      <x:c r="G1507" s="21" t="n">
        <x:f>F1506</x:f>
        <x:v>369.3776980256342</x:v>
      </x:c>
      <x:c r="H1507" s="21" t="n">
        <x:f>F1512</x:f>
        <x:v>378.58075801465225</x:v>
      </x:c>
      <x:c r="I1507" s="27" t="n">
        <x:f>IF(AND(ISNUMBER(G1507),ISNUMBER(H1507),H1507&gt;0),G1507/H1507-1,"")</x:f>
        <x:v>-0.024309370706743327</x:v>
      </x:c>
      <x:c r="J1507" s="27" t="n">
        <x:f>IF(AND(ISNUMBER(G1507),F1507&gt;0),G1507/F1507-1,"")</x:f>
        <x:v>-0.024309370706743327</x:v>
      </x:c>
      <x:c r="K1507" s="19" t="str">
        <x:v>Exp_5/EXP049/results/seed280737676_Relative_cutoff_1e-5.json</x:v>
      </x:c>
    </x:row>
    <x:row r="1508" ht="15" hidden="0" customHeight="1">
      <x:c r="A1508" s="3" t="str">
        <x:v>EXP049</x:v>
      </x:c>
      <x:c r="B1508" s="3" t="str">
        <x:v>Exp. 5</x:v>
      </x:c>
      <x:c r="C1508" s="18" t="n">
        <x:v>280737676</x:v>
      </x:c>
      <x:c r="D1508" s="3" t="str">
        <x:v>NN-AGP (m=7)</x:v>
      </x:c>
      <x:c r="E1508" s="18" t="n">
        <x:v>200</x:v>
      </x:c>
      <x:c r="F1508" s="21" t="n">
        <x:v>129.03363124203122</x:v>
      </x:c>
      <x:c r="G1508" s="21" t="n">
        <x:f>F1506</x:f>
        <x:v>369.3776980256342</x:v>
      </x:c>
      <x:c r="H1508" s="21" t="n">
        <x:f>F1512</x:f>
        <x:v>378.58075801465225</x:v>
      </x:c>
      <x:c r="I1508" s="27" t="n">
        <x:f>IF(AND(ISNUMBER(G1508),ISNUMBER(H1508),H1508&gt;0),G1508/H1508-1,"")</x:f>
        <x:v>-0.024309370706743327</x:v>
      </x:c>
      <x:c r="J1508" s="27" t="n">
        <x:f>IF(AND(ISNUMBER(G1508),F1508&gt;0),G1508/F1508-1,"")</x:f>
        <x:v>1.8626466950525815</x:v>
      </x:c>
      <x:c r="K1508" s="19" t="str">
        <x:v>Exp_5/EXP049/results/seed280737676_NN-AGP_m_7.json</x:v>
      </x:c>
    </x:row>
    <x:row r="1509" ht="15" hidden="0" customHeight="1">
      <x:c r="A1509" s="3" t="str">
        <x:v>EXP049</x:v>
      </x:c>
      <x:c r="B1509" s="3" t="str">
        <x:v>Exp. 5</x:v>
      </x:c>
      <x:c r="C1509" s="18" t="n">
        <x:v>280737676</x:v>
      </x:c>
      <x:c r="D1509" s="3" t="str">
        <x:v>Fixed rank 10</x:v>
      </x:c>
      <x:c r="E1509" s="18" t="n">
        <x:v>200</x:v>
      </x:c>
      <x:c r="F1509" s="21" t="n">
        <x:v>369.3776980256342</x:v>
      </x:c>
      <x:c r="G1509" s="21" t="n">
        <x:f>F1506</x:f>
        <x:v>369.3776980256342</x:v>
      </x:c>
      <x:c r="H1509" s="21" t="n">
        <x:f>F1512</x:f>
        <x:v>378.58075801465225</x:v>
      </x:c>
      <x:c r="I1509" s="27" t="n">
        <x:f>IF(AND(ISNUMBER(G1509),ISNUMBER(H1509),H1509&gt;0),G1509/H1509-1,"")</x:f>
        <x:v>-0.024309370706743327</x:v>
      </x:c>
      <x:c r="J1509" s="27" t="n">
        <x:f>IF(AND(ISNUMBER(G1509),F1509&gt;0),G1509/F1509-1,"")</x:f>
        <x:v>0</x:v>
      </x:c>
      <x:c r="K1509" s="19" t="str">
        <x:v>Exp_5/EXP049/results/seed280737676_Fixed_rank_10.json</x:v>
      </x:c>
    </x:row>
    <x:row r="1510" ht="15" hidden="0" customHeight="1">
      <x:c r="A1510" s="3" t="str">
        <x:v>EXP049</x:v>
      </x:c>
      <x:c r="B1510" s="3" t="str">
        <x:v>Exp. 5</x:v>
      </x:c>
      <x:c r="C1510" s="18" t="n">
        <x:v>280737676</x:v>
      </x:c>
      <x:c r="D1510" s="3" t="str">
        <x:v>Fixed rank 25</x:v>
      </x:c>
      <x:c r="E1510" s="18" t="n">
        <x:v>200</x:v>
      </x:c>
      <x:c r="F1510" s="21" t="n">
        <x:v>369.3776980256342</x:v>
      </x:c>
      <x:c r="G1510" s="21" t="n">
        <x:f>F1506</x:f>
        <x:v>369.3776980256342</x:v>
      </x:c>
      <x:c r="H1510" s="21" t="n">
        <x:f>F1512</x:f>
        <x:v>378.58075801465225</x:v>
      </x:c>
      <x:c r="I1510" s="27" t="n">
        <x:f>IF(AND(ISNUMBER(G1510),ISNUMBER(H1510),H1510&gt;0),G1510/H1510-1,"")</x:f>
        <x:v>-0.024309370706743327</x:v>
      </x:c>
      <x:c r="J1510" s="27" t="n">
        <x:f>IF(AND(ISNUMBER(G1510),F1510&gt;0),G1510/F1510-1,"")</x:f>
        <x:v>0</x:v>
      </x:c>
      <x:c r="K1510" s="19" t="str">
        <x:v>Exp_5/EXP049/results/seed280737676_Fixed_rank_25.json</x:v>
      </x:c>
    </x:row>
    <x:row r="1511" ht="15" hidden="0" customHeight="1">
      <x:c r="A1511" s="3" t="str">
        <x:v>EXP049</x:v>
      </x:c>
      <x:c r="B1511" s="3" t="str">
        <x:v>Exp. 5</x:v>
      </x:c>
      <x:c r="C1511" s="18" t="n">
        <x:v>280737676</x:v>
      </x:c>
      <x:c r="D1511" s="3" t="str">
        <x:v>Relative cutoff 1e-6</x:v>
      </x:c>
      <x:c r="E1511" s="18" t="n">
        <x:v>200</x:v>
      </x:c>
      <x:c r="F1511" s="21" t="n">
        <x:v>378.58075801465225</x:v>
      </x:c>
      <x:c r="G1511" s="21" t="n">
        <x:f>F1506</x:f>
        <x:v>369.3776980256342</x:v>
      </x:c>
      <x:c r="H1511" s="21" t="n">
        <x:f>F1512</x:f>
        <x:v>378.58075801465225</x:v>
      </x:c>
      <x:c r="I1511" s="27" t="n">
        <x:f>IF(AND(ISNUMBER(G1511),ISNUMBER(H1511),H1511&gt;0),G1511/H1511-1,"")</x:f>
        <x:v>-0.024309370706743327</x:v>
      </x:c>
      <x:c r="J1511" s="27" t="n">
        <x:f>IF(AND(ISNUMBER(G1511),F1511&gt;0),G1511/F1511-1,"")</x:f>
        <x:v>-0.024309370706743327</x:v>
      </x:c>
      <x:c r="K1511" s="19" t="str">
        <x:v>Exp_5/EXP049/results/seed280737676_Relative_cutoff_1e-6.json</x:v>
      </x:c>
    </x:row>
    <x:row r="1512" ht="15" hidden="0" customHeight="1">
      <x:c r="A1512" s="3" t="str">
        <x:v>EXP049</x:v>
      </x:c>
      <x:c r="B1512" s="3" t="str">
        <x:v>Exp. 5</x:v>
      </x:c>
      <x:c r="C1512" s="18" t="n">
        <x:v>280737676</x:v>
      </x:c>
      <x:c r="D1512" s="3" t="str">
        <x:v>Full</x:v>
      </x:c>
      <x:c r="E1512" s="18" t="n">
        <x:v>200</x:v>
      </x:c>
      <x:c r="F1512" s="21" t="n">
        <x:v>378.58075801465225</x:v>
      </x:c>
      <x:c r="G1512" s="21" t="n">
        <x:f>F1506</x:f>
        <x:v>369.3776980256342</x:v>
      </x:c>
      <x:c r="H1512" s="21" t="n">
        <x:f>F1512</x:f>
        <x:v>378.58075801465225</x:v>
      </x:c>
      <x:c r="I1512" s="27" t="n">
        <x:f>IF(AND(ISNUMBER(G1512),ISNUMBER(H1512),H1512&gt;0),G1512/H1512-1,"")</x:f>
        <x:v>-0.024309370706743327</x:v>
      </x:c>
      <x:c r="J1512" s="27" t="n">
        <x:f>IF(AND(ISNUMBER(G1512),F1512&gt;0),G1512/F1512-1,"")</x:f>
        <x:v>-0.024309370706743327</x:v>
      </x:c>
      <x:c r="K1512" s="19" t="str">
        <x:v>Exp_5/EXP049/results/seed280737676_Full.json</x:v>
      </x:c>
    </x:row>
    <x:row r="1513" ht="15" hidden="0" customHeight="1">
      <x:c r="A1513" s="3" t="str">
        <x:v>EXP049</x:v>
      </x:c>
      <x:c r="B1513" s="3" t="str">
        <x:v>Exp. 5</x:v>
      </x:c>
      <x:c r="C1513" s="18" t="n">
        <x:v>280737676</x:v>
      </x:c>
      <x:c r="D1513" s="3" t="str">
        <x:v>GP-UCB (weighted sum)</x:v>
      </x:c>
      <x:c r="E1513" s="18" t="n">
        <x:v>200</x:v>
      </x:c>
      <x:c r="F1513" s="21" t="n">
        <x:v>439.61822884120136</x:v>
      </x:c>
      <x:c r="G1513" s="21" t="n">
        <x:f>F1506</x:f>
        <x:v>369.3776980256342</x:v>
      </x:c>
      <x:c r="H1513" s="21" t="n">
        <x:f>F1512</x:f>
        <x:v>378.58075801465225</x:v>
      </x:c>
      <x:c r="I1513" s="27" t="n">
        <x:f>IF(AND(ISNUMBER(G1513),ISNUMBER(H1513),H1513&gt;0),G1513/H1513-1,"")</x:f>
        <x:v>-0.024309370706743327</x:v>
      </x:c>
      <x:c r="J1513" s="27" t="n">
        <x:f>IF(AND(ISNUMBER(G1513),F1513&gt;0),G1513/F1513-1,"")</x:f>
        <x:v>-0.15977620173011398</x:v>
      </x:c>
      <x:c r="K1513" s="19" t="str">
        <x:v>Exp_5/EXP049/results/seed280737676_GP-UCB_weighted_sum.json</x:v>
      </x:c>
    </x:row>
    <x:row r="1514" ht="15" hidden="0" customHeight="1">
      <x:c r="A1514" s="3" t="str">
        <x:v>EXP049</x:v>
      </x:c>
      <x:c r="B1514" s="3" t="str">
        <x:v>Exp. 5</x:v>
      </x:c>
      <x:c r="C1514" s="18" t="n">
        <x:v>280737676</x:v>
      </x:c>
      <x:c r="D1514" s="3" t="str">
        <x:v>GP-UCB (product)</x:v>
      </x:c>
      <x:c r="E1514" s="18" t="n">
        <x:v>200</x:v>
      </x:c>
      <x:c r="F1514" s="21" t="n">
        <x:v>314.2411541933448</x:v>
      </x:c>
      <x:c r="G1514" s="21" t="n">
        <x:f>F1506</x:f>
        <x:v>369.3776980256342</x:v>
      </x:c>
      <x:c r="H1514" s="21" t="n">
        <x:f>F1512</x:f>
        <x:v>378.58075801465225</x:v>
      </x:c>
      <x:c r="I1514" s="27" t="n">
        <x:f>IF(AND(ISNUMBER(G1514),ISNUMBER(H1514),H1514&gt;0),G1514/H1514-1,"")</x:f>
        <x:v>-0.024309370706743327</x:v>
      </x:c>
      <x:c r="J1514" s="27" t="n">
        <x:f>IF(AND(ISNUMBER(G1514),F1514&gt;0),G1514/F1514-1,"")</x:f>
        <x:v>0.17545933464324404</x:v>
      </x:c>
      <x:c r="K1514" s="19" t="str">
        <x:v>Exp_5/EXP049/results/seed280737676_GP-UCB_product.json</x:v>
      </x:c>
    </x:row>
    <x:row r="1515" ht="15" hidden="0" customHeight="1">
      <x:c r="A1515" s="3" t="str">
        <x:v>EXP049</x:v>
      </x:c>
      <x:c r="B1515" s="3" t="str">
        <x:v>Exp. 5</x:v>
      </x:c>
      <x:c r="C1515" s="18" t="n">
        <x:v>280737676</x:v>
      </x:c>
      <x:c r="D1515" s="3" t="str">
        <x:v>NeuralUCB</x:v>
      </x:c>
      <x:c r="E1515" s="18" t="n">
        <x:v>200</x:v>
      </x:c>
      <x:c r="F1515" s="21" t="n">
        <x:v>573.3424896853021</x:v>
      </x:c>
      <x:c r="G1515" s="21" t="n">
        <x:f>F1506</x:f>
        <x:v>369.3776980256342</x:v>
      </x:c>
      <x:c r="H1515" s="21" t="n">
        <x:f>F1512</x:f>
        <x:v>378.58075801465225</x:v>
      </x:c>
      <x:c r="I1515" s="27" t="n">
        <x:f>IF(AND(ISNUMBER(G1515),ISNUMBER(H1515),H1515&gt;0),G1515/H1515-1,"")</x:f>
        <x:v>-0.024309370706743327</x:v>
      </x:c>
      <x:c r="J1515" s="27" t="n">
        <x:f>IF(AND(ISNUMBER(G1515),F1515&gt;0),G1515/F1515-1,"")</x:f>
        <x:v>-0.3557468621793942</x:v>
      </x:c>
      <x:c r="K1515" s="19" t="str">
        <x:v>Exp_5/EXP049/results/seed280737676_NeuralUCB.json</x:v>
      </x:c>
    </x:row>
    <x:row r="1516" ht="15" hidden="0" customHeight="1">
      <x:c r="A1516" s="3" t="str">
        <x:v>EXP049</x:v>
      </x:c>
      <x:c r="B1516" s="3" t="str">
        <x:v>Exp. 5</x:v>
      </x:c>
      <x:c r="C1516" s="18" t="n">
        <x:v>280737676</x:v>
      </x:c>
      <x:c r="D1516" s="3" t="str">
        <x:v>NN-UCB</x:v>
      </x:c>
      <x:c r="E1516" s="18" t="n">
        <x:v>200</x:v>
      </x:c>
      <x:c r="F1516" s="21" t="n">
        <x:v>542.6889012462478</x:v>
      </x:c>
      <x:c r="G1516" s="21" t="n">
        <x:f>F1506</x:f>
        <x:v>369.3776980256342</x:v>
      </x:c>
      <x:c r="H1516" s="21" t="n">
        <x:f>F1512</x:f>
        <x:v>378.58075801465225</x:v>
      </x:c>
      <x:c r="I1516" s="27" t="n">
        <x:f>IF(AND(ISNUMBER(G1516),ISNUMBER(H1516),H1516&gt;0),G1516/H1516-1,"")</x:f>
        <x:v>-0.024309370706743327</x:v>
      </x:c>
      <x:c r="J1516" s="27" t="n">
        <x:f>IF(AND(ISNUMBER(G1516),F1516&gt;0),G1516/F1516-1,"")</x:f>
        <x:v>-0.3193564541722087</x:v>
      </x:c>
      <x:c r="K1516" s="19" t="str">
        <x:v>Exp_5/EXP049/results/seed280737676_NN-UCB.json</x:v>
      </x:c>
    </x:row>
    <x:row r="1517" ht="15" hidden="0" customHeight="1">
      <x:c r="A1517" s="3" t="str">
        <x:v>EXP049</x:v>
      </x:c>
      <x:c r="B1517" s="3" t="str">
        <x:v>Exp. 5</x:v>
      </x:c>
      <x:c r="C1517" s="18" t="n">
        <x:v>280737676</x:v>
      </x:c>
      <x:c r="D1517" s="3" t="str">
        <x:v>Relative cutoff 1e-2</x:v>
      </x:c>
      <x:c r="E1517" s="18" t="n">
        <x:v>200</x:v>
      </x:c>
      <x:c r="F1517" s="21" t="n">
        <x:v>368.31588161498877</x:v>
      </x:c>
      <x:c r="G1517" s="21" t="n">
        <x:f>F1506</x:f>
        <x:v>369.3776980256342</x:v>
      </x:c>
      <x:c r="H1517" s="21" t="n">
        <x:f>F1512</x:f>
        <x:v>378.58075801465225</x:v>
      </x:c>
      <x:c r="I1517" s="27" t="n">
        <x:f>IF(AND(ISNUMBER(G1517),ISNUMBER(H1517),H1517&gt;0),G1517/H1517-1,"")</x:f>
        <x:v>-0.024309370706743327</x:v>
      </x:c>
      <x:c r="J1517" s="27" t="n">
        <x:f>IF(AND(ISNUMBER(G1517),F1517&gt;0),G1517/F1517-1,"")</x:f>
        <x:v>0.002882896078196584</x:v>
      </x:c>
      <x:c r="K1517" s="19" t="str">
        <x:v>Exp_5/EXP049/results/seed280737676_Relative_cutoff_1e-2.json</x:v>
      </x:c>
    </x:row>
    <x:row r="1518" ht="15" hidden="0" customHeight="1">
      <x:c r="A1518" s="3" t="str">
        <x:v>EXP049</x:v>
      </x:c>
      <x:c r="B1518" s="3" t="str">
        <x:v>Exp. 5</x:v>
      </x:c>
      <x:c r="C1518" s="18" t="n">
        <x:v>280737676</x:v>
      </x:c>
      <x:c r="D1518" s="3" t="str">
        <x:v>Relative cutoff 1e-4</x:v>
      </x:c>
      <x:c r="E1518" s="18" t="n">
        <x:v>200</x:v>
      </x:c>
      <x:c r="F1518" s="21" t="n">
        <x:v>369.3776980256342</x:v>
      </x:c>
      <x:c r="G1518" s="21" t="n">
        <x:f>F1506</x:f>
        <x:v>369.3776980256342</x:v>
      </x:c>
      <x:c r="H1518" s="21" t="n">
        <x:f>F1512</x:f>
        <x:v>378.58075801465225</x:v>
      </x:c>
      <x:c r="I1518" s="27" t="n">
        <x:f>IF(AND(ISNUMBER(G1518),ISNUMBER(H1518),H1518&gt;0),G1518/H1518-1,"")</x:f>
        <x:v>-0.024309370706743327</x:v>
      </x:c>
      <x:c r="J1518" s="27" t="n">
        <x:f>IF(AND(ISNUMBER(G1518),F1518&gt;0),G1518/F1518-1,"")</x:f>
        <x:v>0</x:v>
      </x:c>
      <x:c r="K1518" s="19" t="str">
        <x:v>Exp_5/EXP049/results/seed280737676_Relative_cutoff_1e-4.json</x:v>
      </x:c>
    </x:row>
    <x:row r="1519" ht="15" hidden="0" customHeight="1">
      <x:c r="A1519" s="3" t="str">
        <x:v>EXP049</x:v>
      </x:c>
      <x:c r="B1519" s="3" t="str">
        <x:v>Exp. 5</x:v>
      </x:c>
      <x:c r="C1519" s="18" t="n">
        <x:v>304444453</x:v>
      </x:c>
      <x:c r="D1519" s="3" t="str">
        <x:v>BBP</x:v>
      </x:c>
      <x:c r="E1519" s="18" t="n">
        <x:v>200</x:v>
      </x:c>
      <x:c r="F1519" s="21" t="n">
        <x:v>224.91193444883308</x:v>
      </x:c>
      <x:c r="G1519" s="21" t="n">
        <x:f>F1519</x:f>
        <x:v>224.91193444883308</x:v>
      </x:c>
      <x:c r="H1519" s="21" t="n">
        <x:f>F1525</x:f>
        <x:v>224.91193444883308</x:v>
      </x:c>
      <x:c r="I1519" s="27" t="n">
        <x:f>IF(AND(ISNUMBER(G1519),ISNUMBER(H1519),H1519&gt;0),G1519/H1519-1,"")</x:f>
        <x:v>0</x:v>
      </x:c>
      <x:c r="J1519" s="27" t="n">
        <x:f>IF(AND(ISNUMBER(G1519),F1519&gt;0),G1519/F1519-1,"")</x:f>
        <x:v>0</x:v>
      </x:c>
      <x:c r="K1519" s="19" t="str">
        <x:v>Exp_5/EXP049/results/seed304444453_BBP.json</x:v>
      </x:c>
    </x:row>
    <x:row r="1520" ht="15" hidden="0" customHeight="1">
      <x:c r="A1520" s="3" t="str">
        <x:v>EXP049</x:v>
      </x:c>
      <x:c r="B1520" s="3" t="str">
        <x:v>Exp. 5</x:v>
      </x:c>
      <x:c r="C1520" s="18" t="n">
        <x:v>304444453</x:v>
      </x:c>
      <x:c r="D1520" s="3" t="str">
        <x:v>Relative cutoff 1e-5</x:v>
      </x:c>
      <x:c r="E1520" s="18" t="n">
        <x:v>200</x:v>
      </x:c>
      <x:c r="F1520" s="21" t="n">
        <x:v>224.91193444883308</x:v>
      </x:c>
      <x:c r="G1520" s="21" t="n">
        <x:f>F1519</x:f>
        <x:v>224.91193444883308</x:v>
      </x:c>
      <x:c r="H1520" s="21" t="n">
        <x:f>F1525</x:f>
        <x:v>224.91193444883308</x:v>
      </x:c>
      <x:c r="I1520" s="27" t="n">
        <x:f>IF(AND(ISNUMBER(G1520),ISNUMBER(H1520),H1520&gt;0),G1520/H1520-1,"")</x:f>
        <x:v>0</x:v>
      </x:c>
      <x:c r="J1520" s="27" t="n">
        <x:f>IF(AND(ISNUMBER(G1520),F1520&gt;0),G1520/F1520-1,"")</x:f>
        <x:v>0</x:v>
      </x:c>
      <x:c r="K1520" s="19" t="str">
        <x:v>Exp_5/EXP049/results/seed304444453_Relative_cutoff_1e-5.json</x:v>
      </x:c>
    </x:row>
    <x:row r="1521" ht="15" hidden="0" customHeight="1">
      <x:c r="A1521" s="3" t="str">
        <x:v>EXP049</x:v>
      </x:c>
      <x:c r="B1521" s="3" t="str">
        <x:v>Exp. 5</x:v>
      </x:c>
      <x:c r="C1521" s="18" t="n">
        <x:v>304444453</x:v>
      </x:c>
      <x:c r="D1521" s="3" t="str">
        <x:v>NN-AGP (m=7)</x:v>
      </x:c>
      <x:c r="E1521" s="18" t="n">
        <x:v>200</x:v>
      </x:c>
      <x:c r="F1521" s="21" t="n">
        <x:v>270.4549956906465</x:v>
      </x:c>
      <x:c r="G1521" s="21" t="n">
        <x:f>F1519</x:f>
        <x:v>224.91193444883308</x:v>
      </x:c>
      <x:c r="H1521" s="21" t="n">
        <x:f>F1525</x:f>
        <x:v>224.91193444883308</x:v>
      </x:c>
      <x:c r="I1521" s="27" t="n">
        <x:f>IF(AND(ISNUMBER(G1521),ISNUMBER(H1521),H1521&gt;0),G1521/H1521-1,"")</x:f>
        <x:v>0</x:v>
      </x:c>
      <x:c r="J1521" s="27" t="n">
        <x:f>IF(AND(ISNUMBER(G1521),F1521&gt;0),G1521/F1521-1,"")</x:f>
        <x:v>-0.16839423182223923</x:v>
      </x:c>
      <x:c r="K1521" s="19" t="str">
        <x:v>Exp_5/EXP049/results/seed304444453_NN-AGP_m_7.json</x:v>
      </x:c>
    </x:row>
    <x:row r="1522" ht="15" hidden="0" customHeight="1">
      <x:c r="A1522" s="3" t="str">
        <x:v>EXP049</x:v>
      </x:c>
      <x:c r="B1522" s="3" t="str">
        <x:v>Exp. 5</x:v>
      </x:c>
      <x:c r="C1522" s="18" t="n">
        <x:v>304444453</x:v>
      </x:c>
      <x:c r="D1522" s="3" t="str">
        <x:v>Fixed rank 10</x:v>
      </x:c>
      <x:c r="E1522" s="18" t="n">
        <x:v>200</x:v>
      </x:c>
      <x:c r="F1522" s="21" t="n">
        <x:v>224.2733937257256</x:v>
      </x:c>
      <x:c r="G1522" s="21" t="n">
        <x:f>F1519</x:f>
        <x:v>224.91193444883308</x:v>
      </x:c>
      <x:c r="H1522" s="21" t="n">
        <x:f>F1525</x:f>
        <x:v>224.91193444883308</x:v>
      </x:c>
      <x:c r="I1522" s="27" t="n">
        <x:f>IF(AND(ISNUMBER(G1522),ISNUMBER(H1522),H1522&gt;0),G1522/H1522-1,"")</x:f>
        <x:v>0</x:v>
      </x:c>
      <x:c r="J1522" s="27" t="n">
        <x:f>IF(AND(ISNUMBER(G1522),F1522&gt;0),G1522/F1522-1,"")</x:f>
        <x:v>0.0028471532556748613</x:v>
      </x:c>
      <x:c r="K1522" s="19" t="str">
        <x:v>Exp_5/EXP049/results/seed304444453_Fixed_rank_10.json</x:v>
      </x:c>
    </x:row>
    <x:row r="1523" ht="15" hidden="0" customHeight="1">
      <x:c r="A1523" s="3" t="str">
        <x:v>EXP049</x:v>
      </x:c>
      <x:c r="B1523" s="3" t="str">
        <x:v>Exp. 5</x:v>
      </x:c>
      <x:c r="C1523" s="18" t="n">
        <x:v>304444453</x:v>
      </x:c>
      <x:c r="D1523" s="3" t="str">
        <x:v>Fixed rank 25</x:v>
      </x:c>
      <x:c r="E1523" s="18" t="n">
        <x:v>200</x:v>
      </x:c>
      <x:c r="F1523" s="21" t="n">
        <x:v>224.91193444883308</x:v>
      </x:c>
      <x:c r="G1523" s="21" t="n">
        <x:f>F1519</x:f>
        <x:v>224.91193444883308</x:v>
      </x:c>
      <x:c r="H1523" s="21" t="n">
        <x:f>F1525</x:f>
        <x:v>224.91193444883308</x:v>
      </x:c>
      <x:c r="I1523" s="27" t="n">
        <x:f>IF(AND(ISNUMBER(G1523),ISNUMBER(H1523),H1523&gt;0),G1523/H1523-1,"")</x:f>
        <x:v>0</x:v>
      </x:c>
      <x:c r="J1523" s="27" t="n">
        <x:f>IF(AND(ISNUMBER(G1523),F1523&gt;0),G1523/F1523-1,"")</x:f>
        <x:v>0</x:v>
      </x:c>
      <x:c r="K1523" s="19" t="str">
        <x:v>Exp_5/EXP049/results/seed304444453_Fixed_rank_25.json</x:v>
      </x:c>
    </x:row>
    <x:row r="1524" ht="15" hidden="0" customHeight="1">
      <x:c r="A1524" s="3" t="str">
        <x:v>EXP049</x:v>
      </x:c>
      <x:c r="B1524" s="3" t="str">
        <x:v>Exp. 5</x:v>
      </x:c>
      <x:c r="C1524" s="18" t="n">
        <x:v>304444453</x:v>
      </x:c>
      <x:c r="D1524" s="3" t="str">
        <x:v>Relative cutoff 1e-6</x:v>
      </x:c>
      <x:c r="E1524" s="18" t="n">
        <x:v>200</x:v>
      </x:c>
      <x:c r="F1524" s="21" t="n">
        <x:v>224.91193444883308</x:v>
      </x:c>
      <x:c r="G1524" s="21" t="n">
        <x:f>F1519</x:f>
        <x:v>224.91193444883308</x:v>
      </x:c>
      <x:c r="H1524" s="21" t="n">
        <x:f>F1525</x:f>
        <x:v>224.91193444883308</x:v>
      </x:c>
      <x:c r="I1524" s="27" t="n">
        <x:f>IF(AND(ISNUMBER(G1524),ISNUMBER(H1524),H1524&gt;0),G1524/H1524-1,"")</x:f>
        <x:v>0</x:v>
      </x:c>
      <x:c r="J1524" s="27" t="n">
        <x:f>IF(AND(ISNUMBER(G1524),F1524&gt;0),G1524/F1524-1,"")</x:f>
        <x:v>0</x:v>
      </x:c>
      <x:c r="K1524" s="19" t="str">
        <x:v>Exp_5/EXP049/results/seed304444453_Relative_cutoff_1e-6.json</x:v>
      </x:c>
    </x:row>
    <x:row r="1525" ht="15" hidden="0" customHeight="1">
      <x:c r="A1525" s="3" t="str">
        <x:v>EXP049</x:v>
      </x:c>
      <x:c r="B1525" s="3" t="str">
        <x:v>Exp. 5</x:v>
      </x:c>
      <x:c r="C1525" s="18" t="n">
        <x:v>304444453</x:v>
      </x:c>
      <x:c r="D1525" s="3" t="str">
        <x:v>Full</x:v>
      </x:c>
      <x:c r="E1525" s="18" t="n">
        <x:v>200</x:v>
      </x:c>
      <x:c r="F1525" s="21" t="n">
        <x:v>224.91193444883308</x:v>
      </x:c>
      <x:c r="G1525" s="21" t="n">
        <x:f>F1519</x:f>
        <x:v>224.91193444883308</x:v>
      </x:c>
      <x:c r="H1525" s="21" t="n">
        <x:f>F1525</x:f>
        <x:v>224.91193444883308</x:v>
      </x:c>
      <x:c r="I1525" s="27" t="n">
        <x:f>IF(AND(ISNUMBER(G1525),ISNUMBER(H1525),H1525&gt;0),G1525/H1525-1,"")</x:f>
        <x:v>0</x:v>
      </x:c>
      <x:c r="J1525" s="27" t="n">
        <x:f>IF(AND(ISNUMBER(G1525),F1525&gt;0),G1525/F1525-1,"")</x:f>
        <x:v>0</x:v>
      </x:c>
      <x:c r="K1525" s="19" t="str">
        <x:v>Exp_5/EXP049/results/seed304444453_Full.json</x:v>
      </x:c>
    </x:row>
    <x:row r="1526" ht="15" hidden="0" customHeight="1">
      <x:c r="A1526" s="3" t="str">
        <x:v>EXP049</x:v>
      </x:c>
      <x:c r="B1526" s="3" t="str">
        <x:v>Exp. 5</x:v>
      </x:c>
      <x:c r="C1526" s="18" t="n">
        <x:v>304444453</x:v>
      </x:c>
      <x:c r="D1526" s="3" t="str">
        <x:v>GP-UCB (weighted sum)</x:v>
      </x:c>
      <x:c r="E1526" s="18" t="n">
        <x:v>200</x:v>
      </x:c>
      <x:c r="F1526" s="21" t="n">
        <x:v>407.9541422376379</x:v>
      </x:c>
      <x:c r="G1526" s="21" t="n">
        <x:f>F1519</x:f>
        <x:v>224.91193444883308</x:v>
      </x:c>
      <x:c r="H1526" s="21" t="n">
        <x:f>F1525</x:f>
        <x:v>224.91193444883308</x:v>
      </x:c>
      <x:c r="I1526" s="27" t="n">
        <x:f>IF(AND(ISNUMBER(G1526),ISNUMBER(H1526),H1526&gt;0),G1526/H1526-1,"")</x:f>
        <x:v>0</x:v>
      </x:c>
      <x:c r="J1526" s="27" t="n">
        <x:f>IF(AND(ISNUMBER(G1526),F1526&gt;0),G1526/F1526-1,"")</x:f>
        <x:v>-0.448683292648566</x:v>
      </x:c>
      <x:c r="K1526" s="19" t="str">
        <x:v>Exp_5/EXP049/results/seed304444453_GP-UCB_weighted_sum.json</x:v>
      </x:c>
    </x:row>
    <x:row r="1527" ht="15" hidden="0" customHeight="1">
      <x:c r="A1527" s="3" t="str">
        <x:v>EXP049</x:v>
      </x:c>
      <x:c r="B1527" s="3" t="str">
        <x:v>Exp. 5</x:v>
      </x:c>
      <x:c r="C1527" s="18" t="n">
        <x:v>304444453</x:v>
      </x:c>
      <x:c r="D1527" s="3" t="str">
        <x:v>GP-UCB (product)</x:v>
      </x:c>
      <x:c r="E1527" s="18" t="n">
        <x:v>200</x:v>
      </x:c>
      <x:c r="F1527" s="21" t="n">
        <x:v>291.71436552587096</x:v>
      </x:c>
      <x:c r="G1527" s="21" t="n">
        <x:f>F1519</x:f>
        <x:v>224.91193444883308</x:v>
      </x:c>
      <x:c r="H1527" s="21" t="n">
        <x:f>F1525</x:f>
        <x:v>224.91193444883308</x:v>
      </x:c>
      <x:c r="I1527" s="27" t="n">
        <x:f>IF(AND(ISNUMBER(G1527),ISNUMBER(H1527),H1527&gt;0),G1527/H1527-1,"")</x:f>
        <x:v>0</x:v>
      </x:c>
      <x:c r="J1527" s="27" t="n">
        <x:f>IF(AND(ISNUMBER(G1527),F1527&gt;0),G1527/F1527-1,"")</x:f>
        <x:v>-0.22899945622017526</x:v>
      </x:c>
      <x:c r="K1527" s="19" t="str">
        <x:v>Exp_5/EXP049/results/seed304444453_GP-UCB_product.json</x:v>
      </x:c>
    </x:row>
    <x:row r="1528" ht="15" hidden="0" customHeight="1">
      <x:c r="A1528" s="3" t="str">
        <x:v>EXP049</x:v>
      </x:c>
      <x:c r="B1528" s="3" t="str">
        <x:v>Exp. 5</x:v>
      </x:c>
      <x:c r="C1528" s="18" t="n">
        <x:v>304444453</x:v>
      </x:c>
      <x:c r="D1528" s="3" t="str">
        <x:v>NeuralUCB</x:v>
      </x:c>
      <x:c r="E1528" s="18" t="n">
        <x:v>200</x:v>
      </x:c>
      <x:c r="F1528" s="21" t="n">
        <x:v>492.6870337664483</x:v>
      </x:c>
      <x:c r="G1528" s="21" t="n">
        <x:f>F1519</x:f>
        <x:v>224.91193444883308</x:v>
      </x:c>
      <x:c r="H1528" s="21" t="n">
        <x:f>F1525</x:f>
        <x:v>224.91193444883308</x:v>
      </x:c>
      <x:c r="I1528" s="27" t="n">
        <x:f>IF(AND(ISNUMBER(G1528),ISNUMBER(H1528),H1528&gt;0),G1528/H1528-1,"")</x:f>
        <x:v>0</x:v>
      </x:c>
      <x:c r="J1528" s="27" t="n">
        <x:f>IF(AND(ISNUMBER(G1528),F1528&gt;0),G1528/F1528-1,"")</x:f>
        <x:v>-0.5434993839203619</x:v>
      </x:c>
      <x:c r="K1528" s="19" t="str">
        <x:v>Exp_5/EXP049/results/seed304444453_NeuralUCB.json</x:v>
      </x:c>
    </x:row>
    <x:row r="1529" ht="15" hidden="0" customHeight="1">
      <x:c r="A1529" s="3" t="str">
        <x:v>EXP049</x:v>
      </x:c>
      <x:c r="B1529" s="3" t="str">
        <x:v>Exp. 5</x:v>
      </x:c>
      <x:c r="C1529" s="18" t="n">
        <x:v>304444453</x:v>
      </x:c>
      <x:c r="D1529" s="3" t="str">
        <x:v>NN-UCB</x:v>
      </x:c>
      <x:c r="E1529" s="18" t="n">
        <x:v>200</x:v>
      </x:c>
      <x:c r="F1529" s="21" t="n">
        <x:v>484.236096441363</x:v>
      </x:c>
      <x:c r="G1529" s="21" t="n">
        <x:f>F1519</x:f>
        <x:v>224.91193444883308</x:v>
      </x:c>
      <x:c r="H1529" s="21" t="n">
        <x:f>F1525</x:f>
        <x:v>224.91193444883308</x:v>
      </x:c>
      <x:c r="I1529" s="27" t="n">
        <x:f>IF(AND(ISNUMBER(G1529),ISNUMBER(H1529),H1529&gt;0),G1529/H1529-1,"")</x:f>
        <x:v>0</x:v>
      </x:c>
      <x:c r="J1529" s="27" t="n">
        <x:f>IF(AND(ISNUMBER(G1529),F1529&gt;0),G1529/F1529-1,"")</x:f>
        <x:v>-0.5355324890033925</x:v>
      </x:c>
      <x:c r="K1529" s="19" t="str">
        <x:v>Exp_5/EXP049/results/seed304444453_NN-UCB.json</x:v>
      </x:c>
    </x:row>
    <x:row r="1530" ht="15" hidden="0" customHeight="1">
      <x:c r="A1530" s="3" t="str">
        <x:v>EXP049</x:v>
      </x:c>
      <x:c r="B1530" s="3" t="str">
        <x:v>Exp. 5</x:v>
      </x:c>
      <x:c r="C1530" s="18" t="n">
        <x:v>304444453</x:v>
      </x:c>
      <x:c r="D1530" s="3" t="str">
        <x:v>Relative cutoff 1e-2</x:v>
      </x:c>
      <x:c r="E1530" s="18" t="n">
        <x:v>200</x:v>
      </x:c>
      <x:c r="F1530" s="21" t="n">
        <x:v>212.8317142430384</x:v>
      </x:c>
      <x:c r="G1530" s="21" t="n">
        <x:f>F1519</x:f>
        <x:v>224.91193444883308</x:v>
      </x:c>
      <x:c r="H1530" s="21" t="n">
        <x:f>F1525</x:f>
        <x:v>224.91193444883308</x:v>
      </x:c>
      <x:c r="I1530" s="27" t="n">
        <x:f>IF(AND(ISNUMBER(G1530),ISNUMBER(H1530),H1530&gt;0),G1530/H1530-1,"")</x:f>
        <x:v>0</x:v>
      </x:c>
      <x:c r="J1530" s="27" t="n">
        <x:f>IF(AND(ISNUMBER(G1530),F1530&gt;0),G1530/F1530-1,"")</x:f>
        <x:v>0.056759493051867116</x:v>
      </x:c>
      <x:c r="K1530" s="19" t="str">
        <x:v>Exp_5/EXP049/results/seed304444453_Relative_cutoff_1e-2.json</x:v>
      </x:c>
    </x:row>
    <x:row r="1531" ht="15" hidden="0" customHeight="1">
      <x:c r="A1531" s="3" t="str">
        <x:v>EXP049</x:v>
      </x:c>
      <x:c r="B1531" s="3" t="str">
        <x:v>Exp. 5</x:v>
      </x:c>
      <x:c r="C1531" s="18" t="n">
        <x:v>304444453</x:v>
      </x:c>
      <x:c r="D1531" s="3" t="str">
        <x:v>Relative cutoff 1e-4</x:v>
      </x:c>
      <x:c r="E1531" s="18" t="n">
        <x:v>200</x:v>
      </x:c>
      <x:c r="F1531" s="21" t="n">
        <x:v>224.2733937257256</x:v>
      </x:c>
      <x:c r="G1531" s="21" t="n">
        <x:f>F1519</x:f>
        <x:v>224.91193444883308</x:v>
      </x:c>
      <x:c r="H1531" s="21" t="n">
        <x:f>F1525</x:f>
        <x:v>224.91193444883308</x:v>
      </x:c>
      <x:c r="I1531" s="27" t="n">
        <x:f>IF(AND(ISNUMBER(G1531),ISNUMBER(H1531),H1531&gt;0),G1531/H1531-1,"")</x:f>
        <x:v>0</x:v>
      </x:c>
      <x:c r="J1531" s="27" t="n">
        <x:f>IF(AND(ISNUMBER(G1531),F1531&gt;0),G1531/F1531-1,"")</x:f>
        <x:v>0.0028471532556748613</x:v>
      </x:c>
      <x:c r="K1531" s="19" t="str">
        <x:v>Exp_5/EXP049/results/seed304444453_Relative_cutoff_1e-4.json</x:v>
      </x:c>
    </x:row>
    <x:row r="1532" ht="15" hidden="0" customHeight="1">
      <x:c r="A1532" s="3" t="str">
        <x:v>EXP049</x:v>
      </x:c>
      <x:c r="B1532" s="3" t="str">
        <x:v>Exp. 5</x:v>
      </x:c>
      <x:c r="C1532" s="18" t="n">
        <x:v>319922324</x:v>
      </x:c>
      <x:c r="D1532" s="3" t="str">
        <x:v>BBP</x:v>
      </x:c>
      <x:c r="E1532" s="18" t="n">
        <x:v>200</x:v>
      </x:c>
      <x:c r="F1532" s="21" t="n">
        <x:v>292.65239440875365</x:v>
      </x:c>
      <x:c r="G1532" s="21" t="n">
        <x:f>F1532</x:f>
        <x:v>292.65239440875365</x:v>
      </x:c>
      <x:c r="H1532" s="21" t="n">
        <x:f>F1538</x:f>
        <x:v>292.65239440875365</x:v>
      </x:c>
      <x:c r="I1532" s="27" t="n">
        <x:f>IF(AND(ISNUMBER(G1532),ISNUMBER(H1532),H1532&gt;0),G1532/H1532-1,"")</x:f>
        <x:v>0</x:v>
      </x:c>
      <x:c r="J1532" s="27" t="n">
        <x:f>IF(AND(ISNUMBER(G1532),F1532&gt;0),G1532/F1532-1,"")</x:f>
        <x:v>0</x:v>
      </x:c>
      <x:c r="K1532" s="19" t="str">
        <x:v>Exp_5/EXP049/results/seed319922324_BBP.json</x:v>
      </x:c>
    </x:row>
    <x:row r="1533" ht="15" hidden="0" customHeight="1">
      <x:c r="A1533" s="3" t="str">
        <x:v>EXP049</x:v>
      </x:c>
      <x:c r="B1533" s="3" t="str">
        <x:v>Exp. 5</x:v>
      </x:c>
      <x:c r="C1533" s="18" t="n">
        <x:v>319922324</x:v>
      </x:c>
      <x:c r="D1533" s="3" t="str">
        <x:v>Relative cutoff 1e-5</x:v>
      </x:c>
      <x:c r="E1533" s="18" t="n">
        <x:v>200</x:v>
      </x:c>
      <x:c r="F1533" s="21" t="n">
        <x:v>292.65239440875365</x:v>
      </x:c>
      <x:c r="G1533" s="21" t="n">
        <x:f>F1532</x:f>
        <x:v>292.65239440875365</x:v>
      </x:c>
      <x:c r="H1533" s="21" t="n">
        <x:f>F1538</x:f>
        <x:v>292.65239440875365</x:v>
      </x:c>
      <x:c r="I1533" s="27" t="n">
        <x:f>IF(AND(ISNUMBER(G1533),ISNUMBER(H1533),H1533&gt;0),G1533/H1533-1,"")</x:f>
        <x:v>0</x:v>
      </x:c>
      <x:c r="J1533" s="27" t="n">
        <x:f>IF(AND(ISNUMBER(G1533),F1533&gt;0),G1533/F1533-1,"")</x:f>
        <x:v>0</x:v>
      </x:c>
      <x:c r="K1533" s="19" t="str">
        <x:v>Exp_5/EXP049/results/seed319922324_Relative_cutoff_1e-5.json</x:v>
      </x:c>
    </x:row>
    <x:row r="1534" ht="15" hidden="0" customHeight="1">
      <x:c r="A1534" s="3" t="str">
        <x:v>EXP049</x:v>
      </x:c>
      <x:c r="B1534" s="3" t="str">
        <x:v>Exp. 5</x:v>
      </x:c>
      <x:c r="C1534" s="18" t="n">
        <x:v>319922324</x:v>
      </x:c>
      <x:c r="D1534" s="3" t="str">
        <x:v>NN-AGP (m=7)</x:v>
      </x:c>
      <x:c r="E1534" s="18" t="n">
        <x:v>200</x:v>
      </x:c>
      <x:c r="F1534" s="21" t="n">
        <x:v>372.4459723315881</x:v>
      </x:c>
      <x:c r="G1534" s="21" t="n">
        <x:f>F1532</x:f>
        <x:v>292.65239440875365</x:v>
      </x:c>
      <x:c r="H1534" s="21" t="n">
        <x:f>F1538</x:f>
        <x:v>292.65239440875365</x:v>
      </x:c>
      <x:c r="I1534" s="27" t="n">
        <x:f>IF(AND(ISNUMBER(G1534),ISNUMBER(H1534),H1534&gt;0),G1534/H1534-1,"")</x:f>
        <x:v>0</x:v>
      </x:c>
      <x:c r="J1534" s="27" t="n">
        <x:f>IF(AND(ISNUMBER(G1534),F1534&gt;0),G1534/F1534-1,"")</x:f>
        <x:v>-0.21424202126099068</x:v>
      </x:c>
      <x:c r="K1534" s="19" t="str">
        <x:v>Exp_5/EXP049/results/seed319922324_NN-AGP_m_7.json</x:v>
      </x:c>
    </x:row>
    <x:row r="1535" ht="15" hidden="0" customHeight="1">
      <x:c r="A1535" s="3" t="str">
        <x:v>EXP049</x:v>
      </x:c>
      <x:c r="B1535" s="3" t="str">
        <x:v>Exp. 5</x:v>
      </x:c>
      <x:c r="C1535" s="18" t="n">
        <x:v>319922324</x:v>
      </x:c>
      <x:c r="D1535" s="3" t="str">
        <x:v>Fixed rank 10</x:v>
      </x:c>
      <x:c r="E1535" s="18" t="n">
        <x:v>200</x:v>
      </x:c>
      <x:c r="F1535" s="21" t="n">
        <x:v>262.44346377330646</x:v>
      </x:c>
      <x:c r="G1535" s="21" t="n">
        <x:f>F1532</x:f>
        <x:v>292.65239440875365</x:v>
      </x:c>
      <x:c r="H1535" s="21" t="n">
        <x:f>F1538</x:f>
        <x:v>292.65239440875365</x:v>
      </x:c>
      <x:c r="I1535" s="27" t="n">
        <x:f>IF(AND(ISNUMBER(G1535),ISNUMBER(H1535),H1535&gt;0),G1535/H1535-1,"")</x:f>
        <x:v>0</x:v>
      </x:c>
      <x:c r="J1535" s="27" t="n">
        <x:f>IF(AND(ISNUMBER(G1535),F1535&gt;0),G1535/F1535-1,"")</x:f>
        <x:v>0.11510643169052615</x:v>
      </x:c>
      <x:c r="K1535" s="19" t="str">
        <x:v>Exp_5/EXP049/results/seed319922324_Fixed_rank_10.json</x:v>
      </x:c>
    </x:row>
    <x:row r="1536" ht="15" hidden="0" customHeight="1">
      <x:c r="A1536" s="3" t="str">
        <x:v>EXP049</x:v>
      </x:c>
      <x:c r="B1536" s="3" t="str">
        <x:v>Exp. 5</x:v>
      </x:c>
      <x:c r="C1536" s="18" t="n">
        <x:v>319922324</x:v>
      </x:c>
      <x:c r="D1536" s="3" t="str">
        <x:v>Fixed rank 25</x:v>
      </x:c>
      <x:c r="E1536" s="18" t="n">
        <x:v>200</x:v>
      </x:c>
      <x:c r="F1536" s="21" t="n">
        <x:v>292.65239440875365</x:v>
      </x:c>
      <x:c r="G1536" s="21" t="n">
        <x:f>F1532</x:f>
        <x:v>292.65239440875365</x:v>
      </x:c>
      <x:c r="H1536" s="21" t="n">
        <x:f>F1538</x:f>
        <x:v>292.65239440875365</x:v>
      </x:c>
      <x:c r="I1536" s="27" t="n">
        <x:f>IF(AND(ISNUMBER(G1536),ISNUMBER(H1536),H1536&gt;0),G1536/H1536-1,"")</x:f>
        <x:v>0</x:v>
      </x:c>
      <x:c r="J1536" s="27" t="n">
        <x:f>IF(AND(ISNUMBER(G1536),F1536&gt;0),G1536/F1536-1,"")</x:f>
        <x:v>0</x:v>
      </x:c>
      <x:c r="K1536" s="19" t="str">
        <x:v>Exp_5/EXP049/results/seed319922324_Fixed_rank_25.json</x:v>
      </x:c>
    </x:row>
    <x:row r="1537" ht="15" hidden="0" customHeight="1">
      <x:c r="A1537" s="3" t="str">
        <x:v>EXP049</x:v>
      </x:c>
      <x:c r="B1537" s="3" t="str">
        <x:v>Exp. 5</x:v>
      </x:c>
      <x:c r="C1537" s="18" t="n">
        <x:v>319922324</x:v>
      </x:c>
      <x:c r="D1537" s="3" t="str">
        <x:v>Relative cutoff 1e-6</x:v>
      </x:c>
      <x:c r="E1537" s="18" t="n">
        <x:v>200</x:v>
      </x:c>
      <x:c r="F1537" s="21" t="n">
        <x:v>292.65239440875365</x:v>
      </x:c>
      <x:c r="G1537" s="21" t="n">
        <x:f>F1532</x:f>
        <x:v>292.65239440875365</x:v>
      </x:c>
      <x:c r="H1537" s="21" t="n">
        <x:f>F1538</x:f>
        <x:v>292.65239440875365</x:v>
      </x:c>
      <x:c r="I1537" s="27" t="n">
        <x:f>IF(AND(ISNUMBER(G1537),ISNUMBER(H1537),H1537&gt;0),G1537/H1537-1,"")</x:f>
        <x:v>0</x:v>
      </x:c>
      <x:c r="J1537" s="27" t="n">
        <x:f>IF(AND(ISNUMBER(G1537),F1537&gt;0),G1537/F1537-1,"")</x:f>
        <x:v>0</x:v>
      </x:c>
      <x:c r="K1537" s="19" t="str">
        <x:v>Exp_5/EXP049/results/seed319922324_Relative_cutoff_1e-6.json</x:v>
      </x:c>
    </x:row>
    <x:row r="1538" ht="15" hidden="0" customHeight="1">
      <x:c r="A1538" s="3" t="str">
        <x:v>EXP049</x:v>
      </x:c>
      <x:c r="B1538" s="3" t="str">
        <x:v>Exp. 5</x:v>
      </x:c>
      <x:c r="C1538" s="18" t="n">
        <x:v>319922324</x:v>
      </x:c>
      <x:c r="D1538" s="3" t="str">
        <x:v>Full</x:v>
      </x:c>
      <x:c r="E1538" s="18" t="n">
        <x:v>200</x:v>
      </x:c>
      <x:c r="F1538" s="21" t="n">
        <x:v>292.65239440875365</x:v>
      </x:c>
      <x:c r="G1538" s="21" t="n">
        <x:f>F1532</x:f>
        <x:v>292.65239440875365</x:v>
      </x:c>
      <x:c r="H1538" s="21" t="n">
        <x:f>F1538</x:f>
        <x:v>292.65239440875365</x:v>
      </x:c>
      <x:c r="I1538" s="27" t="n">
        <x:f>IF(AND(ISNUMBER(G1538),ISNUMBER(H1538),H1538&gt;0),G1538/H1538-1,"")</x:f>
        <x:v>0</x:v>
      </x:c>
      <x:c r="J1538" s="27" t="n">
        <x:f>IF(AND(ISNUMBER(G1538),F1538&gt;0),G1538/F1538-1,"")</x:f>
        <x:v>0</x:v>
      </x:c>
      <x:c r="K1538" s="19" t="str">
        <x:v>Exp_5/EXP049/results/seed319922324_Full.json</x:v>
      </x:c>
    </x:row>
    <x:row r="1539" ht="15" hidden="0" customHeight="1">
      <x:c r="A1539" s="3" t="str">
        <x:v>EXP049</x:v>
      </x:c>
      <x:c r="B1539" s="3" t="str">
        <x:v>Exp. 5</x:v>
      </x:c>
      <x:c r="C1539" s="18" t="n">
        <x:v>319922324</x:v>
      </x:c>
      <x:c r="D1539" s="3" t="str">
        <x:v>GP-UCB (weighted sum)</x:v>
      </x:c>
      <x:c r="E1539" s="18" t="n">
        <x:v>200</x:v>
      </x:c>
      <x:c r="F1539" s="21" t="n">
        <x:v>358.8740293072943</x:v>
      </x:c>
      <x:c r="G1539" s="21" t="n">
        <x:f>F1532</x:f>
        <x:v>292.65239440875365</x:v>
      </x:c>
      <x:c r="H1539" s="21" t="n">
        <x:f>F1538</x:f>
        <x:v>292.65239440875365</x:v>
      </x:c>
      <x:c r="I1539" s="27" t="n">
        <x:f>IF(AND(ISNUMBER(G1539),ISNUMBER(H1539),H1539&gt;0),G1539/H1539-1,"")</x:f>
        <x:v>0</x:v>
      </x:c>
      <x:c r="J1539" s="27" t="n">
        <x:f>IF(AND(ISNUMBER(G1539),F1539&gt;0),G1539/F1539-1,"")</x:f>
        <x:v>-0.18452612752826647</x:v>
      </x:c>
      <x:c r="K1539" s="19" t="str">
        <x:v>Exp_5/EXP049/results/seed319922324_GP-UCB_weighted_sum.json</x:v>
      </x:c>
    </x:row>
    <x:row r="1540" ht="15" hidden="0" customHeight="1">
      <x:c r="A1540" s="3" t="str">
        <x:v>EXP049</x:v>
      </x:c>
      <x:c r="B1540" s="3" t="str">
        <x:v>Exp. 5</x:v>
      </x:c>
      <x:c r="C1540" s="18" t="n">
        <x:v>319922324</x:v>
      </x:c>
      <x:c r="D1540" s="3" t="str">
        <x:v>GP-UCB (product)</x:v>
      </x:c>
      <x:c r="E1540" s="18" t="n">
        <x:v>200</x:v>
      </x:c>
      <x:c r="F1540" s="21" t="n">
        <x:v>253.65272892722535</x:v>
      </x:c>
      <x:c r="G1540" s="21" t="n">
        <x:f>F1532</x:f>
        <x:v>292.65239440875365</x:v>
      </x:c>
      <x:c r="H1540" s="21" t="n">
        <x:f>F1538</x:f>
        <x:v>292.65239440875365</x:v>
      </x:c>
      <x:c r="I1540" s="27" t="n">
        <x:f>IF(AND(ISNUMBER(G1540),ISNUMBER(H1540),H1540&gt;0),G1540/H1540-1,"")</x:f>
        <x:v>0</x:v>
      </x:c>
      <x:c r="J1540" s="27" t="n">
        <x:f>IF(AND(ISNUMBER(G1540),F1540&gt;0),G1540/F1540-1,"")</x:f>
        <x:v>0.1537522014703716</x:v>
      </x:c>
      <x:c r="K1540" s="19" t="str">
        <x:v>Exp_5/EXP049/results/seed319922324_GP-UCB_product.json</x:v>
      </x:c>
    </x:row>
    <x:row r="1541" ht="15" hidden="0" customHeight="1">
      <x:c r="A1541" s="3" t="str">
        <x:v>EXP049</x:v>
      </x:c>
      <x:c r="B1541" s="3" t="str">
        <x:v>Exp. 5</x:v>
      </x:c>
      <x:c r="C1541" s="18" t="n">
        <x:v>319922324</x:v>
      </x:c>
      <x:c r="D1541" s="3" t="str">
        <x:v>NeuralUCB</x:v>
      </x:c>
      <x:c r="E1541" s="18" t="n">
        <x:v>200</x:v>
      </x:c>
      <x:c r="F1541" s="21" t="n">
        <x:v>448.31550877176437</x:v>
      </x:c>
      <x:c r="G1541" s="21" t="n">
        <x:f>F1532</x:f>
        <x:v>292.65239440875365</x:v>
      </x:c>
      <x:c r="H1541" s="21" t="n">
        <x:f>F1538</x:f>
        <x:v>292.65239440875365</x:v>
      </x:c>
      <x:c r="I1541" s="27" t="n">
        <x:f>IF(AND(ISNUMBER(G1541),ISNUMBER(H1541),H1541&gt;0),G1541/H1541-1,"")</x:f>
        <x:v>0</x:v>
      </x:c>
      <x:c r="J1541" s="27" t="n">
        <x:f>IF(AND(ISNUMBER(G1541),F1541&gt;0),G1541/F1541-1,"")</x:f>
        <x:v>-0.3472177770282272</x:v>
      </x:c>
      <x:c r="K1541" s="19" t="str">
        <x:v>Exp_5/EXP049/results/seed319922324_NeuralUCB.json</x:v>
      </x:c>
    </x:row>
    <x:row r="1542" ht="15" hidden="0" customHeight="1">
      <x:c r="A1542" s="3" t="str">
        <x:v>EXP049</x:v>
      </x:c>
      <x:c r="B1542" s="3" t="str">
        <x:v>Exp. 5</x:v>
      </x:c>
      <x:c r="C1542" s="18" t="n">
        <x:v>319922324</x:v>
      </x:c>
      <x:c r="D1542" s="3" t="str">
        <x:v>NN-UCB</x:v>
      </x:c>
      <x:c r="E1542" s="18" t="n">
        <x:v>200</x:v>
      </x:c>
      <x:c r="F1542" s="21" t="n">
        <x:v>407.11526953622473</x:v>
      </x:c>
      <x:c r="G1542" s="21" t="n">
        <x:f>F1532</x:f>
        <x:v>292.65239440875365</x:v>
      </x:c>
      <x:c r="H1542" s="21" t="n">
        <x:f>F1538</x:f>
        <x:v>292.65239440875365</x:v>
      </x:c>
      <x:c r="I1542" s="27" t="n">
        <x:f>IF(AND(ISNUMBER(G1542),ISNUMBER(H1542),H1542&gt;0),G1542/H1542-1,"")</x:f>
        <x:v>0</x:v>
      </x:c>
      <x:c r="J1542" s="27" t="n">
        <x:f>IF(AND(ISNUMBER(G1542),F1542&gt;0),G1542/F1542-1,"")</x:f>
        <x:v>-0.28115593713265596</x:v>
      </x:c>
      <x:c r="K1542" s="19" t="str">
        <x:v>Exp_5/EXP049/results/seed319922324_NN-UCB.json</x:v>
      </x:c>
    </x:row>
    <x:row r="1543" ht="15" hidden="0" customHeight="1">
      <x:c r="A1543" s="3" t="str">
        <x:v>EXP049</x:v>
      </x:c>
      <x:c r="B1543" s="3" t="str">
        <x:v>Exp. 5</x:v>
      </x:c>
      <x:c r="C1543" s="18" t="n">
        <x:v>319922324</x:v>
      </x:c>
      <x:c r="D1543" s="3" t="str">
        <x:v>Relative cutoff 1e-2</x:v>
      </x:c>
      <x:c r="E1543" s="18" t="n">
        <x:v>200</x:v>
      </x:c>
      <x:c r="F1543" s="21" t="n">
        <x:v>270.0555094558263</x:v>
      </x:c>
      <x:c r="G1543" s="21" t="n">
        <x:f>F1532</x:f>
        <x:v>292.65239440875365</x:v>
      </x:c>
      <x:c r="H1543" s="21" t="n">
        <x:f>F1538</x:f>
        <x:v>292.65239440875365</x:v>
      </x:c>
      <x:c r="I1543" s="27" t="n">
        <x:f>IF(AND(ISNUMBER(G1543),ISNUMBER(H1543),H1543&gt;0),G1543/H1543-1,"")</x:f>
        <x:v>0</x:v>
      </x:c>
      <x:c r="J1543" s="27" t="n">
        <x:f>IF(AND(ISNUMBER(G1543),F1543&gt;0),G1543/F1543-1,"")</x:f>
        <x:v>0.08367496370824301</x:v>
      </x:c>
      <x:c r="K1543" s="19" t="str">
        <x:v>Exp_5/EXP049/results/seed319922324_Relative_cutoff_1e-2.json</x:v>
      </x:c>
    </x:row>
    <x:row r="1544" ht="15" hidden="0" customHeight="1">
      <x:c r="A1544" s="3" t="str">
        <x:v>EXP049</x:v>
      </x:c>
      <x:c r="B1544" s="3" t="str">
        <x:v>Exp. 5</x:v>
      </x:c>
      <x:c r="C1544" s="18" t="n">
        <x:v>319922324</x:v>
      </x:c>
      <x:c r="D1544" s="3" t="str">
        <x:v>Relative cutoff 1e-4</x:v>
      </x:c>
      <x:c r="E1544" s="18" t="n">
        <x:v>200</x:v>
      </x:c>
      <x:c r="F1544" s="21" t="n">
        <x:v>280.29311631150404</x:v>
      </x:c>
      <x:c r="G1544" s="21" t="n">
        <x:f>F1532</x:f>
        <x:v>292.65239440875365</x:v>
      </x:c>
      <x:c r="H1544" s="21" t="n">
        <x:f>F1538</x:f>
        <x:v>292.65239440875365</x:v>
      </x:c>
      <x:c r="I1544" s="27" t="n">
        <x:f>IF(AND(ISNUMBER(G1544),ISNUMBER(H1544),H1544&gt;0),G1544/H1544-1,"")</x:f>
        <x:v>0</x:v>
      </x:c>
      <x:c r="J1544" s="27" t="n">
        <x:f>IF(AND(ISNUMBER(G1544),F1544&gt;0),G1544/F1544-1,"")</x:f>
        <x:v>0.04409411925590834</x:v>
      </x:c>
      <x:c r="K1544" s="19" t="str">
        <x:v>Exp_5/EXP049/results/seed319922324_Relative_cutoff_1e-4.json</x:v>
      </x:c>
    </x:row>
    <x:row r="1545" ht="15" hidden="0" customHeight="1">
      <x:c r="A1545" s="3" t="str">
        <x:v>EXP049</x:v>
      </x:c>
      <x:c r="B1545" s="3" t="str">
        <x:v>Exp. 5</x:v>
      </x:c>
      <x:c r="C1545" s="18" t="n">
        <x:v>560889375</x:v>
      </x:c>
      <x:c r="D1545" s="3" t="str">
        <x:v>BBP</x:v>
      </x:c>
      <x:c r="E1545" s="18" t="n">
        <x:v>200</x:v>
      </x:c>
      <x:c r="F1545" s="21" t="n">
        <x:v>324.56122202597066</x:v>
      </x:c>
      <x:c r="G1545" s="21" t="n">
        <x:f>F1545</x:f>
        <x:v>324.56122202597066</x:v>
      </x:c>
      <x:c r="H1545" s="21" t="n">
        <x:f>F1551</x:f>
        <x:v>324.56122202597066</x:v>
      </x:c>
      <x:c r="I1545" s="27" t="n">
        <x:f>IF(AND(ISNUMBER(G1545),ISNUMBER(H1545),H1545&gt;0),G1545/H1545-1,"")</x:f>
        <x:v>0</x:v>
      </x:c>
      <x:c r="J1545" s="27" t="n">
        <x:f>IF(AND(ISNUMBER(G1545),F1545&gt;0),G1545/F1545-1,"")</x:f>
        <x:v>0</x:v>
      </x:c>
      <x:c r="K1545" s="19" t="str">
        <x:v>Exp_5/EXP049/results/seed560889375_BBP.json</x:v>
      </x:c>
    </x:row>
    <x:row r="1546" ht="15" hidden="0" customHeight="1">
      <x:c r="A1546" s="3" t="str">
        <x:v>EXP049</x:v>
      </x:c>
      <x:c r="B1546" s="3" t="str">
        <x:v>Exp. 5</x:v>
      </x:c>
      <x:c r="C1546" s="18" t="n">
        <x:v>560889375</x:v>
      </x:c>
      <x:c r="D1546" s="3" t="str">
        <x:v>Relative cutoff 1e-5</x:v>
      </x:c>
      <x:c r="E1546" s="18" t="n">
        <x:v>200</x:v>
      </x:c>
      <x:c r="F1546" s="21" t="n">
        <x:v>324.56122202597066</x:v>
      </x:c>
      <x:c r="G1546" s="21" t="n">
        <x:f>F1545</x:f>
        <x:v>324.56122202597066</x:v>
      </x:c>
      <x:c r="H1546" s="21" t="n">
        <x:f>F1551</x:f>
        <x:v>324.56122202597066</x:v>
      </x:c>
      <x:c r="I1546" s="27" t="n">
        <x:f>IF(AND(ISNUMBER(G1546),ISNUMBER(H1546),H1546&gt;0),G1546/H1546-1,"")</x:f>
        <x:v>0</x:v>
      </x:c>
      <x:c r="J1546" s="27" t="n">
        <x:f>IF(AND(ISNUMBER(G1546),F1546&gt;0),G1546/F1546-1,"")</x:f>
        <x:v>0</x:v>
      </x:c>
      <x:c r="K1546" s="19" t="str">
        <x:v>Exp_5/EXP049/results/seed560889375_Relative_cutoff_1e-5.json</x:v>
      </x:c>
    </x:row>
    <x:row r="1547" ht="15" hidden="0" customHeight="1">
      <x:c r="A1547" s="3" t="str">
        <x:v>EXP049</x:v>
      </x:c>
      <x:c r="B1547" s="3" t="str">
        <x:v>Exp. 5</x:v>
      </x:c>
      <x:c r="C1547" s="18" t="n">
        <x:v>560889375</x:v>
      </x:c>
      <x:c r="D1547" s="3" t="str">
        <x:v>NN-AGP (m=7)</x:v>
      </x:c>
      <x:c r="E1547" s="18" t="n">
        <x:v>200</x:v>
      </x:c>
      <x:c r="F1547" s="21" t="n">
        <x:v>307.8442658984625</x:v>
      </x:c>
      <x:c r="G1547" s="21" t="n">
        <x:f>F1545</x:f>
        <x:v>324.56122202597066</x:v>
      </x:c>
      <x:c r="H1547" s="21" t="n">
        <x:f>F1551</x:f>
        <x:v>324.56122202597066</x:v>
      </x:c>
      <x:c r="I1547" s="27" t="n">
        <x:f>IF(AND(ISNUMBER(G1547),ISNUMBER(H1547),H1547&gt;0),G1547/H1547-1,"")</x:f>
        <x:v>0</x:v>
      </x:c>
      <x:c r="J1547" s="27" t="n">
        <x:f>IF(AND(ISNUMBER(G1547),F1547&gt;0),G1547/F1547-1,"")</x:f>
        <x:v>0.05430328896566805</x:v>
      </x:c>
      <x:c r="K1547" s="19" t="str">
        <x:v>Exp_5/EXP049/results/seed560889375_NN-AGP_m_7.json</x:v>
      </x:c>
    </x:row>
    <x:row r="1548" ht="15" hidden="0" customHeight="1">
      <x:c r="A1548" s="3" t="str">
        <x:v>EXP049</x:v>
      </x:c>
      <x:c r="B1548" s="3" t="str">
        <x:v>Exp. 5</x:v>
      </x:c>
      <x:c r="C1548" s="18" t="n">
        <x:v>560889375</x:v>
      </x:c>
      <x:c r="D1548" s="3" t="str">
        <x:v>Fixed rank 10</x:v>
      </x:c>
      <x:c r="E1548" s="18" t="n">
        <x:v>200</x:v>
      </x:c>
      <x:c r="F1548" s="21" t="n">
        <x:v>328.0563623577861</x:v>
      </x:c>
      <x:c r="G1548" s="21" t="n">
        <x:f>F1545</x:f>
        <x:v>324.56122202597066</x:v>
      </x:c>
      <x:c r="H1548" s="21" t="n">
        <x:f>F1551</x:f>
        <x:v>324.56122202597066</x:v>
      </x:c>
      <x:c r="I1548" s="27" t="n">
        <x:f>IF(AND(ISNUMBER(G1548),ISNUMBER(H1548),H1548&gt;0),G1548/H1548-1,"")</x:f>
        <x:v>0</x:v>
      </x:c>
      <x:c r="J1548" s="27" t="n">
        <x:f>IF(AND(ISNUMBER(G1548),F1548&gt;0),G1548/F1548-1,"")</x:f>
        <x:v>-0.01065408488558306</x:v>
      </x:c>
      <x:c r="K1548" s="19" t="str">
        <x:v>Exp_5/EXP049/results/seed560889375_Fixed_rank_10.json</x:v>
      </x:c>
    </x:row>
    <x:row r="1549" ht="15" hidden="0" customHeight="1">
      <x:c r="A1549" s="3" t="str">
        <x:v>EXP049</x:v>
      </x:c>
      <x:c r="B1549" s="3" t="str">
        <x:v>Exp. 5</x:v>
      </x:c>
      <x:c r="C1549" s="18" t="n">
        <x:v>560889375</x:v>
      </x:c>
      <x:c r="D1549" s="3" t="str">
        <x:v>Fixed rank 25</x:v>
      </x:c>
      <x:c r="E1549" s="18" t="n">
        <x:v>200</x:v>
      </x:c>
      <x:c r="F1549" s="21" t="n">
        <x:v>324.56122202597066</x:v>
      </x:c>
      <x:c r="G1549" s="21" t="n">
        <x:f>F1545</x:f>
        <x:v>324.56122202597066</x:v>
      </x:c>
      <x:c r="H1549" s="21" t="n">
        <x:f>F1551</x:f>
        <x:v>324.56122202597066</x:v>
      </x:c>
      <x:c r="I1549" s="27" t="n">
        <x:f>IF(AND(ISNUMBER(G1549),ISNUMBER(H1549),H1549&gt;0),G1549/H1549-1,"")</x:f>
        <x:v>0</x:v>
      </x:c>
      <x:c r="J1549" s="27" t="n">
        <x:f>IF(AND(ISNUMBER(G1549),F1549&gt;0),G1549/F1549-1,"")</x:f>
        <x:v>0</x:v>
      </x:c>
      <x:c r="K1549" s="19" t="str">
        <x:v>Exp_5/EXP049/results/seed560889375_Fixed_rank_25.json</x:v>
      </x:c>
    </x:row>
    <x:row r="1550" ht="15" hidden="0" customHeight="1">
      <x:c r="A1550" s="3" t="str">
        <x:v>EXP049</x:v>
      </x:c>
      <x:c r="B1550" s="3" t="str">
        <x:v>Exp. 5</x:v>
      </x:c>
      <x:c r="C1550" s="18" t="n">
        <x:v>560889375</x:v>
      </x:c>
      <x:c r="D1550" s="3" t="str">
        <x:v>Relative cutoff 1e-6</x:v>
      </x:c>
      <x:c r="E1550" s="18" t="n">
        <x:v>200</x:v>
      </x:c>
      <x:c r="F1550" s="21" t="n">
        <x:v>333.7168660873332</x:v>
      </x:c>
      <x:c r="G1550" s="21" t="n">
        <x:f>F1545</x:f>
        <x:v>324.56122202597066</x:v>
      </x:c>
      <x:c r="H1550" s="21" t="n">
        <x:f>F1551</x:f>
        <x:v>324.56122202597066</x:v>
      </x:c>
      <x:c r="I1550" s="27" t="n">
        <x:f>IF(AND(ISNUMBER(G1550),ISNUMBER(H1550),H1550&gt;0),G1550/H1550-1,"")</x:f>
        <x:v>0</x:v>
      </x:c>
      <x:c r="J1550" s="27" t="n">
        <x:f>IF(AND(ISNUMBER(G1550),F1550&gt;0),G1550/F1550-1,"")</x:f>
        <x:v>-0.02743536510068545</x:v>
      </x:c>
      <x:c r="K1550" s="19" t="str">
        <x:v>Exp_5/EXP049/results/seed560889375_Relative_cutoff_1e-6.json</x:v>
      </x:c>
    </x:row>
    <x:row r="1551" ht="15" hidden="0" customHeight="1">
      <x:c r="A1551" s="3" t="str">
        <x:v>EXP049</x:v>
      </x:c>
      <x:c r="B1551" s="3" t="str">
        <x:v>Exp. 5</x:v>
      </x:c>
      <x:c r="C1551" s="18" t="n">
        <x:v>560889375</x:v>
      </x:c>
      <x:c r="D1551" s="3" t="str">
        <x:v>Full</x:v>
      </x:c>
      <x:c r="E1551" s="18" t="n">
        <x:v>200</x:v>
      </x:c>
      <x:c r="F1551" s="21" t="n">
        <x:v>324.56122202597066</x:v>
      </x:c>
      <x:c r="G1551" s="21" t="n">
        <x:f>F1545</x:f>
        <x:v>324.56122202597066</x:v>
      </x:c>
      <x:c r="H1551" s="21" t="n">
        <x:f>F1551</x:f>
        <x:v>324.56122202597066</x:v>
      </x:c>
      <x:c r="I1551" s="27" t="n">
        <x:f>IF(AND(ISNUMBER(G1551),ISNUMBER(H1551),H1551&gt;0),G1551/H1551-1,"")</x:f>
        <x:v>0</x:v>
      </x:c>
      <x:c r="J1551" s="27" t="n">
        <x:f>IF(AND(ISNUMBER(G1551),F1551&gt;0),G1551/F1551-1,"")</x:f>
        <x:v>0</x:v>
      </x:c>
      <x:c r="K1551" s="19" t="str">
        <x:v>Exp_5/EXP049/results/seed560889375_Full.json</x:v>
      </x:c>
    </x:row>
    <x:row r="1552" ht="15" hidden="0" customHeight="1">
      <x:c r="A1552" s="3" t="str">
        <x:v>EXP049</x:v>
      </x:c>
      <x:c r="B1552" s="3" t="str">
        <x:v>Exp. 5</x:v>
      </x:c>
      <x:c r="C1552" s="18" t="n">
        <x:v>560889375</x:v>
      </x:c>
      <x:c r="D1552" s="3" t="str">
        <x:v>GP-UCB (weighted sum)</x:v>
      </x:c>
      <x:c r="E1552" s="18" t="n">
        <x:v>200</x:v>
      </x:c>
      <x:c r="F1552" s="21" t="n">
        <x:v>388.8616885603761</x:v>
      </x:c>
      <x:c r="G1552" s="21" t="n">
        <x:f>F1545</x:f>
        <x:v>324.56122202597066</x:v>
      </x:c>
      <x:c r="H1552" s="21" t="n">
        <x:f>F1551</x:f>
        <x:v>324.56122202597066</x:v>
      </x:c>
      <x:c r="I1552" s="27" t="n">
        <x:f>IF(AND(ISNUMBER(G1552),ISNUMBER(H1552),H1552&gt;0),G1552/H1552-1,"")</x:f>
        <x:v>0</x:v>
      </x:c>
      <x:c r="J1552" s="27" t="n">
        <x:f>IF(AND(ISNUMBER(G1552),F1552&gt;0),G1552/F1552-1,"")</x:f>
        <x:v>-0.16535562238711488</x:v>
      </x:c>
      <x:c r="K1552" s="19" t="str">
        <x:v>Exp_5/EXP049/results/seed560889375_GP-UCB_weighted_sum.json</x:v>
      </x:c>
    </x:row>
    <x:row r="1553" ht="15" hidden="0" customHeight="1">
      <x:c r="A1553" s="3" t="str">
        <x:v>EXP049</x:v>
      </x:c>
      <x:c r="B1553" s="3" t="str">
        <x:v>Exp. 5</x:v>
      </x:c>
      <x:c r="C1553" s="18" t="n">
        <x:v>560889375</x:v>
      </x:c>
      <x:c r="D1553" s="3" t="str">
        <x:v>GP-UCB (product)</x:v>
      </x:c>
      <x:c r="E1553" s="18" t="n">
        <x:v>200</x:v>
      </x:c>
      <x:c r="F1553" s="21" t="n">
        <x:v>256.8872082111282</x:v>
      </x:c>
      <x:c r="G1553" s="21" t="n">
        <x:f>F1545</x:f>
        <x:v>324.56122202597066</x:v>
      </x:c>
      <x:c r="H1553" s="21" t="n">
        <x:f>F1551</x:f>
        <x:v>324.56122202597066</x:v>
      </x:c>
      <x:c r="I1553" s="27" t="n">
        <x:f>IF(AND(ISNUMBER(G1553),ISNUMBER(H1553),H1553&gt;0),G1553/H1553-1,"")</x:f>
        <x:v>0</x:v>
      </x:c>
      <x:c r="J1553" s="27" t="n">
        <x:f>IF(AND(ISNUMBER(G1553),F1553&gt;0),G1553/F1553-1,"")</x:f>
        <x:v>0.26343862851755206</x:v>
      </x:c>
      <x:c r="K1553" s="19" t="str">
        <x:v>Exp_5/EXP049/results/seed560889375_GP-UCB_product.json</x:v>
      </x:c>
    </x:row>
    <x:row r="1554" ht="15" hidden="0" customHeight="1">
      <x:c r="A1554" s="3" t="str">
        <x:v>EXP049</x:v>
      </x:c>
      <x:c r="B1554" s="3" t="str">
        <x:v>Exp. 5</x:v>
      </x:c>
      <x:c r="C1554" s="18" t="n">
        <x:v>560889375</x:v>
      </x:c>
      <x:c r="D1554" s="3" t="str">
        <x:v>NeuralUCB</x:v>
      </x:c>
      <x:c r="E1554" s="18" t="n">
        <x:v>200</x:v>
      </x:c>
      <x:c r="F1554" s="21" t="n">
        <x:v>535.5531969536925</x:v>
      </x:c>
      <x:c r="G1554" s="21" t="n">
        <x:f>F1545</x:f>
        <x:v>324.56122202597066</x:v>
      </x:c>
      <x:c r="H1554" s="21" t="n">
        <x:f>F1551</x:f>
        <x:v>324.56122202597066</x:v>
      </x:c>
      <x:c r="I1554" s="27" t="n">
        <x:f>IF(AND(ISNUMBER(G1554),ISNUMBER(H1554),H1554&gt;0),G1554/H1554-1,"")</x:f>
        <x:v>0</x:v>
      </x:c>
      <x:c r="J1554" s="27" t="n">
        <x:f>IF(AND(ISNUMBER(G1554),F1554&gt;0),G1554/F1554-1,"")</x:f>
        <x:v>-0.3939701529705658</x:v>
      </x:c>
      <x:c r="K1554" s="19" t="str">
        <x:v>Exp_5/EXP049/results/seed560889375_NeuralUCB.json</x:v>
      </x:c>
    </x:row>
    <x:row r="1555" ht="15" hidden="0" customHeight="1">
      <x:c r="A1555" s="3" t="str">
        <x:v>EXP049</x:v>
      </x:c>
      <x:c r="B1555" s="3" t="str">
        <x:v>Exp. 5</x:v>
      </x:c>
      <x:c r="C1555" s="18" t="n">
        <x:v>560889375</x:v>
      </x:c>
      <x:c r="D1555" s="3" t="str">
        <x:v>NN-UCB</x:v>
      </x:c>
      <x:c r="E1555" s="18" t="n">
        <x:v>200</x:v>
      </x:c>
      <x:c r="F1555" s="21" t="n">
        <x:v>452.66494936255685</x:v>
      </x:c>
      <x:c r="G1555" s="21" t="n">
        <x:f>F1545</x:f>
        <x:v>324.56122202597066</x:v>
      </x:c>
      <x:c r="H1555" s="21" t="n">
        <x:f>F1551</x:f>
        <x:v>324.56122202597066</x:v>
      </x:c>
      <x:c r="I1555" s="27" t="n">
        <x:f>IF(AND(ISNUMBER(G1555),ISNUMBER(H1555),H1555&gt;0),G1555/H1555-1,"")</x:f>
        <x:v>0</x:v>
      </x:c>
      <x:c r="J1555" s="27" t="n">
        <x:f>IF(AND(ISNUMBER(G1555),F1555&gt;0),G1555/F1555-1,"")</x:f>
        <x:v>-0.28299899852414456</x:v>
      </x:c>
      <x:c r="K1555" s="19" t="str">
        <x:v>Exp_5/EXP049/results/seed560889375_NN-UCB.json</x:v>
      </x:c>
    </x:row>
    <x:row r="1556" ht="15" hidden="0" customHeight="1">
      <x:c r="A1556" s="3" t="str">
        <x:v>EXP049</x:v>
      </x:c>
      <x:c r="B1556" s="3" t="str">
        <x:v>Exp. 5</x:v>
      </x:c>
      <x:c r="C1556" s="18" t="n">
        <x:v>560889375</x:v>
      </x:c>
      <x:c r="D1556" s="3" t="str">
        <x:v>Relative cutoff 1e-2</x:v>
      </x:c>
      <x:c r="E1556" s="18" t="n">
        <x:v>200</x:v>
      </x:c>
      <x:c r="F1556" s="21" t="n">
        <x:v>336.93549727602345</x:v>
      </x:c>
      <x:c r="G1556" s="21" t="n">
        <x:f>F1545</x:f>
        <x:v>324.56122202597066</x:v>
      </x:c>
      <x:c r="H1556" s="21" t="n">
        <x:f>F1551</x:f>
        <x:v>324.56122202597066</x:v>
      </x:c>
      <x:c r="I1556" s="27" t="n">
        <x:f>IF(AND(ISNUMBER(G1556),ISNUMBER(H1556),H1556&gt;0),G1556/H1556-1,"")</x:f>
        <x:v>0</x:v>
      </x:c>
      <x:c r="J1556" s="27" t="n">
        <x:f>IF(AND(ISNUMBER(G1556),F1556&gt;0),G1556/F1556-1,"")</x:f>
        <x:v>-0.03672594710291255</x:v>
      </x:c>
      <x:c r="K1556" s="19" t="str">
        <x:v>Exp_5/EXP049/results/seed560889375_Relative_cutoff_1e-2.json</x:v>
      </x:c>
    </x:row>
    <x:row r="1557" ht="15" hidden="0" customHeight="1">
      <x:c r="A1557" s="3" t="str">
        <x:v>EXP049</x:v>
      </x:c>
      <x:c r="B1557" s="3" t="str">
        <x:v>Exp. 5</x:v>
      </x:c>
      <x:c r="C1557" s="18" t="n">
        <x:v>560889375</x:v>
      </x:c>
      <x:c r="D1557" s="3" t="str">
        <x:v>Relative cutoff 1e-4</x:v>
      </x:c>
      <x:c r="E1557" s="18" t="n">
        <x:v>200</x:v>
      </x:c>
      <x:c r="F1557" s="21" t="n">
        <x:v>330.77432980194993</x:v>
      </x:c>
      <x:c r="G1557" s="21" t="n">
        <x:f>F1545</x:f>
        <x:v>324.56122202597066</x:v>
      </x:c>
      <x:c r="H1557" s="21" t="n">
        <x:f>F1551</x:f>
        <x:v>324.56122202597066</x:v>
      </x:c>
      <x:c r="I1557" s="27" t="n">
        <x:f>IF(AND(ISNUMBER(G1557),ISNUMBER(H1557),H1557&gt;0),G1557/H1557-1,"")</x:f>
        <x:v>0</x:v>
      </x:c>
      <x:c r="J1557" s="27" t="n">
        <x:f>IF(AND(ISNUMBER(G1557),F1557&gt;0),G1557/F1557-1,"")</x:f>
        <x:v>-0.018783524645637817</x:v>
      </x:c>
      <x:c r="K1557" s="19" t="str">
        <x:v>Exp_5/EXP049/results/seed560889375_Relative_cutoff_1e-4.json</x:v>
      </x:c>
    </x:row>
    <x:row r="1558" ht="15" hidden="0" customHeight="1">
      <x:c r="A1558" s="3" t="str">
        <x:v>EXP049</x:v>
      </x:c>
      <x:c r="B1558" s="3" t="str">
        <x:v>Exp. 5</x:v>
      </x:c>
      <x:c r="C1558" s="18" t="n">
        <x:v>666829030</x:v>
      </x:c>
      <x:c r="D1558" s="3" t="str">
        <x:v>BBP</x:v>
      </x:c>
      <x:c r="E1558" s="18" t="n">
        <x:v>200</x:v>
      </x:c>
      <x:c r="F1558" s="21" t="n">
        <x:v>185.41576414707268</x:v>
      </x:c>
      <x:c r="G1558" s="21" t="n">
        <x:f>F1558</x:f>
        <x:v>185.41576414707268</x:v>
      </x:c>
      <x:c r="H1558" s="21" t="n">
        <x:f>F1564</x:f>
        <x:v>187.01703601488043</x:v>
      </x:c>
      <x:c r="I1558" s="27" t="n">
        <x:f>IF(AND(ISNUMBER(G1558),ISNUMBER(H1558),H1558&gt;0),G1558/H1558-1,"")</x:f>
        <x:v>-0.008562171136539343</x:v>
      </x:c>
      <x:c r="J1558" s="27" t="n">
        <x:f>IF(AND(ISNUMBER(G1558),F1558&gt;0),G1558/F1558-1,"")</x:f>
        <x:v>0</x:v>
      </x:c>
      <x:c r="K1558" s="19" t="str">
        <x:v>Exp_5/EXP049/results/seed666829030_BBP.json</x:v>
      </x:c>
    </x:row>
    <x:row r="1559" ht="15" hidden="0" customHeight="1">
      <x:c r="A1559" s="3" t="str">
        <x:v>EXP049</x:v>
      </x:c>
      <x:c r="B1559" s="3" t="str">
        <x:v>Exp. 5</x:v>
      </x:c>
      <x:c r="C1559" s="18" t="n">
        <x:v>666829030</x:v>
      </x:c>
      <x:c r="D1559" s="3" t="str">
        <x:v>Relative cutoff 1e-5</x:v>
      </x:c>
      <x:c r="E1559" s="18" t="n">
        <x:v>200</x:v>
      </x:c>
      <x:c r="F1559" s="21" t="n">
        <x:v>185.41576414707268</x:v>
      </x:c>
      <x:c r="G1559" s="21" t="n">
        <x:f>F1558</x:f>
        <x:v>185.41576414707268</x:v>
      </x:c>
      <x:c r="H1559" s="21" t="n">
        <x:f>F1564</x:f>
        <x:v>187.01703601488043</x:v>
      </x:c>
      <x:c r="I1559" s="27" t="n">
        <x:f>IF(AND(ISNUMBER(G1559),ISNUMBER(H1559),H1559&gt;0),G1559/H1559-1,"")</x:f>
        <x:v>-0.008562171136539343</x:v>
      </x:c>
      <x:c r="J1559" s="27" t="n">
        <x:f>IF(AND(ISNUMBER(G1559),F1559&gt;0),G1559/F1559-1,"")</x:f>
        <x:v>0</x:v>
      </x:c>
      <x:c r="K1559" s="19" t="str">
        <x:v>Exp_5/EXP049/results/seed666829030_Relative_cutoff_1e-5.json</x:v>
      </x:c>
    </x:row>
    <x:row r="1560" ht="15" hidden="0" customHeight="1">
      <x:c r="A1560" s="3" t="str">
        <x:v>EXP049</x:v>
      </x:c>
      <x:c r="B1560" s="3" t="str">
        <x:v>Exp. 5</x:v>
      </x:c>
      <x:c r="C1560" s="18" t="n">
        <x:v>666829030</x:v>
      </x:c>
      <x:c r="D1560" s="3" t="str">
        <x:v>NN-AGP (m=7)</x:v>
      </x:c>
      <x:c r="E1560" s="18" t="n">
        <x:v>200</x:v>
      </x:c>
      <x:c r="F1560" s="21" t="n">
        <x:v>163.96844884959998</x:v>
      </x:c>
      <x:c r="G1560" s="21" t="n">
        <x:f>F1558</x:f>
        <x:v>185.41576414707268</x:v>
      </x:c>
      <x:c r="H1560" s="21" t="n">
        <x:f>F1564</x:f>
        <x:v>187.01703601488043</x:v>
      </x:c>
      <x:c r="I1560" s="27" t="n">
        <x:f>IF(AND(ISNUMBER(G1560),ISNUMBER(H1560),H1560&gt;0),G1560/H1560-1,"")</x:f>
        <x:v>-0.008562171136539343</x:v>
      </x:c>
      <x:c r="J1560" s="27" t="n">
        <x:f>IF(AND(ISNUMBER(G1560),F1560&gt;0),G1560/F1560-1,"")</x:f>
        <x:v>0.13080147703992284</x:v>
      </x:c>
      <x:c r="K1560" s="19" t="str">
        <x:v>Exp_5/EXP049/results/seed666829030_NN-AGP_m_7.json</x:v>
      </x:c>
    </x:row>
    <x:row r="1561" ht="15" hidden="0" customHeight="1">
      <x:c r="A1561" s="3" t="str">
        <x:v>EXP049</x:v>
      </x:c>
      <x:c r="B1561" s="3" t="str">
        <x:v>Exp. 5</x:v>
      </x:c>
      <x:c r="C1561" s="18" t="n">
        <x:v>666829030</x:v>
      </x:c>
      <x:c r="D1561" s="3" t="str">
        <x:v>Fixed rank 10</x:v>
      </x:c>
      <x:c r="E1561" s="18" t="n">
        <x:v>200</x:v>
      </x:c>
      <x:c r="F1561" s="21" t="n">
        <x:v>184.83399920556766</x:v>
      </x:c>
      <x:c r="G1561" s="21" t="n">
        <x:f>F1558</x:f>
        <x:v>185.41576414707268</x:v>
      </x:c>
      <x:c r="H1561" s="21" t="n">
        <x:f>F1564</x:f>
        <x:v>187.01703601488043</x:v>
      </x:c>
      <x:c r="I1561" s="27" t="n">
        <x:f>IF(AND(ISNUMBER(G1561),ISNUMBER(H1561),H1561&gt;0),G1561/H1561-1,"")</x:f>
        <x:v>-0.008562171136539343</x:v>
      </x:c>
      <x:c r="J1561" s="27" t="n">
        <x:f>IF(AND(ISNUMBER(G1561),F1561&gt;0),G1561/F1561-1,"")</x:f>
        <x:v>0.003147499615901328</x:v>
      </x:c>
      <x:c r="K1561" s="19" t="str">
        <x:v>Exp_5/EXP049/results/seed666829030_Fixed_rank_10.json</x:v>
      </x:c>
    </x:row>
    <x:row r="1562" ht="15" hidden="0" customHeight="1">
      <x:c r="A1562" s="3" t="str">
        <x:v>EXP049</x:v>
      </x:c>
      <x:c r="B1562" s="3" t="str">
        <x:v>Exp. 5</x:v>
      </x:c>
      <x:c r="C1562" s="18" t="n">
        <x:v>666829030</x:v>
      </x:c>
      <x:c r="D1562" s="3" t="str">
        <x:v>Fixed rank 25</x:v>
      </x:c>
      <x:c r="E1562" s="18" t="n">
        <x:v>200</x:v>
      </x:c>
      <x:c r="F1562" s="21" t="n">
        <x:v>185.41576414707268</x:v>
      </x:c>
      <x:c r="G1562" s="21" t="n">
        <x:f>F1558</x:f>
        <x:v>185.41576414707268</x:v>
      </x:c>
      <x:c r="H1562" s="21" t="n">
        <x:f>F1564</x:f>
        <x:v>187.01703601488043</x:v>
      </x:c>
      <x:c r="I1562" s="27" t="n">
        <x:f>IF(AND(ISNUMBER(G1562),ISNUMBER(H1562),H1562&gt;0),G1562/H1562-1,"")</x:f>
        <x:v>-0.008562171136539343</x:v>
      </x:c>
      <x:c r="J1562" s="27" t="n">
        <x:f>IF(AND(ISNUMBER(G1562),F1562&gt;0),G1562/F1562-1,"")</x:f>
        <x:v>0</x:v>
      </x:c>
      <x:c r="K1562" s="19" t="str">
        <x:v>Exp_5/EXP049/results/seed666829030_Fixed_rank_25.json</x:v>
      </x:c>
    </x:row>
    <x:row r="1563" ht="15" hidden="0" customHeight="1">
      <x:c r="A1563" s="3" t="str">
        <x:v>EXP049</x:v>
      </x:c>
      <x:c r="B1563" s="3" t="str">
        <x:v>Exp. 5</x:v>
      </x:c>
      <x:c r="C1563" s="18" t="n">
        <x:v>666829030</x:v>
      </x:c>
      <x:c r="D1563" s="3" t="str">
        <x:v>Relative cutoff 1e-6</x:v>
      </x:c>
      <x:c r="E1563" s="18" t="n">
        <x:v>200</x:v>
      </x:c>
      <x:c r="F1563" s="21" t="n">
        <x:v>187.01703601488043</x:v>
      </x:c>
      <x:c r="G1563" s="21" t="n">
        <x:f>F1558</x:f>
        <x:v>185.41576414707268</x:v>
      </x:c>
      <x:c r="H1563" s="21" t="n">
        <x:f>F1564</x:f>
        <x:v>187.01703601488043</x:v>
      </x:c>
      <x:c r="I1563" s="27" t="n">
        <x:f>IF(AND(ISNUMBER(G1563),ISNUMBER(H1563),H1563&gt;0),G1563/H1563-1,"")</x:f>
        <x:v>-0.008562171136539343</x:v>
      </x:c>
      <x:c r="J1563" s="27" t="n">
        <x:f>IF(AND(ISNUMBER(G1563),F1563&gt;0),G1563/F1563-1,"")</x:f>
        <x:v>-0.008562171136539343</x:v>
      </x:c>
      <x:c r="K1563" s="19" t="str">
        <x:v>Exp_5/EXP049/results/seed666829030_Relative_cutoff_1e-6.json</x:v>
      </x:c>
    </x:row>
    <x:row r="1564" ht="15" hidden="0" customHeight="1">
      <x:c r="A1564" s="3" t="str">
        <x:v>EXP049</x:v>
      </x:c>
      <x:c r="B1564" s="3" t="str">
        <x:v>Exp. 5</x:v>
      </x:c>
      <x:c r="C1564" s="18" t="n">
        <x:v>666829030</x:v>
      </x:c>
      <x:c r="D1564" s="3" t="str">
        <x:v>Full</x:v>
      </x:c>
      <x:c r="E1564" s="18" t="n">
        <x:v>200</x:v>
      </x:c>
      <x:c r="F1564" s="21" t="n">
        <x:v>187.01703601488043</x:v>
      </x:c>
      <x:c r="G1564" s="21" t="n">
        <x:f>F1558</x:f>
        <x:v>185.41576414707268</x:v>
      </x:c>
      <x:c r="H1564" s="21" t="n">
        <x:f>F1564</x:f>
        <x:v>187.01703601488043</x:v>
      </x:c>
      <x:c r="I1564" s="27" t="n">
        <x:f>IF(AND(ISNUMBER(G1564),ISNUMBER(H1564),H1564&gt;0),G1564/H1564-1,"")</x:f>
        <x:v>-0.008562171136539343</x:v>
      </x:c>
      <x:c r="J1564" s="27" t="n">
        <x:f>IF(AND(ISNUMBER(G1564),F1564&gt;0),G1564/F1564-1,"")</x:f>
        <x:v>-0.008562171136539343</x:v>
      </x:c>
      <x:c r="K1564" s="19" t="str">
        <x:v>Exp_5/EXP049/results/seed666829030_Full.json</x:v>
      </x:c>
    </x:row>
    <x:row r="1565" ht="15" hidden="0" customHeight="1">
      <x:c r="A1565" s="3" t="str">
        <x:v>EXP049</x:v>
      </x:c>
      <x:c r="B1565" s="3" t="str">
        <x:v>Exp. 5</x:v>
      </x:c>
      <x:c r="C1565" s="18" t="n">
        <x:v>666829030</x:v>
      </x:c>
      <x:c r="D1565" s="3" t="str">
        <x:v>GP-UCB (weighted sum)</x:v>
      </x:c>
      <x:c r="E1565" s="18" t="n">
        <x:v>200</x:v>
      </x:c>
      <x:c r="F1565" s="21" t="n">
        <x:v>414.63173705785033</x:v>
      </x:c>
      <x:c r="G1565" s="21" t="n">
        <x:f>F1558</x:f>
        <x:v>185.41576414707268</x:v>
      </x:c>
      <x:c r="H1565" s="21" t="n">
        <x:f>F1564</x:f>
        <x:v>187.01703601488043</x:v>
      </x:c>
      <x:c r="I1565" s="27" t="n">
        <x:f>IF(AND(ISNUMBER(G1565),ISNUMBER(H1565),H1565&gt;0),G1565/H1565-1,"")</x:f>
        <x:v>-0.008562171136539343</x:v>
      </x:c>
      <x:c r="J1565" s="27" t="n">
        <x:f>IF(AND(ISNUMBER(G1565),F1565&gt;0),G1565/F1565-1,"")</x:f>
        <x:v>-0.5528182057100877</x:v>
      </x:c>
      <x:c r="K1565" s="19" t="str">
        <x:v>Exp_5/EXP049/results/seed666829030_GP-UCB_weighted_sum.json</x:v>
      </x:c>
    </x:row>
    <x:row r="1566" ht="15" hidden="0" customHeight="1">
      <x:c r="A1566" s="3" t="str">
        <x:v>EXP049</x:v>
      </x:c>
      <x:c r="B1566" s="3" t="str">
        <x:v>Exp. 5</x:v>
      </x:c>
      <x:c r="C1566" s="18" t="n">
        <x:v>666829030</x:v>
      </x:c>
      <x:c r="D1566" s="3" t="str">
        <x:v>GP-UCB (product)</x:v>
      </x:c>
      <x:c r="E1566" s="18" t="n">
        <x:v>200</x:v>
      </x:c>
      <x:c r="F1566" s="21" t="n">
        <x:v>321.8727596980137</x:v>
      </x:c>
      <x:c r="G1566" s="21" t="n">
        <x:f>F1558</x:f>
        <x:v>185.41576414707268</x:v>
      </x:c>
      <x:c r="H1566" s="21" t="n">
        <x:f>F1564</x:f>
        <x:v>187.01703601488043</x:v>
      </x:c>
      <x:c r="I1566" s="27" t="n">
        <x:f>IF(AND(ISNUMBER(G1566),ISNUMBER(H1566),H1566&gt;0),G1566/H1566-1,"")</x:f>
        <x:v>-0.008562171136539343</x:v>
      </x:c>
      <x:c r="J1566" s="27" t="n">
        <x:f>IF(AND(ISNUMBER(G1566),F1566&gt;0),G1566/F1566-1,"")</x:f>
        <x:v>-0.42394701458727724</x:v>
      </x:c>
      <x:c r="K1566" s="19" t="str">
        <x:v>Exp_5/EXP049/results/seed666829030_GP-UCB_product.json</x:v>
      </x:c>
    </x:row>
    <x:row r="1567" ht="15" hidden="0" customHeight="1">
      <x:c r="A1567" s="3" t="str">
        <x:v>EXP049</x:v>
      </x:c>
      <x:c r="B1567" s="3" t="str">
        <x:v>Exp. 5</x:v>
      </x:c>
      <x:c r="C1567" s="18" t="n">
        <x:v>666829030</x:v>
      </x:c>
      <x:c r="D1567" s="3" t="str">
        <x:v>NeuralUCB</x:v>
      </x:c>
      <x:c r="E1567" s="18" t="n">
        <x:v>200</x:v>
      </x:c>
      <x:c r="F1567" s="21" t="n">
        <x:v>466.23840001136546</x:v>
      </x:c>
      <x:c r="G1567" s="21" t="n">
        <x:f>F1558</x:f>
        <x:v>185.41576414707268</x:v>
      </x:c>
      <x:c r="H1567" s="21" t="n">
        <x:f>F1564</x:f>
        <x:v>187.01703601488043</x:v>
      </x:c>
      <x:c r="I1567" s="27" t="n">
        <x:f>IF(AND(ISNUMBER(G1567),ISNUMBER(H1567),H1567&gt;0),G1567/H1567-1,"")</x:f>
        <x:v>-0.008562171136539343</x:v>
      </x:c>
      <x:c r="J1567" s="27" t="n">
        <x:f>IF(AND(ISNUMBER(G1567),F1567&gt;0),G1567/F1567-1,"")</x:f>
        <x:v>-0.6023155447029829</x:v>
      </x:c>
      <x:c r="K1567" s="19" t="str">
        <x:v>Exp_5/EXP049/results/seed666829030_NeuralUCB.json</x:v>
      </x:c>
    </x:row>
    <x:row r="1568" ht="15" hidden="0" customHeight="1">
      <x:c r="A1568" s="3" t="str">
        <x:v>EXP049</x:v>
      </x:c>
      <x:c r="B1568" s="3" t="str">
        <x:v>Exp. 5</x:v>
      </x:c>
      <x:c r="C1568" s="18" t="n">
        <x:v>666829030</x:v>
      </x:c>
      <x:c r="D1568" s="3" t="str">
        <x:v>NN-UCB</x:v>
      </x:c>
      <x:c r="E1568" s="18" t="n">
        <x:v>200</x:v>
      </x:c>
      <x:c r="F1568" s="21" t="n">
        <x:v>468.69624703876303</x:v>
      </x:c>
      <x:c r="G1568" s="21" t="n">
        <x:f>F1558</x:f>
        <x:v>185.41576414707268</x:v>
      </x:c>
      <x:c r="H1568" s="21" t="n">
        <x:f>F1564</x:f>
        <x:v>187.01703601488043</x:v>
      </x:c>
      <x:c r="I1568" s="27" t="n">
        <x:f>IF(AND(ISNUMBER(G1568),ISNUMBER(H1568),H1568&gt;0),G1568/H1568-1,"")</x:f>
        <x:v>-0.008562171136539343</x:v>
      </x:c>
      <x:c r="J1568" s="27" t="n">
        <x:f>IF(AND(ISNUMBER(G1568),F1568&gt;0),G1568/F1568-1,"")</x:f>
        <x:v>-0.6044010053023999</x:v>
      </x:c>
      <x:c r="K1568" s="19" t="str">
        <x:v>Exp_5/EXP049/results/seed666829030_NN-UCB.json</x:v>
      </x:c>
    </x:row>
    <x:row r="1569" ht="15" hidden="0" customHeight="1">
      <x:c r="A1569" s="3" t="str">
        <x:v>EXP049</x:v>
      </x:c>
      <x:c r="B1569" s="3" t="str">
        <x:v>Exp. 5</x:v>
      </x:c>
      <x:c r="C1569" s="18" t="n">
        <x:v>666829030</x:v>
      </x:c>
      <x:c r="D1569" s="3" t="str">
        <x:v>Relative cutoff 1e-2</x:v>
      </x:c>
      <x:c r="E1569" s="18" t="n">
        <x:v>200</x:v>
      </x:c>
      <x:c r="F1569" s="21" t="n">
        <x:v>188.4127827469913</x:v>
      </x:c>
      <x:c r="G1569" s="21" t="n">
        <x:f>F1558</x:f>
        <x:v>185.41576414707268</x:v>
      </x:c>
      <x:c r="H1569" s="21" t="n">
        <x:f>F1564</x:f>
        <x:v>187.01703601488043</x:v>
      </x:c>
      <x:c r="I1569" s="27" t="n">
        <x:f>IF(AND(ISNUMBER(G1569),ISNUMBER(H1569),H1569&gt;0),G1569/H1569-1,"")</x:f>
        <x:v>-0.008562171136539343</x:v>
      </x:c>
      <x:c r="J1569" s="27" t="n">
        <x:f>IF(AND(ISNUMBER(G1569),F1569&gt;0),G1569/F1569-1,"")</x:f>
        <x:v>-0.01590666278701025</x:v>
      </x:c>
      <x:c r="K1569" s="19" t="str">
        <x:v>Exp_5/EXP049/results/seed666829030_Relative_cutoff_1e-2.json</x:v>
      </x:c>
    </x:row>
    <x:row r="1570" ht="15" hidden="0" customHeight="1">
      <x:c r="A1570" s="3" t="str">
        <x:v>EXP049</x:v>
      </x:c>
      <x:c r="B1570" s="3" t="str">
        <x:v>Exp. 5</x:v>
      </x:c>
      <x:c r="C1570" s="18" t="n">
        <x:v>666829030</x:v>
      </x:c>
      <x:c r="D1570" s="3" t="str">
        <x:v>Relative cutoff 1e-4</x:v>
      </x:c>
      <x:c r="E1570" s="18" t="n">
        <x:v>200</x:v>
      </x:c>
      <x:c r="F1570" s="21" t="n">
        <x:v>180.85098572035142</x:v>
      </x:c>
      <x:c r="G1570" s="21" t="n">
        <x:f>F1558</x:f>
        <x:v>185.41576414707268</x:v>
      </x:c>
      <x:c r="H1570" s="21" t="n">
        <x:f>F1564</x:f>
        <x:v>187.01703601488043</x:v>
      </x:c>
      <x:c r="I1570" s="27" t="n">
        <x:f>IF(AND(ISNUMBER(G1570),ISNUMBER(H1570),H1570&gt;0),G1570/H1570-1,"")</x:f>
        <x:v>-0.008562171136539343</x:v>
      </x:c>
      <x:c r="J1570" s="27" t="n">
        <x:f>IF(AND(ISNUMBER(G1570),F1570&gt;0),G1570/F1570-1,"")</x:f>
        <x:v>0.025240550437362508</x:v>
      </x:c>
      <x:c r="K1570" s="19" t="str">
        <x:v>Exp_5/EXP049/results/seed666829030_Relative_cutoff_1e-4.json</x:v>
      </x:c>
    </x:row>
    <x:row r="1571" ht="15" hidden="0" customHeight="1">
      <x:c r="A1571" s="3" t="str">
        <x:v>EXP049</x:v>
      </x:c>
      <x:c r="B1571" s="3" t="str">
        <x:v>Exp. 5</x:v>
      </x:c>
      <x:c r="C1571" s="18" t="n">
        <x:v>748076223</x:v>
      </x:c>
      <x:c r="D1571" s="3" t="str">
        <x:v>BBP</x:v>
      </x:c>
      <x:c r="E1571" s="18" t="n">
        <x:v>200</x:v>
      </x:c>
      <x:c r="F1571" s="21" t="n">
        <x:v>225.88073074095072</x:v>
      </x:c>
      <x:c r="G1571" s="21" t="n">
        <x:f>F1571</x:f>
        <x:v>225.88073074095072</x:v>
      </x:c>
      <x:c r="H1571" s="21" t="n">
        <x:f>F1577</x:f>
        <x:v>225.88073074095072</x:v>
      </x:c>
      <x:c r="I1571" s="27" t="n">
        <x:f>IF(AND(ISNUMBER(G1571),ISNUMBER(H1571),H1571&gt;0),G1571/H1571-1,"")</x:f>
        <x:v>0</x:v>
      </x:c>
      <x:c r="J1571" s="27" t="n">
        <x:f>IF(AND(ISNUMBER(G1571),F1571&gt;0),G1571/F1571-1,"")</x:f>
        <x:v>0</x:v>
      </x:c>
      <x:c r="K1571" s="19" t="str">
        <x:v>Exp_5/EXP049/results/seed748076223_BBP.json</x:v>
      </x:c>
    </x:row>
    <x:row r="1572" ht="15" hidden="0" customHeight="1">
      <x:c r="A1572" s="3" t="str">
        <x:v>EXP049</x:v>
      </x:c>
      <x:c r="B1572" s="3" t="str">
        <x:v>Exp. 5</x:v>
      </x:c>
      <x:c r="C1572" s="18" t="n">
        <x:v>748076223</x:v>
      </x:c>
      <x:c r="D1572" s="3" t="str">
        <x:v>Relative cutoff 1e-5</x:v>
      </x:c>
      <x:c r="E1572" s="18" t="n">
        <x:v>200</x:v>
      </x:c>
      <x:c r="F1572" s="21" t="n">
        <x:v>225.88073074095072</x:v>
      </x:c>
      <x:c r="G1572" s="21" t="n">
        <x:f>F1571</x:f>
        <x:v>225.88073074095072</x:v>
      </x:c>
      <x:c r="H1572" s="21" t="n">
        <x:f>F1577</x:f>
        <x:v>225.88073074095072</x:v>
      </x:c>
      <x:c r="I1572" s="27" t="n">
        <x:f>IF(AND(ISNUMBER(G1572),ISNUMBER(H1572),H1572&gt;0),G1572/H1572-1,"")</x:f>
        <x:v>0</x:v>
      </x:c>
      <x:c r="J1572" s="27" t="n">
        <x:f>IF(AND(ISNUMBER(G1572),F1572&gt;0),G1572/F1572-1,"")</x:f>
        <x:v>0</x:v>
      </x:c>
      <x:c r="K1572" s="19" t="str">
        <x:v>Exp_5/EXP049/results/seed748076223_Relative_cutoff_1e-5.json</x:v>
      </x:c>
    </x:row>
    <x:row r="1573" ht="15" hidden="0" customHeight="1">
      <x:c r="A1573" s="3" t="str">
        <x:v>EXP049</x:v>
      </x:c>
      <x:c r="B1573" s="3" t="str">
        <x:v>Exp. 5</x:v>
      </x:c>
      <x:c r="C1573" s="18" t="n">
        <x:v>748076223</x:v>
      </x:c>
      <x:c r="D1573" s="3" t="str">
        <x:v>NN-AGP (m=7)</x:v>
      </x:c>
      <x:c r="E1573" s="18" t="n">
        <x:v>200</x:v>
      </x:c>
      <x:c r="F1573" s="21" t="n">
        <x:v>332.17654758550503</x:v>
      </x:c>
      <x:c r="G1573" s="21" t="n">
        <x:f>F1571</x:f>
        <x:v>225.88073074095072</x:v>
      </x:c>
      <x:c r="H1573" s="21" t="n">
        <x:f>F1577</x:f>
        <x:v>225.88073074095072</x:v>
      </x:c>
      <x:c r="I1573" s="27" t="n">
        <x:f>IF(AND(ISNUMBER(G1573),ISNUMBER(H1573),H1573&gt;0),G1573/H1573-1,"")</x:f>
        <x:v>0</x:v>
      </x:c>
      <x:c r="J1573" s="27" t="n">
        <x:f>IF(AND(ISNUMBER(G1573),F1573&gt;0),G1573/F1573-1,"")</x:f>
        <x:v>-0.31999795776429063</x:v>
      </x:c>
      <x:c r="K1573" s="19" t="str">
        <x:v>Exp_5/EXP049/results/seed748076223_NN-AGP_m_7.json</x:v>
      </x:c>
    </x:row>
    <x:row r="1574" ht="15" hidden="0" customHeight="1">
      <x:c r="A1574" s="3" t="str">
        <x:v>EXP049</x:v>
      </x:c>
      <x:c r="B1574" s="3" t="str">
        <x:v>Exp. 5</x:v>
      </x:c>
      <x:c r="C1574" s="18" t="n">
        <x:v>748076223</x:v>
      </x:c>
      <x:c r="D1574" s="3" t="str">
        <x:v>Fixed rank 10</x:v>
      </x:c>
      <x:c r="E1574" s="18" t="n">
        <x:v>200</x:v>
      </x:c>
      <x:c r="F1574" s="21" t="n">
        <x:v>225.88073074095072</x:v>
      </x:c>
      <x:c r="G1574" s="21" t="n">
        <x:f>F1571</x:f>
        <x:v>225.88073074095072</x:v>
      </x:c>
      <x:c r="H1574" s="21" t="n">
        <x:f>F1577</x:f>
        <x:v>225.88073074095072</x:v>
      </x:c>
      <x:c r="I1574" s="27" t="n">
        <x:f>IF(AND(ISNUMBER(G1574),ISNUMBER(H1574),H1574&gt;0),G1574/H1574-1,"")</x:f>
        <x:v>0</x:v>
      </x:c>
      <x:c r="J1574" s="27" t="n">
        <x:f>IF(AND(ISNUMBER(G1574),F1574&gt;0),G1574/F1574-1,"")</x:f>
        <x:v>0</x:v>
      </x:c>
      <x:c r="K1574" s="19" t="str">
        <x:v>Exp_5/EXP049/results/seed748076223_Fixed_rank_10.json</x:v>
      </x:c>
    </x:row>
    <x:row r="1575" ht="15" hidden="0" customHeight="1">
      <x:c r="A1575" s="3" t="str">
        <x:v>EXP049</x:v>
      </x:c>
      <x:c r="B1575" s="3" t="str">
        <x:v>Exp. 5</x:v>
      </x:c>
      <x:c r="C1575" s="18" t="n">
        <x:v>748076223</x:v>
      </x:c>
      <x:c r="D1575" s="3" t="str">
        <x:v>Fixed rank 25</x:v>
      </x:c>
      <x:c r="E1575" s="18" t="n">
        <x:v>200</x:v>
      </x:c>
      <x:c r="F1575" s="21" t="n">
        <x:v>225.88073074095072</x:v>
      </x:c>
      <x:c r="G1575" s="21" t="n">
        <x:f>F1571</x:f>
        <x:v>225.88073074095072</x:v>
      </x:c>
      <x:c r="H1575" s="21" t="n">
        <x:f>F1577</x:f>
        <x:v>225.88073074095072</x:v>
      </x:c>
      <x:c r="I1575" s="27" t="n">
        <x:f>IF(AND(ISNUMBER(G1575),ISNUMBER(H1575),H1575&gt;0),G1575/H1575-1,"")</x:f>
        <x:v>0</x:v>
      </x:c>
      <x:c r="J1575" s="27" t="n">
        <x:f>IF(AND(ISNUMBER(G1575),F1575&gt;0),G1575/F1575-1,"")</x:f>
        <x:v>0</x:v>
      </x:c>
      <x:c r="K1575" s="19" t="str">
        <x:v>Exp_5/EXP049/results/seed748076223_Fixed_rank_25.json</x:v>
      </x:c>
    </x:row>
    <x:row r="1576" ht="15" hidden="0" customHeight="1">
      <x:c r="A1576" s="3" t="str">
        <x:v>EXP049</x:v>
      </x:c>
      <x:c r="B1576" s="3" t="str">
        <x:v>Exp. 5</x:v>
      </x:c>
      <x:c r="C1576" s="18" t="n">
        <x:v>748076223</x:v>
      </x:c>
      <x:c r="D1576" s="3" t="str">
        <x:v>Relative cutoff 1e-6</x:v>
      </x:c>
      <x:c r="E1576" s="18" t="n">
        <x:v>200</x:v>
      </x:c>
      <x:c r="F1576" s="21" t="n">
        <x:v>225.88073074095072</x:v>
      </x:c>
      <x:c r="G1576" s="21" t="n">
        <x:f>F1571</x:f>
        <x:v>225.88073074095072</x:v>
      </x:c>
      <x:c r="H1576" s="21" t="n">
        <x:f>F1577</x:f>
        <x:v>225.88073074095072</x:v>
      </x:c>
      <x:c r="I1576" s="27" t="n">
        <x:f>IF(AND(ISNUMBER(G1576),ISNUMBER(H1576),H1576&gt;0),G1576/H1576-1,"")</x:f>
        <x:v>0</x:v>
      </x:c>
      <x:c r="J1576" s="27" t="n">
        <x:f>IF(AND(ISNUMBER(G1576),F1576&gt;0),G1576/F1576-1,"")</x:f>
        <x:v>0</x:v>
      </x:c>
      <x:c r="K1576" s="19" t="str">
        <x:v>Exp_5/EXP049/results/seed748076223_Relative_cutoff_1e-6.json</x:v>
      </x:c>
    </x:row>
    <x:row r="1577" ht="15" hidden="0" customHeight="1">
      <x:c r="A1577" s="3" t="str">
        <x:v>EXP049</x:v>
      </x:c>
      <x:c r="B1577" s="3" t="str">
        <x:v>Exp. 5</x:v>
      </x:c>
      <x:c r="C1577" s="18" t="n">
        <x:v>748076223</x:v>
      </x:c>
      <x:c r="D1577" s="3" t="str">
        <x:v>Full</x:v>
      </x:c>
      <x:c r="E1577" s="18" t="n">
        <x:v>200</x:v>
      </x:c>
      <x:c r="F1577" s="21" t="n">
        <x:v>225.88073074095072</x:v>
      </x:c>
      <x:c r="G1577" s="21" t="n">
        <x:f>F1571</x:f>
        <x:v>225.88073074095072</x:v>
      </x:c>
      <x:c r="H1577" s="21" t="n">
        <x:f>F1577</x:f>
        <x:v>225.88073074095072</x:v>
      </x:c>
      <x:c r="I1577" s="27" t="n">
        <x:f>IF(AND(ISNUMBER(G1577),ISNUMBER(H1577),H1577&gt;0),G1577/H1577-1,"")</x:f>
        <x:v>0</x:v>
      </x:c>
      <x:c r="J1577" s="27" t="n">
        <x:f>IF(AND(ISNUMBER(G1577),F1577&gt;0),G1577/F1577-1,"")</x:f>
        <x:v>0</x:v>
      </x:c>
      <x:c r="K1577" s="19" t="str">
        <x:v>Exp_5/EXP049/results/seed748076223_Full.json</x:v>
      </x:c>
    </x:row>
    <x:row r="1578" ht="15" hidden="0" customHeight="1">
      <x:c r="A1578" s="3" t="str">
        <x:v>EXP049</x:v>
      </x:c>
      <x:c r="B1578" s="3" t="str">
        <x:v>Exp. 5</x:v>
      </x:c>
      <x:c r="C1578" s="18" t="n">
        <x:v>748076223</x:v>
      </x:c>
      <x:c r="D1578" s="3" t="str">
        <x:v>GP-UCB (weighted sum)</x:v>
      </x:c>
      <x:c r="E1578" s="18" t="n">
        <x:v>200</x:v>
      </x:c>
      <x:c r="F1578" s="21" t="n">
        <x:v>455.87250809610777</x:v>
      </x:c>
      <x:c r="G1578" s="21" t="n">
        <x:f>F1571</x:f>
        <x:v>225.88073074095072</x:v>
      </x:c>
      <x:c r="H1578" s="21" t="n">
        <x:f>F1577</x:f>
        <x:v>225.88073074095072</x:v>
      </x:c>
      <x:c r="I1578" s="27" t="n">
        <x:f>IF(AND(ISNUMBER(G1578),ISNUMBER(H1578),H1578&gt;0),G1578/H1578-1,"")</x:f>
        <x:v>0</x:v>
      </x:c>
      <x:c r="J1578" s="27" t="n">
        <x:f>IF(AND(ISNUMBER(G1578),F1578&gt;0),G1578/F1578-1,"")</x:f>
        <x:v>-0.5045089872071641</x:v>
      </x:c>
      <x:c r="K1578" s="19" t="str">
        <x:v>Exp_5/EXP049/results/seed748076223_GP-UCB_weighted_sum.json</x:v>
      </x:c>
    </x:row>
    <x:row r="1579" ht="15" hidden="0" customHeight="1">
      <x:c r="A1579" s="3" t="str">
        <x:v>EXP049</x:v>
      </x:c>
      <x:c r="B1579" s="3" t="str">
        <x:v>Exp. 5</x:v>
      </x:c>
      <x:c r="C1579" s="18" t="n">
        <x:v>748076223</x:v>
      </x:c>
      <x:c r="D1579" s="3" t="str">
        <x:v>GP-UCB (product)</x:v>
      </x:c>
      <x:c r="E1579" s="18" t="n">
        <x:v>200</x:v>
      </x:c>
      <x:c r="F1579" s="21" t="n">
        <x:v>300.42047968432075</x:v>
      </x:c>
      <x:c r="G1579" s="21" t="n">
        <x:f>F1571</x:f>
        <x:v>225.88073074095072</x:v>
      </x:c>
      <x:c r="H1579" s="21" t="n">
        <x:f>F1577</x:f>
        <x:v>225.88073074095072</x:v>
      </x:c>
      <x:c r="I1579" s="27" t="n">
        <x:f>IF(AND(ISNUMBER(G1579),ISNUMBER(H1579),H1579&gt;0),G1579/H1579-1,"")</x:f>
        <x:v>0</x:v>
      </x:c>
      <x:c r="J1579" s="27" t="n">
        <x:f>IF(AND(ISNUMBER(G1579),F1579&gt;0),G1579/F1579-1,"")</x:f>
        <x:v>-0.24811806778850676</x:v>
      </x:c>
      <x:c r="K1579" s="19" t="str">
        <x:v>Exp_5/EXP049/results/seed748076223_GP-UCB_product.json</x:v>
      </x:c>
    </x:row>
    <x:row r="1580" ht="15" hidden="0" customHeight="1">
      <x:c r="A1580" s="3" t="str">
        <x:v>EXP049</x:v>
      </x:c>
      <x:c r="B1580" s="3" t="str">
        <x:v>Exp. 5</x:v>
      </x:c>
      <x:c r="C1580" s="18" t="n">
        <x:v>748076223</x:v>
      </x:c>
      <x:c r="D1580" s="3" t="str">
        <x:v>NeuralUCB</x:v>
      </x:c>
      <x:c r="E1580" s="18" t="n">
        <x:v>200</x:v>
      </x:c>
      <x:c r="F1580" s="21" t="n">
        <x:v>361.4734866459444</x:v>
      </x:c>
      <x:c r="G1580" s="21" t="n">
        <x:f>F1571</x:f>
        <x:v>225.88073074095072</x:v>
      </x:c>
      <x:c r="H1580" s="21" t="n">
        <x:f>F1577</x:f>
        <x:v>225.88073074095072</x:v>
      </x:c>
      <x:c r="I1580" s="27" t="n">
        <x:f>IF(AND(ISNUMBER(G1580),ISNUMBER(H1580),H1580&gt;0),G1580/H1580-1,"")</x:f>
        <x:v>0</x:v>
      </x:c>
      <x:c r="J1580" s="27" t="n">
        <x:f>IF(AND(ISNUMBER(G1580),F1580&gt;0),G1580/F1580-1,"")</x:f>
        <x:v>-0.3751112070850272</x:v>
      </x:c>
      <x:c r="K1580" s="19" t="str">
        <x:v>Exp_5/EXP049/results/seed748076223_NeuralUCB.json</x:v>
      </x:c>
    </x:row>
    <x:row r="1581" ht="15" hidden="0" customHeight="1">
      <x:c r="A1581" s="3" t="str">
        <x:v>EXP049</x:v>
      </x:c>
      <x:c r="B1581" s="3" t="str">
        <x:v>Exp. 5</x:v>
      </x:c>
      <x:c r="C1581" s="18" t="n">
        <x:v>748076223</x:v>
      </x:c>
      <x:c r="D1581" s="3" t="str">
        <x:v>NN-UCB</x:v>
      </x:c>
      <x:c r="E1581" s="18" t="n">
        <x:v>200</x:v>
      </x:c>
      <x:c r="F1581" s="21" t="n">
        <x:v>388.4455218468326</x:v>
      </x:c>
      <x:c r="G1581" s="21" t="n">
        <x:f>F1571</x:f>
        <x:v>225.88073074095072</x:v>
      </x:c>
      <x:c r="H1581" s="21" t="n">
        <x:f>F1577</x:f>
        <x:v>225.88073074095072</x:v>
      </x:c>
      <x:c r="I1581" s="27" t="n">
        <x:f>IF(AND(ISNUMBER(G1581),ISNUMBER(H1581),H1581&gt;0),G1581/H1581-1,"")</x:f>
        <x:v>0</x:v>
      </x:c>
      <x:c r="J1581" s="27" t="n">
        <x:f>IF(AND(ISNUMBER(G1581),F1581&gt;0),G1581/F1581-1,"")</x:f>
        <x:v>-0.41850087583190765</x:v>
      </x:c>
      <x:c r="K1581" s="19" t="str">
        <x:v>Exp_5/EXP049/results/seed748076223_NN-UCB.json</x:v>
      </x:c>
    </x:row>
    <x:row r="1582" ht="15" hidden="0" customHeight="1">
      <x:c r="A1582" s="3" t="str">
        <x:v>EXP049</x:v>
      </x:c>
      <x:c r="B1582" s="3" t="str">
        <x:v>Exp. 5</x:v>
      </x:c>
      <x:c r="C1582" s="18" t="n">
        <x:v>748076223</x:v>
      </x:c>
      <x:c r="D1582" s="3" t="str">
        <x:v>Relative cutoff 1e-2</x:v>
      </x:c>
      <x:c r="E1582" s="18" t="n">
        <x:v>200</x:v>
      </x:c>
      <x:c r="F1582" s="21" t="n">
        <x:v>246.31286132204096</x:v>
      </x:c>
      <x:c r="G1582" s="21" t="n">
        <x:f>F1571</x:f>
        <x:v>225.88073074095072</x:v>
      </x:c>
      <x:c r="H1582" s="21" t="n">
        <x:f>F1577</x:f>
        <x:v>225.88073074095072</x:v>
      </x:c>
      <x:c r="I1582" s="27" t="n">
        <x:f>IF(AND(ISNUMBER(G1582),ISNUMBER(H1582),H1582&gt;0),G1582/H1582-1,"")</x:f>
        <x:v>0</x:v>
      </x:c>
      <x:c r="J1582" s="27" t="n">
        <x:f>IF(AND(ISNUMBER(G1582),F1582&gt;0),G1582/F1582-1,"")</x:f>
        <x:v>-0.08295194360304359</x:v>
      </x:c>
      <x:c r="K1582" s="19" t="str">
        <x:v>Exp_5/EXP049/results/seed748076223_Relative_cutoff_1e-2.json</x:v>
      </x:c>
    </x:row>
    <x:row r="1583" ht="15" hidden="0" customHeight="1">
      <x:c r="A1583" s="3" t="str">
        <x:v>EXP049</x:v>
      </x:c>
      <x:c r="B1583" s="3" t="str">
        <x:v>Exp. 5</x:v>
      </x:c>
      <x:c r="C1583" s="18" t="n">
        <x:v>748076223</x:v>
      </x:c>
      <x:c r="D1583" s="3" t="str">
        <x:v>Relative cutoff 1e-4</x:v>
      </x:c>
      <x:c r="E1583" s="18" t="n">
        <x:v>200</x:v>
      </x:c>
      <x:c r="F1583" s="21" t="n">
        <x:v>225.88073074095072</x:v>
      </x:c>
      <x:c r="G1583" s="21" t="n">
        <x:f>F1571</x:f>
        <x:v>225.88073074095072</x:v>
      </x:c>
      <x:c r="H1583" s="21" t="n">
        <x:f>F1577</x:f>
        <x:v>225.88073074095072</x:v>
      </x:c>
      <x:c r="I1583" s="27" t="n">
        <x:f>IF(AND(ISNUMBER(G1583),ISNUMBER(H1583),H1583&gt;0),G1583/H1583-1,"")</x:f>
        <x:v>0</x:v>
      </x:c>
      <x:c r="J1583" s="27" t="n">
        <x:f>IF(AND(ISNUMBER(G1583),F1583&gt;0),G1583/F1583-1,"")</x:f>
        <x:v>0</x:v>
      </x:c>
      <x:c r="K1583" s="19" t="str">
        <x:v>Exp_5/EXP049/results/seed748076223_Relative_cutoff_1e-4.json</x:v>
      </x:c>
    </x:row>
    <x:row r="1584" ht="15" hidden="0" customHeight="1">
      <x:c r="A1584" s="3" t="str">
        <x:v>EXP049</x:v>
      </x:c>
      <x:c r="B1584" s="3" t="str">
        <x:v>Exp. 5</x:v>
      </x:c>
      <x:c r="C1584" s="18" t="n">
        <x:v>806884711</x:v>
      </x:c>
      <x:c r="D1584" s="3" t="str">
        <x:v>BBP</x:v>
      </x:c>
      <x:c r="E1584" s="18" t="n">
        <x:v>200</x:v>
      </x:c>
      <x:c r="F1584" s="21" t="n">
        <x:v>332.1614133923753</x:v>
      </x:c>
      <x:c r="G1584" s="21" t="n">
        <x:f>F1584</x:f>
        <x:v>332.1614133923753</x:v>
      </x:c>
      <x:c r="H1584" s="21" t="n">
        <x:f>F1590</x:f>
        <x:v>324.1486761028471</x:v>
      </x:c>
      <x:c r="I1584" s="27" t="n">
        <x:f>IF(AND(ISNUMBER(G1584),ISNUMBER(H1584),H1584&gt;0),G1584/H1584-1,"")</x:f>
        <x:v>0.024719327519282963</x:v>
      </x:c>
      <x:c r="J1584" s="27" t="n">
        <x:f>IF(AND(ISNUMBER(G1584),F1584&gt;0),G1584/F1584-1,"")</x:f>
        <x:v>0</x:v>
      </x:c>
      <x:c r="K1584" s="19" t="str">
        <x:v>Exp_5/EXP049/results/seed806884711_BBP.json</x:v>
      </x:c>
    </x:row>
    <x:row r="1585" ht="15" hidden="0" customHeight="1">
      <x:c r="A1585" s="3" t="str">
        <x:v>EXP049</x:v>
      </x:c>
      <x:c r="B1585" s="3" t="str">
        <x:v>Exp. 5</x:v>
      </x:c>
      <x:c r="C1585" s="18" t="n">
        <x:v>806884711</x:v>
      </x:c>
      <x:c r="D1585" s="3" t="str">
        <x:v>Relative cutoff 1e-5</x:v>
      </x:c>
      <x:c r="E1585" s="18" t="n">
        <x:v>200</x:v>
      </x:c>
      <x:c r="F1585" s="21" t="n">
        <x:v>324.1486761028471</x:v>
      </x:c>
      <x:c r="G1585" s="21" t="n">
        <x:f>F1584</x:f>
        <x:v>332.1614133923753</x:v>
      </x:c>
      <x:c r="H1585" s="21" t="n">
        <x:f>F1590</x:f>
        <x:v>324.1486761028471</x:v>
      </x:c>
      <x:c r="I1585" s="27" t="n">
        <x:f>IF(AND(ISNUMBER(G1585),ISNUMBER(H1585),H1585&gt;0),G1585/H1585-1,"")</x:f>
        <x:v>0.024719327519282963</x:v>
      </x:c>
      <x:c r="J1585" s="27" t="n">
        <x:f>IF(AND(ISNUMBER(G1585),F1585&gt;0),G1585/F1585-1,"")</x:f>
        <x:v>0.024719327519282963</x:v>
      </x:c>
      <x:c r="K1585" s="19" t="str">
        <x:v>Exp_5/EXP049/results/seed806884711_Relative_cutoff_1e-5.json</x:v>
      </x:c>
    </x:row>
    <x:row r="1586" ht="15" hidden="0" customHeight="1">
      <x:c r="A1586" s="3" t="str">
        <x:v>EXP049</x:v>
      </x:c>
      <x:c r="B1586" s="3" t="str">
        <x:v>Exp. 5</x:v>
      </x:c>
      <x:c r="C1586" s="18" t="n">
        <x:v>806884711</x:v>
      </x:c>
      <x:c r="D1586" s="3" t="str">
        <x:v>NN-AGP (m=7)</x:v>
      </x:c>
      <x:c r="E1586" s="18" t="n">
        <x:v>200</x:v>
      </x:c>
      <x:c r="F1586" s="21" t="n">
        <x:v>239.36877487538925</x:v>
      </x:c>
      <x:c r="G1586" s="21" t="n">
        <x:f>F1584</x:f>
        <x:v>332.1614133923753</x:v>
      </x:c>
      <x:c r="H1586" s="21" t="n">
        <x:f>F1590</x:f>
        <x:v>324.1486761028471</x:v>
      </x:c>
      <x:c r="I1586" s="27" t="n">
        <x:f>IF(AND(ISNUMBER(G1586),ISNUMBER(H1586),H1586&gt;0),G1586/H1586-1,"")</x:f>
        <x:v>0.024719327519282963</x:v>
      </x:c>
      <x:c r="J1586" s="27" t="n">
        <x:f>IF(AND(ISNUMBER(G1586),F1586&gt;0),G1586/F1586-1,"")</x:f>
        <x:v>0.38765556854812044</x:v>
      </x:c>
      <x:c r="K1586" s="19" t="str">
        <x:v>Exp_5/EXP049/results/seed806884711_NN-AGP_m_7.json</x:v>
      </x:c>
    </x:row>
    <x:row r="1587" ht="15" hidden="0" customHeight="1">
      <x:c r="A1587" s="3" t="str">
        <x:v>EXP049</x:v>
      </x:c>
      <x:c r="B1587" s="3" t="str">
        <x:v>Exp. 5</x:v>
      </x:c>
      <x:c r="C1587" s="18" t="n">
        <x:v>806884711</x:v>
      </x:c>
      <x:c r="D1587" s="3" t="str">
        <x:v>Fixed rank 10</x:v>
      </x:c>
      <x:c r="E1587" s="18" t="n">
        <x:v>200</x:v>
      </x:c>
      <x:c r="F1587" s="21" t="n">
        <x:v>310.6781346404207</x:v>
      </x:c>
      <x:c r="G1587" s="21" t="n">
        <x:f>F1584</x:f>
        <x:v>332.1614133923753</x:v>
      </x:c>
      <x:c r="H1587" s="21" t="n">
        <x:f>F1590</x:f>
        <x:v>324.1486761028471</x:v>
      </x:c>
      <x:c r="I1587" s="27" t="n">
        <x:f>IF(AND(ISNUMBER(G1587),ISNUMBER(H1587),H1587&gt;0),G1587/H1587-1,"")</x:f>
        <x:v>0.024719327519282963</x:v>
      </x:c>
      <x:c r="J1587" s="27" t="n">
        <x:f>IF(AND(ISNUMBER(G1587),F1587&gt;0),G1587/F1587-1,"")</x:f>
        <x:v>0.06914963222892845</x:v>
      </x:c>
      <x:c r="K1587" s="19" t="str">
        <x:v>Exp_5/EXP049/results/seed806884711_Fixed_rank_10.json</x:v>
      </x:c>
    </x:row>
    <x:row r="1588" ht="15" hidden="0" customHeight="1">
      <x:c r="A1588" s="3" t="str">
        <x:v>EXP049</x:v>
      </x:c>
      <x:c r="B1588" s="3" t="str">
        <x:v>Exp. 5</x:v>
      </x:c>
      <x:c r="C1588" s="18" t="n">
        <x:v>806884711</x:v>
      </x:c>
      <x:c r="D1588" s="3" t="str">
        <x:v>Fixed rank 25</x:v>
      </x:c>
      <x:c r="E1588" s="18" t="n">
        <x:v>200</x:v>
      </x:c>
      <x:c r="F1588" s="21" t="n">
        <x:v>332.1614133923753</x:v>
      </x:c>
      <x:c r="G1588" s="21" t="n">
        <x:f>F1584</x:f>
        <x:v>332.1614133923753</x:v>
      </x:c>
      <x:c r="H1588" s="21" t="n">
        <x:f>F1590</x:f>
        <x:v>324.1486761028471</x:v>
      </x:c>
      <x:c r="I1588" s="27" t="n">
        <x:f>IF(AND(ISNUMBER(G1588),ISNUMBER(H1588),H1588&gt;0),G1588/H1588-1,"")</x:f>
        <x:v>0.024719327519282963</x:v>
      </x:c>
      <x:c r="J1588" s="27" t="n">
        <x:f>IF(AND(ISNUMBER(G1588),F1588&gt;0),G1588/F1588-1,"")</x:f>
        <x:v>0</x:v>
      </x:c>
      <x:c r="K1588" s="19" t="str">
        <x:v>Exp_5/EXP049/results/seed806884711_Fixed_rank_25.json</x:v>
      </x:c>
    </x:row>
    <x:row r="1589" ht="15" hidden="0" customHeight="1">
      <x:c r="A1589" s="3" t="str">
        <x:v>EXP049</x:v>
      </x:c>
      <x:c r="B1589" s="3" t="str">
        <x:v>Exp. 5</x:v>
      </x:c>
      <x:c r="C1589" s="18" t="n">
        <x:v>806884711</x:v>
      </x:c>
      <x:c r="D1589" s="3" t="str">
        <x:v>Relative cutoff 1e-6</x:v>
      </x:c>
      <x:c r="E1589" s="18" t="n">
        <x:v>200</x:v>
      </x:c>
      <x:c r="F1589" s="21" t="n">
        <x:v>324.1486761028471</x:v>
      </x:c>
      <x:c r="G1589" s="21" t="n">
        <x:f>F1584</x:f>
        <x:v>332.1614133923753</x:v>
      </x:c>
      <x:c r="H1589" s="21" t="n">
        <x:f>F1590</x:f>
        <x:v>324.1486761028471</x:v>
      </x:c>
      <x:c r="I1589" s="27" t="n">
        <x:f>IF(AND(ISNUMBER(G1589),ISNUMBER(H1589),H1589&gt;0),G1589/H1589-1,"")</x:f>
        <x:v>0.024719327519282963</x:v>
      </x:c>
      <x:c r="J1589" s="27" t="n">
        <x:f>IF(AND(ISNUMBER(G1589),F1589&gt;0),G1589/F1589-1,"")</x:f>
        <x:v>0.024719327519282963</x:v>
      </x:c>
      <x:c r="K1589" s="19" t="str">
        <x:v>Exp_5/EXP049/results/seed806884711_Relative_cutoff_1e-6.json</x:v>
      </x:c>
    </x:row>
    <x:row r="1590" ht="15" hidden="0" customHeight="1">
      <x:c r="A1590" s="3" t="str">
        <x:v>EXP049</x:v>
      </x:c>
      <x:c r="B1590" s="3" t="str">
        <x:v>Exp. 5</x:v>
      </x:c>
      <x:c r="C1590" s="18" t="n">
        <x:v>806884711</x:v>
      </x:c>
      <x:c r="D1590" s="3" t="str">
        <x:v>Full</x:v>
      </x:c>
      <x:c r="E1590" s="18" t="n">
        <x:v>200</x:v>
      </x:c>
      <x:c r="F1590" s="21" t="n">
        <x:v>324.1486761028471</x:v>
      </x:c>
      <x:c r="G1590" s="21" t="n">
        <x:f>F1584</x:f>
        <x:v>332.1614133923753</x:v>
      </x:c>
      <x:c r="H1590" s="21" t="n">
        <x:f>F1590</x:f>
        <x:v>324.1486761028471</x:v>
      </x:c>
      <x:c r="I1590" s="27" t="n">
        <x:f>IF(AND(ISNUMBER(G1590),ISNUMBER(H1590),H1590&gt;0),G1590/H1590-1,"")</x:f>
        <x:v>0.024719327519282963</x:v>
      </x:c>
      <x:c r="J1590" s="27" t="n">
        <x:f>IF(AND(ISNUMBER(G1590),F1590&gt;0),G1590/F1590-1,"")</x:f>
        <x:v>0.024719327519282963</x:v>
      </x:c>
      <x:c r="K1590" s="19" t="str">
        <x:v>Exp_5/EXP049/results/seed806884711_Full.json</x:v>
      </x:c>
    </x:row>
    <x:row r="1591" ht="15" hidden="0" customHeight="1">
      <x:c r="A1591" s="3" t="str">
        <x:v>EXP049</x:v>
      </x:c>
      <x:c r="B1591" s="3" t="str">
        <x:v>Exp. 5</x:v>
      </x:c>
      <x:c r="C1591" s="18" t="n">
        <x:v>806884711</x:v>
      </x:c>
      <x:c r="D1591" s="3" t="str">
        <x:v>GP-UCB (weighted sum)</x:v>
      </x:c>
      <x:c r="E1591" s="18" t="n">
        <x:v>200</x:v>
      </x:c>
      <x:c r="F1591" s="21" t="n">
        <x:v>426.5333357582569</x:v>
      </x:c>
      <x:c r="G1591" s="21" t="n">
        <x:f>F1584</x:f>
        <x:v>332.1614133923753</x:v>
      </x:c>
      <x:c r="H1591" s="21" t="n">
        <x:f>F1590</x:f>
        <x:v>324.1486761028471</x:v>
      </x:c>
      <x:c r="I1591" s="27" t="n">
        <x:f>IF(AND(ISNUMBER(G1591),ISNUMBER(H1591),H1591&gt;0),G1591/H1591-1,"")</x:f>
        <x:v>0.024719327519282963</x:v>
      </x:c>
      <x:c r="J1591" s="27" t="n">
        <x:f>IF(AND(ISNUMBER(G1591),F1591&gt;0),G1591/F1591-1,"")</x:f>
        <x:v>-0.221253333454265</x:v>
      </x:c>
      <x:c r="K1591" s="19" t="str">
        <x:v>Exp_5/EXP049/results/seed806884711_GP-UCB_weighted_sum.json</x:v>
      </x:c>
    </x:row>
    <x:row r="1592" ht="15" hidden="0" customHeight="1">
      <x:c r="A1592" s="3" t="str">
        <x:v>EXP049</x:v>
      </x:c>
      <x:c r="B1592" s="3" t="str">
        <x:v>Exp. 5</x:v>
      </x:c>
      <x:c r="C1592" s="18" t="n">
        <x:v>806884711</x:v>
      </x:c>
      <x:c r="D1592" s="3" t="str">
        <x:v>GP-UCB (product)</x:v>
      </x:c>
      <x:c r="E1592" s="18" t="n">
        <x:v>200</x:v>
      </x:c>
      <x:c r="F1592" s="21" t="n">
        <x:v>334.5829355858688</x:v>
      </x:c>
      <x:c r="G1592" s="21" t="n">
        <x:f>F1584</x:f>
        <x:v>332.1614133923753</x:v>
      </x:c>
      <x:c r="H1592" s="21" t="n">
        <x:f>F1590</x:f>
        <x:v>324.1486761028471</x:v>
      </x:c>
      <x:c r="I1592" s="27" t="n">
        <x:f>IF(AND(ISNUMBER(G1592),ISNUMBER(H1592),H1592&gt;0),G1592/H1592-1,"")</x:f>
        <x:v>0.024719327519282963</x:v>
      </x:c>
      <x:c r="J1592" s="27" t="n">
        <x:f>IF(AND(ISNUMBER(G1592),F1592&gt;0),G1592/F1592-1,"")</x:f>
        <x:v>-0.007237434835860146</x:v>
      </x:c>
      <x:c r="K1592" s="19" t="str">
        <x:v>Exp_5/EXP049/results/seed806884711_GP-UCB_product.json</x:v>
      </x:c>
    </x:row>
    <x:row r="1593" ht="15" hidden="0" customHeight="1">
      <x:c r="A1593" s="3" t="str">
        <x:v>EXP049</x:v>
      </x:c>
      <x:c r="B1593" s="3" t="str">
        <x:v>Exp. 5</x:v>
      </x:c>
      <x:c r="C1593" s="18" t="n">
        <x:v>806884711</x:v>
      </x:c>
      <x:c r="D1593" s="3" t="str">
        <x:v>NeuralUCB</x:v>
      </x:c>
      <x:c r="E1593" s="18" t="n">
        <x:v>200</x:v>
      </x:c>
      <x:c r="F1593" s="21" t="n">
        <x:v>426.02478400248077</x:v>
      </x:c>
      <x:c r="G1593" s="21" t="n">
        <x:f>F1584</x:f>
        <x:v>332.1614133923753</x:v>
      </x:c>
      <x:c r="H1593" s="21" t="n">
        <x:f>F1590</x:f>
        <x:v>324.1486761028471</x:v>
      </x:c>
      <x:c r="I1593" s="27" t="n">
        <x:f>IF(AND(ISNUMBER(G1593),ISNUMBER(H1593),H1593&gt;0),G1593/H1593-1,"")</x:f>
        <x:v>0.024719327519282963</x:v>
      </x:c>
      <x:c r="J1593" s="27" t="n">
        <x:f>IF(AND(ISNUMBER(G1593),F1593&gt;0),G1593/F1593-1,"")</x:f>
        <x:v>-0.2203237326435893</x:v>
      </x:c>
      <x:c r="K1593" s="19" t="str">
        <x:v>Exp_5/EXP049/results/seed806884711_NeuralUCB.json</x:v>
      </x:c>
    </x:row>
    <x:row r="1594" ht="15" hidden="0" customHeight="1">
      <x:c r="A1594" s="3" t="str">
        <x:v>EXP049</x:v>
      </x:c>
      <x:c r="B1594" s="3" t="str">
        <x:v>Exp. 5</x:v>
      </x:c>
      <x:c r="C1594" s="18" t="n">
        <x:v>806884711</x:v>
      </x:c>
      <x:c r="D1594" s="3" t="str">
        <x:v>NN-UCB</x:v>
      </x:c>
      <x:c r="E1594" s="18" t="n">
        <x:v>200</x:v>
      </x:c>
      <x:c r="F1594" s="21" t="n">
        <x:v>444.7687640384071</x:v>
      </x:c>
      <x:c r="G1594" s="21" t="n">
        <x:f>F1584</x:f>
        <x:v>332.1614133923753</x:v>
      </x:c>
      <x:c r="H1594" s="21" t="n">
        <x:f>F1590</x:f>
        <x:v>324.1486761028471</x:v>
      </x:c>
      <x:c r="I1594" s="27" t="n">
        <x:f>IF(AND(ISNUMBER(G1594),ISNUMBER(H1594),H1594&gt;0),G1594/H1594-1,"")</x:f>
        <x:v>0.024719327519282963</x:v>
      </x:c>
      <x:c r="J1594" s="27" t="n">
        <x:f>IF(AND(ISNUMBER(G1594),F1594&gt;0),G1594/F1594-1,"")</x:f>
        <x:v>-0.25318178737099395</x:v>
      </x:c>
      <x:c r="K1594" s="19" t="str">
        <x:v>Exp_5/EXP049/results/seed806884711_NN-UCB.json</x:v>
      </x:c>
    </x:row>
    <x:row r="1595" ht="15" hidden="0" customHeight="1">
      <x:c r="A1595" s="3" t="str">
        <x:v>EXP049</x:v>
      </x:c>
      <x:c r="B1595" s="3" t="str">
        <x:v>Exp. 5</x:v>
      </x:c>
      <x:c r="C1595" s="18" t="n">
        <x:v>806884711</x:v>
      </x:c>
      <x:c r="D1595" s="3" t="str">
        <x:v>Relative cutoff 1e-2</x:v>
      </x:c>
      <x:c r="E1595" s="18" t="n">
        <x:v>200</x:v>
      </x:c>
      <x:c r="F1595" s="21" t="n">
        <x:v>322.60885817006346</x:v>
      </x:c>
      <x:c r="G1595" s="21" t="n">
        <x:f>F1584</x:f>
        <x:v>332.1614133923753</x:v>
      </x:c>
      <x:c r="H1595" s="21" t="n">
        <x:f>F1590</x:f>
        <x:v>324.1486761028471</x:v>
      </x:c>
      <x:c r="I1595" s="27" t="n">
        <x:f>IF(AND(ISNUMBER(G1595),ISNUMBER(H1595),H1595&gt;0),G1595/H1595-1,"")</x:f>
        <x:v>0.024719327519282963</x:v>
      </x:c>
      <x:c r="J1595" s="27" t="n">
        <x:f>IF(AND(ISNUMBER(G1595),F1595&gt;0),G1595/F1595-1,"")</x:f>
        <x:v>0.029610331459889006</x:v>
      </x:c>
      <x:c r="K1595" s="19" t="str">
        <x:v>Exp_5/EXP049/results/seed806884711_Relative_cutoff_1e-2.json</x:v>
      </x:c>
    </x:row>
    <x:row r="1596" ht="15" hidden="0" customHeight="1">
      <x:c r="A1596" s="3" t="str">
        <x:v>EXP049</x:v>
      </x:c>
      <x:c r="B1596" s="3" t="str">
        <x:v>Exp. 5</x:v>
      </x:c>
      <x:c r="C1596" s="18" t="n">
        <x:v>806884711</x:v>
      </x:c>
      <x:c r="D1596" s="3" t="str">
        <x:v>Relative cutoff 1e-4</x:v>
      </x:c>
      <x:c r="E1596" s="18" t="n">
        <x:v>200</x:v>
      </x:c>
      <x:c r="F1596" s="21" t="n">
        <x:v>325.54302649144364</x:v>
      </x:c>
      <x:c r="G1596" s="21" t="n">
        <x:f>F1584</x:f>
        <x:v>332.1614133923753</x:v>
      </x:c>
      <x:c r="H1596" s="21" t="n">
        <x:f>F1590</x:f>
        <x:v>324.1486761028471</x:v>
      </x:c>
      <x:c r="I1596" s="27" t="n">
        <x:f>IF(AND(ISNUMBER(G1596),ISNUMBER(H1596),H1596&gt;0),G1596/H1596-1,"")</x:f>
        <x:v>0.024719327519282963</x:v>
      </x:c>
      <x:c r="J1596" s="27" t="n">
        <x:f>IF(AND(ISNUMBER(G1596),F1596&gt;0),G1596/F1596-1,"")</x:f>
        <x:v>0.020330298493141274</x:v>
      </x:c>
      <x:c r="K1596" s="19" t="str">
        <x:v>Exp_5/EXP049/results/seed806884711_Relative_cutoff_1e-4.json</x:v>
      </x:c>
    </x:row>
    <x:row r="1597" ht="15" hidden="0" customHeight="1">
      <x:c r="A1597" s="3" t="str">
        <x:v>EXP049</x:v>
      </x:c>
      <x:c r="B1597" s="3" t="str">
        <x:v>Exp. 5</x:v>
      </x:c>
      <x:c r="C1597" s="18" t="n">
        <x:v>954779777</x:v>
      </x:c>
      <x:c r="D1597" s="3" t="str">
        <x:v>BBP</x:v>
      </x:c>
      <x:c r="E1597" s="18" t="n">
        <x:v>200</x:v>
      </x:c>
      <x:c r="F1597" s="21" t="n">
        <x:v>268.90786244242713</x:v>
      </x:c>
      <x:c r="G1597" s="21" t="n">
        <x:f>F1597</x:f>
        <x:v>268.90786244242713</x:v>
      </x:c>
      <x:c r="H1597" s="21" t="n">
        <x:f>F1603</x:f>
        <x:v>266.2553107617267</x:v>
      </x:c>
      <x:c r="I1597" s="27" t="n">
        <x:f>IF(AND(ISNUMBER(G1597),ISNUMBER(H1597),H1597&gt;0),G1597/H1597-1,"")</x:f>
        <x:v>0.009962436704499034</x:v>
      </x:c>
      <x:c r="J1597" s="27" t="n">
        <x:f>IF(AND(ISNUMBER(G1597),F1597&gt;0),G1597/F1597-1,"")</x:f>
        <x:v>0</x:v>
      </x:c>
      <x:c r="K1597" s="19" t="str">
        <x:v>Exp_5/EXP049/results/seed954779777_BBP.json</x:v>
      </x:c>
    </x:row>
    <x:row r="1598" ht="15" hidden="0" customHeight="1">
      <x:c r="A1598" s="3" t="str">
        <x:v>EXP049</x:v>
      </x:c>
      <x:c r="B1598" s="3" t="str">
        <x:v>Exp. 5</x:v>
      </x:c>
      <x:c r="C1598" s="18" t="n">
        <x:v>954779777</x:v>
      </x:c>
      <x:c r="D1598" s="3" t="str">
        <x:v>Relative cutoff 1e-5</x:v>
      </x:c>
      <x:c r="E1598" s="18" t="n">
        <x:v>200</x:v>
      </x:c>
      <x:c r="F1598" s="21" t="n">
        <x:v>266.2553107617267</x:v>
      </x:c>
      <x:c r="G1598" s="21" t="n">
        <x:f>F1597</x:f>
        <x:v>268.90786244242713</x:v>
      </x:c>
      <x:c r="H1598" s="21" t="n">
        <x:f>F1603</x:f>
        <x:v>266.2553107617267</x:v>
      </x:c>
      <x:c r="I1598" s="27" t="n">
        <x:f>IF(AND(ISNUMBER(G1598),ISNUMBER(H1598),H1598&gt;0),G1598/H1598-1,"")</x:f>
        <x:v>0.009962436704499034</x:v>
      </x:c>
      <x:c r="J1598" s="27" t="n">
        <x:f>IF(AND(ISNUMBER(G1598),F1598&gt;0),G1598/F1598-1,"")</x:f>
        <x:v>0.009962436704499034</x:v>
      </x:c>
      <x:c r="K1598" s="19" t="str">
        <x:v>Exp_5/EXP049/results/seed954779777_Relative_cutoff_1e-5.json</x:v>
      </x:c>
    </x:row>
    <x:row r="1599" ht="15" hidden="0" customHeight="1">
      <x:c r="A1599" s="3" t="str">
        <x:v>EXP049</x:v>
      </x:c>
      <x:c r="B1599" s="3" t="str">
        <x:v>Exp. 5</x:v>
      </x:c>
      <x:c r="C1599" s="18" t="n">
        <x:v>954779777</x:v>
      </x:c>
      <x:c r="D1599" s="3" t="str">
        <x:v>NN-AGP (m=7)</x:v>
      </x:c>
      <x:c r="E1599" s="18" t="n">
        <x:v>200</x:v>
      </x:c>
      <x:c r="F1599" s="21" t="n">
        <x:v>191.40505114235054</x:v>
      </x:c>
      <x:c r="G1599" s="21" t="n">
        <x:f>F1597</x:f>
        <x:v>268.90786244242713</x:v>
      </x:c>
      <x:c r="H1599" s="21" t="n">
        <x:f>F1603</x:f>
        <x:v>266.2553107617267</x:v>
      </x:c>
      <x:c r="I1599" s="27" t="n">
        <x:f>IF(AND(ISNUMBER(G1599),ISNUMBER(H1599),H1599&gt;0),G1599/H1599-1,"")</x:f>
        <x:v>0.009962436704499034</x:v>
      </x:c>
      <x:c r="J1599" s="27" t="n">
        <x:f>IF(AND(ISNUMBER(G1599),F1599&gt;0),G1599/F1599-1,"")</x:f>
        <x:v>0.40491518294591233</x:v>
      </x:c>
      <x:c r="K1599" s="19" t="str">
        <x:v>Exp_5/EXP049/results/seed954779777_NN-AGP_m_7.json</x:v>
      </x:c>
    </x:row>
    <x:row r="1600" ht="15" hidden="0" customHeight="1">
      <x:c r="A1600" s="3" t="str">
        <x:v>EXP049</x:v>
      </x:c>
      <x:c r="B1600" s="3" t="str">
        <x:v>Exp. 5</x:v>
      </x:c>
      <x:c r="C1600" s="18" t="n">
        <x:v>954779777</x:v>
      </x:c>
      <x:c r="D1600" s="3" t="str">
        <x:v>Fixed rank 10</x:v>
      </x:c>
      <x:c r="E1600" s="18" t="n">
        <x:v>200</x:v>
      </x:c>
      <x:c r="F1600" s="21" t="n">
        <x:v>268.90786244242713</x:v>
      </x:c>
      <x:c r="G1600" s="21" t="n">
        <x:f>F1597</x:f>
        <x:v>268.90786244242713</x:v>
      </x:c>
      <x:c r="H1600" s="21" t="n">
        <x:f>F1603</x:f>
        <x:v>266.2553107617267</x:v>
      </x:c>
      <x:c r="I1600" s="27" t="n">
        <x:f>IF(AND(ISNUMBER(G1600),ISNUMBER(H1600),H1600&gt;0),G1600/H1600-1,"")</x:f>
        <x:v>0.009962436704499034</x:v>
      </x:c>
      <x:c r="J1600" s="27" t="n">
        <x:f>IF(AND(ISNUMBER(G1600),F1600&gt;0),G1600/F1600-1,"")</x:f>
        <x:v>0</x:v>
      </x:c>
      <x:c r="K1600" s="19" t="str">
        <x:v>Exp_5/EXP049/results/seed954779777_Fixed_rank_10.json</x:v>
      </x:c>
    </x:row>
    <x:row r="1601" ht="15" hidden="0" customHeight="1">
      <x:c r="A1601" s="3" t="str">
        <x:v>EXP049</x:v>
      </x:c>
      <x:c r="B1601" s="3" t="str">
        <x:v>Exp. 5</x:v>
      </x:c>
      <x:c r="C1601" s="18" t="n">
        <x:v>954779777</x:v>
      </x:c>
      <x:c r="D1601" s="3" t="str">
        <x:v>Fixed rank 25</x:v>
      </x:c>
      <x:c r="E1601" s="18" t="n">
        <x:v>200</x:v>
      </x:c>
      <x:c r="F1601" s="21" t="n">
        <x:v>266.2553107617267</x:v>
      </x:c>
      <x:c r="G1601" s="21" t="n">
        <x:f>F1597</x:f>
        <x:v>268.90786244242713</x:v>
      </x:c>
      <x:c r="H1601" s="21" t="n">
        <x:f>F1603</x:f>
        <x:v>266.2553107617267</x:v>
      </x:c>
      <x:c r="I1601" s="27" t="n">
        <x:f>IF(AND(ISNUMBER(G1601),ISNUMBER(H1601),H1601&gt;0),G1601/H1601-1,"")</x:f>
        <x:v>0.009962436704499034</x:v>
      </x:c>
      <x:c r="J1601" s="27" t="n">
        <x:f>IF(AND(ISNUMBER(G1601),F1601&gt;0),G1601/F1601-1,"")</x:f>
        <x:v>0.009962436704499034</x:v>
      </x:c>
      <x:c r="K1601" s="19" t="str">
        <x:v>Exp_5/EXP049/results/seed954779777_Fixed_rank_25.json</x:v>
      </x:c>
    </x:row>
    <x:row r="1602" ht="15" hidden="0" customHeight="1">
      <x:c r="A1602" s="3" t="str">
        <x:v>EXP049</x:v>
      </x:c>
      <x:c r="B1602" s="3" t="str">
        <x:v>Exp. 5</x:v>
      </x:c>
      <x:c r="C1602" s="18" t="n">
        <x:v>954779777</x:v>
      </x:c>
      <x:c r="D1602" s="3" t="str">
        <x:v>Relative cutoff 1e-6</x:v>
      </x:c>
      <x:c r="E1602" s="18" t="n">
        <x:v>200</x:v>
      </x:c>
      <x:c r="F1602" s="21" t="n">
        <x:v>266.2553107617267</x:v>
      </x:c>
      <x:c r="G1602" s="21" t="n">
        <x:f>F1597</x:f>
        <x:v>268.90786244242713</x:v>
      </x:c>
      <x:c r="H1602" s="21" t="n">
        <x:f>F1603</x:f>
        <x:v>266.2553107617267</x:v>
      </x:c>
      <x:c r="I1602" s="27" t="n">
        <x:f>IF(AND(ISNUMBER(G1602),ISNUMBER(H1602),H1602&gt;0),G1602/H1602-1,"")</x:f>
        <x:v>0.009962436704499034</x:v>
      </x:c>
      <x:c r="J1602" s="27" t="n">
        <x:f>IF(AND(ISNUMBER(G1602),F1602&gt;0),G1602/F1602-1,"")</x:f>
        <x:v>0.009962436704499034</x:v>
      </x:c>
      <x:c r="K1602" s="19" t="str">
        <x:v>Exp_5/EXP049/results/seed954779777_Relative_cutoff_1e-6.json</x:v>
      </x:c>
    </x:row>
    <x:row r="1603" ht="15" hidden="0" customHeight="1">
      <x:c r="A1603" s="3" t="str">
        <x:v>EXP049</x:v>
      </x:c>
      <x:c r="B1603" s="3" t="str">
        <x:v>Exp. 5</x:v>
      </x:c>
      <x:c r="C1603" s="18" t="n">
        <x:v>954779777</x:v>
      </x:c>
      <x:c r="D1603" s="3" t="str">
        <x:v>Full</x:v>
      </x:c>
      <x:c r="E1603" s="18" t="n">
        <x:v>200</x:v>
      </x:c>
      <x:c r="F1603" s="21" t="n">
        <x:v>266.2553107617267</x:v>
      </x:c>
      <x:c r="G1603" s="21" t="n">
        <x:f>F1597</x:f>
        <x:v>268.90786244242713</x:v>
      </x:c>
      <x:c r="H1603" s="21" t="n">
        <x:f>F1603</x:f>
        <x:v>266.2553107617267</x:v>
      </x:c>
      <x:c r="I1603" s="27" t="n">
        <x:f>IF(AND(ISNUMBER(G1603),ISNUMBER(H1603),H1603&gt;0),G1603/H1603-1,"")</x:f>
        <x:v>0.009962436704499034</x:v>
      </x:c>
      <x:c r="J1603" s="27" t="n">
        <x:f>IF(AND(ISNUMBER(G1603),F1603&gt;0),G1603/F1603-1,"")</x:f>
        <x:v>0.009962436704499034</x:v>
      </x:c>
      <x:c r="K1603" s="19" t="str">
        <x:v>Exp_5/EXP049/results/seed954779777_Full.json</x:v>
      </x:c>
    </x:row>
    <x:row r="1604" ht="15" hidden="0" customHeight="1">
      <x:c r="A1604" s="3" t="str">
        <x:v>EXP049</x:v>
      </x:c>
      <x:c r="B1604" s="3" t="str">
        <x:v>Exp. 5</x:v>
      </x:c>
      <x:c r="C1604" s="18" t="n">
        <x:v>954779777</x:v>
      </x:c>
      <x:c r="D1604" s="3" t="str">
        <x:v>GP-UCB (weighted sum)</x:v>
      </x:c>
      <x:c r="E1604" s="18" t="n">
        <x:v>200</x:v>
      </x:c>
      <x:c r="F1604" s="21" t="n">
        <x:v>438.86205854300965</x:v>
      </x:c>
      <x:c r="G1604" s="21" t="n">
        <x:f>F1597</x:f>
        <x:v>268.90786244242713</x:v>
      </x:c>
      <x:c r="H1604" s="21" t="n">
        <x:f>F1603</x:f>
        <x:v>266.2553107617267</x:v>
      </x:c>
      <x:c r="I1604" s="27" t="n">
        <x:f>IF(AND(ISNUMBER(G1604),ISNUMBER(H1604),H1604&gt;0),G1604/H1604-1,"")</x:f>
        <x:v>0.009962436704499034</x:v>
      </x:c>
      <x:c r="J1604" s="27" t="n">
        <x:f>IF(AND(ISNUMBER(G1604),F1604&gt;0),G1604/F1604-1,"")</x:f>
        <x:v>-0.38726108304923457</x:v>
      </x:c>
      <x:c r="K1604" s="19" t="str">
        <x:v>Exp_5/EXP049/results/seed954779777_GP-UCB_weighted_sum.json</x:v>
      </x:c>
    </x:row>
    <x:row r="1605" ht="15" hidden="0" customHeight="1">
      <x:c r="A1605" s="3" t="str">
        <x:v>EXP049</x:v>
      </x:c>
      <x:c r="B1605" s="3" t="str">
        <x:v>Exp. 5</x:v>
      </x:c>
      <x:c r="C1605" s="18" t="n">
        <x:v>954779777</x:v>
      </x:c>
      <x:c r="D1605" s="3" t="str">
        <x:v>GP-UCB (product)</x:v>
      </x:c>
      <x:c r="E1605" s="18" t="n">
        <x:v>200</x:v>
      </x:c>
      <x:c r="F1605" s="21" t="n">
        <x:v>323.86522745444967</x:v>
      </x:c>
      <x:c r="G1605" s="21" t="n">
        <x:f>F1597</x:f>
        <x:v>268.90786244242713</x:v>
      </x:c>
      <x:c r="H1605" s="21" t="n">
        <x:f>F1603</x:f>
        <x:v>266.2553107617267</x:v>
      </x:c>
      <x:c r="I1605" s="27" t="n">
        <x:f>IF(AND(ISNUMBER(G1605),ISNUMBER(H1605),H1605&gt;0),G1605/H1605-1,"")</x:f>
        <x:v>0.009962436704499034</x:v>
      </x:c>
      <x:c r="J1605" s="27" t="n">
        <x:f>IF(AND(ISNUMBER(G1605),F1605&gt;0),G1605/F1605-1,"")</x:f>
        <x:v>-0.16969208285799087</x:v>
      </x:c>
      <x:c r="K1605" s="19" t="str">
        <x:v>Exp_5/EXP049/results/seed954779777_GP-UCB_product.json</x:v>
      </x:c>
    </x:row>
    <x:row r="1606" ht="15" hidden="0" customHeight="1">
      <x:c r="A1606" s="3" t="str">
        <x:v>EXP049</x:v>
      </x:c>
      <x:c r="B1606" s="3" t="str">
        <x:v>Exp. 5</x:v>
      </x:c>
      <x:c r="C1606" s="18" t="n">
        <x:v>954779777</x:v>
      </x:c>
      <x:c r="D1606" s="3" t="str">
        <x:v>NeuralUCB</x:v>
      </x:c>
      <x:c r="E1606" s="18" t="n">
        <x:v>200</x:v>
      </x:c>
      <x:c r="F1606" s="21" t="n">
        <x:v>437.6086116535146</x:v>
      </x:c>
      <x:c r="G1606" s="21" t="n">
        <x:f>F1597</x:f>
        <x:v>268.90786244242713</x:v>
      </x:c>
      <x:c r="H1606" s="21" t="n">
        <x:f>F1603</x:f>
        <x:v>266.2553107617267</x:v>
      </x:c>
      <x:c r="I1606" s="27" t="n">
        <x:f>IF(AND(ISNUMBER(G1606),ISNUMBER(H1606),H1606&gt;0),G1606/H1606-1,"")</x:f>
        <x:v>0.009962436704499034</x:v>
      </x:c>
      <x:c r="J1606" s="27" t="n">
        <x:f>IF(AND(ISNUMBER(G1606),F1606&gt;0),G1606/F1606-1,"")</x:f>
        <x:v>-0.38550600860812045</x:v>
      </x:c>
      <x:c r="K1606" s="19" t="str">
        <x:v>Exp_5/EXP049/results/seed954779777_NeuralUCB.json</x:v>
      </x:c>
    </x:row>
    <x:row r="1607" ht="15" hidden="0" customHeight="1">
      <x:c r="A1607" s="3" t="str">
        <x:v>EXP049</x:v>
      </x:c>
      <x:c r="B1607" s="3" t="str">
        <x:v>Exp. 5</x:v>
      </x:c>
      <x:c r="C1607" s="18" t="n">
        <x:v>954779777</x:v>
      </x:c>
      <x:c r="D1607" s="3" t="str">
        <x:v>NN-UCB</x:v>
      </x:c>
      <x:c r="E1607" s="18" t="n">
        <x:v>200</x:v>
      </x:c>
      <x:c r="F1607" s="21" t="n">
        <x:v>400.7584805188889</x:v>
      </x:c>
      <x:c r="G1607" s="21" t="n">
        <x:f>F1597</x:f>
        <x:v>268.90786244242713</x:v>
      </x:c>
      <x:c r="H1607" s="21" t="n">
        <x:f>F1603</x:f>
        <x:v>266.2553107617267</x:v>
      </x:c>
      <x:c r="I1607" s="27" t="n">
        <x:f>IF(AND(ISNUMBER(G1607),ISNUMBER(H1607),H1607&gt;0),G1607/H1607-1,"")</x:f>
        <x:v>0.009962436704499034</x:v>
      </x:c>
      <x:c r="J1607" s="27" t="n">
        <x:f>IF(AND(ISNUMBER(G1607),F1607&gt;0),G1607/F1607-1,"")</x:f>
        <x:v>-0.32900268986384507</x:v>
      </x:c>
      <x:c r="K1607" s="19" t="str">
        <x:v>Exp_5/EXP049/results/seed954779777_NN-UCB.json</x:v>
      </x:c>
    </x:row>
    <x:row r="1608" ht="15" hidden="0" customHeight="1">
      <x:c r="A1608" s="3" t="str">
        <x:v>EXP049</x:v>
      </x:c>
      <x:c r="B1608" s="3" t="str">
        <x:v>Exp. 5</x:v>
      </x:c>
      <x:c r="C1608" s="18" t="n">
        <x:v>954779777</x:v>
      </x:c>
      <x:c r="D1608" s="3" t="str">
        <x:v>Relative cutoff 1e-2</x:v>
      </x:c>
      <x:c r="E1608" s="18" t="n">
        <x:v>200</x:v>
      </x:c>
      <x:c r="F1608" s="21" t="n">
        <x:v>259.24884797256414</x:v>
      </x:c>
      <x:c r="G1608" s="21" t="n">
        <x:f>F1597</x:f>
        <x:v>268.90786244242713</x:v>
      </x:c>
      <x:c r="H1608" s="21" t="n">
        <x:f>F1603</x:f>
        <x:v>266.2553107617267</x:v>
      </x:c>
      <x:c r="I1608" s="27" t="n">
        <x:f>IF(AND(ISNUMBER(G1608),ISNUMBER(H1608),H1608&gt;0),G1608/H1608-1,"")</x:f>
        <x:v>0.009962436704499034</x:v>
      </x:c>
      <x:c r="J1608" s="27" t="n">
        <x:f>IF(AND(ISNUMBER(G1608),F1608&gt;0),G1608/F1608-1,"")</x:f>
        <x:v>0.037257694857279366</x:v>
      </x:c>
      <x:c r="K1608" s="19" t="str">
        <x:v>Exp_5/EXP049/results/seed954779777_Relative_cutoff_1e-2.json</x:v>
      </x:c>
    </x:row>
    <x:row r="1609" ht="15" hidden="0" customHeight="1">
      <x:c r="A1609" s="3" t="str">
        <x:v>EXP049</x:v>
      </x:c>
      <x:c r="B1609" s="3" t="str">
        <x:v>Exp. 5</x:v>
      </x:c>
      <x:c r="C1609" s="18" t="n">
        <x:v>954779777</x:v>
      </x:c>
      <x:c r="D1609" s="3" t="str">
        <x:v>Relative cutoff 1e-4</x:v>
      </x:c>
      <x:c r="E1609" s="18" t="n">
        <x:v>200</x:v>
      </x:c>
      <x:c r="F1609" s="21" t="n">
        <x:v>259.51415405443686</x:v>
      </x:c>
      <x:c r="G1609" s="21" t="n">
        <x:f>F1597</x:f>
        <x:v>268.90786244242713</x:v>
      </x:c>
      <x:c r="H1609" s="21" t="n">
        <x:f>F1603</x:f>
        <x:v>266.2553107617267</x:v>
      </x:c>
      <x:c r="I1609" s="27" t="n">
        <x:f>IF(AND(ISNUMBER(G1609),ISNUMBER(H1609),H1609&gt;0),G1609/H1609-1,"")</x:f>
        <x:v>0.009962436704499034</x:v>
      </x:c>
      <x:c r="J1609" s="27" t="n">
        <x:f>IF(AND(ISNUMBER(G1609),F1609&gt;0),G1609/F1609-1,"")</x:f>
        <x:v>0.03619728728175575</x:v>
      </x:c>
      <x:c r="K1609" s="19" t="str">
        <x:v>Exp_5/EXP049/results/seed954779777_Relative_cutoff_1e-4.json</x:v>
      </x:c>
    </x:row>
    <x:row r="1610" ht="15" hidden="0" customHeight="1">
      <x:c r="A1610" s="3" t="str">
        <x:v>EXP049</x:v>
      </x:c>
      <x:c r="B1610" s="3" t="str">
        <x:v>Exp. 5</x:v>
      </x:c>
      <x:c r="C1610" s="18" t="n">
        <x:v>1084613802</x:v>
      </x:c>
      <x:c r="D1610" s="3" t="str">
        <x:v>BBP</x:v>
      </x:c>
      <x:c r="E1610" s="18" t="n">
        <x:v>200</x:v>
      </x:c>
      <x:c r="F1610" s="21" t="n">
        <x:v>245.7888387126872</x:v>
      </x:c>
      <x:c r="G1610" s="21" t="n">
        <x:f>F1610</x:f>
        <x:v>245.7888387126872</x:v>
      </x:c>
      <x:c r="H1610" s="21" t="n">
        <x:f>F1616</x:f>
        <x:v>240.93629645144358</x:v>
      </x:c>
      <x:c r="I1610" s="27" t="n">
        <x:f>IF(AND(ISNUMBER(G1610),ISNUMBER(H1610),H1610&gt;0),G1610/H1610-1,"")</x:f>
        <x:v>0.020140353830920388</x:v>
      </x:c>
      <x:c r="J1610" s="27" t="n">
        <x:f>IF(AND(ISNUMBER(G1610),F1610&gt;0),G1610/F1610-1,"")</x:f>
        <x:v>0</x:v>
      </x:c>
      <x:c r="K1610" s="19" t="str">
        <x:v>Exp_5/EXP049/results/seed1084613802_BBP.json</x:v>
      </x:c>
    </x:row>
    <x:row r="1611" ht="15" hidden="0" customHeight="1">
      <x:c r="A1611" s="3" t="str">
        <x:v>EXP049</x:v>
      </x:c>
      <x:c r="B1611" s="3" t="str">
        <x:v>Exp. 5</x:v>
      </x:c>
      <x:c r="C1611" s="18" t="n">
        <x:v>1084613802</x:v>
      </x:c>
      <x:c r="D1611" s="3" t="str">
        <x:v>Relative cutoff 1e-5</x:v>
      </x:c>
      <x:c r="E1611" s="18" t="n">
        <x:v>200</x:v>
      </x:c>
      <x:c r="F1611" s="21" t="n">
        <x:v>240.93629645144358</x:v>
      </x:c>
      <x:c r="G1611" s="21" t="n">
        <x:f>F1610</x:f>
        <x:v>245.7888387126872</x:v>
      </x:c>
      <x:c r="H1611" s="21" t="n">
        <x:f>F1616</x:f>
        <x:v>240.93629645144358</x:v>
      </x:c>
      <x:c r="I1611" s="27" t="n">
        <x:f>IF(AND(ISNUMBER(G1611),ISNUMBER(H1611),H1611&gt;0),G1611/H1611-1,"")</x:f>
        <x:v>0.020140353830920388</x:v>
      </x:c>
      <x:c r="J1611" s="27" t="n">
        <x:f>IF(AND(ISNUMBER(G1611),F1611&gt;0),G1611/F1611-1,"")</x:f>
        <x:v>0.020140353830920388</x:v>
      </x:c>
      <x:c r="K1611" s="19" t="str">
        <x:v>Exp_5/EXP049/results/seed1084613802_Relative_cutoff_1e-5.json</x:v>
      </x:c>
    </x:row>
    <x:row r="1612" ht="15" hidden="0" customHeight="1">
      <x:c r="A1612" s="3" t="str">
        <x:v>EXP049</x:v>
      </x:c>
      <x:c r="B1612" s="3" t="str">
        <x:v>Exp. 5</x:v>
      </x:c>
      <x:c r="C1612" s="18" t="n">
        <x:v>1084613802</x:v>
      </x:c>
      <x:c r="D1612" s="3" t="str">
        <x:v>NN-AGP (m=7)</x:v>
      </x:c>
      <x:c r="E1612" s="18" t="n">
        <x:v>200</x:v>
      </x:c>
      <x:c r="F1612" s="21" t="n">
        <x:v>438.00759675492753</x:v>
      </x:c>
      <x:c r="G1612" s="21" t="n">
        <x:f>F1610</x:f>
        <x:v>245.7888387126872</x:v>
      </x:c>
      <x:c r="H1612" s="21" t="n">
        <x:f>F1616</x:f>
        <x:v>240.93629645144358</x:v>
      </x:c>
      <x:c r="I1612" s="27" t="n">
        <x:f>IF(AND(ISNUMBER(G1612),ISNUMBER(H1612),H1612&gt;0),G1612/H1612-1,"")</x:f>
        <x:v>0.020140353830920388</x:v>
      </x:c>
      <x:c r="J1612" s="27" t="n">
        <x:f>IF(AND(ISNUMBER(G1612),F1612&gt;0),G1612/F1612-1,"")</x:f>
        <x:v>-0.4388480005057763</x:v>
      </x:c>
      <x:c r="K1612" s="19" t="str">
        <x:v>Exp_5/EXP049/results/seed1084613802_NN-AGP_m_7.json</x:v>
      </x:c>
    </x:row>
    <x:row r="1613" ht="15" hidden="0" customHeight="1">
      <x:c r="A1613" s="3" t="str">
        <x:v>EXP049</x:v>
      </x:c>
      <x:c r="B1613" s="3" t="str">
        <x:v>Exp. 5</x:v>
      </x:c>
      <x:c r="C1613" s="18" t="n">
        <x:v>1084613802</x:v>
      </x:c>
      <x:c r="D1613" s="3" t="str">
        <x:v>Fixed rank 10</x:v>
      </x:c>
      <x:c r="E1613" s="18" t="n">
        <x:v>200</x:v>
      </x:c>
      <x:c r="F1613" s="21" t="n">
        <x:v>239.9968182047147</x:v>
      </x:c>
      <x:c r="G1613" s="21" t="n">
        <x:f>F1610</x:f>
        <x:v>245.7888387126872</x:v>
      </x:c>
      <x:c r="H1613" s="21" t="n">
        <x:f>F1616</x:f>
        <x:v>240.93629645144358</x:v>
      </x:c>
      <x:c r="I1613" s="27" t="n">
        <x:f>IF(AND(ISNUMBER(G1613),ISNUMBER(H1613),H1613&gt;0),G1613/H1613-1,"")</x:f>
        <x:v>0.020140353830920388</x:v>
      </x:c>
      <x:c r="J1613" s="27" t="n">
        <x:f>IF(AND(ISNUMBER(G1613),F1613&gt;0),G1613/F1613-1,"")</x:f>
        <x:v>0.024133738735785837</x:v>
      </x:c>
      <x:c r="K1613" s="19" t="str">
        <x:v>Exp_5/EXP049/results/seed1084613802_Fixed_rank_10.json</x:v>
      </x:c>
    </x:row>
    <x:row r="1614" ht="15" hidden="0" customHeight="1">
      <x:c r="A1614" s="3" t="str">
        <x:v>EXP049</x:v>
      </x:c>
      <x:c r="B1614" s="3" t="str">
        <x:v>Exp. 5</x:v>
      </x:c>
      <x:c r="C1614" s="18" t="n">
        <x:v>1084613802</x:v>
      </x:c>
      <x:c r="D1614" s="3" t="str">
        <x:v>Fixed rank 25</x:v>
      </x:c>
      <x:c r="E1614" s="18" t="n">
        <x:v>200</x:v>
      </x:c>
      <x:c r="F1614" s="21" t="n">
        <x:v>240.93629645144358</x:v>
      </x:c>
      <x:c r="G1614" s="21" t="n">
        <x:f>F1610</x:f>
        <x:v>245.7888387126872</x:v>
      </x:c>
      <x:c r="H1614" s="21" t="n">
        <x:f>F1616</x:f>
        <x:v>240.93629645144358</x:v>
      </x:c>
      <x:c r="I1614" s="27" t="n">
        <x:f>IF(AND(ISNUMBER(G1614),ISNUMBER(H1614),H1614&gt;0),G1614/H1614-1,"")</x:f>
        <x:v>0.020140353830920388</x:v>
      </x:c>
      <x:c r="J1614" s="27" t="n">
        <x:f>IF(AND(ISNUMBER(G1614),F1614&gt;0),G1614/F1614-1,"")</x:f>
        <x:v>0.020140353830920388</x:v>
      </x:c>
      <x:c r="K1614" s="19" t="str">
        <x:v>Exp_5/EXP049/results/seed1084613802_Fixed_rank_25.json</x:v>
      </x:c>
    </x:row>
    <x:row r="1615" ht="15" hidden="0" customHeight="1">
      <x:c r="A1615" s="3" t="str">
        <x:v>EXP049</x:v>
      </x:c>
      <x:c r="B1615" s="3" t="str">
        <x:v>Exp. 5</x:v>
      </x:c>
      <x:c r="C1615" s="18" t="n">
        <x:v>1084613802</x:v>
      </x:c>
      <x:c r="D1615" s="3" t="str">
        <x:v>Relative cutoff 1e-6</x:v>
      </x:c>
      <x:c r="E1615" s="18" t="n">
        <x:v>200</x:v>
      </x:c>
      <x:c r="F1615" s="21" t="n">
        <x:v>240.93629645144358</x:v>
      </x:c>
      <x:c r="G1615" s="21" t="n">
        <x:f>F1610</x:f>
        <x:v>245.7888387126872</x:v>
      </x:c>
      <x:c r="H1615" s="21" t="n">
        <x:f>F1616</x:f>
        <x:v>240.93629645144358</x:v>
      </x:c>
      <x:c r="I1615" s="27" t="n">
        <x:f>IF(AND(ISNUMBER(G1615),ISNUMBER(H1615),H1615&gt;0),G1615/H1615-1,"")</x:f>
        <x:v>0.020140353830920388</x:v>
      </x:c>
      <x:c r="J1615" s="27" t="n">
        <x:f>IF(AND(ISNUMBER(G1615),F1615&gt;0),G1615/F1615-1,"")</x:f>
        <x:v>0.020140353830920388</x:v>
      </x:c>
      <x:c r="K1615" s="19" t="str">
        <x:v>Exp_5/EXP049/results/seed1084613802_Relative_cutoff_1e-6.json</x:v>
      </x:c>
    </x:row>
    <x:row r="1616" ht="15" hidden="0" customHeight="1">
      <x:c r="A1616" s="3" t="str">
        <x:v>EXP049</x:v>
      </x:c>
      <x:c r="B1616" s="3" t="str">
        <x:v>Exp. 5</x:v>
      </x:c>
      <x:c r="C1616" s="18" t="n">
        <x:v>1084613802</x:v>
      </x:c>
      <x:c r="D1616" s="3" t="str">
        <x:v>Full</x:v>
      </x:c>
      <x:c r="E1616" s="18" t="n">
        <x:v>200</x:v>
      </x:c>
      <x:c r="F1616" s="21" t="n">
        <x:v>240.93629645144358</x:v>
      </x:c>
      <x:c r="G1616" s="21" t="n">
        <x:f>F1610</x:f>
        <x:v>245.7888387126872</x:v>
      </x:c>
      <x:c r="H1616" s="21" t="n">
        <x:f>F1616</x:f>
        <x:v>240.93629645144358</x:v>
      </x:c>
      <x:c r="I1616" s="27" t="n">
        <x:f>IF(AND(ISNUMBER(G1616),ISNUMBER(H1616),H1616&gt;0),G1616/H1616-1,"")</x:f>
        <x:v>0.020140353830920388</x:v>
      </x:c>
      <x:c r="J1616" s="27" t="n">
        <x:f>IF(AND(ISNUMBER(G1616),F1616&gt;0),G1616/F1616-1,"")</x:f>
        <x:v>0.020140353830920388</x:v>
      </x:c>
      <x:c r="K1616" s="19" t="str">
        <x:v>Exp_5/EXP049/results/seed1084613802_Full.json</x:v>
      </x:c>
    </x:row>
    <x:row r="1617" ht="15" hidden="0" customHeight="1">
      <x:c r="A1617" s="3" t="str">
        <x:v>EXP049</x:v>
      </x:c>
      <x:c r="B1617" s="3" t="str">
        <x:v>Exp. 5</x:v>
      </x:c>
      <x:c r="C1617" s="18" t="n">
        <x:v>1084613802</x:v>
      </x:c>
      <x:c r="D1617" s="3" t="str">
        <x:v>GP-UCB (weighted sum)</x:v>
      </x:c>
      <x:c r="E1617" s="18" t="n">
        <x:v>200</x:v>
      </x:c>
      <x:c r="F1617" s="21" t="n">
        <x:v>432.4679669129297</x:v>
      </x:c>
      <x:c r="G1617" s="21" t="n">
        <x:f>F1610</x:f>
        <x:v>245.7888387126872</x:v>
      </x:c>
      <x:c r="H1617" s="21" t="n">
        <x:f>F1616</x:f>
        <x:v>240.93629645144358</x:v>
      </x:c>
      <x:c r="I1617" s="27" t="n">
        <x:f>IF(AND(ISNUMBER(G1617),ISNUMBER(H1617),H1617&gt;0),G1617/H1617-1,"")</x:f>
        <x:v>0.020140353830920388</x:v>
      </x:c>
      <x:c r="J1617" s="27" t="n">
        <x:f>IF(AND(ISNUMBER(G1617),F1617&gt;0),G1617/F1617-1,"")</x:f>
        <x:v>-0.4316600129549647</x:v>
      </x:c>
      <x:c r="K1617" s="19" t="str">
        <x:v>Exp_5/EXP049/results/seed1084613802_GP-UCB_weighted_sum.json</x:v>
      </x:c>
    </x:row>
    <x:row r="1618" ht="15" hidden="0" customHeight="1">
      <x:c r="A1618" s="3" t="str">
        <x:v>EXP049</x:v>
      </x:c>
      <x:c r="B1618" s="3" t="str">
        <x:v>Exp. 5</x:v>
      </x:c>
      <x:c r="C1618" s="18" t="n">
        <x:v>1084613802</x:v>
      </x:c>
      <x:c r="D1618" s="3" t="str">
        <x:v>GP-UCB (product)</x:v>
      </x:c>
      <x:c r="E1618" s="18" t="n">
        <x:v>200</x:v>
      </x:c>
      <x:c r="F1618" s="21" t="n">
        <x:v>287.5969384406435</x:v>
      </x:c>
      <x:c r="G1618" s="21" t="n">
        <x:f>F1610</x:f>
        <x:v>245.7888387126872</x:v>
      </x:c>
      <x:c r="H1618" s="21" t="n">
        <x:f>F1616</x:f>
        <x:v>240.93629645144358</x:v>
      </x:c>
      <x:c r="I1618" s="27" t="n">
        <x:f>IF(AND(ISNUMBER(G1618),ISNUMBER(H1618),H1618&gt;0),G1618/H1618-1,"")</x:f>
        <x:v>0.020140353830920388</x:v>
      </x:c>
      <x:c r="J1618" s="27" t="n">
        <x:f>IF(AND(ISNUMBER(G1618),F1618&gt;0),G1618/F1618-1,"")</x:f>
        <x:v>-0.14537046171159074</x:v>
      </x:c>
      <x:c r="K1618" s="19" t="str">
        <x:v>Exp_5/EXP049/results/seed1084613802_GP-UCB_product.json</x:v>
      </x:c>
    </x:row>
    <x:row r="1619" ht="15" hidden="0" customHeight="1">
      <x:c r="A1619" s="3" t="str">
        <x:v>EXP049</x:v>
      </x:c>
      <x:c r="B1619" s="3" t="str">
        <x:v>Exp. 5</x:v>
      </x:c>
      <x:c r="C1619" s="18" t="n">
        <x:v>1084613802</x:v>
      </x:c>
      <x:c r="D1619" s="3" t="str">
        <x:v>NeuralUCB</x:v>
      </x:c>
      <x:c r="E1619" s="18" t="n">
        <x:v>200</x:v>
      </x:c>
      <x:c r="F1619" s="21" t="n">
        <x:v>511.4465545933037</x:v>
      </x:c>
      <x:c r="G1619" s="21" t="n">
        <x:f>F1610</x:f>
        <x:v>245.7888387126872</x:v>
      </x:c>
      <x:c r="H1619" s="21" t="n">
        <x:f>F1616</x:f>
        <x:v>240.93629645144358</x:v>
      </x:c>
      <x:c r="I1619" s="27" t="n">
        <x:f>IF(AND(ISNUMBER(G1619),ISNUMBER(H1619),H1619&gt;0),G1619/H1619-1,"")</x:f>
        <x:v>0.020140353830920388</x:v>
      </x:c>
      <x:c r="J1619" s="27" t="n">
        <x:f>IF(AND(ISNUMBER(G1619),F1619&gt;0),G1619/F1619-1,"")</x:f>
        <x:v>-0.519424196907269</x:v>
      </x:c>
      <x:c r="K1619" s="19" t="str">
        <x:v>Exp_5/EXP049/results/seed1084613802_NeuralUCB.json</x:v>
      </x:c>
    </x:row>
    <x:row r="1620" ht="15" hidden="0" customHeight="1">
      <x:c r="A1620" s="3" t="str">
        <x:v>EXP049</x:v>
      </x:c>
      <x:c r="B1620" s="3" t="str">
        <x:v>Exp. 5</x:v>
      </x:c>
      <x:c r="C1620" s="18" t="n">
        <x:v>1084613802</x:v>
      </x:c>
      <x:c r="D1620" s="3" t="str">
        <x:v>NN-UCB</x:v>
      </x:c>
      <x:c r="E1620" s="18" t="n">
        <x:v>200</x:v>
      </x:c>
      <x:c r="F1620" s="21" t="n">
        <x:v>485.1534685943273</x:v>
      </x:c>
      <x:c r="G1620" s="21" t="n">
        <x:f>F1610</x:f>
        <x:v>245.7888387126872</x:v>
      </x:c>
      <x:c r="H1620" s="21" t="n">
        <x:f>F1616</x:f>
        <x:v>240.93629645144358</x:v>
      </x:c>
      <x:c r="I1620" s="27" t="n">
        <x:f>IF(AND(ISNUMBER(G1620),ISNUMBER(H1620),H1620&gt;0),G1620/H1620-1,"")</x:f>
        <x:v>0.020140353830920388</x:v>
      </x:c>
      <x:c r="J1620" s="27" t="n">
        <x:f>IF(AND(ISNUMBER(G1620),F1620&gt;0),G1620/F1620-1,"")</x:f>
        <x:v>-0.4933791993184543</x:v>
      </x:c>
      <x:c r="K1620" s="19" t="str">
        <x:v>Exp_5/EXP049/results/seed1084613802_NN-UCB.json</x:v>
      </x:c>
    </x:row>
    <x:row r="1621" ht="15" hidden="0" customHeight="1">
      <x:c r="A1621" s="3" t="str">
        <x:v>EXP049</x:v>
      </x:c>
      <x:c r="B1621" s="3" t="str">
        <x:v>Exp. 5</x:v>
      </x:c>
      <x:c r="C1621" s="18" t="n">
        <x:v>1084613802</x:v>
      </x:c>
      <x:c r="D1621" s="3" t="str">
        <x:v>Relative cutoff 1e-2</x:v>
      </x:c>
      <x:c r="E1621" s="18" t="n">
        <x:v>200</x:v>
      </x:c>
      <x:c r="F1621" s="21" t="n">
        <x:v>251.50542080132595</x:v>
      </x:c>
      <x:c r="G1621" s="21" t="n">
        <x:f>F1610</x:f>
        <x:v>245.7888387126872</x:v>
      </x:c>
      <x:c r="H1621" s="21" t="n">
        <x:f>F1616</x:f>
        <x:v>240.93629645144358</x:v>
      </x:c>
      <x:c r="I1621" s="27" t="n">
        <x:f>IF(AND(ISNUMBER(G1621),ISNUMBER(H1621),H1621&gt;0),G1621/H1621-1,"")</x:f>
        <x:v>0.020140353830920388</x:v>
      </x:c>
      <x:c r="J1621" s="27" t="n">
        <x:f>IF(AND(ISNUMBER(G1621),F1621&gt;0),G1621/F1621-1,"")</x:f>
        <x:v>-0.02272945875450727</x:v>
      </x:c>
      <x:c r="K1621" s="19" t="str">
        <x:v>Exp_5/EXP049/results/seed1084613802_Relative_cutoff_1e-2.json</x:v>
      </x:c>
    </x:row>
    <x:row r="1622" ht="15" hidden="0" customHeight="1">
      <x:c r="A1622" s="3" t="str">
        <x:v>EXP049</x:v>
      </x:c>
      <x:c r="B1622" s="3" t="str">
        <x:v>Exp. 5</x:v>
      </x:c>
      <x:c r="C1622" s="18" t="n">
        <x:v>1084613802</x:v>
      </x:c>
      <x:c r="D1622" s="3" t="str">
        <x:v>Relative cutoff 1e-4</x:v>
      </x:c>
      <x:c r="E1622" s="18" t="n">
        <x:v>200</x:v>
      </x:c>
      <x:c r="F1622" s="21" t="n">
        <x:v>243.4793295751993</x:v>
      </x:c>
      <x:c r="G1622" s="21" t="n">
        <x:f>F1610</x:f>
        <x:v>245.7888387126872</x:v>
      </x:c>
      <x:c r="H1622" s="21" t="n">
        <x:f>F1616</x:f>
        <x:v>240.93629645144358</x:v>
      </x:c>
      <x:c r="I1622" s="27" t="n">
        <x:f>IF(AND(ISNUMBER(G1622),ISNUMBER(H1622),H1622&gt;0),G1622/H1622-1,"")</x:f>
        <x:v>0.020140353830920388</x:v>
      </x:c>
      <x:c r="J1622" s="27" t="n">
        <x:f>IF(AND(ISNUMBER(G1622),F1622&gt;0),G1622/F1622-1,"")</x:f>
        <x:v>0.009485442322834325</x:v>
      </x:c>
      <x:c r="K1622" s="19" t="str">
        <x:v>Exp_5/EXP049/results/seed1084613802_Relative_cutoff_1e-4.json</x:v>
      </x:c>
    </x:row>
    <x:row r="1623" ht="15" hidden="0" customHeight="1">
      <x:c r="A1623" s="3" t="str">
        <x:v>EXP049</x:v>
      </x:c>
      <x:c r="B1623" s="3" t="str">
        <x:v>Exp. 5</x:v>
      </x:c>
      <x:c r="C1623" s="18" t="n">
        <x:v>1390358485</x:v>
      </x:c>
      <x:c r="D1623" s="3" t="str">
        <x:v>BBP</x:v>
      </x:c>
      <x:c r="E1623" s="18" t="n">
        <x:v>200</x:v>
      </x:c>
      <x:c r="F1623" s="21" t="n">
        <x:v>181.23240767930002</x:v>
      </x:c>
      <x:c r="G1623" s="21" t="n">
        <x:f>F1623</x:f>
        <x:v>181.23240767930002</x:v>
      </x:c>
      <x:c r="H1623" s="21" t="n">
        <x:f>F1629</x:f>
        <x:v>179.2869957296584</x:v>
      </x:c>
      <x:c r="I1623" s="27" t="n">
        <x:f>IF(AND(ISNUMBER(G1623),ISNUMBER(H1623),H1623&gt;0),G1623/H1623-1,"")</x:f>
        <x:v>0.01085082574853935</x:v>
      </x:c>
      <x:c r="J1623" s="27" t="n">
        <x:f>IF(AND(ISNUMBER(G1623),F1623&gt;0),G1623/F1623-1,"")</x:f>
        <x:v>0</x:v>
      </x:c>
      <x:c r="K1623" s="19" t="str">
        <x:v>Exp_5/EXP049/results/seed1390358485_BBP.json</x:v>
      </x:c>
    </x:row>
    <x:row r="1624" ht="15" hidden="0" customHeight="1">
      <x:c r="A1624" s="3" t="str">
        <x:v>EXP049</x:v>
      </x:c>
      <x:c r="B1624" s="3" t="str">
        <x:v>Exp. 5</x:v>
      </x:c>
      <x:c r="C1624" s="18" t="n">
        <x:v>1390358485</x:v>
      </x:c>
      <x:c r="D1624" s="3" t="str">
        <x:v>Relative cutoff 1e-5</x:v>
      </x:c>
      <x:c r="E1624" s="18" t="n">
        <x:v>200</x:v>
      </x:c>
      <x:c r="F1624" s="21" t="n">
        <x:v>181.23240767930002</x:v>
      </x:c>
      <x:c r="G1624" s="21" t="n">
        <x:f>F1623</x:f>
        <x:v>181.23240767930002</x:v>
      </x:c>
      <x:c r="H1624" s="21" t="n">
        <x:f>F1629</x:f>
        <x:v>179.2869957296584</x:v>
      </x:c>
      <x:c r="I1624" s="27" t="n">
        <x:f>IF(AND(ISNUMBER(G1624),ISNUMBER(H1624),H1624&gt;0),G1624/H1624-1,"")</x:f>
        <x:v>0.01085082574853935</x:v>
      </x:c>
      <x:c r="J1624" s="27" t="n">
        <x:f>IF(AND(ISNUMBER(G1624),F1624&gt;0),G1624/F1624-1,"")</x:f>
        <x:v>0</x:v>
      </x:c>
      <x:c r="K1624" s="19" t="str">
        <x:v>Exp_5/EXP049/results/seed1390358485_Relative_cutoff_1e-5.json</x:v>
      </x:c>
    </x:row>
    <x:row r="1625" ht="15" hidden="0" customHeight="1">
      <x:c r="A1625" s="3" t="str">
        <x:v>EXP049</x:v>
      </x:c>
      <x:c r="B1625" s="3" t="str">
        <x:v>Exp. 5</x:v>
      </x:c>
      <x:c r="C1625" s="18" t="n">
        <x:v>1390358485</x:v>
      </x:c>
      <x:c r="D1625" s="3" t="str">
        <x:v>NN-AGP (m=7)</x:v>
      </x:c>
      <x:c r="E1625" s="18" t="n">
        <x:v>200</x:v>
      </x:c>
      <x:c r="F1625" s="21" t="n">
        <x:v>415.1145902071719</x:v>
      </x:c>
      <x:c r="G1625" s="21" t="n">
        <x:f>F1623</x:f>
        <x:v>181.23240767930002</x:v>
      </x:c>
      <x:c r="H1625" s="21" t="n">
        <x:f>F1629</x:f>
        <x:v>179.2869957296584</x:v>
      </x:c>
      <x:c r="I1625" s="27" t="n">
        <x:f>IF(AND(ISNUMBER(G1625),ISNUMBER(H1625),H1625&gt;0),G1625/H1625-1,"")</x:f>
        <x:v>0.01085082574853935</x:v>
      </x:c>
      <x:c r="J1625" s="27" t="n">
        <x:f>IF(AND(ISNUMBER(G1625),F1625&gt;0),G1625/F1625-1,"")</x:f>
        <x:v>-0.5634159531977614</x:v>
      </x:c>
      <x:c r="K1625" s="19" t="str">
        <x:v>Exp_5/EXP049/results/seed1390358485_NN-AGP_m_7.json</x:v>
      </x:c>
    </x:row>
    <x:row r="1626" ht="15" hidden="0" customHeight="1">
      <x:c r="A1626" s="3" t="str">
        <x:v>EXP049</x:v>
      </x:c>
      <x:c r="B1626" s="3" t="str">
        <x:v>Exp. 5</x:v>
      </x:c>
      <x:c r="C1626" s="18" t="n">
        <x:v>1390358485</x:v>
      </x:c>
      <x:c r="D1626" s="3" t="str">
        <x:v>Fixed rank 10</x:v>
      </x:c>
      <x:c r="E1626" s="18" t="n">
        <x:v>200</x:v>
      </x:c>
      <x:c r="F1626" s="21" t="n">
        <x:v>178.49021267998143</x:v>
      </x:c>
      <x:c r="G1626" s="21" t="n">
        <x:f>F1623</x:f>
        <x:v>181.23240767930002</x:v>
      </x:c>
      <x:c r="H1626" s="21" t="n">
        <x:f>F1629</x:f>
        <x:v>179.2869957296584</x:v>
      </x:c>
      <x:c r="I1626" s="27" t="n">
        <x:f>IF(AND(ISNUMBER(G1626),ISNUMBER(H1626),H1626&gt;0),G1626/H1626-1,"")</x:f>
        <x:v>0.01085082574853935</x:v>
      </x:c>
      <x:c r="J1626" s="27" t="n">
        <x:f>IF(AND(ISNUMBER(G1626),F1626&gt;0),G1626/F1626-1,"")</x:f>
        <x:v>0.015363279353782566</x:v>
      </x:c>
      <x:c r="K1626" s="19" t="str">
        <x:v>Exp_5/EXP049/results/seed1390358485_Fixed_rank_10.json</x:v>
      </x:c>
    </x:row>
    <x:row r="1627" ht="15" hidden="0" customHeight="1">
      <x:c r="A1627" s="3" t="str">
        <x:v>EXP049</x:v>
      </x:c>
      <x:c r="B1627" s="3" t="str">
        <x:v>Exp. 5</x:v>
      </x:c>
      <x:c r="C1627" s="18" t="n">
        <x:v>1390358485</x:v>
      </x:c>
      <x:c r="D1627" s="3" t="str">
        <x:v>Fixed rank 25</x:v>
      </x:c>
      <x:c r="E1627" s="18" t="n">
        <x:v>200</x:v>
      </x:c>
      <x:c r="F1627" s="21" t="n">
        <x:v>181.23240767930002</x:v>
      </x:c>
      <x:c r="G1627" s="21" t="n">
        <x:f>F1623</x:f>
        <x:v>181.23240767930002</x:v>
      </x:c>
      <x:c r="H1627" s="21" t="n">
        <x:f>F1629</x:f>
        <x:v>179.2869957296584</x:v>
      </x:c>
      <x:c r="I1627" s="27" t="n">
        <x:f>IF(AND(ISNUMBER(G1627),ISNUMBER(H1627),H1627&gt;0),G1627/H1627-1,"")</x:f>
        <x:v>0.01085082574853935</x:v>
      </x:c>
      <x:c r="J1627" s="27" t="n">
        <x:f>IF(AND(ISNUMBER(G1627),F1627&gt;0),G1627/F1627-1,"")</x:f>
        <x:v>0</x:v>
      </x:c>
      <x:c r="K1627" s="19" t="str">
        <x:v>Exp_5/EXP049/results/seed1390358485_Fixed_rank_25.json</x:v>
      </x:c>
    </x:row>
    <x:row r="1628" ht="15" hidden="0" customHeight="1">
      <x:c r="A1628" s="3" t="str">
        <x:v>EXP049</x:v>
      </x:c>
      <x:c r="B1628" s="3" t="str">
        <x:v>Exp. 5</x:v>
      </x:c>
      <x:c r="C1628" s="18" t="n">
        <x:v>1390358485</x:v>
      </x:c>
      <x:c r="D1628" s="3" t="str">
        <x:v>Relative cutoff 1e-6</x:v>
      </x:c>
      <x:c r="E1628" s="18" t="n">
        <x:v>200</x:v>
      </x:c>
      <x:c r="F1628" s="21" t="n">
        <x:v>179.2869957296584</x:v>
      </x:c>
      <x:c r="G1628" s="21" t="n">
        <x:f>F1623</x:f>
        <x:v>181.23240767930002</x:v>
      </x:c>
      <x:c r="H1628" s="21" t="n">
        <x:f>F1629</x:f>
        <x:v>179.2869957296584</x:v>
      </x:c>
      <x:c r="I1628" s="27" t="n">
        <x:f>IF(AND(ISNUMBER(G1628),ISNUMBER(H1628),H1628&gt;0),G1628/H1628-1,"")</x:f>
        <x:v>0.01085082574853935</x:v>
      </x:c>
      <x:c r="J1628" s="27" t="n">
        <x:f>IF(AND(ISNUMBER(G1628),F1628&gt;0),G1628/F1628-1,"")</x:f>
        <x:v>0.01085082574853935</x:v>
      </x:c>
      <x:c r="K1628" s="19" t="str">
        <x:v>Exp_5/EXP049/results/seed1390358485_Relative_cutoff_1e-6.json</x:v>
      </x:c>
    </x:row>
    <x:row r="1629" ht="15" hidden="0" customHeight="1">
      <x:c r="A1629" s="3" t="str">
        <x:v>EXP049</x:v>
      </x:c>
      <x:c r="B1629" s="3" t="str">
        <x:v>Exp. 5</x:v>
      </x:c>
      <x:c r="C1629" s="18" t="n">
        <x:v>1390358485</x:v>
      </x:c>
      <x:c r="D1629" s="3" t="str">
        <x:v>Full</x:v>
      </x:c>
      <x:c r="E1629" s="18" t="n">
        <x:v>200</x:v>
      </x:c>
      <x:c r="F1629" s="21" t="n">
        <x:v>179.2869957296584</x:v>
      </x:c>
      <x:c r="G1629" s="21" t="n">
        <x:f>F1623</x:f>
        <x:v>181.23240767930002</x:v>
      </x:c>
      <x:c r="H1629" s="21" t="n">
        <x:f>F1629</x:f>
        <x:v>179.2869957296584</x:v>
      </x:c>
      <x:c r="I1629" s="27" t="n">
        <x:f>IF(AND(ISNUMBER(G1629),ISNUMBER(H1629),H1629&gt;0),G1629/H1629-1,"")</x:f>
        <x:v>0.01085082574853935</x:v>
      </x:c>
      <x:c r="J1629" s="27" t="n">
        <x:f>IF(AND(ISNUMBER(G1629),F1629&gt;0),G1629/F1629-1,"")</x:f>
        <x:v>0.01085082574853935</x:v>
      </x:c>
      <x:c r="K1629" s="19" t="str">
        <x:v>Exp_5/EXP049/results/seed1390358485_Full.json</x:v>
      </x:c>
    </x:row>
    <x:row r="1630" ht="15" hidden="0" customHeight="1">
      <x:c r="A1630" s="3" t="str">
        <x:v>EXP049</x:v>
      </x:c>
      <x:c r="B1630" s="3" t="str">
        <x:v>Exp. 5</x:v>
      </x:c>
      <x:c r="C1630" s="18" t="n">
        <x:v>1390358485</x:v>
      </x:c>
      <x:c r="D1630" s="3" t="str">
        <x:v>GP-UCB (weighted sum)</x:v>
      </x:c>
      <x:c r="E1630" s="18" t="n">
        <x:v>200</x:v>
      </x:c>
      <x:c r="F1630" s="21" t="n">
        <x:v>414.1115747196165</x:v>
      </x:c>
      <x:c r="G1630" s="21" t="n">
        <x:f>F1623</x:f>
        <x:v>181.23240767930002</x:v>
      </x:c>
      <x:c r="H1630" s="21" t="n">
        <x:f>F1629</x:f>
        <x:v>179.2869957296584</x:v>
      </x:c>
      <x:c r="I1630" s="27" t="n">
        <x:f>IF(AND(ISNUMBER(G1630),ISNUMBER(H1630),H1630&gt;0),G1630/H1630-1,"")</x:f>
        <x:v>0.01085082574853935</x:v>
      </x:c>
      <x:c r="J1630" s="27" t="n">
        <x:f>IF(AND(ISNUMBER(G1630),F1630&gt;0),G1630/F1630-1,"")</x:f>
        <x:v>-0.5623585073611925</x:v>
      </x:c>
      <x:c r="K1630" s="19" t="str">
        <x:v>Exp_5/EXP049/results/seed1390358485_GP-UCB_weighted_sum.json</x:v>
      </x:c>
    </x:row>
    <x:row r="1631" ht="15" hidden="0" customHeight="1">
      <x:c r="A1631" s="3" t="str">
        <x:v>EXP049</x:v>
      </x:c>
      <x:c r="B1631" s="3" t="str">
        <x:v>Exp. 5</x:v>
      </x:c>
      <x:c r="C1631" s="18" t="n">
        <x:v>1390358485</x:v>
      </x:c>
      <x:c r="D1631" s="3" t="str">
        <x:v>GP-UCB (product)</x:v>
      </x:c>
      <x:c r="E1631" s="18" t="n">
        <x:v>200</x:v>
      </x:c>
      <x:c r="F1631" s="21" t="n">
        <x:v>285.6768040680585</x:v>
      </x:c>
      <x:c r="G1631" s="21" t="n">
        <x:f>F1623</x:f>
        <x:v>181.23240767930002</x:v>
      </x:c>
      <x:c r="H1631" s="21" t="n">
        <x:f>F1629</x:f>
        <x:v>179.2869957296584</x:v>
      </x:c>
      <x:c r="I1631" s="27" t="n">
        <x:f>IF(AND(ISNUMBER(G1631),ISNUMBER(H1631),H1631&gt;0),G1631/H1631-1,"")</x:f>
        <x:v>0.01085082574853935</x:v>
      </x:c>
      <x:c r="J1631" s="27" t="n">
        <x:f>IF(AND(ISNUMBER(G1631),F1631&gt;0),G1631/F1631-1,"")</x:f>
        <x:v>-0.3656033493145494</x:v>
      </x:c>
      <x:c r="K1631" s="19" t="str">
        <x:v>Exp_5/EXP049/results/seed1390358485_GP-UCB_product.json</x:v>
      </x:c>
    </x:row>
    <x:row r="1632" ht="15" hidden="0" customHeight="1">
      <x:c r="A1632" s="3" t="str">
        <x:v>EXP049</x:v>
      </x:c>
      <x:c r="B1632" s="3" t="str">
        <x:v>Exp. 5</x:v>
      </x:c>
      <x:c r="C1632" s="18" t="n">
        <x:v>1390358485</x:v>
      </x:c>
      <x:c r="D1632" s="3" t="str">
        <x:v>NeuralUCB</x:v>
      </x:c>
      <x:c r="E1632" s="18" t="n">
        <x:v>200</x:v>
      </x:c>
      <x:c r="F1632" s="21" t="n">
        <x:v>490.31947848025345</x:v>
      </x:c>
      <x:c r="G1632" s="21" t="n">
        <x:f>F1623</x:f>
        <x:v>181.23240767930002</x:v>
      </x:c>
      <x:c r="H1632" s="21" t="n">
        <x:f>F1629</x:f>
        <x:v>179.2869957296584</x:v>
      </x:c>
      <x:c r="I1632" s="27" t="n">
        <x:f>IF(AND(ISNUMBER(G1632),ISNUMBER(H1632),H1632&gt;0),G1632/H1632-1,"")</x:f>
        <x:v>0.01085082574853935</x:v>
      </x:c>
      <x:c r="J1632" s="27" t="n">
        <x:f>IF(AND(ISNUMBER(G1632),F1632&gt;0),G1632/F1632-1,"")</x:f>
        <x:v>-0.6303789352994289</x:v>
      </x:c>
      <x:c r="K1632" s="19" t="str">
        <x:v>Exp_5/EXP049/results/seed1390358485_NeuralUCB.json</x:v>
      </x:c>
    </x:row>
    <x:row r="1633" ht="15" hidden="0" customHeight="1">
      <x:c r="A1633" s="3" t="str">
        <x:v>EXP049</x:v>
      </x:c>
      <x:c r="B1633" s="3" t="str">
        <x:v>Exp. 5</x:v>
      </x:c>
      <x:c r="C1633" s="18" t="n">
        <x:v>1390358485</x:v>
      </x:c>
      <x:c r="D1633" s="3" t="str">
        <x:v>NN-UCB</x:v>
      </x:c>
      <x:c r="E1633" s="18" t="n">
        <x:v>200</x:v>
      </x:c>
      <x:c r="F1633" s="21" t="n">
        <x:v>447.50612559588154</x:v>
      </x:c>
      <x:c r="G1633" s="21" t="n">
        <x:f>F1623</x:f>
        <x:v>181.23240767930002</x:v>
      </x:c>
      <x:c r="H1633" s="21" t="n">
        <x:f>F1629</x:f>
        <x:v>179.2869957296584</x:v>
      </x:c>
      <x:c r="I1633" s="27" t="n">
        <x:f>IF(AND(ISNUMBER(G1633),ISNUMBER(H1633),H1633&gt;0),G1633/H1633-1,"")</x:f>
        <x:v>0.01085082574853935</x:v>
      </x:c>
      <x:c r="J1633" s="27" t="n">
        <x:f>IF(AND(ISNUMBER(G1633),F1633&gt;0),G1633/F1633-1,"")</x:f>
        <x:v>-0.5950169230913251</x:v>
      </x:c>
      <x:c r="K1633" s="19" t="str">
        <x:v>Exp_5/EXP049/results/seed1390358485_NN-UCB.json</x:v>
      </x:c>
    </x:row>
    <x:row r="1634" ht="15" hidden="0" customHeight="1">
      <x:c r="A1634" s="3" t="str">
        <x:v>EXP049</x:v>
      </x:c>
      <x:c r="B1634" s="3" t="str">
        <x:v>Exp. 5</x:v>
      </x:c>
      <x:c r="C1634" s="18" t="n">
        <x:v>1390358485</x:v>
      </x:c>
      <x:c r="D1634" s="3" t="str">
        <x:v>Relative cutoff 1e-2</x:v>
      </x:c>
      <x:c r="E1634" s="18" t="n">
        <x:v>200</x:v>
      </x:c>
      <x:c r="F1634" s="21" t="n">
        <x:v>199.0523649228384</x:v>
      </x:c>
      <x:c r="G1634" s="21" t="n">
        <x:f>F1623</x:f>
        <x:v>181.23240767930002</x:v>
      </x:c>
      <x:c r="H1634" s="21" t="n">
        <x:f>F1629</x:f>
        <x:v>179.2869957296584</x:v>
      </x:c>
      <x:c r="I1634" s="27" t="n">
        <x:f>IF(AND(ISNUMBER(G1634),ISNUMBER(H1634),H1634&gt;0),G1634/H1634-1,"")</x:f>
        <x:v>0.01085082574853935</x:v>
      </x:c>
      <x:c r="J1634" s="27" t="n">
        <x:f>IF(AND(ISNUMBER(G1634),F1634&gt;0),G1634/F1634-1,"")</x:f>
        <x:v>-0.08952396647206973</x:v>
      </x:c>
      <x:c r="K1634" s="19" t="str">
        <x:v>Exp_5/EXP049/results/seed1390358485_Relative_cutoff_1e-2.json</x:v>
      </x:c>
    </x:row>
    <x:row r="1635" ht="15" hidden="0" customHeight="1">
      <x:c r="A1635" s="3" t="str">
        <x:v>EXP049</x:v>
      </x:c>
      <x:c r="B1635" s="3" t="str">
        <x:v>Exp. 5</x:v>
      </x:c>
      <x:c r="C1635" s="18" t="n">
        <x:v>1390358485</x:v>
      </x:c>
      <x:c r="D1635" s="3" t="str">
        <x:v>Relative cutoff 1e-4</x:v>
      </x:c>
      <x:c r="E1635" s="18" t="n">
        <x:v>200</x:v>
      </x:c>
      <x:c r="F1635" s="21" t="n">
        <x:v>178.49021267998143</x:v>
      </x:c>
      <x:c r="G1635" s="21" t="n">
        <x:f>F1623</x:f>
        <x:v>181.23240767930002</x:v>
      </x:c>
      <x:c r="H1635" s="21" t="n">
        <x:f>F1629</x:f>
        <x:v>179.2869957296584</x:v>
      </x:c>
      <x:c r="I1635" s="27" t="n">
        <x:f>IF(AND(ISNUMBER(G1635),ISNUMBER(H1635),H1635&gt;0),G1635/H1635-1,"")</x:f>
        <x:v>0.01085082574853935</x:v>
      </x:c>
      <x:c r="J1635" s="27" t="n">
        <x:f>IF(AND(ISNUMBER(G1635),F1635&gt;0),G1635/F1635-1,"")</x:f>
        <x:v>0.015363279353782566</x:v>
      </x:c>
      <x:c r="K1635" s="19" t="str">
        <x:v>Exp_5/EXP049/results/seed1390358485_Relative_cutoff_1e-4.json</x:v>
      </x:c>
    </x:row>
    <x:row r="1636" ht="15" hidden="0" customHeight="1">
      <x:c r="A1636" s="3" t="str">
        <x:v>EXP049</x:v>
      </x:c>
      <x:c r="B1636" s="3" t="str">
        <x:v>Exp. 5</x:v>
      </x:c>
      <x:c r="C1636" s="18" t="n">
        <x:v>1711112905</x:v>
      </x:c>
      <x:c r="D1636" s="3" t="str">
        <x:v>BBP</x:v>
      </x:c>
      <x:c r="E1636" s="18" t="n">
        <x:v>200</x:v>
      </x:c>
      <x:c r="F1636" s="21" t="n">
        <x:v>268.1479347802105</x:v>
      </x:c>
      <x:c r="G1636" s="21" t="n">
        <x:f>F1636</x:f>
        <x:v>268.1479347802105</x:v>
      </x:c>
      <x:c r="H1636" s="21" t="n">
        <x:f>F1642</x:f>
        <x:v>276.80155042457</x:v>
      </x:c>
      <x:c r="I1636" s="27" t="n">
        <x:f>IF(AND(ISNUMBER(G1636),ISNUMBER(H1636),H1636&gt;0),G1636/H1636-1,"")</x:f>
        <x:v>-0.03126288718790127</x:v>
      </x:c>
      <x:c r="J1636" s="27" t="n">
        <x:f>IF(AND(ISNUMBER(G1636),F1636&gt;0),G1636/F1636-1,"")</x:f>
        <x:v>0</x:v>
      </x:c>
      <x:c r="K1636" s="19" t="str">
        <x:v>Exp_5/EXP049/results/seed1711112905_BBP.json</x:v>
      </x:c>
    </x:row>
    <x:row r="1637" ht="15" hidden="0" customHeight="1">
      <x:c r="A1637" s="3" t="str">
        <x:v>EXP049</x:v>
      </x:c>
      <x:c r="B1637" s="3" t="str">
        <x:v>Exp. 5</x:v>
      </x:c>
      <x:c r="C1637" s="18" t="n">
        <x:v>1711112905</x:v>
      </x:c>
      <x:c r="D1637" s="3" t="str">
        <x:v>Relative cutoff 1e-5</x:v>
      </x:c>
      <x:c r="E1637" s="18" t="n">
        <x:v>200</x:v>
      </x:c>
      <x:c r="F1637" s="21" t="n">
        <x:v>276.80155042457</x:v>
      </x:c>
      <x:c r="G1637" s="21" t="n">
        <x:f>F1636</x:f>
        <x:v>268.1479347802105</x:v>
      </x:c>
      <x:c r="H1637" s="21" t="n">
        <x:f>F1642</x:f>
        <x:v>276.80155042457</x:v>
      </x:c>
      <x:c r="I1637" s="27" t="n">
        <x:f>IF(AND(ISNUMBER(G1637),ISNUMBER(H1637),H1637&gt;0),G1637/H1637-1,"")</x:f>
        <x:v>-0.03126288718790127</x:v>
      </x:c>
      <x:c r="J1637" s="27" t="n">
        <x:f>IF(AND(ISNUMBER(G1637),F1637&gt;0),G1637/F1637-1,"")</x:f>
        <x:v>-0.03126288718790127</x:v>
      </x:c>
      <x:c r="K1637" s="19" t="str">
        <x:v>Exp_5/EXP049/results/seed1711112905_Relative_cutoff_1e-5.json</x:v>
      </x:c>
    </x:row>
    <x:row r="1638" ht="15" hidden="0" customHeight="1">
      <x:c r="A1638" s="3" t="str">
        <x:v>EXP049</x:v>
      </x:c>
      <x:c r="B1638" s="3" t="str">
        <x:v>Exp. 5</x:v>
      </x:c>
      <x:c r="C1638" s="18" t="n">
        <x:v>1711112905</x:v>
      </x:c>
      <x:c r="D1638" s="3" t="str">
        <x:v>NN-AGP (m=7)</x:v>
      </x:c>
      <x:c r="E1638" s="18" t="n">
        <x:v>200</x:v>
      </x:c>
      <x:c r="F1638" s="21" t="n">
        <x:v>240.6264973972431</x:v>
      </x:c>
      <x:c r="G1638" s="21" t="n">
        <x:f>F1636</x:f>
        <x:v>268.1479347802105</x:v>
      </x:c>
      <x:c r="H1638" s="21" t="n">
        <x:f>F1642</x:f>
        <x:v>276.80155042457</x:v>
      </x:c>
      <x:c r="I1638" s="27" t="n">
        <x:f>IF(AND(ISNUMBER(G1638),ISNUMBER(H1638),H1638&gt;0),G1638/H1638-1,"")</x:f>
        <x:v>-0.03126288718790127</x:v>
      </x:c>
      <x:c r="J1638" s="27" t="n">
        <x:f>IF(AND(ISNUMBER(G1638),F1638&gt;0),G1638/F1638-1,"")</x:f>
        <x:v>0.11437409296422207</x:v>
      </x:c>
      <x:c r="K1638" s="19" t="str">
        <x:v>Exp_5/EXP049/results/seed1711112905_NN-AGP_m_7.json</x:v>
      </x:c>
    </x:row>
    <x:row r="1639" ht="15" hidden="0" customHeight="1">
      <x:c r="A1639" s="3" t="str">
        <x:v>EXP049</x:v>
      </x:c>
      <x:c r="B1639" s="3" t="str">
        <x:v>Exp. 5</x:v>
      </x:c>
      <x:c r="C1639" s="18" t="n">
        <x:v>1711112905</x:v>
      </x:c>
      <x:c r="D1639" s="3" t="str">
        <x:v>Fixed rank 10</x:v>
      </x:c>
      <x:c r="E1639" s="18" t="n">
        <x:v>200</x:v>
      </x:c>
      <x:c r="F1639" s="21" t="n">
        <x:v>285.5734328290656</x:v>
      </x:c>
      <x:c r="G1639" s="21" t="n">
        <x:f>F1636</x:f>
        <x:v>268.1479347802105</x:v>
      </x:c>
      <x:c r="H1639" s="21" t="n">
        <x:f>F1642</x:f>
        <x:v>276.80155042457</x:v>
      </x:c>
      <x:c r="I1639" s="27" t="n">
        <x:f>IF(AND(ISNUMBER(G1639),ISNUMBER(H1639),H1639&gt;0),G1639/H1639-1,"")</x:f>
        <x:v>-0.03126288718790127</x:v>
      </x:c>
      <x:c r="J1639" s="27" t="n">
        <x:f>IF(AND(ISNUMBER(G1639),F1639&gt;0),G1639/F1639-1,"")</x:f>
        <x:v>-0.06101932478882022</x:v>
      </x:c>
      <x:c r="K1639" s="19" t="str">
        <x:v>Exp_5/EXP049/results/seed1711112905_Fixed_rank_10.json</x:v>
      </x:c>
    </x:row>
    <x:row r="1640" ht="15" hidden="0" customHeight="1">
      <x:c r="A1640" s="3" t="str">
        <x:v>EXP049</x:v>
      </x:c>
      <x:c r="B1640" s="3" t="str">
        <x:v>Exp. 5</x:v>
      </x:c>
      <x:c r="C1640" s="18" t="n">
        <x:v>1711112905</x:v>
      </x:c>
      <x:c r="D1640" s="3" t="str">
        <x:v>Fixed rank 25</x:v>
      </x:c>
      <x:c r="E1640" s="18" t="n">
        <x:v>200</x:v>
      </x:c>
      <x:c r="F1640" s="21" t="n">
        <x:v>268.1479347802105</x:v>
      </x:c>
      <x:c r="G1640" s="21" t="n">
        <x:f>F1636</x:f>
        <x:v>268.1479347802105</x:v>
      </x:c>
      <x:c r="H1640" s="21" t="n">
        <x:f>F1642</x:f>
        <x:v>276.80155042457</x:v>
      </x:c>
      <x:c r="I1640" s="27" t="n">
        <x:f>IF(AND(ISNUMBER(G1640),ISNUMBER(H1640),H1640&gt;0),G1640/H1640-1,"")</x:f>
        <x:v>-0.03126288718790127</x:v>
      </x:c>
      <x:c r="J1640" s="27" t="n">
        <x:f>IF(AND(ISNUMBER(G1640),F1640&gt;0),G1640/F1640-1,"")</x:f>
        <x:v>0</x:v>
      </x:c>
      <x:c r="K1640" s="19" t="str">
        <x:v>Exp_5/EXP049/results/seed1711112905_Fixed_rank_25.json</x:v>
      </x:c>
    </x:row>
    <x:row r="1641" ht="15" hidden="0" customHeight="1">
      <x:c r="A1641" s="3" t="str">
        <x:v>EXP049</x:v>
      </x:c>
      <x:c r="B1641" s="3" t="str">
        <x:v>Exp. 5</x:v>
      </x:c>
      <x:c r="C1641" s="18" t="n">
        <x:v>1711112905</x:v>
      </x:c>
      <x:c r="D1641" s="3" t="str">
        <x:v>Relative cutoff 1e-6</x:v>
      </x:c>
      <x:c r="E1641" s="18" t="n">
        <x:v>200</x:v>
      </x:c>
      <x:c r="F1641" s="21" t="n">
        <x:v>276.80155042457</x:v>
      </x:c>
      <x:c r="G1641" s="21" t="n">
        <x:f>F1636</x:f>
        <x:v>268.1479347802105</x:v>
      </x:c>
      <x:c r="H1641" s="21" t="n">
        <x:f>F1642</x:f>
        <x:v>276.80155042457</x:v>
      </x:c>
      <x:c r="I1641" s="27" t="n">
        <x:f>IF(AND(ISNUMBER(G1641),ISNUMBER(H1641),H1641&gt;0),G1641/H1641-1,"")</x:f>
        <x:v>-0.03126288718790127</x:v>
      </x:c>
      <x:c r="J1641" s="27" t="n">
        <x:f>IF(AND(ISNUMBER(G1641),F1641&gt;0),G1641/F1641-1,"")</x:f>
        <x:v>-0.03126288718790127</x:v>
      </x:c>
      <x:c r="K1641" s="19" t="str">
        <x:v>Exp_5/EXP049/results/seed1711112905_Relative_cutoff_1e-6.json</x:v>
      </x:c>
    </x:row>
    <x:row r="1642" ht="15" hidden="0" customHeight="1">
      <x:c r="A1642" s="3" t="str">
        <x:v>EXP049</x:v>
      </x:c>
      <x:c r="B1642" s="3" t="str">
        <x:v>Exp. 5</x:v>
      </x:c>
      <x:c r="C1642" s="18" t="n">
        <x:v>1711112905</x:v>
      </x:c>
      <x:c r="D1642" s="3" t="str">
        <x:v>Full</x:v>
      </x:c>
      <x:c r="E1642" s="18" t="n">
        <x:v>200</x:v>
      </x:c>
      <x:c r="F1642" s="21" t="n">
        <x:v>276.80155042457</x:v>
      </x:c>
      <x:c r="G1642" s="21" t="n">
        <x:f>F1636</x:f>
        <x:v>268.1479347802105</x:v>
      </x:c>
      <x:c r="H1642" s="21" t="n">
        <x:f>F1642</x:f>
        <x:v>276.80155042457</x:v>
      </x:c>
      <x:c r="I1642" s="27" t="n">
        <x:f>IF(AND(ISNUMBER(G1642),ISNUMBER(H1642),H1642&gt;0),G1642/H1642-1,"")</x:f>
        <x:v>-0.03126288718790127</x:v>
      </x:c>
      <x:c r="J1642" s="27" t="n">
        <x:f>IF(AND(ISNUMBER(G1642),F1642&gt;0),G1642/F1642-1,"")</x:f>
        <x:v>-0.03126288718790127</x:v>
      </x:c>
      <x:c r="K1642" s="19" t="str">
        <x:v>Exp_5/EXP049/results/seed1711112905_Full.json</x:v>
      </x:c>
    </x:row>
    <x:row r="1643" ht="15" hidden="0" customHeight="1">
      <x:c r="A1643" s="3" t="str">
        <x:v>EXP049</x:v>
      </x:c>
      <x:c r="B1643" s="3" t="str">
        <x:v>Exp. 5</x:v>
      </x:c>
      <x:c r="C1643" s="18" t="n">
        <x:v>1711112905</x:v>
      </x:c>
      <x:c r="D1643" s="3" t="str">
        <x:v>GP-UCB (weighted sum)</x:v>
      </x:c>
      <x:c r="E1643" s="18" t="n">
        <x:v>200</x:v>
      </x:c>
      <x:c r="F1643" s="21" t="n">
        <x:v>404.74251010191426</x:v>
      </x:c>
      <x:c r="G1643" s="21" t="n">
        <x:f>F1636</x:f>
        <x:v>268.1479347802105</x:v>
      </x:c>
      <x:c r="H1643" s="21" t="n">
        <x:f>F1642</x:f>
        <x:v>276.80155042457</x:v>
      </x:c>
      <x:c r="I1643" s="27" t="n">
        <x:f>IF(AND(ISNUMBER(G1643),ISNUMBER(H1643),H1643&gt;0),G1643/H1643-1,"")</x:f>
        <x:v>-0.03126288718790127</x:v>
      </x:c>
      <x:c r="J1643" s="27" t="n">
        <x:f>IF(AND(ISNUMBER(G1643),F1643&gt;0),G1643/F1643-1,"")</x:f>
        <x:v>-0.33748512180573575</x:v>
      </x:c>
      <x:c r="K1643" s="19" t="str">
        <x:v>Exp_5/EXP049/results/seed1711112905_GP-UCB_weighted_sum.json</x:v>
      </x:c>
    </x:row>
    <x:row r="1644" ht="15" hidden="0" customHeight="1">
      <x:c r="A1644" s="3" t="str">
        <x:v>EXP049</x:v>
      </x:c>
      <x:c r="B1644" s="3" t="str">
        <x:v>Exp. 5</x:v>
      </x:c>
      <x:c r="C1644" s="18" t="n">
        <x:v>1711112905</x:v>
      </x:c>
      <x:c r="D1644" s="3" t="str">
        <x:v>GP-UCB (product)</x:v>
      </x:c>
      <x:c r="E1644" s="18" t="n">
        <x:v>200</x:v>
      </x:c>
      <x:c r="F1644" s="21" t="n">
        <x:v>324.7533805868563</x:v>
      </x:c>
      <x:c r="G1644" s="21" t="n">
        <x:f>F1636</x:f>
        <x:v>268.1479347802105</x:v>
      </x:c>
      <x:c r="H1644" s="21" t="n">
        <x:f>F1642</x:f>
        <x:v>276.80155042457</x:v>
      </x:c>
      <x:c r="I1644" s="27" t="n">
        <x:f>IF(AND(ISNUMBER(G1644),ISNUMBER(H1644),H1644&gt;0),G1644/H1644-1,"")</x:f>
        <x:v>-0.03126288718790127</x:v>
      </x:c>
      <x:c r="J1644" s="27" t="n">
        <x:f>IF(AND(ISNUMBER(G1644),F1644&gt;0),G1644/F1644-1,"")</x:f>
        <x:v>-0.174302868547065</x:v>
      </x:c>
      <x:c r="K1644" s="19" t="str">
        <x:v>Exp_5/EXP049/results/seed1711112905_GP-UCB_product.json</x:v>
      </x:c>
    </x:row>
    <x:row r="1645" ht="15" hidden="0" customHeight="1">
      <x:c r="A1645" s="3" t="str">
        <x:v>EXP049</x:v>
      </x:c>
      <x:c r="B1645" s="3" t="str">
        <x:v>Exp. 5</x:v>
      </x:c>
      <x:c r="C1645" s="18" t="n">
        <x:v>1711112905</x:v>
      </x:c>
      <x:c r="D1645" s="3" t="str">
        <x:v>NeuralUCB</x:v>
      </x:c>
      <x:c r="E1645" s="18" t="n">
        <x:v>200</x:v>
      </x:c>
      <x:c r="F1645" s="21" t="n">
        <x:v>470.8854886154334</x:v>
      </x:c>
      <x:c r="G1645" s="21" t="n">
        <x:f>F1636</x:f>
        <x:v>268.1479347802105</x:v>
      </x:c>
      <x:c r="H1645" s="21" t="n">
        <x:f>F1642</x:f>
        <x:v>276.80155042457</x:v>
      </x:c>
      <x:c r="I1645" s="27" t="n">
        <x:f>IF(AND(ISNUMBER(G1645),ISNUMBER(H1645),H1645&gt;0),G1645/H1645-1,"")</x:f>
        <x:v>-0.03126288718790127</x:v>
      </x:c>
      <x:c r="J1645" s="27" t="n">
        <x:f>IF(AND(ISNUMBER(G1645),F1645&gt;0),G1645/F1645-1,"")</x:f>
        <x:v>-0.4305453422048354</x:v>
      </x:c>
      <x:c r="K1645" s="19" t="str">
        <x:v>Exp_5/EXP049/results/seed1711112905_NeuralUCB.json</x:v>
      </x:c>
    </x:row>
    <x:row r="1646" ht="15" hidden="0" customHeight="1">
      <x:c r="A1646" s="3" t="str">
        <x:v>EXP049</x:v>
      </x:c>
      <x:c r="B1646" s="3" t="str">
        <x:v>Exp. 5</x:v>
      </x:c>
      <x:c r="C1646" s="18" t="n">
        <x:v>1711112905</x:v>
      </x:c>
      <x:c r="D1646" s="3" t="str">
        <x:v>NN-UCB</x:v>
      </x:c>
      <x:c r="E1646" s="18" t="n">
        <x:v>200</x:v>
      </x:c>
      <x:c r="F1646" s="21" t="n">
        <x:v>572.3015422366625</x:v>
      </x:c>
      <x:c r="G1646" s="21" t="n">
        <x:f>F1636</x:f>
        <x:v>268.1479347802105</x:v>
      </x:c>
      <x:c r="H1646" s="21" t="n">
        <x:f>F1642</x:f>
        <x:v>276.80155042457</x:v>
      </x:c>
      <x:c r="I1646" s="27" t="n">
        <x:f>IF(AND(ISNUMBER(G1646),ISNUMBER(H1646),H1646&gt;0),G1646/H1646-1,"")</x:f>
        <x:v>-0.03126288718790127</x:v>
      </x:c>
      <x:c r="J1646" s="27" t="n">
        <x:f>IF(AND(ISNUMBER(G1646),F1646&gt;0),G1646/F1646-1,"")</x:f>
        <x:v>-0.5314569069091833</x:v>
      </x:c>
      <x:c r="K1646" s="19" t="str">
        <x:v>Exp_5/EXP049/results/seed1711112905_NN-UCB.json</x:v>
      </x:c>
    </x:row>
    <x:row r="1647" ht="15" hidden="0" customHeight="1">
      <x:c r="A1647" s="3" t="str">
        <x:v>EXP049</x:v>
      </x:c>
      <x:c r="B1647" s="3" t="str">
        <x:v>Exp. 5</x:v>
      </x:c>
      <x:c r="C1647" s="18" t="n">
        <x:v>1711112905</x:v>
      </x:c>
      <x:c r="D1647" s="3" t="str">
        <x:v>Relative cutoff 1e-2</x:v>
      </x:c>
      <x:c r="E1647" s="18" t="n">
        <x:v>200</x:v>
      </x:c>
      <x:c r="F1647" s="21" t="n">
        <x:v>265.6430757920202</x:v>
      </x:c>
      <x:c r="G1647" s="21" t="n">
        <x:f>F1636</x:f>
        <x:v>268.1479347802105</x:v>
      </x:c>
      <x:c r="H1647" s="21" t="n">
        <x:f>F1642</x:f>
        <x:v>276.80155042457</x:v>
      </x:c>
      <x:c r="I1647" s="27" t="n">
        <x:f>IF(AND(ISNUMBER(G1647),ISNUMBER(H1647),H1647&gt;0),G1647/H1647-1,"")</x:f>
        <x:v>-0.03126288718790127</x:v>
      </x:c>
      <x:c r="J1647" s="27" t="n">
        <x:f>IF(AND(ISNUMBER(G1647),F1647&gt;0),G1647/F1647-1,"")</x:f>
        <x:v>0.009429415695184185</x:v>
      </x:c>
      <x:c r="K1647" s="19" t="str">
        <x:v>Exp_5/EXP049/results/seed1711112905_Relative_cutoff_1e-2.json</x:v>
      </x:c>
    </x:row>
    <x:row r="1648" ht="15" hidden="0" customHeight="1">
      <x:c r="A1648" s="3" t="str">
        <x:v>EXP049</x:v>
      </x:c>
      <x:c r="B1648" s="3" t="str">
        <x:v>Exp. 5</x:v>
      </x:c>
      <x:c r="C1648" s="18" t="n">
        <x:v>1711112905</x:v>
      </x:c>
      <x:c r="D1648" s="3" t="str">
        <x:v>Relative cutoff 1e-4</x:v>
      </x:c>
      <x:c r="E1648" s="18" t="n">
        <x:v>200</x:v>
      </x:c>
      <x:c r="F1648" s="21" t="n">
        <x:v>285.5734328290656</x:v>
      </x:c>
      <x:c r="G1648" s="21" t="n">
        <x:f>F1636</x:f>
        <x:v>268.1479347802105</x:v>
      </x:c>
      <x:c r="H1648" s="21" t="n">
        <x:f>F1642</x:f>
        <x:v>276.80155042457</x:v>
      </x:c>
      <x:c r="I1648" s="27" t="n">
        <x:f>IF(AND(ISNUMBER(G1648),ISNUMBER(H1648),H1648&gt;0),G1648/H1648-1,"")</x:f>
        <x:v>-0.03126288718790127</x:v>
      </x:c>
      <x:c r="J1648" s="27" t="n">
        <x:f>IF(AND(ISNUMBER(G1648),F1648&gt;0),G1648/F1648-1,"")</x:f>
        <x:v>-0.06101932478882022</x:v>
      </x:c>
      <x:c r="K1648" s="19" t="str">
        <x:v>Exp_5/EXP049/results/seed1711112905_Relative_cutoff_1e-4.json</x:v>
      </x:c>
    </x:row>
    <x:row r="1649" ht="15" hidden="0" customHeight="1">
      <x:c r="A1649" s="3" t="str">
        <x:v>EXP052</x:v>
      </x:c>
      <x:c r="B1649" s="3" t="str">
        <x:v>Exp. 5</x:v>
      </x:c>
      <x:c r="C1649" s="18" t="n">
        <x:v>1000</x:v>
      </x:c>
      <x:c r="D1649" s="3" t="str">
        <x:v>Fixed rank 10</x:v>
      </x:c>
      <x:c r="E1649" s="18" t="n">
        <x:v>200</x:v>
      </x:c>
      <x:c r="F1649" s="21" t="n">
        <x:v>303.04582565644296</x:v>
      </x:c>
      <x:c r="G1649" s="21" t="str">
        <x:f>""</x:f>
      </x:c>
      <x:c r="H1649" s="21" t="n">
        <x:f>F1652</x:f>
        <x:v>303.04582565644296</x:v>
      </x:c>
      <x:c r="I1649" s="27" t="str">
        <x:f>IF(AND(ISNUMBER(G1649),ISNUMBER(H1649),H1649&gt;0),G1649/H1649-1,"")</x:f>
      </x:c>
      <x:c r="J1649" s="27" t="str">
        <x:f>IF(AND(ISNUMBER(G1649),F1649&gt;0),G1649/F1649-1,"")</x:f>
      </x:c>
      <x:c r="K1649" s="19" t="str">
        <x:v>Exp_5/EXP052/results/seed1000_Fixed_rank_10.json</x:v>
      </x:c>
    </x:row>
    <x:row r="1650" ht="15" hidden="0" customHeight="1">
      <x:c r="A1650" s="3" t="str">
        <x:v>EXP052</x:v>
      </x:c>
      <x:c r="B1650" s="3" t="str">
        <x:v>Exp. 5</x:v>
      </x:c>
      <x:c r="C1650" s="18" t="n">
        <x:v>1000</x:v>
      </x:c>
      <x:c r="D1650" s="3" t="str">
        <x:v>Fixed rank 3</x:v>
      </x:c>
      <x:c r="E1650" s="18" t="n">
        <x:v>200</x:v>
      </x:c>
      <x:c r="F1650" s="21" t="n">
        <x:v>308.2699234994068</x:v>
      </x:c>
      <x:c r="G1650" s="21" t="str">
        <x:f>""</x:f>
      </x:c>
      <x:c r="H1650" s="21" t="n">
        <x:f>F1652</x:f>
        <x:v>303.04582565644296</x:v>
      </x:c>
      <x:c r="I1650" s="27" t="str">
        <x:f>IF(AND(ISNUMBER(G1650),ISNUMBER(H1650),H1650&gt;0),G1650/H1650-1,"")</x:f>
      </x:c>
      <x:c r="J1650" s="27" t="str">
        <x:f>IF(AND(ISNUMBER(G1650),F1650&gt;0),G1650/F1650-1,"")</x:f>
      </x:c>
      <x:c r="K1650" s="19" t="str">
        <x:v>Exp_5/EXP052/results/seed1000_Fixed_rank_3.json</x:v>
      </x:c>
    </x:row>
    <x:row r="1651" ht="15" hidden="0" customHeight="1">
      <x:c r="A1651" s="3" t="str">
        <x:v>EXP052</x:v>
      </x:c>
      <x:c r="B1651" s="3" t="str">
        <x:v>Exp. 5</x:v>
      </x:c>
      <x:c r="C1651" s="18" t="n">
        <x:v>1000</x:v>
      </x:c>
      <x:c r="D1651" s="3" t="str">
        <x:v>Fixed rank 5</x:v>
      </x:c>
      <x:c r="E1651" s="18" t="n">
        <x:v>200</x:v>
      </x:c>
      <x:c r="F1651" s="21" t="n">
        <x:v>301.85246746976213</x:v>
      </x:c>
      <x:c r="G1651" s="21" t="str">
        <x:f>""</x:f>
      </x:c>
      <x:c r="H1651" s="21" t="n">
        <x:f>F1652</x:f>
        <x:v>303.04582565644296</x:v>
      </x:c>
      <x:c r="I1651" s="27" t="str">
        <x:f>IF(AND(ISNUMBER(G1651),ISNUMBER(H1651),H1651&gt;0),G1651/H1651-1,"")</x:f>
      </x:c>
      <x:c r="J1651" s="27" t="str">
        <x:f>IF(AND(ISNUMBER(G1651),F1651&gt;0),G1651/F1651-1,"")</x:f>
      </x:c>
      <x:c r="K1651" s="19" t="str">
        <x:v>Exp_5/EXP052/results/seed1000_Fixed_rank_5.json</x:v>
      </x:c>
    </x:row>
    <x:row r="1652" ht="15" hidden="0" customHeight="1">
      <x:c r="A1652" s="3" t="str">
        <x:v>EXP052</x:v>
      </x:c>
      <x:c r="B1652" s="3" t="str">
        <x:v>Exp. 5</x:v>
      </x:c>
      <x:c r="C1652" s="18" t="n">
        <x:v>1000</x:v>
      </x:c>
      <x:c r="D1652" s="3" t="str">
        <x:v>Full</x:v>
      </x:c>
      <x:c r="E1652" s="18" t="n">
        <x:v>200</x:v>
      </x:c>
      <x:c r="F1652" s="21" t="n">
        <x:v>303.04582565644296</x:v>
      </x:c>
      <x:c r="G1652" s="21" t="str">
        <x:f>""</x:f>
      </x:c>
      <x:c r="H1652" s="21" t="n">
        <x:f>F1652</x:f>
        <x:v>303.04582565644296</x:v>
      </x:c>
      <x:c r="I1652" s="27" t="str">
        <x:f>IF(AND(ISNUMBER(G1652),ISNUMBER(H1652),H1652&gt;0),G1652/H1652-1,"")</x:f>
      </x:c>
      <x:c r="J1652" s="27" t="str">
        <x:f>IF(AND(ISNUMBER(G1652),F1652&gt;0),G1652/F1652-1,"")</x:f>
      </x:c>
      <x:c r="K1652" s="19" t="str">
        <x:v>Exp_5/EXP052/results/seed1000_Full.json</x:v>
      </x:c>
    </x:row>
    <x:row r="1653" ht="15" hidden="0" customHeight="1">
      <x:c r="A1653" s="3" t="str">
        <x:v>EXP052</x:v>
      </x:c>
      <x:c r="B1653" s="3" t="str">
        <x:v>Exp. 5</x:v>
      </x:c>
      <x:c r="C1653" s="18" t="n">
        <x:v>1000</x:v>
      </x:c>
      <x:c r="D1653" s="3" t="str">
        <x:v>Relative cutoff 1e-2</x:v>
      </x:c>
      <x:c r="E1653" s="18" t="n">
        <x:v>200</x:v>
      </x:c>
      <x:c r="F1653" s="21" t="n">
        <x:v>299.1680063673581</x:v>
      </x:c>
      <x:c r="G1653" s="21" t="str">
        <x:f>""</x:f>
      </x:c>
      <x:c r="H1653" s="21" t="n">
        <x:f>F1652</x:f>
        <x:v>303.04582565644296</x:v>
      </x:c>
      <x:c r="I1653" s="27" t="str">
        <x:f>IF(AND(ISNUMBER(G1653),ISNUMBER(H1653),H1653&gt;0),G1653/H1653-1,"")</x:f>
      </x:c>
      <x:c r="J1653" s="27" t="str">
        <x:f>IF(AND(ISNUMBER(G1653),F1653&gt;0),G1653/F1653-1,"")</x:f>
      </x:c>
      <x:c r="K1653" s="19" t="str">
        <x:v>Exp_5/EXP052/results/seed1000_Relative_cutoff_1e-2.json</x:v>
      </x:c>
    </x:row>
    <x:row r="1654" ht="15" hidden="0" customHeight="1">
      <x:c r="A1654" s="3" t="str">
        <x:v>EXP052</x:v>
      </x:c>
      <x:c r="B1654" s="3" t="str">
        <x:v>Exp. 5</x:v>
      </x:c>
      <x:c r="C1654" s="18" t="n">
        <x:v>1001</x:v>
      </x:c>
      <x:c r="D1654" s="3" t="str">
        <x:v>Fixed rank 10</x:v>
      </x:c>
      <x:c r="E1654" s="18" t="n">
        <x:v>200</x:v>
      </x:c>
      <x:c r="F1654" s="21" t="n">
        <x:v>192.7517318894647</x:v>
      </x:c>
      <x:c r="G1654" s="21" t="str">
        <x:f>""</x:f>
      </x:c>
      <x:c r="H1654" s="21" t="n">
        <x:f>F1657</x:f>
        <x:v>207.781137032625</x:v>
      </x:c>
      <x:c r="I1654" s="27" t="str">
        <x:f>IF(AND(ISNUMBER(G1654),ISNUMBER(H1654),H1654&gt;0),G1654/H1654-1,"")</x:f>
      </x:c>
      <x:c r="J1654" s="27" t="str">
        <x:f>IF(AND(ISNUMBER(G1654),F1654&gt;0),G1654/F1654-1,"")</x:f>
      </x:c>
      <x:c r="K1654" s="19" t="str">
        <x:v>Exp_5/EXP052/results/seed1001_Fixed_rank_10.json</x:v>
      </x:c>
    </x:row>
    <x:row r="1655" ht="15" hidden="0" customHeight="1">
      <x:c r="A1655" s="3" t="str">
        <x:v>EXP052</x:v>
      </x:c>
      <x:c r="B1655" s="3" t="str">
        <x:v>Exp. 5</x:v>
      </x:c>
      <x:c r="C1655" s="18" t="n">
        <x:v>1001</x:v>
      </x:c>
      <x:c r="D1655" s="3" t="str">
        <x:v>Fixed rank 3</x:v>
      </x:c>
      <x:c r="E1655" s="18" t="n">
        <x:v>200</x:v>
      </x:c>
      <x:c r="F1655" s="21" t="n">
        <x:v>206.54301066464328</x:v>
      </x:c>
      <x:c r="G1655" s="21" t="str">
        <x:f>""</x:f>
      </x:c>
      <x:c r="H1655" s="21" t="n">
        <x:f>F1657</x:f>
        <x:v>207.781137032625</x:v>
      </x:c>
      <x:c r="I1655" s="27" t="str">
        <x:f>IF(AND(ISNUMBER(G1655),ISNUMBER(H1655),H1655&gt;0),G1655/H1655-1,"")</x:f>
      </x:c>
      <x:c r="J1655" s="27" t="str">
        <x:f>IF(AND(ISNUMBER(G1655),F1655&gt;0),G1655/F1655-1,"")</x:f>
      </x:c>
      <x:c r="K1655" s="19" t="str">
        <x:v>Exp_5/EXP052/results/seed1001_Fixed_rank_3.json</x:v>
      </x:c>
    </x:row>
    <x:row r="1656" ht="15" hidden="0" customHeight="1">
      <x:c r="A1656" s="3" t="str">
        <x:v>EXP052</x:v>
      </x:c>
      <x:c r="B1656" s="3" t="str">
        <x:v>Exp. 5</x:v>
      </x:c>
      <x:c r="C1656" s="18" t="n">
        <x:v>1001</x:v>
      </x:c>
      <x:c r="D1656" s="3" t="str">
        <x:v>Fixed rank 5</x:v>
      </x:c>
      <x:c r="E1656" s="18" t="n">
        <x:v>200</x:v>
      </x:c>
      <x:c r="F1656" s="21" t="n">
        <x:v>197.88207516740226</x:v>
      </x:c>
      <x:c r="G1656" s="21" t="str">
        <x:f>""</x:f>
      </x:c>
      <x:c r="H1656" s="21" t="n">
        <x:f>F1657</x:f>
        <x:v>207.781137032625</x:v>
      </x:c>
      <x:c r="I1656" s="27" t="str">
        <x:f>IF(AND(ISNUMBER(G1656),ISNUMBER(H1656),H1656&gt;0),G1656/H1656-1,"")</x:f>
      </x:c>
      <x:c r="J1656" s="27" t="str">
        <x:f>IF(AND(ISNUMBER(G1656),F1656&gt;0),G1656/F1656-1,"")</x:f>
      </x:c>
      <x:c r="K1656" s="19" t="str">
        <x:v>Exp_5/EXP052/results/seed1001_Fixed_rank_5.json</x:v>
      </x:c>
    </x:row>
    <x:row r="1657" ht="15" hidden="0" customHeight="1">
      <x:c r="A1657" s="3" t="str">
        <x:v>EXP052</x:v>
      </x:c>
      <x:c r="B1657" s="3" t="str">
        <x:v>Exp. 5</x:v>
      </x:c>
      <x:c r="C1657" s="18" t="n">
        <x:v>1001</x:v>
      </x:c>
      <x:c r="D1657" s="3" t="str">
        <x:v>Full</x:v>
      </x:c>
      <x:c r="E1657" s="18" t="n">
        <x:v>200</x:v>
      </x:c>
      <x:c r="F1657" s="21" t="n">
        <x:v>207.781137032625</x:v>
      </x:c>
      <x:c r="G1657" s="21" t="str">
        <x:f>""</x:f>
      </x:c>
      <x:c r="H1657" s="21" t="n">
        <x:f>F1657</x:f>
        <x:v>207.781137032625</x:v>
      </x:c>
      <x:c r="I1657" s="27" t="str">
        <x:f>IF(AND(ISNUMBER(G1657),ISNUMBER(H1657),H1657&gt;0),G1657/H1657-1,"")</x:f>
      </x:c>
      <x:c r="J1657" s="27" t="str">
        <x:f>IF(AND(ISNUMBER(G1657),F1657&gt;0),G1657/F1657-1,"")</x:f>
      </x:c>
      <x:c r="K1657" s="19" t="str">
        <x:v>Exp_5/EXP052/results/seed1001_Full.json</x:v>
      </x:c>
    </x:row>
    <x:row r="1658" ht="15" hidden="0" customHeight="1">
      <x:c r="A1658" s="3" t="str">
        <x:v>EXP052</x:v>
      </x:c>
      <x:c r="B1658" s="3" t="str">
        <x:v>Exp. 5</x:v>
      </x:c>
      <x:c r="C1658" s="18" t="n">
        <x:v>1001</x:v>
      </x:c>
      <x:c r="D1658" s="3" t="str">
        <x:v>Relative cutoff 1e-2</x:v>
      </x:c>
      <x:c r="E1658" s="18" t="n">
        <x:v>200</x:v>
      </x:c>
      <x:c r="F1658" s="21" t="n">
        <x:v>222.56244629312587</x:v>
      </x:c>
      <x:c r="G1658" s="21" t="str">
        <x:f>""</x:f>
      </x:c>
      <x:c r="H1658" s="21" t="n">
        <x:f>F1657</x:f>
        <x:v>207.781137032625</x:v>
      </x:c>
      <x:c r="I1658" s="27" t="str">
        <x:f>IF(AND(ISNUMBER(G1658),ISNUMBER(H1658),H1658&gt;0),G1658/H1658-1,"")</x:f>
      </x:c>
      <x:c r="J1658" s="27" t="str">
        <x:f>IF(AND(ISNUMBER(G1658),F1658&gt;0),G1658/F1658-1,"")</x:f>
      </x:c>
      <x:c r="K1658" s="19" t="str">
        <x:v>Exp_5/EXP052/results/seed1001_Relative_cutoff_1e-2.json</x:v>
      </x:c>
    </x:row>
    <x:row r="1659" ht="15" hidden="0" customHeight="1">
      <x:c r="A1659" s="3" t="str">
        <x:v>EXP052</x:v>
      </x:c>
      <x:c r="B1659" s="3" t="str">
        <x:v>Exp. 5</x:v>
      </x:c>
      <x:c r="C1659" s="18" t="n">
        <x:v>1002</x:v>
      </x:c>
      <x:c r="D1659" s="3" t="str">
        <x:v>Fixed rank 10</x:v>
      </x:c>
      <x:c r="E1659" s="18" t="n">
        <x:v>200</x:v>
      </x:c>
      <x:c r="F1659" s="21" t="n">
        <x:v>207.4854288715816</x:v>
      </x:c>
      <x:c r="G1659" s="21" t="str">
        <x:f>""</x:f>
      </x:c>
      <x:c r="H1659" s="21" t="n">
        <x:f>F1662</x:f>
        <x:v>207.4854288715816</x:v>
      </x:c>
      <x:c r="I1659" s="27" t="str">
        <x:f>IF(AND(ISNUMBER(G1659),ISNUMBER(H1659),H1659&gt;0),G1659/H1659-1,"")</x:f>
      </x:c>
      <x:c r="J1659" s="27" t="str">
        <x:f>IF(AND(ISNUMBER(G1659),F1659&gt;0),G1659/F1659-1,"")</x:f>
      </x:c>
      <x:c r="K1659" s="19" t="str">
        <x:v>Exp_5/EXP052/results/seed1002_Fixed_rank_10.json</x:v>
      </x:c>
    </x:row>
    <x:row r="1660" ht="15" hidden="0" customHeight="1">
      <x:c r="A1660" s="3" t="str">
        <x:v>EXP052</x:v>
      </x:c>
      <x:c r="B1660" s="3" t="str">
        <x:v>Exp. 5</x:v>
      </x:c>
      <x:c r="C1660" s="18" t="n">
        <x:v>1002</x:v>
      </x:c>
      <x:c r="D1660" s="3" t="str">
        <x:v>Fixed rank 3</x:v>
      </x:c>
      <x:c r="E1660" s="18" t="n">
        <x:v>200</x:v>
      </x:c>
      <x:c r="F1660" s="21" t="n">
        <x:v>207.76638605101732</x:v>
      </x:c>
      <x:c r="G1660" s="21" t="str">
        <x:f>""</x:f>
      </x:c>
      <x:c r="H1660" s="21" t="n">
        <x:f>F1662</x:f>
        <x:v>207.4854288715816</x:v>
      </x:c>
      <x:c r="I1660" s="27" t="str">
        <x:f>IF(AND(ISNUMBER(G1660),ISNUMBER(H1660),H1660&gt;0),G1660/H1660-1,"")</x:f>
      </x:c>
      <x:c r="J1660" s="27" t="str">
        <x:f>IF(AND(ISNUMBER(G1660),F1660&gt;0),G1660/F1660-1,"")</x:f>
      </x:c>
      <x:c r="K1660" s="19" t="str">
        <x:v>Exp_5/EXP052/results/seed1002_Fixed_rank_3.json</x:v>
      </x:c>
    </x:row>
    <x:row r="1661" ht="15" hidden="0" customHeight="1">
      <x:c r="A1661" s="3" t="str">
        <x:v>EXP052</x:v>
      </x:c>
      <x:c r="B1661" s="3" t="str">
        <x:v>Exp. 5</x:v>
      </x:c>
      <x:c r="C1661" s="18" t="n">
        <x:v>1002</x:v>
      </x:c>
      <x:c r="D1661" s="3" t="str">
        <x:v>Fixed rank 5</x:v>
      </x:c>
      <x:c r="E1661" s="18" t="n">
        <x:v>200</x:v>
      </x:c>
      <x:c r="F1661" s="21" t="n">
        <x:v>207.4854288715816</x:v>
      </x:c>
      <x:c r="G1661" s="21" t="str">
        <x:f>""</x:f>
      </x:c>
      <x:c r="H1661" s="21" t="n">
        <x:f>F1662</x:f>
        <x:v>207.4854288715816</x:v>
      </x:c>
      <x:c r="I1661" s="27" t="str">
        <x:f>IF(AND(ISNUMBER(G1661),ISNUMBER(H1661),H1661&gt;0),G1661/H1661-1,"")</x:f>
      </x:c>
      <x:c r="J1661" s="27" t="str">
        <x:f>IF(AND(ISNUMBER(G1661),F1661&gt;0),G1661/F1661-1,"")</x:f>
      </x:c>
      <x:c r="K1661" s="19" t="str">
        <x:v>Exp_5/EXP052/results/seed1002_Fixed_rank_5.json</x:v>
      </x:c>
    </x:row>
    <x:row r="1662" ht="15" hidden="0" customHeight="1">
      <x:c r="A1662" s="3" t="str">
        <x:v>EXP052</x:v>
      </x:c>
      <x:c r="B1662" s="3" t="str">
        <x:v>Exp. 5</x:v>
      </x:c>
      <x:c r="C1662" s="18" t="n">
        <x:v>1002</x:v>
      </x:c>
      <x:c r="D1662" s="3" t="str">
        <x:v>Full</x:v>
      </x:c>
      <x:c r="E1662" s="18" t="n">
        <x:v>200</x:v>
      </x:c>
      <x:c r="F1662" s="21" t="n">
        <x:v>207.4854288715816</x:v>
      </x:c>
      <x:c r="G1662" s="21" t="str">
        <x:f>""</x:f>
      </x:c>
      <x:c r="H1662" s="21" t="n">
        <x:f>F1662</x:f>
        <x:v>207.4854288715816</x:v>
      </x:c>
      <x:c r="I1662" s="27" t="str">
        <x:f>IF(AND(ISNUMBER(G1662),ISNUMBER(H1662),H1662&gt;0),G1662/H1662-1,"")</x:f>
      </x:c>
      <x:c r="J1662" s="27" t="str">
        <x:f>IF(AND(ISNUMBER(G1662),F1662&gt;0),G1662/F1662-1,"")</x:f>
      </x:c>
      <x:c r="K1662" s="19" t="str">
        <x:v>Exp_5/EXP052/results/seed1002_Full.json</x:v>
      </x:c>
    </x:row>
    <x:row r="1663" ht="15" hidden="0" customHeight="1">
      <x:c r="A1663" s="3" t="str">
        <x:v>EXP052</x:v>
      </x:c>
      <x:c r="B1663" s="3" t="str">
        <x:v>Exp. 5</x:v>
      </x:c>
      <x:c r="C1663" s="18" t="n">
        <x:v>1002</x:v>
      </x:c>
      <x:c r="D1663" s="3" t="str">
        <x:v>Relative cutoff 1e-2</x:v>
      </x:c>
      <x:c r="E1663" s="18" t="n">
        <x:v>200</x:v>
      </x:c>
      <x:c r="F1663" s="21" t="n">
        <x:v>206.44480852665015</x:v>
      </x:c>
      <x:c r="G1663" s="21" t="str">
        <x:f>""</x:f>
      </x:c>
      <x:c r="H1663" s="21" t="n">
        <x:f>F1662</x:f>
        <x:v>207.4854288715816</x:v>
      </x:c>
      <x:c r="I1663" s="27" t="str">
        <x:f>IF(AND(ISNUMBER(G1663),ISNUMBER(H1663),H1663&gt;0),G1663/H1663-1,"")</x:f>
      </x:c>
      <x:c r="J1663" s="27" t="str">
        <x:f>IF(AND(ISNUMBER(G1663),F1663&gt;0),G1663/F1663-1,"")</x:f>
      </x:c>
      <x:c r="K1663" s="19" t="str">
        <x:v>Exp_5/EXP052/results/seed1002_Relative_cutoff_1e-2.json</x:v>
      </x:c>
    </x:row>
    <x:row r="1664" ht="15" hidden="0" customHeight="1">
      <x:c r="A1664" s="3" t="str">
        <x:v>EXP052</x:v>
      </x:c>
      <x:c r="B1664" s="3" t="str">
        <x:v>Exp. 5</x:v>
      </x:c>
      <x:c r="C1664" s="18" t="n">
        <x:v>1003</x:v>
      </x:c>
      <x:c r="D1664" s="3" t="str">
        <x:v>Fixed rank 10</x:v>
      </x:c>
      <x:c r="E1664" s="18" t="n">
        <x:v>200</x:v>
      </x:c>
      <x:c r="F1664" s="21" t="n">
        <x:v>248.67883342384803</x:v>
      </x:c>
      <x:c r="G1664" s="21" t="str">
        <x:f>""</x:f>
      </x:c>
      <x:c r="H1664" s="21" t="n">
        <x:f>F1667</x:f>
        <x:v>244.54712678651316</x:v>
      </x:c>
      <x:c r="I1664" s="27" t="str">
        <x:f>IF(AND(ISNUMBER(G1664),ISNUMBER(H1664),H1664&gt;0),G1664/H1664-1,"")</x:f>
      </x:c>
      <x:c r="J1664" s="27" t="str">
        <x:f>IF(AND(ISNUMBER(G1664),F1664&gt;0),G1664/F1664-1,"")</x:f>
      </x:c>
      <x:c r="K1664" s="19" t="str">
        <x:v>Exp_5/EXP052/results/seed1003_Fixed_rank_10.json</x:v>
      </x:c>
    </x:row>
    <x:row r="1665" ht="15" hidden="0" customHeight="1">
      <x:c r="A1665" s="3" t="str">
        <x:v>EXP052</x:v>
      </x:c>
      <x:c r="B1665" s="3" t="str">
        <x:v>Exp. 5</x:v>
      </x:c>
      <x:c r="C1665" s="18" t="n">
        <x:v>1003</x:v>
      </x:c>
      <x:c r="D1665" s="3" t="str">
        <x:v>Fixed rank 3</x:v>
      </x:c>
      <x:c r="E1665" s="18" t="n">
        <x:v>200</x:v>
      </x:c>
      <x:c r="F1665" s="21" t="n">
        <x:v>250.29119757166066</x:v>
      </x:c>
      <x:c r="G1665" s="21" t="str">
        <x:f>""</x:f>
      </x:c>
      <x:c r="H1665" s="21" t="n">
        <x:f>F1667</x:f>
        <x:v>244.54712678651316</x:v>
      </x:c>
      <x:c r="I1665" s="27" t="str">
        <x:f>IF(AND(ISNUMBER(G1665),ISNUMBER(H1665),H1665&gt;0),G1665/H1665-1,"")</x:f>
      </x:c>
      <x:c r="J1665" s="27" t="str">
        <x:f>IF(AND(ISNUMBER(G1665),F1665&gt;0),G1665/F1665-1,"")</x:f>
      </x:c>
      <x:c r="K1665" s="19" t="str">
        <x:v>Exp_5/EXP052/results/seed1003_Fixed_rank_3.json</x:v>
      </x:c>
    </x:row>
    <x:row r="1666" ht="15" hidden="0" customHeight="1">
      <x:c r="A1666" s="3" t="str">
        <x:v>EXP052</x:v>
      </x:c>
      <x:c r="B1666" s="3" t="str">
        <x:v>Exp. 5</x:v>
      </x:c>
      <x:c r="C1666" s="18" t="n">
        <x:v>1003</x:v>
      </x:c>
      <x:c r="D1666" s="3" t="str">
        <x:v>Fixed rank 5</x:v>
      </x:c>
      <x:c r="E1666" s="18" t="n">
        <x:v>200</x:v>
      </x:c>
      <x:c r="F1666" s="21" t="n">
        <x:v>243.91922464302084</x:v>
      </x:c>
      <x:c r="G1666" s="21" t="str">
        <x:f>""</x:f>
      </x:c>
      <x:c r="H1666" s="21" t="n">
        <x:f>F1667</x:f>
        <x:v>244.54712678651316</x:v>
      </x:c>
      <x:c r="I1666" s="27" t="str">
        <x:f>IF(AND(ISNUMBER(G1666),ISNUMBER(H1666),H1666&gt;0),G1666/H1666-1,"")</x:f>
      </x:c>
      <x:c r="J1666" s="27" t="str">
        <x:f>IF(AND(ISNUMBER(G1666),F1666&gt;0),G1666/F1666-1,"")</x:f>
      </x:c>
      <x:c r="K1666" s="19" t="str">
        <x:v>Exp_5/EXP052/results/seed1003_Fixed_rank_5.json</x:v>
      </x:c>
    </x:row>
    <x:row r="1667" ht="15" hidden="0" customHeight="1">
      <x:c r="A1667" s="3" t="str">
        <x:v>EXP052</x:v>
      </x:c>
      <x:c r="B1667" s="3" t="str">
        <x:v>Exp. 5</x:v>
      </x:c>
      <x:c r="C1667" s="18" t="n">
        <x:v>1003</x:v>
      </x:c>
      <x:c r="D1667" s="3" t="str">
        <x:v>Full</x:v>
      </x:c>
      <x:c r="E1667" s="18" t="n">
        <x:v>200</x:v>
      </x:c>
      <x:c r="F1667" s="21" t="n">
        <x:v>244.54712678651316</x:v>
      </x:c>
      <x:c r="G1667" s="21" t="str">
        <x:f>""</x:f>
      </x:c>
      <x:c r="H1667" s="21" t="n">
        <x:f>F1667</x:f>
        <x:v>244.54712678651316</x:v>
      </x:c>
      <x:c r="I1667" s="27" t="str">
        <x:f>IF(AND(ISNUMBER(G1667),ISNUMBER(H1667),H1667&gt;0),G1667/H1667-1,"")</x:f>
      </x:c>
      <x:c r="J1667" s="27" t="str">
        <x:f>IF(AND(ISNUMBER(G1667),F1667&gt;0),G1667/F1667-1,"")</x:f>
      </x:c>
      <x:c r="K1667" s="19" t="str">
        <x:v>Exp_5/EXP052/results/seed1003_Full.json</x:v>
      </x:c>
    </x:row>
    <x:row r="1668" ht="15" hidden="0" customHeight="1">
      <x:c r="A1668" s="3" t="str">
        <x:v>EXP052</x:v>
      </x:c>
      <x:c r="B1668" s="3" t="str">
        <x:v>Exp. 5</x:v>
      </x:c>
      <x:c r="C1668" s="18" t="n">
        <x:v>1003</x:v>
      </x:c>
      <x:c r="D1668" s="3" t="str">
        <x:v>Relative cutoff 1e-2</x:v>
      </x:c>
      <x:c r="E1668" s="18" t="n">
        <x:v>200</x:v>
      </x:c>
      <x:c r="F1668" s="21" t="n">
        <x:v>252.40951050241048</x:v>
      </x:c>
      <x:c r="G1668" s="21" t="str">
        <x:f>""</x:f>
      </x:c>
      <x:c r="H1668" s="21" t="n">
        <x:f>F1667</x:f>
        <x:v>244.54712678651316</x:v>
      </x:c>
      <x:c r="I1668" s="27" t="str">
        <x:f>IF(AND(ISNUMBER(G1668),ISNUMBER(H1668),H1668&gt;0),G1668/H1668-1,"")</x:f>
      </x:c>
      <x:c r="J1668" s="27" t="str">
        <x:f>IF(AND(ISNUMBER(G1668),F1668&gt;0),G1668/F1668-1,"")</x:f>
      </x:c>
      <x:c r="K1668" s="19" t="str">
        <x:v>Exp_5/EXP052/results/seed1003_Relative_cutoff_1e-2.json</x:v>
      </x:c>
    </x:row>
    <x:row r="1669" ht="15" hidden="0" customHeight="1">
      <x:c r="A1669" s="3" t="str">
        <x:v>EXP052</x:v>
      </x:c>
      <x:c r="B1669" s="3" t="str">
        <x:v>Exp. 5</x:v>
      </x:c>
      <x:c r="C1669" s="18" t="n">
        <x:v>1004</x:v>
      </x:c>
      <x:c r="D1669" s="3" t="str">
        <x:v>Fixed rank 10</x:v>
      </x:c>
      <x:c r="E1669" s="18" t="n">
        <x:v>200</x:v>
      </x:c>
      <x:c r="F1669" s="21" t="n">
        <x:v>360.7727316143332</x:v>
      </x:c>
      <x:c r="G1669" s="21" t="str">
        <x:f>""</x:f>
      </x:c>
      <x:c r="H1669" s="21" t="n">
        <x:f>F1672</x:f>
        <x:v>355.9294257788745</x:v>
      </x:c>
      <x:c r="I1669" s="27" t="str">
        <x:f>IF(AND(ISNUMBER(G1669),ISNUMBER(H1669),H1669&gt;0),G1669/H1669-1,"")</x:f>
      </x:c>
      <x:c r="J1669" s="27" t="str">
        <x:f>IF(AND(ISNUMBER(G1669),F1669&gt;0),G1669/F1669-1,"")</x:f>
      </x:c>
      <x:c r="K1669" s="19" t="str">
        <x:v>Exp_5/EXP052/results/seed1004_Fixed_rank_10.json</x:v>
      </x:c>
    </x:row>
    <x:row r="1670" ht="15" hidden="0" customHeight="1">
      <x:c r="A1670" s="3" t="str">
        <x:v>EXP052</x:v>
      </x:c>
      <x:c r="B1670" s="3" t="str">
        <x:v>Exp. 5</x:v>
      </x:c>
      <x:c r="C1670" s="18" t="n">
        <x:v>1004</x:v>
      </x:c>
      <x:c r="D1670" s="3" t="str">
        <x:v>Fixed rank 3</x:v>
      </x:c>
      <x:c r="E1670" s="18" t="n">
        <x:v>200</x:v>
      </x:c>
      <x:c r="F1670" s="21" t="n">
        <x:v>373.6904030866843</x:v>
      </x:c>
      <x:c r="G1670" s="21" t="str">
        <x:f>""</x:f>
      </x:c>
      <x:c r="H1670" s="21" t="n">
        <x:f>F1672</x:f>
        <x:v>355.9294257788745</x:v>
      </x:c>
      <x:c r="I1670" s="27" t="str">
        <x:f>IF(AND(ISNUMBER(G1670),ISNUMBER(H1670),H1670&gt;0),G1670/H1670-1,"")</x:f>
      </x:c>
      <x:c r="J1670" s="27" t="str">
        <x:f>IF(AND(ISNUMBER(G1670),F1670&gt;0),G1670/F1670-1,"")</x:f>
      </x:c>
      <x:c r="K1670" s="19" t="str">
        <x:v>Exp_5/EXP052/results/seed1004_Fixed_rank_3.json</x:v>
      </x:c>
    </x:row>
    <x:row r="1671" ht="15" hidden="0" customHeight="1">
      <x:c r="A1671" s="3" t="str">
        <x:v>EXP052</x:v>
      </x:c>
      <x:c r="B1671" s="3" t="str">
        <x:v>Exp. 5</x:v>
      </x:c>
      <x:c r="C1671" s="18" t="n">
        <x:v>1004</x:v>
      </x:c>
      <x:c r="D1671" s="3" t="str">
        <x:v>Fixed rank 5</x:v>
      </x:c>
      <x:c r="E1671" s="18" t="n">
        <x:v>200</x:v>
      </x:c>
      <x:c r="F1671" s="21" t="n">
        <x:v>364.50197828711094</x:v>
      </x:c>
      <x:c r="G1671" s="21" t="str">
        <x:f>""</x:f>
      </x:c>
      <x:c r="H1671" s="21" t="n">
        <x:f>F1672</x:f>
        <x:v>355.9294257788745</x:v>
      </x:c>
      <x:c r="I1671" s="27" t="str">
        <x:f>IF(AND(ISNUMBER(G1671),ISNUMBER(H1671),H1671&gt;0),G1671/H1671-1,"")</x:f>
      </x:c>
      <x:c r="J1671" s="27" t="str">
        <x:f>IF(AND(ISNUMBER(G1671),F1671&gt;0),G1671/F1671-1,"")</x:f>
      </x:c>
      <x:c r="K1671" s="19" t="str">
        <x:v>Exp_5/EXP052/results/seed1004_Fixed_rank_5.json</x:v>
      </x:c>
    </x:row>
    <x:row r="1672" ht="15" hidden="0" customHeight="1">
      <x:c r="A1672" s="3" t="str">
        <x:v>EXP052</x:v>
      </x:c>
      <x:c r="B1672" s="3" t="str">
        <x:v>Exp. 5</x:v>
      </x:c>
      <x:c r="C1672" s="18" t="n">
        <x:v>1004</x:v>
      </x:c>
      <x:c r="D1672" s="3" t="str">
        <x:v>Full</x:v>
      </x:c>
      <x:c r="E1672" s="18" t="n">
        <x:v>200</x:v>
      </x:c>
      <x:c r="F1672" s="21" t="n">
        <x:v>355.9294257788745</x:v>
      </x:c>
      <x:c r="G1672" s="21" t="str">
        <x:f>""</x:f>
      </x:c>
      <x:c r="H1672" s="21" t="n">
        <x:f>F1672</x:f>
        <x:v>355.9294257788745</x:v>
      </x:c>
      <x:c r="I1672" s="27" t="str">
        <x:f>IF(AND(ISNUMBER(G1672),ISNUMBER(H1672),H1672&gt;0),G1672/H1672-1,"")</x:f>
      </x:c>
      <x:c r="J1672" s="27" t="str">
        <x:f>IF(AND(ISNUMBER(G1672),F1672&gt;0),G1672/F1672-1,"")</x:f>
      </x:c>
      <x:c r="K1672" s="19" t="str">
        <x:v>Exp_5/EXP052/results/seed1004_Full.json</x:v>
      </x:c>
    </x:row>
    <x:row r="1673" ht="15" hidden="0" customHeight="1">
      <x:c r="A1673" s="3" t="str">
        <x:v>EXP052</x:v>
      </x:c>
      <x:c r="B1673" s="3" t="str">
        <x:v>Exp. 5</x:v>
      </x:c>
      <x:c r="C1673" s="18" t="n">
        <x:v>1004</x:v>
      </x:c>
      <x:c r="D1673" s="3" t="str">
        <x:v>Relative cutoff 1e-2</x:v>
      </x:c>
      <x:c r="E1673" s="18" t="n">
        <x:v>200</x:v>
      </x:c>
      <x:c r="F1673" s="21" t="n">
        <x:v>359.8053900896368</x:v>
      </x:c>
      <x:c r="G1673" s="21" t="str">
        <x:f>""</x:f>
      </x:c>
      <x:c r="H1673" s="21" t="n">
        <x:f>F1672</x:f>
        <x:v>355.9294257788745</x:v>
      </x:c>
      <x:c r="I1673" s="27" t="str">
        <x:f>IF(AND(ISNUMBER(G1673),ISNUMBER(H1673),H1673&gt;0),G1673/H1673-1,"")</x:f>
      </x:c>
      <x:c r="J1673" s="27" t="str">
        <x:f>IF(AND(ISNUMBER(G1673),F1673&gt;0),G1673/F1673-1,"")</x:f>
      </x:c>
      <x:c r="K1673" s="19" t="str">
        <x:v>Exp_5/EXP052/results/seed1004_Relative_cutoff_1e-2.json</x:v>
      </x:c>
    </x:row>
    <x:row r="1674" ht="15" hidden="0" customHeight="1">
      <x:c r="A1674" s="3" t="str">
        <x:v>EXP052</x:v>
      </x:c>
      <x:c r="B1674" s="3" t="str">
        <x:v>Exp. 5</x:v>
      </x:c>
      <x:c r="C1674" s="18" t="n">
        <x:v>1005</x:v>
      </x:c>
      <x:c r="D1674" s="3" t="str">
        <x:v>Fixed rank 10</x:v>
      </x:c>
      <x:c r="E1674" s="18" t="n">
        <x:v>200</x:v>
      </x:c>
      <x:c r="F1674" s="21" t="n">
        <x:v>290.2545576484202</x:v>
      </x:c>
      <x:c r="G1674" s="21" t="str">
        <x:f>""</x:f>
      </x:c>
      <x:c r="H1674" s="21" t="n">
        <x:f>F1677</x:f>
        <x:v>300.7495066388748</x:v>
      </x:c>
      <x:c r="I1674" s="27" t="str">
        <x:f>IF(AND(ISNUMBER(G1674),ISNUMBER(H1674),H1674&gt;0),G1674/H1674-1,"")</x:f>
      </x:c>
      <x:c r="J1674" s="27" t="str">
        <x:f>IF(AND(ISNUMBER(G1674),F1674&gt;0),G1674/F1674-1,"")</x:f>
      </x:c>
      <x:c r="K1674" s="19" t="str">
        <x:v>Exp_5/EXP052/results/seed1005_Fixed_rank_10.json</x:v>
      </x:c>
    </x:row>
    <x:row r="1675" ht="15" hidden="0" customHeight="1">
      <x:c r="A1675" s="3" t="str">
        <x:v>EXP052</x:v>
      </x:c>
      <x:c r="B1675" s="3" t="str">
        <x:v>Exp. 5</x:v>
      </x:c>
      <x:c r="C1675" s="18" t="n">
        <x:v>1005</x:v>
      </x:c>
      <x:c r="D1675" s="3" t="str">
        <x:v>Fixed rank 3</x:v>
      </x:c>
      <x:c r="E1675" s="18" t="n">
        <x:v>200</x:v>
      </x:c>
      <x:c r="F1675" s="21" t="n">
        <x:v>295.7139940485424</x:v>
      </x:c>
      <x:c r="G1675" s="21" t="str">
        <x:f>""</x:f>
      </x:c>
      <x:c r="H1675" s="21" t="n">
        <x:f>F1677</x:f>
        <x:v>300.7495066388748</x:v>
      </x:c>
      <x:c r="I1675" s="27" t="str">
        <x:f>IF(AND(ISNUMBER(G1675),ISNUMBER(H1675),H1675&gt;0),G1675/H1675-1,"")</x:f>
      </x:c>
      <x:c r="J1675" s="27" t="str">
        <x:f>IF(AND(ISNUMBER(G1675),F1675&gt;0),G1675/F1675-1,"")</x:f>
      </x:c>
      <x:c r="K1675" s="19" t="str">
        <x:v>Exp_5/EXP052/results/seed1005_Fixed_rank_3.json</x:v>
      </x:c>
    </x:row>
    <x:row r="1676" ht="15" hidden="0" customHeight="1">
      <x:c r="A1676" s="3" t="str">
        <x:v>EXP052</x:v>
      </x:c>
      <x:c r="B1676" s="3" t="str">
        <x:v>Exp. 5</x:v>
      </x:c>
      <x:c r="C1676" s="18" t="n">
        <x:v>1005</x:v>
      </x:c>
      <x:c r="D1676" s="3" t="str">
        <x:v>Fixed rank 5</x:v>
      </x:c>
      <x:c r="E1676" s="18" t="n">
        <x:v>200</x:v>
      </x:c>
      <x:c r="F1676" s="21" t="n">
        <x:v>290.2545576484202</x:v>
      </x:c>
      <x:c r="G1676" s="21" t="str">
        <x:f>""</x:f>
      </x:c>
      <x:c r="H1676" s="21" t="n">
        <x:f>F1677</x:f>
        <x:v>300.7495066388748</x:v>
      </x:c>
      <x:c r="I1676" s="27" t="str">
        <x:f>IF(AND(ISNUMBER(G1676),ISNUMBER(H1676),H1676&gt;0),G1676/H1676-1,"")</x:f>
      </x:c>
      <x:c r="J1676" s="27" t="str">
        <x:f>IF(AND(ISNUMBER(G1676),F1676&gt;0),G1676/F1676-1,"")</x:f>
      </x:c>
      <x:c r="K1676" s="19" t="str">
        <x:v>Exp_5/EXP052/results/seed1005_Fixed_rank_5.json</x:v>
      </x:c>
    </x:row>
    <x:row r="1677" ht="15" hidden="0" customHeight="1">
      <x:c r="A1677" s="3" t="str">
        <x:v>EXP052</x:v>
      </x:c>
      <x:c r="B1677" s="3" t="str">
        <x:v>Exp. 5</x:v>
      </x:c>
      <x:c r="C1677" s="18" t="n">
        <x:v>1005</x:v>
      </x:c>
      <x:c r="D1677" s="3" t="str">
        <x:v>Full</x:v>
      </x:c>
      <x:c r="E1677" s="18" t="n">
        <x:v>200</x:v>
      </x:c>
      <x:c r="F1677" s="21" t="n">
        <x:v>300.7495066388748</x:v>
      </x:c>
      <x:c r="G1677" s="21" t="str">
        <x:f>""</x:f>
      </x:c>
      <x:c r="H1677" s="21" t="n">
        <x:f>F1677</x:f>
        <x:v>300.7495066388748</x:v>
      </x:c>
      <x:c r="I1677" s="27" t="str">
        <x:f>IF(AND(ISNUMBER(G1677),ISNUMBER(H1677),H1677&gt;0),G1677/H1677-1,"")</x:f>
      </x:c>
      <x:c r="J1677" s="27" t="str">
        <x:f>IF(AND(ISNUMBER(G1677),F1677&gt;0),G1677/F1677-1,"")</x:f>
      </x:c>
      <x:c r="K1677" s="19" t="str">
        <x:v>Exp_5/EXP052/results/seed1005_Full.json</x:v>
      </x:c>
    </x:row>
    <x:row r="1678" ht="15" hidden="0" customHeight="1">
      <x:c r="A1678" s="3" t="str">
        <x:v>EXP052</x:v>
      </x:c>
      <x:c r="B1678" s="3" t="str">
        <x:v>Exp. 5</x:v>
      </x:c>
      <x:c r="C1678" s="18" t="n">
        <x:v>1005</x:v>
      </x:c>
      <x:c r="D1678" s="3" t="str">
        <x:v>Relative cutoff 1e-2</x:v>
      </x:c>
      <x:c r="E1678" s="18" t="n">
        <x:v>200</x:v>
      </x:c>
      <x:c r="F1678" s="21" t="n">
        <x:v>307.03848489619674</x:v>
      </x:c>
      <x:c r="G1678" s="21" t="str">
        <x:f>""</x:f>
      </x:c>
      <x:c r="H1678" s="21" t="n">
        <x:f>F1677</x:f>
        <x:v>300.7495066388748</x:v>
      </x:c>
      <x:c r="I1678" s="27" t="str">
        <x:f>IF(AND(ISNUMBER(G1678),ISNUMBER(H1678),H1678&gt;0),G1678/H1678-1,"")</x:f>
      </x:c>
      <x:c r="J1678" s="27" t="str">
        <x:f>IF(AND(ISNUMBER(G1678),F1678&gt;0),G1678/F1678-1,"")</x:f>
      </x:c>
      <x:c r="K1678" s="19" t="str">
        <x:v>Exp_5/EXP052/results/seed1005_Relative_cutoff_1e-2.json</x:v>
      </x:c>
    </x:row>
    <x:row r="1679" ht="15" hidden="0" customHeight="1">
      <x:c r="A1679" s="3" t="str">
        <x:v>EXP052</x:v>
      </x:c>
      <x:c r="B1679" s="3" t="str">
        <x:v>Exp. 5</x:v>
      </x:c>
      <x:c r="C1679" s="18" t="n">
        <x:v>1006</x:v>
      </x:c>
      <x:c r="D1679" s="3" t="str">
        <x:v>Fixed rank 10</x:v>
      </x:c>
      <x:c r="E1679" s="18" t="n">
        <x:v>200</x:v>
      </x:c>
      <x:c r="F1679" s="21" t="n">
        <x:v>379.66678366755025</x:v>
      </x:c>
      <x:c r="G1679" s="21" t="str">
        <x:f>""</x:f>
      </x:c>
      <x:c r="H1679" s="21" t="n">
        <x:f>F1682</x:f>
        <x:v>382.38277118071176</x:v>
      </x:c>
      <x:c r="I1679" s="27" t="str">
        <x:f>IF(AND(ISNUMBER(G1679),ISNUMBER(H1679),H1679&gt;0),G1679/H1679-1,"")</x:f>
      </x:c>
      <x:c r="J1679" s="27" t="str">
        <x:f>IF(AND(ISNUMBER(G1679),F1679&gt;0),G1679/F1679-1,"")</x:f>
      </x:c>
      <x:c r="K1679" s="19" t="str">
        <x:v>Exp_5/EXP052/results/seed1006_Fixed_rank_10.json</x:v>
      </x:c>
    </x:row>
    <x:row r="1680" ht="15" hidden="0" customHeight="1">
      <x:c r="A1680" s="3" t="str">
        <x:v>EXP052</x:v>
      </x:c>
      <x:c r="B1680" s="3" t="str">
        <x:v>Exp. 5</x:v>
      </x:c>
      <x:c r="C1680" s="18" t="n">
        <x:v>1006</x:v>
      </x:c>
      <x:c r="D1680" s="3" t="str">
        <x:v>Fixed rank 3</x:v>
      </x:c>
      <x:c r="E1680" s="18" t="n">
        <x:v>200</x:v>
      </x:c>
      <x:c r="F1680" s="21" t="n">
        <x:v>377.24158068988555</x:v>
      </x:c>
      <x:c r="G1680" s="21" t="str">
        <x:f>""</x:f>
      </x:c>
      <x:c r="H1680" s="21" t="n">
        <x:f>F1682</x:f>
        <x:v>382.38277118071176</x:v>
      </x:c>
      <x:c r="I1680" s="27" t="str">
        <x:f>IF(AND(ISNUMBER(G1680),ISNUMBER(H1680),H1680&gt;0),G1680/H1680-1,"")</x:f>
      </x:c>
      <x:c r="J1680" s="27" t="str">
        <x:f>IF(AND(ISNUMBER(G1680),F1680&gt;0),G1680/F1680-1,"")</x:f>
      </x:c>
      <x:c r="K1680" s="19" t="str">
        <x:v>Exp_5/EXP052/results/seed1006_Fixed_rank_3.json</x:v>
      </x:c>
    </x:row>
    <x:row r="1681" ht="15" hidden="0" customHeight="1">
      <x:c r="A1681" s="3" t="str">
        <x:v>EXP052</x:v>
      </x:c>
      <x:c r="B1681" s="3" t="str">
        <x:v>Exp. 5</x:v>
      </x:c>
      <x:c r="C1681" s="18" t="n">
        <x:v>1006</x:v>
      </x:c>
      <x:c r="D1681" s="3" t="str">
        <x:v>Fixed rank 5</x:v>
      </x:c>
      <x:c r="E1681" s="18" t="n">
        <x:v>200</x:v>
      </x:c>
      <x:c r="F1681" s="21" t="n">
        <x:v>379.66678366755025</x:v>
      </x:c>
      <x:c r="G1681" s="21" t="str">
        <x:f>""</x:f>
      </x:c>
      <x:c r="H1681" s="21" t="n">
        <x:f>F1682</x:f>
        <x:v>382.38277118071176</x:v>
      </x:c>
      <x:c r="I1681" s="27" t="str">
        <x:f>IF(AND(ISNUMBER(G1681),ISNUMBER(H1681),H1681&gt;0),G1681/H1681-1,"")</x:f>
      </x:c>
      <x:c r="J1681" s="27" t="str">
        <x:f>IF(AND(ISNUMBER(G1681),F1681&gt;0),G1681/F1681-1,"")</x:f>
      </x:c>
      <x:c r="K1681" s="19" t="str">
        <x:v>Exp_5/EXP052/results/seed1006_Fixed_rank_5.json</x:v>
      </x:c>
    </x:row>
    <x:row r="1682" ht="15" hidden="0" customHeight="1">
      <x:c r="A1682" s="3" t="str">
        <x:v>EXP052</x:v>
      </x:c>
      <x:c r="B1682" s="3" t="str">
        <x:v>Exp. 5</x:v>
      </x:c>
      <x:c r="C1682" s="18" t="n">
        <x:v>1006</x:v>
      </x:c>
      <x:c r="D1682" s="3" t="str">
        <x:v>Full</x:v>
      </x:c>
      <x:c r="E1682" s="18" t="n">
        <x:v>200</x:v>
      </x:c>
      <x:c r="F1682" s="21" t="n">
        <x:v>382.38277118071176</x:v>
      </x:c>
      <x:c r="G1682" s="21" t="str">
        <x:f>""</x:f>
      </x:c>
      <x:c r="H1682" s="21" t="n">
        <x:f>F1682</x:f>
        <x:v>382.38277118071176</x:v>
      </x:c>
      <x:c r="I1682" s="27" t="str">
        <x:f>IF(AND(ISNUMBER(G1682),ISNUMBER(H1682),H1682&gt;0),G1682/H1682-1,"")</x:f>
      </x:c>
      <x:c r="J1682" s="27" t="str">
        <x:f>IF(AND(ISNUMBER(G1682),F1682&gt;0),G1682/F1682-1,"")</x:f>
      </x:c>
      <x:c r="K1682" s="19" t="str">
        <x:v>Exp_5/EXP052/results/seed1006_Full.json</x:v>
      </x:c>
    </x:row>
    <x:row r="1683" ht="15" hidden="0" customHeight="1">
      <x:c r="A1683" s="3" t="str">
        <x:v>EXP052</x:v>
      </x:c>
      <x:c r="B1683" s="3" t="str">
        <x:v>Exp. 5</x:v>
      </x:c>
      <x:c r="C1683" s="18" t="n">
        <x:v>1006</x:v>
      </x:c>
      <x:c r="D1683" s="3" t="str">
        <x:v>Relative cutoff 1e-2</x:v>
      </x:c>
      <x:c r="E1683" s="18" t="n">
        <x:v>200</x:v>
      </x:c>
      <x:c r="F1683" s="21" t="n">
        <x:v>379.1793297354003</x:v>
      </x:c>
      <x:c r="G1683" s="21" t="str">
        <x:f>""</x:f>
      </x:c>
      <x:c r="H1683" s="21" t="n">
        <x:f>F1682</x:f>
        <x:v>382.38277118071176</x:v>
      </x:c>
      <x:c r="I1683" s="27" t="str">
        <x:f>IF(AND(ISNUMBER(G1683),ISNUMBER(H1683),H1683&gt;0),G1683/H1683-1,"")</x:f>
      </x:c>
      <x:c r="J1683" s="27" t="str">
        <x:f>IF(AND(ISNUMBER(G1683),F1683&gt;0),G1683/F1683-1,"")</x:f>
      </x:c>
      <x:c r="K1683" s="19" t="str">
        <x:v>Exp_5/EXP052/results/seed1006_Relative_cutoff_1e-2.json</x:v>
      </x:c>
    </x:row>
    <x:row r="1684" ht="15" hidden="0" customHeight="1">
      <x:c r="A1684" s="3" t="str">
        <x:v>EXP052</x:v>
      </x:c>
      <x:c r="B1684" s="3" t="str">
        <x:v>Exp. 5</x:v>
      </x:c>
      <x:c r="C1684" s="18" t="n">
        <x:v>1007</x:v>
      </x:c>
      <x:c r="D1684" s="3" t="str">
        <x:v>Fixed rank 10</x:v>
      </x:c>
      <x:c r="E1684" s="18" t="n">
        <x:v>200</x:v>
      </x:c>
      <x:c r="F1684" s="21" t="n">
        <x:v>196.12488305961085</x:v>
      </x:c>
      <x:c r="G1684" s="21" t="str">
        <x:f>""</x:f>
      </x:c>
      <x:c r="H1684" s="21" t="n">
        <x:f>F1687</x:f>
        <x:v>206.25553975836624</x:v>
      </x:c>
      <x:c r="I1684" s="27" t="str">
        <x:f>IF(AND(ISNUMBER(G1684),ISNUMBER(H1684),H1684&gt;0),G1684/H1684-1,"")</x:f>
      </x:c>
      <x:c r="J1684" s="27" t="str">
        <x:f>IF(AND(ISNUMBER(G1684),F1684&gt;0),G1684/F1684-1,"")</x:f>
      </x:c>
      <x:c r="K1684" s="19" t="str">
        <x:v>Exp_5/EXP052/results/seed1007_Fixed_rank_10.json</x:v>
      </x:c>
    </x:row>
    <x:row r="1685" ht="15" hidden="0" customHeight="1">
      <x:c r="A1685" s="3" t="str">
        <x:v>EXP052</x:v>
      </x:c>
      <x:c r="B1685" s="3" t="str">
        <x:v>Exp. 5</x:v>
      </x:c>
      <x:c r="C1685" s="18" t="n">
        <x:v>1007</x:v>
      </x:c>
      <x:c r="D1685" s="3" t="str">
        <x:v>Fixed rank 3</x:v>
      </x:c>
      <x:c r="E1685" s="18" t="n">
        <x:v>200</x:v>
      </x:c>
      <x:c r="F1685" s="21" t="n">
        <x:v>210.79144314620945</x:v>
      </x:c>
      <x:c r="G1685" s="21" t="str">
        <x:f>""</x:f>
      </x:c>
      <x:c r="H1685" s="21" t="n">
        <x:f>F1687</x:f>
        <x:v>206.25553975836624</x:v>
      </x:c>
      <x:c r="I1685" s="27" t="str">
        <x:f>IF(AND(ISNUMBER(G1685),ISNUMBER(H1685),H1685&gt;0),G1685/H1685-1,"")</x:f>
      </x:c>
      <x:c r="J1685" s="27" t="str">
        <x:f>IF(AND(ISNUMBER(G1685),F1685&gt;0),G1685/F1685-1,"")</x:f>
      </x:c>
      <x:c r="K1685" s="19" t="str">
        <x:v>Exp_5/EXP052/results/seed1007_Fixed_rank_3.json</x:v>
      </x:c>
    </x:row>
    <x:row r="1686" ht="15" hidden="0" customHeight="1">
      <x:c r="A1686" s="3" t="str">
        <x:v>EXP052</x:v>
      </x:c>
      <x:c r="B1686" s="3" t="str">
        <x:v>Exp. 5</x:v>
      </x:c>
      <x:c r="C1686" s="18" t="n">
        <x:v>1007</x:v>
      </x:c>
      <x:c r="D1686" s="3" t="str">
        <x:v>Fixed rank 5</x:v>
      </x:c>
      <x:c r="E1686" s="18" t="n">
        <x:v>200</x:v>
      </x:c>
      <x:c r="F1686" s="21" t="n">
        <x:v>205.76412431765823</x:v>
      </x:c>
      <x:c r="G1686" s="21" t="str">
        <x:f>""</x:f>
      </x:c>
      <x:c r="H1686" s="21" t="n">
        <x:f>F1687</x:f>
        <x:v>206.25553975836624</x:v>
      </x:c>
      <x:c r="I1686" s="27" t="str">
        <x:f>IF(AND(ISNUMBER(G1686),ISNUMBER(H1686),H1686&gt;0),G1686/H1686-1,"")</x:f>
      </x:c>
      <x:c r="J1686" s="27" t="str">
        <x:f>IF(AND(ISNUMBER(G1686),F1686&gt;0),G1686/F1686-1,"")</x:f>
      </x:c>
      <x:c r="K1686" s="19" t="str">
        <x:v>Exp_5/EXP052/results/seed1007_Fixed_rank_5.json</x:v>
      </x:c>
    </x:row>
    <x:row r="1687" ht="15" hidden="0" customHeight="1">
      <x:c r="A1687" s="3" t="str">
        <x:v>EXP052</x:v>
      </x:c>
      <x:c r="B1687" s="3" t="str">
        <x:v>Exp. 5</x:v>
      </x:c>
      <x:c r="C1687" s="18" t="n">
        <x:v>1007</x:v>
      </x:c>
      <x:c r="D1687" s="3" t="str">
        <x:v>Full</x:v>
      </x:c>
      <x:c r="E1687" s="18" t="n">
        <x:v>200</x:v>
      </x:c>
      <x:c r="F1687" s="21" t="n">
        <x:v>206.25553975836624</x:v>
      </x:c>
      <x:c r="G1687" s="21" t="str">
        <x:f>""</x:f>
      </x:c>
      <x:c r="H1687" s="21" t="n">
        <x:f>F1687</x:f>
        <x:v>206.25553975836624</x:v>
      </x:c>
      <x:c r="I1687" s="27" t="str">
        <x:f>IF(AND(ISNUMBER(G1687),ISNUMBER(H1687),H1687&gt;0),G1687/H1687-1,"")</x:f>
      </x:c>
      <x:c r="J1687" s="27" t="str">
        <x:f>IF(AND(ISNUMBER(G1687),F1687&gt;0),G1687/F1687-1,"")</x:f>
      </x:c>
      <x:c r="K1687" s="19" t="str">
        <x:v>Exp_5/EXP052/results/seed1007_Full.json</x:v>
      </x:c>
    </x:row>
    <x:row r="1688" ht="15" hidden="0" customHeight="1">
      <x:c r="A1688" s="3" t="str">
        <x:v>EXP052</x:v>
      </x:c>
      <x:c r="B1688" s="3" t="str">
        <x:v>Exp. 5</x:v>
      </x:c>
      <x:c r="C1688" s="18" t="n">
        <x:v>1007</x:v>
      </x:c>
      <x:c r="D1688" s="3" t="str">
        <x:v>Relative cutoff 1e-2</x:v>
      </x:c>
      <x:c r="E1688" s="18" t="n">
        <x:v>200</x:v>
      </x:c>
      <x:c r="F1688" s="21" t="n">
        <x:v>210.79144314620945</x:v>
      </x:c>
      <x:c r="G1688" s="21" t="str">
        <x:f>""</x:f>
      </x:c>
      <x:c r="H1688" s="21" t="n">
        <x:f>F1687</x:f>
        <x:v>206.25553975836624</x:v>
      </x:c>
      <x:c r="I1688" s="27" t="str">
        <x:f>IF(AND(ISNUMBER(G1688),ISNUMBER(H1688),H1688&gt;0),G1688/H1688-1,"")</x:f>
      </x:c>
      <x:c r="J1688" s="27" t="str">
        <x:f>IF(AND(ISNUMBER(G1688),F1688&gt;0),G1688/F1688-1,"")</x:f>
      </x:c>
      <x:c r="K1688" s="19" t="str">
        <x:v>Exp_5/EXP052/results/seed1007_Relative_cutoff_1e-2.json</x:v>
      </x:c>
    </x:row>
    <x:row r="1689" ht="15" hidden="0" customHeight="1">
      <x:c r="A1689" s="3" t="str">
        <x:v>EXP052</x:v>
      </x:c>
      <x:c r="B1689" s="3" t="str">
        <x:v>Exp. 5</x:v>
      </x:c>
      <x:c r="C1689" s="18" t="n">
        <x:v>1008</x:v>
      </x:c>
      <x:c r="D1689" s="3" t="str">
        <x:v>Fixed rank 10</x:v>
      </x:c>
      <x:c r="E1689" s="18" t="n">
        <x:v>200</x:v>
      </x:c>
      <x:c r="F1689" s="21" t="n">
        <x:v>239.7945074002469</x:v>
      </x:c>
      <x:c r="G1689" s="21" t="str">
        <x:f>""</x:f>
      </x:c>
      <x:c r="H1689" s="21" t="n">
        <x:f>F1692</x:f>
        <x:v>248.25946673655338</x:v>
      </x:c>
      <x:c r="I1689" s="27" t="str">
        <x:f>IF(AND(ISNUMBER(G1689),ISNUMBER(H1689),H1689&gt;0),G1689/H1689-1,"")</x:f>
      </x:c>
      <x:c r="J1689" s="27" t="str">
        <x:f>IF(AND(ISNUMBER(G1689),F1689&gt;0),G1689/F1689-1,"")</x:f>
      </x:c>
      <x:c r="K1689" s="19" t="str">
        <x:v>Exp_5/EXP052/results/seed1008_Fixed_rank_10.json</x:v>
      </x:c>
    </x:row>
    <x:row r="1690" ht="15" hidden="0" customHeight="1">
      <x:c r="A1690" s="3" t="str">
        <x:v>EXP052</x:v>
      </x:c>
      <x:c r="B1690" s="3" t="str">
        <x:v>Exp. 5</x:v>
      </x:c>
      <x:c r="C1690" s="18" t="n">
        <x:v>1008</x:v>
      </x:c>
      <x:c r="D1690" s="3" t="str">
        <x:v>Fixed rank 3</x:v>
      </x:c>
      <x:c r="E1690" s="18" t="n">
        <x:v>200</x:v>
      </x:c>
      <x:c r="F1690" s="21" t="n">
        <x:v>257.75476989428967</x:v>
      </x:c>
      <x:c r="G1690" s="21" t="str">
        <x:f>""</x:f>
      </x:c>
      <x:c r="H1690" s="21" t="n">
        <x:f>F1692</x:f>
        <x:v>248.25946673655338</x:v>
      </x:c>
      <x:c r="I1690" s="27" t="str">
        <x:f>IF(AND(ISNUMBER(G1690),ISNUMBER(H1690),H1690&gt;0),G1690/H1690-1,"")</x:f>
      </x:c>
      <x:c r="J1690" s="27" t="str">
        <x:f>IF(AND(ISNUMBER(G1690),F1690&gt;0),G1690/F1690-1,"")</x:f>
      </x:c>
      <x:c r="K1690" s="19" t="str">
        <x:v>Exp_5/EXP052/results/seed1008_Fixed_rank_3.json</x:v>
      </x:c>
    </x:row>
    <x:row r="1691" ht="15" hidden="0" customHeight="1">
      <x:c r="A1691" s="3" t="str">
        <x:v>EXP052</x:v>
      </x:c>
      <x:c r="B1691" s="3" t="str">
        <x:v>Exp. 5</x:v>
      </x:c>
      <x:c r="C1691" s="18" t="n">
        <x:v>1008</x:v>
      </x:c>
      <x:c r="D1691" s="3" t="str">
        <x:v>Fixed rank 5</x:v>
      </x:c>
      <x:c r="E1691" s="18" t="n">
        <x:v>200</x:v>
      </x:c>
      <x:c r="F1691" s="21" t="n">
        <x:v>239.7945074002469</x:v>
      </x:c>
      <x:c r="G1691" s="21" t="str">
        <x:f>""</x:f>
      </x:c>
      <x:c r="H1691" s="21" t="n">
        <x:f>F1692</x:f>
        <x:v>248.25946673655338</x:v>
      </x:c>
      <x:c r="I1691" s="27" t="str">
        <x:f>IF(AND(ISNUMBER(G1691),ISNUMBER(H1691),H1691&gt;0),G1691/H1691-1,"")</x:f>
      </x:c>
      <x:c r="J1691" s="27" t="str">
        <x:f>IF(AND(ISNUMBER(G1691),F1691&gt;0),G1691/F1691-1,"")</x:f>
      </x:c>
      <x:c r="K1691" s="19" t="str">
        <x:v>Exp_5/EXP052/results/seed1008_Fixed_rank_5.json</x:v>
      </x:c>
    </x:row>
    <x:row r="1692" ht="15" hidden="0" customHeight="1">
      <x:c r="A1692" s="3" t="str">
        <x:v>EXP052</x:v>
      </x:c>
      <x:c r="B1692" s="3" t="str">
        <x:v>Exp. 5</x:v>
      </x:c>
      <x:c r="C1692" s="18" t="n">
        <x:v>1008</x:v>
      </x:c>
      <x:c r="D1692" s="3" t="str">
        <x:v>Full</x:v>
      </x:c>
      <x:c r="E1692" s="18" t="n">
        <x:v>200</x:v>
      </x:c>
      <x:c r="F1692" s="21" t="n">
        <x:v>248.25946673655338</x:v>
      </x:c>
      <x:c r="G1692" s="21" t="str">
        <x:f>""</x:f>
      </x:c>
      <x:c r="H1692" s="21" t="n">
        <x:f>F1692</x:f>
        <x:v>248.25946673655338</x:v>
      </x:c>
      <x:c r="I1692" s="27" t="str">
        <x:f>IF(AND(ISNUMBER(G1692),ISNUMBER(H1692),H1692&gt;0),G1692/H1692-1,"")</x:f>
      </x:c>
      <x:c r="J1692" s="27" t="str">
        <x:f>IF(AND(ISNUMBER(G1692),F1692&gt;0),G1692/F1692-1,"")</x:f>
      </x:c>
      <x:c r="K1692" s="19" t="str">
        <x:v>Exp_5/EXP052/results/seed1008_Full.json</x:v>
      </x:c>
    </x:row>
    <x:row r="1693" ht="15" hidden="0" customHeight="1">
      <x:c r="A1693" s="3" t="str">
        <x:v>EXP052</x:v>
      </x:c>
      <x:c r="B1693" s="3" t="str">
        <x:v>Exp. 5</x:v>
      </x:c>
      <x:c r="C1693" s="18" t="n">
        <x:v>1008</x:v>
      </x:c>
      <x:c r="D1693" s="3" t="str">
        <x:v>Relative cutoff 1e-2</x:v>
      </x:c>
      <x:c r="E1693" s="18" t="n">
        <x:v>200</x:v>
      </x:c>
      <x:c r="F1693" s="21" t="n">
        <x:v>239.50545848816256</x:v>
      </x:c>
      <x:c r="G1693" s="21" t="str">
        <x:f>""</x:f>
      </x:c>
      <x:c r="H1693" s="21" t="n">
        <x:f>F1692</x:f>
        <x:v>248.25946673655338</x:v>
      </x:c>
      <x:c r="I1693" s="27" t="str">
        <x:f>IF(AND(ISNUMBER(G1693),ISNUMBER(H1693),H1693&gt;0),G1693/H1693-1,"")</x:f>
      </x:c>
      <x:c r="J1693" s="27" t="str">
        <x:f>IF(AND(ISNUMBER(G1693),F1693&gt;0),G1693/F1693-1,"")</x:f>
      </x:c>
      <x:c r="K1693" s="19" t="str">
        <x:v>Exp_5/EXP052/results/seed1008_Relative_cutoff_1e-2.json</x:v>
      </x:c>
    </x:row>
    <x:row r="1694" ht="15" hidden="0" customHeight="1">
      <x:c r="A1694" s="3" t="str">
        <x:v>EXP052</x:v>
      </x:c>
      <x:c r="B1694" s="3" t="str">
        <x:v>Exp. 5</x:v>
      </x:c>
      <x:c r="C1694" s="18" t="n">
        <x:v>1009</x:v>
      </x:c>
      <x:c r="D1694" s="3" t="str">
        <x:v>Fixed rank 10</x:v>
      </x:c>
      <x:c r="E1694" s="18" t="n">
        <x:v>200</x:v>
      </x:c>
      <x:c r="F1694" s="21" t="n">
        <x:v>254.751088180093</x:v>
      </x:c>
      <x:c r="G1694" s="21" t="str">
        <x:f>""</x:f>
      </x:c>
      <x:c r="H1694" s="21" t="n">
        <x:f>F1697</x:f>
        <x:v>257.21810547694713</x:v>
      </x:c>
      <x:c r="I1694" s="27" t="str">
        <x:f>IF(AND(ISNUMBER(G1694),ISNUMBER(H1694),H1694&gt;0),G1694/H1694-1,"")</x:f>
      </x:c>
      <x:c r="J1694" s="27" t="str">
        <x:f>IF(AND(ISNUMBER(G1694),F1694&gt;0),G1694/F1694-1,"")</x:f>
      </x:c>
      <x:c r="K1694" s="19" t="str">
        <x:v>Exp_5/EXP052/results/seed1009_Fixed_rank_10.json</x:v>
      </x:c>
    </x:row>
    <x:row r="1695" ht="15" hidden="0" customHeight="1">
      <x:c r="A1695" s="3" t="str">
        <x:v>EXP052</x:v>
      </x:c>
      <x:c r="B1695" s="3" t="str">
        <x:v>Exp. 5</x:v>
      </x:c>
      <x:c r="C1695" s="18" t="n">
        <x:v>1009</x:v>
      </x:c>
      <x:c r="D1695" s="3" t="str">
        <x:v>Fixed rank 3</x:v>
      </x:c>
      <x:c r="E1695" s="18" t="n">
        <x:v>200</x:v>
      </x:c>
      <x:c r="F1695" s="21" t="n">
        <x:v>252.8726754043362</x:v>
      </x:c>
      <x:c r="G1695" s="21" t="str">
        <x:f>""</x:f>
      </x:c>
      <x:c r="H1695" s="21" t="n">
        <x:f>F1697</x:f>
        <x:v>257.21810547694713</x:v>
      </x:c>
      <x:c r="I1695" s="27" t="str">
        <x:f>IF(AND(ISNUMBER(G1695),ISNUMBER(H1695),H1695&gt;0),G1695/H1695-1,"")</x:f>
      </x:c>
      <x:c r="J1695" s="27" t="str">
        <x:f>IF(AND(ISNUMBER(G1695),F1695&gt;0),G1695/F1695-1,"")</x:f>
      </x:c>
      <x:c r="K1695" s="19" t="str">
        <x:v>Exp_5/EXP052/results/seed1009_Fixed_rank_3.json</x:v>
      </x:c>
    </x:row>
    <x:row r="1696" ht="15" hidden="0" customHeight="1">
      <x:c r="A1696" s="3" t="str">
        <x:v>EXP052</x:v>
      </x:c>
      <x:c r="B1696" s="3" t="str">
        <x:v>Exp. 5</x:v>
      </x:c>
      <x:c r="C1696" s="18" t="n">
        <x:v>1009</x:v>
      </x:c>
      <x:c r="D1696" s="3" t="str">
        <x:v>Fixed rank 5</x:v>
      </x:c>
      <x:c r="E1696" s="18" t="n">
        <x:v>200</x:v>
      </x:c>
      <x:c r="F1696" s="21" t="n">
        <x:v>252.8726754043362</x:v>
      </x:c>
      <x:c r="G1696" s="21" t="str">
        <x:f>""</x:f>
      </x:c>
      <x:c r="H1696" s="21" t="n">
        <x:f>F1697</x:f>
        <x:v>257.21810547694713</x:v>
      </x:c>
      <x:c r="I1696" s="27" t="str">
        <x:f>IF(AND(ISNUMBER(G1696),ISNUMBER(H1696),H1696&gt;0),G1696/H1696-1,"")</x:f>
      </x:c>
      <x:c r="J1696" s="27" t="str">
        <x:f>IF(AND(ISNUMBER(G1696),F1696&gt;0),G1696/F1696-1,"")</x:f>
      </x:c>
      <x:c r="K1696" s="19" t="str">
        <x:v>Exp_5/EXP052/results/seed1009_Fixed_rank_5.json</x:v>
      </x:c>
    </x:row>
    <x:row r="1697" ht="15" hidden="0" customHeight="1">
      <x:c r="A1697" s="3" t="str">
        <x:v>EXP052</x:v>
      </x:c>
      <x:c r="B1697" s="3" t="str">
        <x:v>Exp. 5</x:v>
      </x:c>
      <x:c r="C1697" s="18" t="n">
        <x:v>1009</x:v>
      </x:c>
      <x:c r="D1697" s="3" t="str">
        <x:v>Full</x:v>
      </x:c>
      <x:c r="E1697" s="18" t="n">
        <x:v>200</x:v>
      </x:c>
      <x:c r="F1697" s="21" t="n">
        <x:v>257.21810547694713</x:v>
      </x:c>
      <x:c r="G1697" s="21" t="str">
        <x:f>""</x:f>
      </x:c>
      <x:c r="H1697" s="21" t="n">
        <x:f>F1697</x:f>
        <x:v>257.21810547694713</x:v>
      </x:c>
      <x:c r="I1697" s="27" t="str">
        <x:f>IF(AND(ISNUMBER(G1697),ISNUMBER(H1697),H1697&gt;0),G1697/H1697-1,"")</x:f>
      </x:c>
      <x:c r="J1697" s="27" t="str">
        <x:f>IF(AND(ISNUMBER(G1697),F1697&gt;0),G1697/F1697-1,"")</x:f>
      </x:c>
      <x:c r="K1697" s="19" t="str">
        <x:v>Exp_5/EXP052/results/seed1009_Full.json</x:v>
      </x:c>
    </x:row>
    <x:row r="1698" ht="15" hidden="0" customHeight="1">
      <x:c r="A1698" s="3" t="str">
        <x:v>EXP052</x:v>
      </x:c>
      <x:c r="B1698" s="3" t="str">
        <x:v>Exp. 5</x:v>
      </x:c>
      <x:c r="C1698" s="18" t="n">
        <x:v>1009</x:v>
      </x:c>
      <x:c r="D1698" s="3" t="str">
        <x:v>Relative cutoff 1e-2</x:v>
      </x:c>
      <x:c r="E1698" s="18" t="n">
        <x:v>200</x:v>
      </x:c>
      <x:c r="F1698" s="21" t="n">
        <x:v>252.8726754043362</x:v>
      </x:c>
      <x:c r="G1698" s="21" t="str">
        <x:f>""</x:f>
      </x:c>
      <x:c r="H1698" s="21" t="n">
        <x:f>F1697</x:f>
        <x:v>257.21810547694713</x:v>
      </x:c>
      <x:c r="I1698" s="27" t="str">
        <x:f>IF(AND(ISNUMBER(G1698),ISNUMBER(H1698),H1698&gt;0),G1698/H1698-1,"")</x:f>
      </x:c>
      <x:c r="J1698" s="27" t="str">
        <x:f>IF(AND(ISNUMBER(G1698),F1698&gt;0),G1698/F1698-1,"")</x:f>
      </x:c>
      <x:c r="K1698" s="19" t="str">
        <x:v>Exp_5/EXP052/results/seed1009_Relative_cutoff_1e-2.json</x:v>
      </x:c>
    </x:row>
    <x:row r="1699" ht="15" hidden="0" customHeight="1">
      <x:c r="A1699" s="3" t="str">
        <x:v>EXP052</x:v>
      </x:c>
      <x:c r="B1699" s="3" t="str">
        <x:v>Exp. 5</x:v>
      </x:c>
      <x:c r="C1699" s="18" t="n">
        <x:v>1010</x:v>
      </x:c>
      <x:c r="D1699" s="3" t="str">
        <x:v>Fixed rank 10</x:v>
      </x:c>
      <x:c r="E1699" s="18" t="n">
        <x:v>200</x:v>
      </x:c>
      <x:c r="F1699" s="21" t="n">
        <x:v>268.9129065034257</x:v>
      </x:c>
      <x:c r="G1699" s="21" t="str">
        <x:f>""</x:f>
      </x:c>
      <x:c r="H1699" s="21" t="n">
        <x:f>F1702</x:f>
        <x:v>267.78107118402914</x:v>
      </x:c>
      <x:c r="I1699" s="27" t="str">
        <x:f>IF(AND(ISNUMBER(G1699),ISNUMBER(H1699),H1699&gt;0),G1699/H1699-1,"")</x:f>
      </x:c>
      <x:c r="J1699" s="27" t="str">
        <x:f>IF(AND(ISNUMBER(G1699),F1699&gt;0),G1699/F1699-1,"")</x:f>
      </x:c>
      <x:c r="K1699" s="19" t="str">
        <x:v>Exp_5/EXP052/results/seed1010_Fixed_rank_10.json</x:v>
      </x:c>
    </x:row>
    <x:row r="1700" ht="15" hidden="0" customHeight="1">
      <x:c r="A1700" s="3" t="str">
        <x:v>EXP052</x:v>
      </x:c>
      <x:c r="B1700" s="3" t="str">
        <x:v>Exp. 5</x:v>
      </x:c>
      <x:c r="C1700" s="18" t="n">
        <x:v>1010</x:v>
      </x:c>
      <x:c r="D1700" s="3" t="str">
        <x:v>Fixed rank 3</x:v>
      </x:c>
      <x:c r="E1700" s="18" t="n">
        <x:v>200</x:v>
      </x:c>
      <x:c r="F1700" s="21" t="n">
        <x:v>282.876626393032</x:v>
      </x:c>
      <x:c r="G1700" s="21" t="str">
        <x:f>""</x:f>
      </x:c>
      <x:c r="H1700" s="21" t="n">
        <x:f>F1702</x:f>
        <x:v>267.78107118402914</x:v>
      </x:c>
      <x:c r="I1700" s="27" t="str">
        <x:f>IF(AND(ISNUMBER(G1700),ISNUMBER(H1700),H1700&gt;0),G1700/H1700-1,"")</x:f>
      </x:c>
      <x:c r="J1700" s="27" t="str">
        <x:f>IF(AND(ISNUMBER(G1700),F1700&gt;0),G1700/F1700-1,"")</x:f>
      </x:c>
      <x:c r="K1700" s="19" t="str">
        <x:v>Exp_5/EXP052/results/seed1010_Fixed_rank_3.json</x:v>
      </x:c>
    </x:row>
    <x:row r="1701" ht="15" hidden="0" customHeight="1">
      <x:c r="A1701" s="3" t="str">
        <x:v>EXP052</x:v>
      </x:c>
      <x:c r="B1701" s="3" t="str">
        <x:v>Exp. 5</x:v>
      </x:c>
      <x:c r="C1701" s="18" t="n">
        <x:v>1010</x:v>
      </x:c>
      <x:c r="D1701" s="3" t="str">
        <x:v>Fixed rank 5</x:v>
      </x:c>
      <x:c r="E1701" s="18" t="n">
        <x:v>200</x:v>
      </x:c>
      <x:c r="F1701" s="21" t="n">
        <x:v>278.19844628433617</x:v>
      </x:c>
      <x:c r="G1701" s="21" t="str">
        <x:f>""</x:f>
      </x:c>
      <x:c r="H1701" s="21" t="n">
        <x:f>F1702</x:f>
        <x:v>267.78107118402914</x:v>
      </x:c>
      <x:c r="I1701" s="27" t="str">
        <x:f>IF(AND(ISNUMBER(G1701),ISNUMBER(H1701),H1701&gt;0),G1701/H1701-1,"")</x:f>
      </x:c>
      <x:c r="J1701" s="27" t="str">
        <x:f>IF(AND(ISNUMBER(G1701),F1701&gt;0),G1701/F1701-1,"")</x:f>
      </x:c>
      <x:c r="K1701" s="19" t="str">
        <x:v>Exp_5/EXP052/results/seed1010_Fixed_rank_5.json</x:v>
      </x:c>
    </x:row>
    <x:row r="1702" ht="15" hidden="0" customHeight="1">
      <x:c r="A1702" s="3" t="str">
        <x:v>EXP052</x:v>
      </x:c>
      <x:c r="B1702" s="3" t="str">
        <x:v>Exp. 5</x:v>
      </x:c>
      <x:c r="C1702" s="18" t="n">
        <x:v>1010</x:v>
      </x:c>
      <x:c r="D1702" s="3" t="str">
        <x:v>Full</x:v>
      </x:c>
      <x:c r="E1702" s="18" t="n">
        <x:v>200</x:v>
      </x:c>
      <x:c r="F1702" s="21" t="n">
        <x:v>267.78107118402914</x:v>
      </x:c>
      <x:c r="G1702" s="21" t="str">
        <x:f>""</x:f>
      </x:c>
      <x:c r="H1702" s="21" t="n">
        <x:f>F1702</x:f>
        <x:v>267.78107118402914</x:v>
      </x:c>
      <x:c r="I1702" s="27" t="str">
        <x:f>IF(AND(ISNUMBER(G1702),ISNUMBER(H1702),H1702&gt;0),G1702/H1702-1,"")</x:f>
      </x:c>
      <x:c r="J1702" s="27" t="str">
        <x:f>IF(AND(ISNUMBER(G1702),F1702&gt;0),G1702/F1702-1,"")</x:f>
      </x:c>
      <x:c r="K1702" s="19" t="str">
        <x:v>Exp_5/EXP052/results/seed1010_Full.json</x:v>
      </x:c>
    </x:row>
    <x:row r="1703" ht="15" hidden="0" customHeight="1">
      <x:c r="A1703" s="3" t="str">
        <x:v>EXP052</x:v>
      </x:c>
      <x:c r="B1703" s="3" t="str">
        <x:v>Exp. 5</x:v>
      </x:c>
      <x:c r="C1703" s="18" t="n">
        <x:v>1010</x:v>
      </x:c>
      <x:c r="D1703" s="3" t="str">
        <x:v>Relative cutoff 1e-2</x:v>
      </x:c>
      <x:c r="E1703" s="18" t="n">
        <x:v>200</x:v>
      </x:c>
      <x:c r="F1703" s="21" t="n">
        <x:v>269.0117677157991</x:v>
      </x:c>
      <x:c r="G1703" s="21" t="str">
        <x:f>""</x:f>
      </x:c>
      <x:c r="H1703" s="21" t="n">
        <x:f>F1702</x:f>
        <x:v>267.78107118402914</x:v>
      </x:c>
      <x:c r="I1703" s="27" t="str">
        <x:f>IF(AND(ISNUMBER(G1703),ISNUMBER(H1703),H1703&gt;0),G1703/H1703-1,"")</x:f>
      </x:c>
      <x:c r="J1703" s="27" t="str">
        <x:f>IF(AND(ISNUMBER(G1703),F1703&gt;0),G1703/F1703-1,"")</x:f>
      </x:c>
      <x:c r="K1703" s="19" t="str">
        <x:v>Exp_5/EXP052/results/seed1010_Relative_cutoff_1e-2.json</x:v>
      </x:c>
    </x:row>
    <x:row r="1704" ht="15" hidden="0" customHeight="1">
      <x:c r="A1704" s="3" t="str">
        <x:v>EXP052</x:v>
      </x:c>
      <x:c r="B1704" s="3" t="str">
        <x:v>Exp. 5</x:v>
      </x:c>
      <x:c r="C1704" s="18" t="n">
        <x:v>1011</x:v>
      </x:c>
      <x:c r="D1704" s="3" t="str">
        <x:v>Fixed rank 10</x:v>
      </x:c>
      <x:c r="E1704" s="18" t="n">
        <x:v>200</x:v>
      </x:c>
      <x:c r="F1704" s="21" t="n">
        <x:v>353.66402852938654</x:v>
      </x:c>
      <x:c r="G1704" s="21" t="str">
        <x:f>""</x:f>
      </x:c>
      <x:c r="H1704" s="21" t="n">
        <x:f>F1707</x:f>
        <x:v>353.6799746701782</x:v>
      </x:c>
      <x:c r="I1704" s="27" t="str">
        <x:f>IF(AND(ISNUMBER(G1704),ISNUMBER(H1704),H1704&gt;0),G1704/H1704-1,"")</x:f>
      </x:c>
      <x:c r="J1704" s="27" t="str">
        <x:f>IF(AND(ISNUMBER(G1704),F1704&gt;0),G1704/F1704-1,"")</x:f>
      </x:c>
      <x:c r="K1704" s="19" t="str">
        <x:v>Exp_5/EXP052/results/seed1011_Fixed_rank_10.json</x:v>
      </x:c>
    </x:row>
    <x:row r="1705" ht="15" hidden="0" customHeight="1">
      <x:c r="A1705" s="3" t="str">
        <x:v>EXP052</x:v>
      </x:c>
      <x:c r="B1705" s="3" t="str">
        <x:v>Exp. 5</x:v>
      </x:c>
      <x:c r="C1705" s="18" t="n">
        <x:v>1011</x:v>
      </x:c>
      <x:c r="D1705" s="3" t="str">
        <x:v>Fixed rank 3</x:v>
      </x:c>
      <x:c r="E1705" s="18" t="n">
        <x:v>200</x:v>
      </x:c>
      <x:c r="F1705" s="21" t="n">
        <x:v>356.6986046711418</x:v>
      </x:c>
      <x:c r="G1705" s="21" t="str">
        <x:f>""</x:f>
      </x:c>
      <x:c r="H1705" s="21" t="n">
        <x:f>F1707</x:f>
        <x:v>353.6799746701782</x:v>
      </x:c>
      <x:c r="I1705" s="27" t="str">
        <x:f>IF(AND(ISNUMBER(G1705),ISNUMBER(H1705),H1705&gt;0),G1705/H1705-1,"")</x:f>
      </x:c>
      <x:c r="J1705" s="27" t="str">
        <x:f>IF(AND(ISNUMBER(G1705),F1705&gt;0),G1705/F1705-1,"")</x:f>
      </x:c>
      <x:c r="K1705" s="19" t="str">
        <x:v>Exp_5/EXP052/results/seed1011_Fixed_rank_3.json</x:v>
      </x:c>
    </x:row>
    <x:row r="1706" ht="15" hidden="0" customHeight="1">
      <x:c r="A1706" s="3" t="str">
        <x:v>EXP052</x:v>
      </x:c>
      <x:c r="B1706" s="3" t="str">
        <x:v>Exp. 5</x:v>
      </x:c>
      <x:c r="C1706" s="18" t="n">
        <x:v>1011</x:v>
      </x:c>
      <x:c r="D1706" s="3" t="str">
        <x:v>Fixed rank 5</x:v>
      </x:c>
      <x:c r="E1706" s="18" t="n">
        <x:v>200</x:v>
      </x:c>
      <x:c r="F1706" s="21" t="n">
        <x:v>352.90501525082476</x:v>
      </x:c>
      <x:c r="G1706" s="21" t="str">
        <x:f>""</x:f>
      </x:c>
      <x:c r="H1706" s="21" t="n">
        <x:f>F1707</x:f>
        <x:v>353.6799746701782</x:v>
      </x:c>
      <x:c r="I1706" s="27" t="str">
        <x:f>IF(AND(ISNUMBER(G1706),ISNUMBER(H1706),H1706&gt;0),G1706/H1706-1,"")</x:f>
      </x:c>
      <x:c r="J1706" s="27" t="str">
        <x:f>IF(AND(ISNUMBER(G1706),F1706&gt;0),G1706/F1706-1,"")</x:f>
      </x:c>
      <x:c r="K1706" s="19" t="str">
        <x:v>Exp_5/EXP052/results/seed1011_Fixed_rank_5.json</x:v>
      </x:c>
    </x:row>
    <x:row r="1707" ht="15" hidden="0" customHeight="1">
      <x:c r="A1707" s="3" t="str">
        <x:v>EXP052</x:v>
      </x:c>
      <x:c r="B1707" s="3" t="str">
        <x:v>Exp. 5</x:v>
      </x:c>
      <x:c r="C1707" s="18" t="n">
        <x:v>1011</x:v>
      </x:c>
      <x:c r="D1707" s="3" t="str">
        <x:v>Full</x:v>
      </x:c>
      <x:c r="E1707" s="18" t="n">
        <x:v>200</x:v>
      </x:c>
      <x:c r="F1707" s="21" t="n">
        <x:v>353.6799746701782</x:v>
      </x:c>
      <x:c r="G1707" s="21" t="str">
        <x:f>""</x:f>
      </x:c>
      <x:c r="H1707" s="21" t="n">
        <x:f>F1707</x:f>
        <x:v>353.6799746701782</x:v>
      </x:c>
      <x:c r="I1707" s="27" t="str">
        <x:f>IF(AND(ISNUMBER(G1707),ISNUMBER(H1707),H1707&gt;0),G1707/H1707-1,"")</x:f>
      </x:c>
      <x:c r="J1707" s="27" t="str">
        <x:f>IF(AND(ISNUMBER(G1707),F1707&gt;0),G1707/F1707-1,"")</x:f>
      </x:c>
      <x:c r="K1707" s="19" t="str">
        <x:v>Exp_5/EXP052/results/seed1011_Full.json</x:v>
      </x:c>
    </x:row>
    <x:row r="1708" ht="15" hidden="0" customHeight="1">
      <x:c r="A1708" s="3" t="str">
        <x:v>EXP052</x:v>
      </x:c>
      <x:c r="B1708" s="3" t="str">
        <x:v>Exp. 5</x:v>
      </x:c>
      <x:c r="C1708" s="18" t="n">
        <x:v>1011</x:v>
      </x:c>
      <x:c r="D1708" s="3" t="str">
        <x:v>Relative cutoff 1e-2</x:v>
      </x:c>
      <x:c r="E1708" s="18" t="n">
        <x:v>200</x:v>
      </x:c>
      <x:c r="F1708" s="21" t="n">
        <x:v>356.3011234975035</x:v>
      </x:c>
      <x:c r="G1708" s="21" t="str">
        <x:f>""</x:f>
      </x:c>
      <x:c r="H1708" s="21" t="n">
        <x:f>F1707</x:f>
        <x:v>353.6799746701782</x:v>
      </x:c>
      <x:c r="I1708" s="27" t="str">
        <x:f>IF(AND(ISNUMBER(G1708),ISNUMBER(H1708),H1708&gt;0),G1708/H1708-1,"")</x:f>
      </x:c>
      <x:c r="J1708" s="27" t="str">
        <x:f>IF(AND(ISNUMBER(G1708),F1708&gt;0),G1708/F1708-1,"")</x:f>
      </x:c>
      <x:c r="K1708" s="19" t="str">
        <x:v>Exp_5/EXP052/results/seed1011_Relative_cutoff_1e-2.json</x:v>
      </x:c>
    </x:row>
    <x:row r="1709" ht="15" hidden="0" customHeight="1">
      <x:c r="A1709" s="3" t="str">
        <x:v>EXP052</x:v>
      </x:c>
      <x:c r="B1709" s="3" t="str">
        <x:v>Exp. 5</x:v>
      </x:c>
      <x:c r="C1709" s="18" t="n">
        <x:v>1012</x:v>
      </x:c>
      <x:c r="D1709" s="3" t="str">
        <x:v>Fixed rank 10</x:v>
      </x:c>
      <x:c r="E1709" s="18" t="n">
        <x:v>200</x:v>
      </x:c>
      <x:c r="F1709" s="21" t="n">
        <x:v>262.9394594945677</x:v>
      </x:c>
      <x:c r="G1709" s="21" t="str">
        <x:f>""</x:f>
      </x:c>
      <x:c r="H1709" s="21" t="n">
        <x:f>F1712</x:f>
        <x:v>269.3212135895655</x:v>
      </x:c>
      <x:c r="I1709" s="27" t="str">
        <x:f>IF(AND(ISNUMBER(G1709),ISNUMBER(H1709),H1709&gt;0),G1709/H1709-1,"")</x:f>
      </x:c>
      <x:c r="J1709" s="27" t="str">
        <x:f>IF(AND(ISNUMBER(G1709),F1709&gt;0),G1709/F1709-1,"")</x:f>
      </x:c>
      <x:c r="K1709" s="19" t="str">
        <x:v>Exp_5/EXP052/results/seed1012_Fixed_rank_10.json</x:v>
      </x:c>
    </x:row>
    <x:row r="1710" ht="15" hidden="0" customHeight="1">
      <x:c r="A1710" s="3" t="str">
        <x:v>EXP052</x:v>
      </x:c>
      <x:c r="B1710" s="3" t="str">
        <x:v>Exp. 5</x:v>
      </x:c>
      <x:c r="C1710" s="18" t="n">
        <x:v>1012</x:v>
      </x:c>
      <x:c r="D1710" s="3" t="str">
        <x:v>Fixed rank 3</x:v>
      </x:c>
      <x:c r="E1710" s="18" t="n">
        <x:v>200</x:v>
      </x:c>
      <x:c r="F1710" s="21" t="n">
        <x:v>275.1583669561674</x:v>
      </x:c>
      <x:c r="G1710" s="21" t="str">
        <x:f>""</x:f>
      </x:c>
      <x:c r="H1710" s="21" t="n">
        <x:f>F1712</x:f>
        <x:v>269.3212135895655</x:v>
      </x:c>
      <x:c r="I1710" s="27" t="str">
        <x:f>IF(AND(ISNUMBER(G1710),ISNUMBER(H1710),H1710&gt;0),G1710/H1710-1,"")</x:f>
      </x:c>
      <x:c r="J1710" s="27" t="str">
        <x:f>IF(AND(ISNUMBER(G1710),F1710&gt;0),G1710/F1710-1,"")</x:f>
      </x:c>
      <x:c r="K1710" s="19" t="str">
        <x:v>Exp_5/EXP052/results/seed1012_Fixed_rank_3.json</x:v>
      </x:c>
    </x:row>
    <x:row r="1711" ht="15" hidden="0" customHeight="1">
      <x:c r="A1711" s="3" t="str">
        <x:v>EXP052</x:v>
      </x:c>
      <x:c r="B1711" s="3" t="str">
        <x:v>Exp. 5</x:v>
      </x:c>
      <x:c r="C1711" s="18" t="n">
        <x:v>1012</x:v>
      </x:c>
      <x:c r="D1711" s="3" t="str">
        <x:v>Fixed rank 5</x:v>
      </x:c>
      <x:c r="E1711" s="18" t="n">
        <x:v>200</x:v>
      </x:c>
      <x:c r="F1711" s="21" t="n">
        <x:v>258.9354620998477</x:v>
      </x:c>
      <x:c r="G1711" s="21" t="str">
        <x:f>""</x:f>
      </x:c>
      <x:c r="H1711" s="21" t="n">
        <x:f>F1712</x:f>
        <x:v>269.3212135895655</x:v>
      </x:c>
      <x:c r="I1711" s="27" t="str">
        <x:f>IF(AND(ISNUMBER(G1711),ISNUMBER(H1711),H1711&gt;0),G1711/H1711-1,"")</x:f>
      </x:c>
      <x:c r="J1711" s="27" t="str">
        <x:f>IF(AND(ISNUMBER(G1711),F1711&gt;0),G1711/F1711-1,"")</x:f>
      </x:c>
      <x:c r="K1711" s="19" t="str">
        <x:v>Exp_5/EXP052/results/seed1012_Fixed_rank_5.json</x:v>
      </x:c>
    </x:row>
    <x:row r="1712" ht="15" hidden="0" customHeight="1">
      <x:c r="A1712" s="3" t="str">
        <x:v>EXP052</x:v>
      </x:c>
      <x:c r="B1712" s="3" t="str">
        <x:v>Exp. 5</x:v>
      </x:c>
      <x:c r="C1712" s="18" t="n">
        <x:v>1012</x:v>
      </x:c>
      <x:c r="D1712" s="3" t="str">
        <x:v>Full</x:v>
      </x:c>
      <x:c r="E1712" s="18" t="n">
        <x:v>200</x:v>
      </x:c>
      <x:c r="F1712" s="21" t="n">
        <x:v>269.3212135895655</x:v>
      </x:c>
      <x:c r="G1712" s="21" t="str">
        <x:f>""</x:f>
      </x:c>
      <x:c r="H1712" s="21" t="n">
        <x:f>F1712</x:f>
        <x:v>269.3212135895655</x:v>
      </x:c>
      <x:c r="I1712" s="27" t="str">
        <x:f>IF(AND(ISNUMBER(G1712),ISNUMBER(H1712),H1712&gt;0),G1712/H1712-1,"")</x:f>
      </x:c>
      <x:c r="J1712" s="27" t="str">
        <x:f>IF(AND(ISNUMBER(G1712),F1712&gt;0),G1712/F1712-1,"")</x:f>
      </x:c>
      <x:c r="K1712" s="19" t="str">
        <x:v>Exp_5/EXP052/results/seed1012_Full.json</x:v>
      </x:c>
    </x:row>
    <x:row r="1713" ht="15" hidden="0" customHeight="1">
      <x:c r="A1713" s="3" t="str">
        <x:v>EXP052</x:v>
      </x:c>
      <x:c r="B1713" s="3" t="str">
        <x:v>Exp. 5</x:v>
      </x:c>
      <x:c r="C1713" s="18" t="n">
        <x:v>1012</x:v>
      </x:c>
      <x:c r="D1713" s="3" t="str">
        <x:v>Relative cutoff 1e-2</x:v>
      </x:c>
      <x:c r="E1713" s="18" t="n">
        <x:v>200</x:v>
      </x:c>
      <x:c r="F1713" s="21" t="n">
        <x:v>275.1583669561674</x:v>
      </x:c>
      <x:c r="G1713" s="21" t="str">
        <x:f>""</x:f>
      </x:c>
      <x:c r="H1713" s="21" t="n">
        <x:f>F1712</x:f>
        <x:v>269.3212135895655</x:v>
      </x:c>
      <x:c r="I1713" s="27" t="str">
        <x:f>IF(AND(ISNUMBER(G1713),ISNUMBER(H1713),H1713&gt;0),G1713/H1713-1,"")</x:f>
      </x:c>
      <x:c r="J1713" s="27" t="str">
        <x:f>IF(AND(ISNUMBER(G1713),F1713&gt;0),G1713/F1713-1,"")</x:f>
      </x:c>
      <x:c r="K1713" s="19" t="str">
        <x:v>Exp_5/EXP052/results/seed1012_Relative_cutoff_1e-2.json</x:v>
      </x:c>
    </x:row>
    <x:row r="1714" ht="15" hidden="0" customHeight="1">
      <x:c r="A1714" s="3" t="str">
        <x:v>EXP052</x:v>
      </x:c>
      <x:c r="B1714" s="3" t="str">
        <x:v>Exp. 5</x:v>
      </x:c>
      <x:c r="C1714" s="18" t="n">
        <x:v>1013</x:v>
      </x:c>
      <x:c r="D1714" s="3" t="str">
        <x:v>Fixed rank 10</x:v>
      </x:c>
      <x:c r="E1714" s="18" t="n">
        <x:v>200</x:v>
      </x:c>
      <x:c r="F1714" s="21" t="n">
        <x:v>315.89786294601384</x:v>
      </x:c>
      <x:c r="G1714" s="21" t="str">
        <x:f>""</x:f>
      </x:c>
      <x:c r="H1714" s="21" t="n">
        <x:f>F1717</x:f>
        <x:v>303.0211756817299</x:v>
      </x:c>
      <x:c r="I1714" s="27" t="str">
        <x:f>IF(AND(ISNUMBER(G1714),ISNUMBER(H1714),H1714&gt;0),G1714/H1714-1,"")</x:f>
      </x:c>
      <x:c r="J1714" s="27" t="str">
        <x:f>IF(AND(ISNUMBER(G1714),F1714&gt;0),G1714/F1714-1,"")</x:f>
      </x:c>
      <x:c r="K1714" s="19" t="str">
        <x:v>Exp_5/EXP052/results/seed1013_Fixed_rank_10.json</x:v>
      </x:c>
    </x:row>
    <x:row r="1715" ht="15" hidden="0" customHeight="1">
      <x:c r="A1715" s="3" t="str">
        <x:v>EXP052</x:v>
      </x:c>
      <x:c r="B1715" s="3" t="str">
        <x:v>Exp. 5</x:v>
      </x:c>
      <x:c r="C1715" s="18" t="n">
        <x:v>1013</x:v>
      </x:c>
      <x:c r="D1715" s="3" t="str">
        <x:v>Fixed rank 3</x:v>
      </x:c>
      <x:c r="E1715" s="18" t="n">
        <x:v>200</x:v>
      </x:c>
      <x:c r="F1715" s="21" t="n">
        <x:v>310.28279689432526</x:v>
      </x:c>
      <x:c r="G1715" s="21" t="str">
        <x:f>""</x:f>
      </x:c>
      <x:c r="H1715" s="21" t="n">
        <x:f>F1717</x:f>
        <x:v>303.0211756817299</x:v>
      </x:c>
      <x:c r="I1715" s="27" t="str">
        <x:f>IF(AND(ISNUMBER(G1715),ISNUMBER(H1715),H1715&gt;0),G1715/H1715-1,"")</x:f>
      </x:c>
      <x:c r="J1715" s="27" t="str">
        <x:f>IF(AND(ISNUMBER(G1715),F1715&gt;0),G1715/F1715-1,"")</x:f>
      </x:c>
      <x:c r="K1715" s="19" t="str">
        <x:v>Exp_5/EXP052/results/seed1013_Fixed_rank_3.json</x:v>
      </x:c>
    </x:row>
    <x:row r="1716" ht="15" hidden="0" customHeight="1">
      <x:c r="A1716" s="3" t="str">
        <x:v>EXP052</x:v>
      </x:c>
      <x:c r="B1716" s="3" t="str">
        <x:v>Exp. 5</x:v>
      </x:c>
      <x:c r="C1716" s="18" t="n">
        <x:v>1013</x:v>
      </x:c>
      <x:c r="D1716" s="3" t="str">
        <x:v>Fixed rank 5</x:v>
      </x:c>
      <x:c r="E1716" s="18" t="n">
        <x:v>200</x:v>
      </x:c>
      <x:c r="F1716" s="21" t="n">
        <x:v>315.89786294601384</x:v>
      </x:c>
      <x:c r="G1716" s="21" t="str">
        <x:f>""</x:f>
      </x:c>
      <x:c r="H1716" s="21" t="n">
        <x:f>F1717</x:f>
        <x:v>303.0211756817299</x:v>
      </x:c>
      <x:c r="I1716" s="27" t="str">
        <x:f>IF(AND(ISNUMBER(G1716),ISNUMBER(H1716),H1716&gt;0),G1716/H1716-1,"")</x:f>
      </x:c>
      <x:c r="J1716" s="27" t="str">
        <x:f>IF(AND(ISNUMBER(G1716),F1716&gt;0),G1716/F1716-1,"")</x:f>
      </x:c>
      <x:c r="K1716" s="19" t="str">
        <x:v>Exp_5/EXP052/results/seed1013_Fixed_rank_5.json</x:v>
      </x:c>
    </x:row>
    <x:row r="1717" ht="15" hidden="0" customHeight="1">
      <x:c r="A1717" s="3" t="str">
        <x:v>EXP052</x:v>
      </x:c>
      <x:c r="B1717" s="3" t="str">
        <x:v>Exp. 5</x:v>
      </x:c>
      <x:c r="C1717" s="18" t="n">
        <x:v>1013</x:v>
      </x:c>
      <x:c r="D1717" s="3" t="str">
        <x:v>Full</x:v>
      </x:c>
      <x:c r="E1717" s="18" t="n">
        <x:v>200</x:v>
      </x:c>
      <x:c r="F1717" s="21" t="n">
        <x:v>303.0211756817299</x:v>
      </x:c>
      <x:c r="G1717" s="21" t="str">
        <x:f>""</x:f>
      </x:c>
      <x:c r="H1717" s="21" t="n">
        <x:f>F1717</x:f>
        <x:v>303.0211756817299</x:v>
      </x:c>
      <x:c r="I1717" s="27" t="str">
        <x:f>IF(AND(ISNUMBER(G1717),ISNUMBER(H1717),H1717&gt;0),G1717/H1717-1,"")</x:f>
      </x:c>
      <x:c r="J1717" s="27" t="str">
        <x:f>IF(AND(ISNUMBER(G1717),F1717&gt;0),G1717/F1717-1,"")</x:f>
      </x:c>
      <x:c r="K1717" s="19" t="str">
        <x:v>Exp_5/EXP052/results/seed1013_Full.json</x:v>
      </x:c>
    </x:row>
    <x:row r="1718" ht="15" hidden="0" customHeight="1">
      <x:c r="A1718" s="3" t="str">
        <x:v>EXP052</x:v>
      </x:c>
      <x:c r="B1718" s="3" t="str">
        <x:v>Exp. 5</x:v>
      </x:c>
      <x:c r="C1718" s="18" t="n">
        <x:v>1013</x:v>
      </x:c>
      <x:c r="D1718" s="3" t="str">
        <x:v>Relative cutoff 1e-2</x:v>
      </x:c>
      <x:c r="E1718" s="18" t="n">
        <x:v>200</x:v>
      </x:c>
      <x:c r="F1718" s="21" t="n">
        <x:v>314.2770272330681</x:v>
      </x:c>
      <x:c r="G1718" s="21" t="str">
        <x:f>""</x:f>
      </x:c>
      <x:c r="H1718" s="21" t="n">
        <x:f>F1717</x:f>
        <x:v>303.0211756817299</x:v>
      </x:c>
      <x:c r="I1718" s="27" t="str">
        <x:f>IF(AND(ISNUMBER(G1718),ISNUMBER(H1718),H1718&gt;0),G1718/H1718-1,"")</x:f>
      </x:c>
      <x:c r="J1718" s="27" t="str">
        <x:f>IF(AND(ISNUMBER(G1718),F1718&gt;0),G1718/F1718-1,"")</x:f>
      </x:c>
      <x:c r="K1718" s="19" t="str">
        <x:v>Exp_5/EXP052/results/seed1013_Relative_cutoff_1e-2.json</x:v>
      </x:c>
    </x:row>
    <x:row r="1719" ht="15" hidden="0" customHeight="1">
      <x:c r="A1719" s="3" t="str">
        <x:v>EXP052</x:v>
      </x:c>
      <x:c r="B1719" s="3" t="str">
        <x:v>Exp. 5</x:v>
      </x:c>
      <x:c r="C1719" s="18" t="n">
        <x:v>1014</x:v>
      </x:c>
      <x:c r="D1719" s="3" t="str">
        <x:v>Fixed rank 10</x:v>
      </x:c>
      <x:c r="E1719" s="18" t="n">
        <x:v>200</x:v>
      </x:c>
      <x:c r="F1719" s="21" t="n">
        <x:v>359.4401232442881</x:v>
      </x:c>
      <x:c r="G1719" s="21" t="str">
        <x:f>""</x:f>
      </x:c>
      <x:c r="H1719" s="21" t="n">
        <x:f>F1722</x:f>
        <x:v>360.51557151863557</x:v>
      </x:c>
      <x:c r="I1719" s="27" t="str">
        <x:f>IF(AND(ISNUMBER(G1719),ISNUMBER(H1719),H1719&gt;0),G1719/H1719-1,"")</x:f>
      </x:c>
      <x:c r="J1719" s="27" t="str">
        <x:f>IF(AND(ISNUMBER(G1719),F1719&gt;0),G1719/F1719-1,"")</x:f>
      </x:c>
      <x:c r="K1719" s="19" t="str">
        <x:v>Exp_5/EXP052/results/seed1014_Fixed_rank_10.json</x:v>
      </x:c>
    </x:row>
    <x:row r="1720" ht="15" hidden="0" customHeight="1">
      <x:c r="A1720" s="3" t="str">
        <x:v>EXP052</x:v>
      </x:c>
      <x:c r="B1720" s="3" t="str">
        <x:v>Exp. 5</x:v>
      </x:c>
      <x:c r="C1720" s="18" t="n">
        <x:v>1014</x:v>
      </x:c>
      <x:c r="D1720" s="3" t="str">
        <x:v>Fixed rank 3</x:v>
      </x:c>
      <x:c r="E1720" s="18" t="n">
        <x:v>200</x:v>
      </x:c>
      <x:c r="F1720" s="21" t="n">
        <x:v>349.72610138209564</x:v>
      </x:c>
      <x:c r="G1720" s="21" t="str">
        <x:f>""</x:f>
      </x:c>
      <x:c r="H1720" s="21" t="n">
        <x:f>F1722</x:f>
        <x:v>360.51557151863557</x:v>
      </x:c>
      <x:c r="I1720" s="27" t="str">
        <x:f>IF(AND(ISNUMBER(G1720),ISNUMBER(H1720),H1720&gt;0),G1720/H1720-1,"")</x:f>
      </x:c>
      <x:c r="J1720" s="27" t="str">
        <x:f>IF(AND(ISNUMBER(G1720),F1720&gt;0),G1720/F1720-1,"")</x:f>
      </x:c>
      <x:c r="K1720" s="19" t="str">
        <x:v>Exp_5/EXP052/results/seed1014_Fixed_rank_3.json</x:v>
      </x:c>
    </x:row>
    <x:row r="1721" ht="15" hidden="0" customHeight="1">
      <x:c r="A1721" s="3" t="str">
        <x:v>EXP052</x:v>
      </x:c>
      <x:c r="B1721" s="3" t="str">
        <x:v>Exp. 5</x:v>
      </x:c>
      <x:c r="C1721" s="18" t="n">
        <x:v>1014</x:v>
      </x:c>
      <x:c r="D1721" s="3" t="str">
        <x:v>Fixed rank 5</x:v>
      </x:c>
      <x:c r="E1721" s="18" t="n">
        <x:v>200</x:v>
      </x:c>
      <x:c r="F1721" s="21" t="n">
        <x:v>350.9221622254886</x:v>
      </x:c>
      <x:c r="G1721" s="21" t="str">
        <x:f>""</x:f>
      </x:c>
      <x:c r="H1721" s="21" t="n">
        <x:f>F1722</x:f>
        <x:v>360.51557151863557</x:v>
      </x:c>
      <x:c r="I1721" s="27" t="str">
        <x:f>IF(AND(ISNUMBER(G1721),ISNUMBER(H1721),H1721&gt;0),G1721/H1721-1,"")</x:f>
      </x:c>
      <x:c r="J1721" s="27" t="str">
        <x:f>IF(AND(ISNUMBER(G1721),F1721&gt;0),G1721/F1721-1,"")</x:f>
      </x:c>
      <x:c r="K1721" s="19" t="str">
        <x:v>Exp_5/EXP052/results/seed1014_Fixed_rank_5.json</x:v>
      </x:c>
    </x:row>
    <x:row r="1722" ht="15" hidden="0" customHeight="1">
      <x:c r="A1722" s="3" t="str">
        <x:v>EXP052</x:v>
      </x:c>
      <x:c r="B1722" s="3" t="str">
        <x:v>Exp. 5</x:v>
      </x:c>
      <x:c r="C1722" s="18" t="n">
        <x:v>1014</x:v>
      </x:c>
      <x:c r="D1722" s="3" t="str">
        <x:v>Full</x:v>
      </x:c>
      <x:c r="E1722" s="18" t="n">
        <x:v>200</x:v>
      </x:c>
      <x:c r="F1722" s="21" t="n">
        <x:v>360.51557151863557</x:v>
      </x:c>
      <x:c r="G1722" s="21" t="str">
        <x:f>""</x:f>
      </x:c>
      <x:c r="H1722" s="21" t="n">
        <x:f>F1722</x:f>
        <x:v>360.51557151863557</x:v>
      </x:c>
      <x:c r="I1722" s="27" t="str">
        <x:f>IF(AND(ISNUMBER(G1722),ISNUMBER(H1722),H1722&gt;0),G1722/H1722-1,"")</x:f>
      </x:c>
      <x:c r="J1722" s="27" t="str">
        <x:f>IF(AND(ISNUMBER(G1722),F1722&gt;0),G1722/F1722-1,"")</x:f>
      </x:c>
      <x:c r="K1722" s="19" t="str">
        <x:v>Exp_5/EXP052/results/seed1014_Full.json</x:v>
      </x:c>
    </x:row>
    <x:row r="1723" ht="15" hidden="0" customHeight="1">
      <x:c r="A1723" s="3" t="str">
        <x:v>EXP052</x:v>
      </x:c>
      <x:c r="B1723" s="3" t="str">
        <x:v>Exp. 5</x:v>
      </x:c>
      <x:c r="C1723" s="18" t="n">
        <x:v>1014</x:v>
      </x:c>
      <x:c r="D1723" s="3" t="str">
        <x:v>Relative cutoff 1e-2</x:v>
      </x:c>
      <x:c r="E1723" s="18" t="n">
        <x:v>200</x:v>
      </x:c>
      <x:c r="F1723" s="21" t="n">
        <x:v>355.7303138311753</x:v>
      </x:c>
      <x:c r="G1723" s="21" t="str">
        <x:f>""</x:f>
      </x:c>
      <x:c r="H1723" s="21" t="n">
        <x:f>F1722</x:f>
        <x:v>360.51557151863557</x:v>
      </x:c>
      <x:c r="I1723" s="27" t="str">
        <x:f>IF(AND(ISNUMBER(G1723),ISNUMBER(H1723),H1723&gt;0),G1723/H1723-1,"")</x:f>
      </x:c>
      <x:c r="J1723" s="27" t="str">
        <x:f>IF(AND(ISNUMBER(G1723),F1723&gt;0),G1723/F1723-1,"")</x:f>
      </x:c>
      <x:c r="K1723" s="19" t="str">
        <x:v>Exp_5/EXP052/results/seed1014_Relative_cutoff_1e-2.json</x:v>
      </x:c>
    </x:row>
    <x:row r="1724" ht="15" hidden="0" customHeight="1">
      <x:c r="A1724" s="3" t="str">
        <x:v>EXP052</x:v>
      </x:c>
      <x:c r="B1724" s="3" t="str">
        <x:v>Exp. 5</x:v>
      </x:c>
      <x:c r="C1724" s="18" t="n">
        <x:v>1015</x:v>
      </x:c>
      <x:c r="D1724" s="3" t="str">
        <x:v>Fixed rank 10</x:v>
      </x:c>
      <x:c r="E1724" s="18" t="n">
        <x:v>200</x:v>
      </x:c>
      <x:c r="F1724" s="21" t="n">
        <x:v>206.73916852284316</x:v>
      </x:c>
      <x:c r="G1724" s="21" t="str">
        <x:f>""</x:f>
      </x:c>
      <x:c r="H1724" s="21" t="n">
        <x:f>F1727</x:f>
        <x:v>204.32598176225224</x:v>
      </x:c>
      <x:c r="I1724" s="27" t="str">
        <x:f>IF(AND(ISNUMBER(G1724),ISNUMBER(H1724),H1724&gt;0),G1724/H1724-1,"")</x:f>
      </x:c>
      <x:c r="J1724" s="27" t="str">
        <x:f>IF(AND(ISNUMBER(G1724),F1724&gt;0),G1724/F1724-1,"")</x:f>
      </x:c>
      <x:c r="K1724" s="19" t="str">
        <x:v>Exp_5/EXP052/results/seed1015_Fixed_rank_10.json</x:v>
      </x:c>
    </x:row>
    <x:row r="1725" ht="15" hidden="0" customHeight="1">
      <x:c r="A1725" s="3" t="str">
        <x:v>EXP052</x:v>
      </x:c>
      <x:c r="B1725" s="3" t="str">
        <x:v>Exp. 5</x:v>
      </x:c>
      <x:c r="C1725" s="18" t="n">
        <x:v>1015</x:v>
      </x:c>
      <x:c r="D1725" s="3" t="str">
        <x:v>Fixed rank 3</x:v>
      </x:c>
      <x:c r="E1725" s="18" t="n">
        <x:v>200</x:v>
      </x:c>
      <x:c r="F1725" s="21" t="n">
        <x:v>210.78685883573056</x:v>
      </x:c>
      <x:c r="G1725" s="21" t="str">
        <x:f>""</x:f>
      </x:c>
      <x:c r="H1725" s="21" t="n">
        <x:f>F1727</x:f>
        <x:v>204.32598176225224</x:v>
      </x:c>
      <x:c r="I1725" s="27" t="str">
        <x:f>IF(AND(ISNUMBER(G1725),ISNUMBER(H1725),H1725&gt;0),G1725/H1725-1,"")</x:f>
      </x:c>
      <x:c r="J1725" s="27" t="str">
        <x:f>IF(AND(ISNUMBER(G1725),F1725&gt;0),G1725/F1725-1,"")</x:f>
      </x:c>
      <x:c r="K1725" s="19" t="str">
        <x:v>Exp_5/EXP052/results/seed1015_Fixed_rank_3.json</x:v>
      </x:c>
    </x:row>
    <x:row r="1726" ht="15" hidden="0" customHeight="1">
      <x:c r="A1726" s="3" t="str">
        <x:v>EXP052</x:v>
      </x:c>
      <x:c r="B1726" s="3" t="str">
        <x:v>Exp. 5</x:v>
      </x:c>
      <x:c r="C1726" s="18" t="n">
        <x:v>1015</x:v>
      </x:c>
      <x:c r="D1726" s="3" t="str">
        <x:v>Fixed rank 5</x:v>
      </x:c>
      <x:c r="E1726" s="18" t="n">
        <x:v>200</x:v>
      </x:c>
      <x:c r="F1726" s="21" t="n">
        <x:v>213.28346653430577</x:v>
      </x:c>
      <x:c r="G1726" s="21" t="str">
        <x:f>""</x:f>
      </x:c>
      <x:c r="H1726" s="21" t="n">
        <x:f>F1727</x:f>
        <x:v>204.32598176225224</x:v>
      </x:c>
      <x:c r="I1726" s="27" t="str">
        <x:f>IF(AND(ISNUMBER(G1726),ISNUMBER(H1726),H1726&gt;0),G1726/H1726-1,"")</x:f>
      </x:c>
      <x:c r="J1726" s="27" t="str">
        <x:f>IF(AND(ISNUMBER(G1726),F1726&gt;0),G1726/F1726-1,"")</x:f>
      </x:c>
      <x:c r="K1726" s="19" t="str">
        <x:v>Exp_5/EXP052/results/seed1015_Fixed_rank_5.json</x:v>
      </x:c>
    </x:row>
    <x:row r="1727" ht="15" hidden="0" customHeight="1">
      <x:c r="A1727" s="3" t="str">
        <x:v>EXP052</x:v>
      </x:c>
      <x:c r="B1727" s="3" t="str">
        <x:v>Exp. 5</x:v>
      </x:c>
      <x:c r="C1727" s="18" t="n">
        <x:v>1015</x:v>
      </x:c>
      <x:c r="D1727" s="3" t="str">
        <x:v>Full</x:v>
      </x:c>
      <x:c r="E1727" s="18" t="n">
        <x:v>200</x:v>
      </x:c>
      <x:c r="F1727" s="21" t="n">
        <x:v>204.32598176225224</x:v>
      </x:c>
      <x:c r="G1727" s="21" t="str">
        <x:f>""</x:f>
      </x:c>
      <x:c r="H1727" s="21" t="n">
        <x:f>F1727</x:f>
        <x:v>204.32598176225224</x:v>
      </x:c>
      <x:c r="I1727" s="27" t="str">
        <x:f>IF(AND(ISNUMBER(G1727),ISNUMBER(H1727),H1727&gt;0),G1727/H1727-1,"")</x:f>
      </x:c>
      <x:c r="J1727" s="27" t="str">
        <x:f>IF(AND(ISNUMBER(G1727),F1727&gt;0),G1727/F1727-1,"")</x:f>
      </x:c>
      <x:c r="K1727" s="19" t="str">
        <x:v>Exp_5/EXP052/results/seed1015_Full.json</x:v>
      </x:c>
    </x:row>
    <x:row r="1728" ht="15" hidden="0" customHeight="1">
      <x:c r="A1728" s="3" t="str">
        <x:v>EXP052</x:v>
      </x:c>
      <x:c r="B1728" s="3" t="str">
        <x:v>Exp. 5</x:v>
      </x:c>
      <x:c r="C1728" s="18" t="n">
        <x:v>1015</x:v>
      </x:c>
      <x:c r="D1728" s="3" t="str">
        <x:v>Relative cutoff 1e-2</x:v>
      </x:c>
      <x:c r="E1728" s="18" t="n">
        <x:v>200</x:v>
      </x:c>
      <x:c r="F1728" s="21" t="n">
        <x:v>208.35933806488396</x:v>
      </x:c>
      <x:c r="G1728" s="21" t="str">
        <x:f>""</x:f>
      </x:c>
      <x:c r="H1728" s="21" t="n">
        <x:f>F1727</x:f>
        <x:v>204.32598176225224</x:v>
      </x:c>
      <x:c r="I1728" s="27" t="str">
        <x:f>IF(AND(ISNUMBER(G1728),ISNUMBER(H1728),H1728&gt;0),G1728/H1728-1,"")</x:f>
      </x:c>
      <x:c r="J1728" s="27" t="str">
        <x:f>IF(AND(ISNUMBER(G1728),F1728&gt;0),G1728/F1728-1,"")</x:f>
      </x:c>
      <x:c r="K1728" s="19" t="str">
        <x:v>Exp_5/EXP052/results/seed1015_Relative_cutoff_1e-2.json</x:v>
      </x:c>
    </x:row>
    <x:row r="1729" ht="15" hidden="0" customHeight="1">
      <x:c r="A1729" s="3" t="str">
        <x:v>EXP052</x:v>
      </x:c>
      <x:c r="B1729" s="3" t="str">
        <x:v>Exp. 5</x:v>
      </x:c>
      <x:c r="C1729" s="18" t="n">
        <x:v>1016</x:v>
      </x:c>
      <x:c r="D1729" s="3" t="str">
        <x:v>Fixed rank 10</x:v>
      </x:c>
      <x:c r="E1729" s="18" t="n">
        <x:v>200</x:v>
      </x:c>
      <x:c r="F1729" s="21" t="n">
        <x:v>226.03278732282843</x:v>
      </x:c>
      <x:c r="G1729" s="21" t="str">
        <x:f>""</x:f>
      </x:c>
      <x:c r="H1729" s="21" t="n">
        <x:f>F1732</x:f>
        <x:v>222.4513959511378</x:v>
      </x:c>
      <x:c r="I1729" s="27" t="str">
        <x:f>IF(AND(ISNUMBER(G1729),ISNUMBER(H1729),H1729&gt;0),G1729/H1729-1,"")</x:f>
      </x:c>
      <x:c r="J1729" s="27" t="str">
        <x:f>IF(AND(ISNUMBER(G1729),F1729&gt;0),G1729/F1729-1,"")</x:f>
      </x:c>
      <x:c r="K1729" s="19" t="str">
        <x:v>Exp_5/EXP052/results/seed1016_Fixed_rank_10.json</x:v>
      </x:c>
    </x:row>
    <x:row r="1730" ht="15" hidden="0" customHeight="1">
      <x:c r="A1730" s="3" t="str">
        <x:v>EXP052</x:v>
      </x:c>
      <x:c r="B1730" s="3" t="str">
        <x:v>Exp. 5</x:v>
      </x:c>
      <x:c r="C1730" s="18" t="n">
        <x:v>1016</x:v>
      </x:c>
      <x:c r="D1730" s="3" t="str">
        <x:v>Fixed rank 3</x:v>
      </x:c>
      <x:c r="E1730" s="18" t="n">
        <x:v>200</x:v>
      </x:c>
      <x:c r="F1730" s="21" t="n">
        <x:v>226.66498479642502</x:v>
      </x:c>
      <x:c r="G1730" s="21" t="str">
        <x:f>""</x:f>
      </x:c>
      <x:c r="H1730" s="21" t="n">
        <x:f>F1732</x:f>
        <x:v>222.4513959511378</x:v>
      </x:c>
      <x:c r="I1730" s="27" t="str">
        <x:f>IF(AND(ISNUMBER(G1730),ISNUMBER(H1730),H1730&gt;0),G1730/H1730-1,"")</x:f>
      </x:c>
      <x:c r="J1730" s="27" t="str">
        <x:f>IF(AND(ISNUMBER(G1730),F1730&gt;0),G1730/F1730-1,"")</x:f>
      </x:c>
      <x:c r="K1730" s="19" t="str">
        <x:v>Exp_5/EXP052/results/seed1016_Fixed_rank_3.json</x:v>
      </x:c>
    </x:row>
    <x:row r="1731" ht="15" hidden="0" customHeight="1">
      <x:c r="A1731" s="3" t="str">
        <x:v>EXP052</x:v>
      </x:c>
      <x:c r="B1731" s="3" t="str">
        <x:v>Exp. 5</x:v>
      </x:c>
      <x:c r="C1731" s="18" t="n">
        <x:v>1016</x:v>
      </x:c>
      <x:c r="D1731" s="3" t="str">
        <x:v>Fixed rank 5</x:v>
      </x:c>
      <x:c r="E1731" s="18" t="n">
        <x:v>200</x:v>
      </x:c>
      <x:c r="F1731" s="21" t="n">
        <x:v>226.03278732282843</x:v>
      </x:c>
      <x:c r="G1731" s="21" t="str">
        <x:f>""</x:f>
      </x:c>
      <x:c r="H1731" s="21" t="n">
        <x:f>F1732</x:f>
        <x:v>222.4513959511378</x:v>
      </x:c>
      <x:c r="I1731" s="27" t="str">
        <x:f>IF(AND(ISNUMBER(G1731),ISNUMBER(H1731),H1731&gt;0),G1731/H1731-1,"")</x:f>
      </x:c>
      <x:c r="J1731" s="27" t="str">
        <x:f>IF(AND(ISNUMBER(G1731),F1731&gt;0),G1731/F1731-1,"")</x:f>
      </x:c>
      <x:c r="K1731" s="19" t="str">
        <x:v>Exp_5/EXP052/results/seed1016_Fixed_rank_5.json</x:v>
      </x:c>
    </x:row>
    <x:row r="1732" ht="15" hidden="0" customHeight="1">
      <x:c r="A1732" s="3" t="str">
        <x:v>EXP052</x:v>
      </x:c>
      <x:c r="B1732" s="3" t="str">
        <x:v>Exp. 5</x:v>
      </x:c>
      <x:c r="C1732" s="18" t="n">
        <x:v>1016</x:v>
      </x:c>
      <x:c r="D1732" s="3" t="str">
        <x:v>Full</x:v>
      </x:c>
      <x:c r="E1732" s="18" t="n">
        <x:v>200</x:v>
      </x:c>
      <x:c r="F1732" s="21" t="n">
        <x:v>222.4513959511378</x:v>
      </x:c>
      <x:c r="G1732" s="21" t="str">
        <x:f>""</x:f>
      </x:c>
      <x:c r="H1732" s="21" t="n">
        <x:f>F1732</x:f>
        <x:v>222.4513959511378</x:v>
      </x:c>
      <x:c r="I1732" s="27" t="str">
        <x:f>IF(AND(ISNUMBER(G1732),ISNUMBER(H1732),H1732&gt;0),G1732/H1732-1,"")</x:f>
      </x:c>
      <x:c r="J1732" s="27" t="str">
        <x:f>IF(AND(ISNUMBER(G1732),F1732&gt;0),G1732/F1732-1,"")</x:f>
      </x:c>
      <x:c r="K1732" s="19" t="str">
        <x:v>Exp_5/EXP052/results/seed1016_Full.json</x:v>
      </x:c>
    </x:row>
    <x:row r="1733" ht="15" hidden="0" customHeight="1">
      <x:c r="A1733" s="3" t="str">
        <x:v>EXP052</x:v>
      </x:c>
      <x:c r="B1733" s="3" t="str">
        <x:v>Exp. 5</x:v>
      </x:c>
      <x:c r="C1733" s="18" t="n">
        <x:v>1016</x:v>
      </x:c>
      <x:c r="D1733" s="3" t="str">
        <x:v>Relative cutoff 1e-2</x:v>
      </x:c>
      <x:c r="E1733" s="18" t="n">
        <x:v>200</x:v>
      </x:c>
      <x:c r="F1733" s="21" t="n">
        <x:v>226.66498479642502</x:v>
      </x:c>
      <x:c r="G1733" s="21" t="str">
        <x:f>""</x:f>
      </x:c>
      <x:c r="H1733" s="21" t="n">
        <x:f>F1732</x:f>
        <x:v>222.4513959511378</x:v>
      </x:c>
      <x:c r="I1733" s="27" t="str">
        <x:f>IF(AND(ISNUMBER(G1733),ISNUMBER(H1733),H1733&gt;0),G1733/H1733-1,"")</x:f>
      </x:c>
      <x:c r="J1733" s="27" t="str">
        <x:f>IF(AND(ISNUMBER(G1733),F1733&gt;0),G1733/F1733-1,"")</x:f>
      </x:c>
      <x:c r="K1733" s="19" t="str">
        <x:v>Exp_5/EXP052/results/seed1016_Relative_cutoff_1e-2.json</x:v>
      </x:c>
    </x:row>
    <x:row r="1734" ht="15" hidden="0" customHeight="1">
      <x:c r="A1734" s="3" t="str">
        <x:v>EXP052</x:v>
      </x:c>
      <x:c r="B1734" s="3" t="str">
        <x:v>Exp. 5</x:v>
      </x:c>
      <x:c r="C1734" s="18" t="n">
        <x:v>1017</x:v>
      </x:c>
      <x:c r="D1734" s="3" t="str">
        <x:v>Fixed rank 10</x:v>
      </x:c>
      <x:c r="E1734" s="18" t="n">
        <x:v>200</x:v>
      </x:c>
      <x:c r="F1734" s="21" t="n">
        <x:v>136.37073712905615</x:v>
      </x:c>
      <x:c r="G1734" s="21" t="str">
        <x:f>""</x:f>
      </x:c>
      <x:c r="H1734" s="21" t="n">
        <x:f>F1737</x:f>
        <x:v>134.47127192967872</x:v>
      </x:c>
      <x:c r="I1734" s="27" t="str">
        <x:f>IF(AND(ISNUMBER(G1734),ISNUMBER(H1734),H1734&gt;0),G1734/H1734-1,"")</x:f>
      </x:c>
      <x:c r="J1734" s="27" t="str">
        <x:f>IF(AND(ISNUMBER(G1734),F1734&gt;0),G1734/F1734-1,"")</x:f>
      </x:c>
      <x:c r="K1734" s="19" t="str">
        <x:v>Exp_5/EXP052/results/seed1017_Fixed_rank_10.json</x:v>
      </x:c>
    </x:row>
    <x:row r="1735" ht="15" hidden="0" customHeight="1">
      <x:c r="A1735" s="3" t="str">
        <x:v>EXP052</x:v>
      </x:c>
      <x:c r="B1735" s="3" t="str">
        <x:v>Exp. 5</x:v>
      </x:c>
      <x:c r="C1735" s="18" t="n">
        <x:v>1017</x:v>
      </x:c>
      <x:c r="D1735" s="3" t="str">
        <x:v>Fixed rank 3</x:v>
      </x:c>
      <x:c r="E1735" s="18" t="n">
        <x:v>200</x:v>
      </x:c>
      <x:c r="F1735" s="21" t="n">
        <x:v>138.51907204431828</x:v>
      </x:c>
      <x:c r="G1735" s="21" t="str">
        <x:f>""</x:f>
      </x:c>
      <x:c r="H1735" s="21" t="n">
        <x:f>F1737</x:f>
        <x:v>134.47127192967872</x:v>
      </x:c>
      <x:c r="I1735" s="27" t="str">
        <x:f>IF(AND(ISNUMBER(G1735),ISNUMBER(H1735),H1735&gt;0),G1735/H1735-1,"")</x:f>
      </x:c>
      <x:c r="J1735" s="27" t="str">
        <x:f>IF(AND(ISNUMBER(G1735),F1735&gt;0),G1735/F1735-1,"")</x:f>
      </x:c>
      <x:c r="K1735" s="19" t="str">
        <x:v>Exp_5/EXP052/results/seed1017_Fixed_rank_3.json</x:v>
      </x:c>
    </x:row>
    <x:row r="1736" ht="15" hidden="0" customHeight="1">
      <x:c r="A1736" s="3" t="str">
        <x:v>EXP052</x:v>
      </x:c>
      <x:c r="B1736" s="3" t="str">
        <x:v>Exp. 5</x:v>
      </x:c>
      <x:c r="C1736" s="18" t="n">
        <x:v>1017</x:v>
      </x:c>
      <x:c r="D1736" s="3" t="str">
        <x:v>Fixed rank 5</x:v>
      </x:c>
      <x:c r="E1736" s="18" t="n">
        <x:v>200</x:v>
      </x:c>
      <x:c r="F1736" s="21" t="n">
        <x:v>136.37073712905615</x:v>
      </x:c>
      <x:c r="G1736" s="21" t="str">
        <x:f>""</x:f>
      </x:c>
      <x:c r="H1736" s="21" t="n">
        <x:f>F1737</x:f>
        <x:v>134.47127192967872</x:v>
      </x:c>
      <x:c r="I1736" s="27" t="str">
        <x:f>IF(AND(ISNUMBER(G1736),ISNUMBER(H1736),H1736&gt;0),G1736/H1736-1,"")</x:f>
      </x:c>
      <x:c r="J1736" s="27" t="str">
        <x:f>IF(AND(ISNUMBER(G1736),F1736&gt;0),G1736/F1736-1,"")</x:f>
      </x:c>
      <x:c r="K1736" s="19" t="str">
        <x:v>Exp_5/EXP052/results/seed1017_Fixed_rank_5.json</x:v>
      </x:c>
    </x:row>
    <x:row r="1737" ht="15" hidden="0" customHeight="1">
      <x:c r="A1737" s="3" t="str">
        <x:v>EXP052</x:v>
      </x:c>
      <x:c r="B1737" s="3" t="str">
        <x:v>Exp. 5</x:v>
      </x:c>
      <x:c r="C1737" s="18" t="n">
        <x:v>1017</x:v>
      </x:c>
      <x:c r="D1737" s="3" t="str">
        <x:v>Full</x:v>
      </x:c>
      <x:c r="E1737" s="18" t="n">
        <x:v>200</x:v>
      </x:c>
      <x:c r="F1737" s="21" t="n">
        <x:v>134.47127192967872</x:v>
      </x:c>
      <x:c r="G1737" s="21" t="str">
        <x:f>""</x:f>
      </x:c>
      <x:c r="H1737" s="21" t="n">
        <x:f>F1737</x:f>
        <x:v>134.47127192967872</x:v>
      </x:c>
      <x:c r="I1737" s="27" t="str">
        <x:f>IF(AND(ISNUMBER(G1737),ISNUMBER(H1737),H1737&gt;0),G1737/H1737-1,"")</x:f>
      </x:c>
      <x:c r="J1737" s="27" t="str">
        <x:f>IF(AND(ISNUMBER(G1737),F1737&gt;0),G1737/F1737-1,"")</x:f>
      </x:c>
      <x:c r="K1737" s="19" t="str">
        <x:v>Exp_5/EXP052/results/seed1017_Full.json</x:v>
      </x:c>
    </x:row>
    <x:row r="1738" ht="15" hidden="0" customHeight="1">
      <x:c r="A1738" s="3" t="str">
        <x:v>EXP052</x:v>
      </x:c>
      <x:c r="B1738" s="3" t="str">
        <x:v>Exp. 5</x:v>
      </x:c>
      <x:c r="C1738" s="18" t="n">
        <x:v>1017</x:v>
      </x:c>
      <x:c r="D1738" s="3" t="str">
        <x:v>Relative cutoff 1e-2</x:v>
      </x:c>
      <x:c r="E1738" s="18" t="n">
        <x:v>200</x:v>
      </x:c>
      <x:c r="F1738" s="21" t="n">
        <x:v>138.4895111297162</x:v>
      </x:c>
      <x:c r="G1738" s="21" t="str">
        <x:f>""</x:f>
      </x:c>
      <x:c r="H1738" s="21" t="n">
        <x:f>F1737</x:f>
        <x:v>134.47127192967872</x:v>
      </x:c>
      <x:c r="I1738" s="27" t="str">
        <x:f>IF(AND(ISNUMBER(G1738),ISNUMBER(H1738),H1738&gt;0),G1738/H1738-1,"")</x:f>
      </x:c>
      <x:c r="J1738" s="27" t="str">
        <x:f>IF(AND(ISNUMBER(G1738),F1738&gt;0),G1738/F1738-1,"")</x:f>
      </x:c>
      <x:c r="K1738" s="19" t="str">
        <x:v>Exp_5/EXP052/results/seed1017_Relative_cutoff_1e-2.json</x:v>
      </x:c>
    </x:row>
    <x:row r="1739" ht="15" hidden="0" customHeight="1">
      <x:c r="A1739" s="3" t="str">
        <x:v>EXP052</x:v>
      </x:c>
      <x:c r="B1739" s="3" t="str">
        <x:v>Exp. 5</x:v>
      </x:c>
      <x:c r="C1739" s="18" t="n">
        <x:v>1018</x:v>
      </x:c>
      <x:c r="D1739" s="3" t="str">
        <x:v>Fixed rank 10</x:v>
      </x:c>
      <x:c r="E1739" s="18" t="n">
        <x:v>200</x:v>
      </x:c>
      <x:c r="F1739" s="21" t="n">
        <x:v>228.87664683257384</x:v>
      </x:c>
      <x:c r="G1739" s="21" t="str">
        <x:f>""</x:f>
      </x:c>
      <x:c r="H1739" s="21" t="n">
        <x:f>F1742</x:f>
        <x:v>237.52582690853075</x:v>
      </x:c>
      <x:c r="I1739" s="27" t="str">
        <x:f>IF(AND(ISNUMBER(G1739),ISNUMBER(H1739),H1739&gt;0),G1739/H1739-1,"")</x:f>
      </x:c>
      <x:c r="J1739" s="27" t="str">
        <x:f>IF(AND(ISNUMBER(G1739),F1739&gt;0),G1739/F1739-1,"")</x:f>
      </x:c>
      <x:c r="K1739" s="19" t="str">
        <x:v>Exp_5/EXP052/results/seed1018_Fixed_rank_10.json</x:v>
      </x:c>
    </x:row>
    <x:row r="1740" ht="15" hidden="0" customHeight="1">
      <x:c r="A1740" s="3" t="str">
        <x:v>EXP052</x:v>
      </x:c>
      <x:c r="B1740" s="3" t="str">
        <x:v>Exp. 5</x:v>
      </x:c>
      <x:c r="C1740" s="18" t="n">
        <x:v>1018</x:v>
      </x:c>
      <x:c r="D1740" s="3" t="str">
        <x:v>Fixed rank 3</x:v>
      </x:c>
      <x:c r="E1740" s="18" t="n">
        <x:v>200</x:v>
      </x:c>
      <x:c r="F1740" s="21" t="n">
        <x:v>221.6704398017459</x:v>
      </x:c>
      <x:c r="G1740" s="21" t="str">
        <x:f>""</x:f>
      </x:c>
      <x:c r="H1740" s="21" t="n">
        <x:f>F1742</x:f>
        <x:v>237.52582690853075</x:v>
      </x:c>
      <x:c r="I1740" s="27" t="str">
        <x:f>IF(AND(ISNUMBER(G1740),ISNUMBER(H1740),H1740&gt;0),G1740/H1740-1,"")</x:f>
      </x:c>
      <x:c r="J1740" s="27" t="str">
        <x:f>IF(AND(ISNUMBER(G1740),F1740&gt;0),G1740/F1740-1,"")</x:f>
      </x:c>
      <x:c r="K1740" s="19" t="str">
        <x:v>Exp_5/EXP052/results/seed1018_Fixed_rank_3.json</x:v>
      </x:c>
    </x:row>
    <x:row r="1741" ht="15" hidden="0" customHeight="1">
      <x:c r="A1741" s="3" t="str">
        <x:v>EXP052</x:v>
      </x:c>
      <x:c r="B1741" s="3" t="str">
        <x:v>Exp. 5</x:v>
      </x:c>
      <x:c r="C1741" s="18" t="n">
        <x:v>1018</x:v>
      </x:c>
      <x:c r="D1741" s="3" t="str">
        <x:v>Fixed rank 5</x:v>
      </x:c>
      <x:c r="E1741" s="18" t="n">
        <x:v>200</x:v>
      </x:c>
      <x:c r="F1741" s="21" t="n">
        <x:v>226.4751627047805</x:v>
      </x:c>
      <x:c r="G1741" s="21" t="str">
        <x:f>""</x:f>
      </x:c>
      <x:c r="H1741" s="21" t="n">
        <x:f>F1742</x:f>
        <x:v>237.52582690853075</x:v>
      </x:c>
      <x:c r="I1741" s="27" t="str">
        <x:f>IF(AND(ISNUMBER(G1741),ISNUMBER(H1741),H1741&gt;0),G1741/H1741-1,"")</x:f>
      </x:c>
      <x:c r="J1741" s="27" t="str">
        <x:f>IF(AND(ISNUMBER(G1741),F1741&gt;0),G1741/F1741-1,"")</x:f>
      </x:c>
      <x:c r="K1741" s="19" t="str">
        <x:v>Exp_5/EXP052/results/seed1018_Fixed_rank_5.json</x:v>
      </x:c>
    </x:row>
    <x:row r="1742" ht="15" hidden="0" customHeight="1">
      <x:c r="A1742" s="3" t="str">
        <x:v>EXP052</x:v>
      </x:c>
      <x:c r="B1742" s="3" t="str">
        <x:v>Exp. 5</x:v>
      </x:c>
      <x:c r="C1742" s="18" t="n">
        <x:v>1018</x:v>
      </x:c>
      <x:c r="D1742" s="3" t="str">
        <x:v>Full</x:v>
      </x:c>
      <x:c r="E1742" s="18" t="n">
        <x:v>200</x:v>
      </x:c>
      <x:c r="F1742" s="21" t="n">
        <x:v>237.52582690853075</x:v>
      </x:c>
      <x:c r="G1742" s="21" t="str">
        <x:f>""</x:f>
      </x:c>
      <x:c r="H1742" s="21" t="n">
        <x:f>F1742</x:f>
        <x:v>237.52582690853075</x:v>
      </x:c>
      <x:c r="I1742" s="27" t="str">
        <x:f>IF(AND(ISNUMBER(G1742),ISNUMBER(H1742),H1742&gt;0),G1742/H1742-1,"")</x:f>
      </x:c>
      <x:c r="J1742" s="27" t="str">
        <x:f>IF(AND(ISNUMBER(G1742),F1742&gt;0),G1742/F1742-1,"")</x:f>
      </x:c>
      <x:c r="K1742" s="19" t="str">
        <x:v>Exp_5/EXP052/results/seed1018_Full.json</x:v>
      </x:c>
    </x:row>
    <x:row r="1743" ht="15" hidden="0" customHeight="1">
      <x:c r="A1743" s="3" t="str">
        <x:v>EXP052</x:v>
      </x:c>
      <x:c r="B1743" s="3" t="str">
        <x:v>Exp. 5</x:v>
      </x:c>
      <x:c r="C1743" s="18" t="n">
        <x:v>1018</x:v>
      </x:c>
      <x:c r="D1743" s="3" t="str">
        <x:v>Relative cutoff 1e-2</x:v>
      </x:c>
      <x:c r="E1743" s="18" t="n">
        <x:v>200</x:v>
      </x:c>
      <x:c r="F1743" s="21" t="n">
        <x:v>222.8727362538123</x:v>
      </x:c>
      <x:c r="G1743" s="21" t="str">
        <x:f>""</x:f>
      </x:c>
      <x:c r="H1743" s="21" t="n">
        <x:f>F1742</x:f>
        <x:v>237.52582690853075</x:v>
      </x:c>
      <x:c r="I1743" s="27" t="str">
        <x:f>IF(AND(ISNUMBER(G1743),ISNUMBER(H1743),H1743&gt;0),G1743/H1743-1,"")</x:f>
      </x:c>
      <x:c r="J1743" s="27" t="str">
        <x:f>IF(AND(ISNUMBER(G1743),F1743&gt;0),G1743/F1743-1,"")</x:f>
      </x:c>
      <x:c r="K1743" s="19" t="str">
        <x:v>Exp_5/EXP052/results/seed1018_Relative_cutoff_1e-2.json</x:v>
      </x:c>
    </x:row>
    <x:row r="1744" ht="15" hidden="0" customHeight="1">
      <x:c r="A1744" s="3" t="str">
        <x:v>EXP052</x:v>
      </x:c>
      <x:c r="B1744" s="3" t="str">
        <x:v>Exp. 5</x:v>
      </x:c>
      <x:c r="C1744" s="18" t="n">
        <x:v>1019</x:v>
      </x:c>
      <x:c r="D1744" s="3" t="str">
        <x:v>Fixed rank 10</x:v>
      </x:c>
      <x:c r="E1744" s="18" t="n">
        <x:v>200</x:v>
      </x:c>
      <x:c r="F1744" s="21" t="n">
        <x:v>301.99457516537103</x:v>
      </x:c>
      <x:c r="G1744" s="21" t="str">
        <x:f>""</x:f>
      </x:c>
      <x:c r="H1744" s="21" t="n">
        <x:f>F1747</x:f>
        <x:v>305.9552570430693</x:v>
      </x:c>
      <x:c r="I1744" s="27" t="str">
        <x:f>IF(AND(ISNUMBER(G1744),ISNUMBER(H1744),H1744&gt;0),G1744/H1744-1,"")</x:f>
      </x:c>
      <x:c r="J1744" s="27" t="str">
        <x:f>IF(AND(ISNUMBER(G1744),F1744&gt;0),G1744/F1744-1,"")</x:f>
      </x:c>
      <x:c r="K1744" s="19" t="str">
        <x:v>Exp_5/EXP052/results/seed1019_Fixed_rank_10.json</x:v>
      </x:c>
    </x:row>
    <x:row r="1745" ht="15" hidden="0" customHeight="1">
      <x:c r="A1745" s="3" t="str">
        <x:v>EXP052</x:v>
      </x:c>
      <x:c r="B1745" s="3" t="str">
        <x:v>Exp. 5</x:v>
      </x:c>
      <x:c r="C1745" s="18" t="n">
        <x:v>1019</x:v>
      </x:c>
      <x:c r="D1745" s="3" t="str">
        <x:v>Fixed rank 3</x:v>
      </x:c>
      <x:c r="E1745" s="18" t="n">
        <x:v>200</x:v>
      </x:c>
      <x:c r="F1745" s="21" t="n">
        <x:v>315.2681473112443</x:v>
      </x:c>
      <x:c r="G1745" s="21" t="str">
        <x:f>""</x:f>
      </x:c>
      <x:c r="H1745" s="21" t="n">
        <x:f>F1747</x:f>
        <x:v>305.9552570430693</x:v>
      </x:c>
      <x:c r="I1745" s="27" t="str">
        <x:f>IF(AND(ISNUMBER(G1745),ISNUMBER(H1745),H1745&gt;0),G1745/H1745-1,"")</x:f>
      </x:c>
      <x:c r="J1745" s="27" t="str">
        <x:f>IF(AND(ISNUMBER(G1745),F1745&gt;0),G1745/F1745-1,"")</x:f>
      </x:c>
      <x:c r="K1745" s="19" t="str">
        <x:v>Exp_5/EXP052/results/seed1019_Fixed_rank_3.json</x:v>
      </x:c>
    </x:row>
    <x:row r="1746" ht="15" hidden="0" customHeight="1">
      <x:c r="A1746" s="3" t="str">
        <x:v>EXP052</x:v>
      </x:c>
      <x:c r="B1746" s="3" t="str">
        <x:v>Exp. 5</x:v>
      </x:c>
      <x:c r="C1746" s="18" t="n">
        <x:v>1019</x:v>
      </x:c>
      <x:c r="D1746" s="3" t="str">
        <x:v>Fixed rank 5</x:v>
      </x:c>
      <x:c r="E1746" s="18" t="n">
        <x:v>200</x:v>
      </x:c>
      <x:c r="F1746" s="21" t="n">
        <x:v>301.99457516537103</x:v>
      </x:c>
      <x:c r="G1746" s="21" t="str">
        <x:f>""</x:f>
      </x:c>
      <x:c r="H1746" s="21" t="n">
        <x:f>F1747</x:f>
        <x:v>305.9552570430693</x:v>
      </x:c>
      <x:c r="I1746" s="27" t="str">
        <x:f>IF(AND(ISNUMBER(G1746),ISNUMBER(H1746),H1746&gt;0),G1746/H1746-1,"")</x:f>
      </x:c>
      <x:c r="J1746" s="27" t="str">
        <x:f>IF(AND(ISNUMBER(G1746),F1746&gt;0),G1746/F1746-1,"")</x:f>
      </x:c>
      <x:c r="K1746" s="19" t="str">
        <x:v>Exp_5/EXP052/results/seed1019_Fixed_rank_5.json</x:v>
      </x:c>
    </x:row>
    <x:row r="1747" ht="15" hidden="0" customHeight="1">
      <x:c r="A1747" s="3" t="str">
        <x:v>EXP052</x:v>
      </x:c>
      <x:c r="B1747" s="3" t="str">
        <x:v>Exp. 5</x:v>
      </x:c>
      <x:c r="C1747" s="18" t="n">
        <x:v>1019</x:v>
      </x:c>
      <x:c r="D1747" s="3" t="str">
        <x:v>Full</x:v>
      </x:c>
      <x:c r="E1747" s="18" t="n">
        <x:v>200</x:v>
      </x:c>
      <x:c r="F1747" s="21" t="n">
        <x:v>305.9552570430693</x:v>
      </x:c>
      <x:c r="G1747" s="21" t="str">
        <x:f>""</x:f>
      </x:c>
      <x:c r="H1747" s="21" t="n">
        <x:f>F1747</x:f>
        <x:v>305.9552570430693</x:v>
      </x:c>
      <x:c r="I1747" s="27" t="str">
        <x:f>IF(AND(ISNUMBER(G1747),ISNUMBER(H1747),H1747&gt;0),G1747/H1747-1,"")</x:f>
      </x:c>
      <x:c r="J1747" s="27" t="str">
        <x:f>IF(AND(ISNUMBER(G1747),F1747&gt;0),G1747/F1747-1,"")</x:f>
      </x:c>
      <x:c r="K1747" s="19" t="str">
        <x:v>Exp_5/EXP052/results/seed1019_Full.json</x:v>
      </x:c>
    </x:row>
    <x:row r="1748" ht="15" hidden="0" customHeight="1">
      <x:c r="A1748" s="3" t="str">
        <x:v>EXP052</x:v>
      </x:c>
      <x:c r="B1748" s="3" t="str">
        <x:v>Exp. 5</x:v>
      </x:c>
      <x:c r="C1748" s="18" t="n">
        <x:v>1019</x:v>
      </x:c>
      <x:c r="D1748" s="3" t="str">
        <x:v>Relative cutoff 1e-2</x:v>
      </x:c>
      <x:c r="E1748" s="18" t="n">
        <x:v>200</x:v>
      </x:c>
      <x:c r="F1748" s="21" t="n">
        <x:v>305.1034697765227</x:v>
      </x:c>
      <x:c r="G1748" s="21" t="str">
        <x:f>""</x:f>
      </x:c>
      <x:c r="H1748" s="21" t="n">
        <x:f>F1747</x:f>
        <x:v>305.9552570430693</x:v>
      </x:c>
      <x:c r="I1748" s="27" t="str">
        <x:f>IF(AND(ISNUMBER(G1748),ISNUMBER(H1748),H1748&gt;0),G1748/H1748-1,"")</x:f>
      </x:c>
      <x:c r="J1748" s="27" t="str">
        <x:f>IF(AND(ISNUMBER(G1748),F1748&gt;0),G1748/F1748-1,"")</x:f>
      </x:c>
      <x:c r="K1748" s="19" t="str">
        <x:v>Exp_5/EXP052/results/seed1019_Relative_cutoff_1e-2.json</x:v>
      </x:c>
    </x:row>
    <x:row r="1749" ht="15" hidden="0" customHeight="1">
      <x:c r="A1749" s="3" t="str">
        <x:v>EXP055</x:v>
      </x:c>
      <x:c r="B1749" s="3" t="str">
        <x:v>Exp. 6</x:v>
      </x:c>
      <x:c r="C1749" s="18" t="n">
        <x:v>20284363</x:v>
      </x:c>
      <x:c r="D1749" s="3" t="str">
        <x:v>BBP</x:v>
      </x:c>
      <x:c r="E1749" s="18" t="n">
        <x:v>200</x:v>
      </x:c>
      <x:c r="F1749" s="21" t="n">
        <x:v>368.1126595070306</x:v>
      </x:c>
      <x:c r="G1749" s="21" t="n">
        <x:f>F1749</x:f>
        <x:v>368.1126595070306</x:v>
      </x:c>
      <x:c r="H1749" s="21" t="n">
        <x:f>F1754</x:f>
        <x:v>368.1126595070306</x:v>
      </x:c>
      <x:c r="I1749" s="27" t="n">
        <x:f>IF(AND(ISNUMBER(G1749),ISNUMBER(H1749),H1749&gt;0),G1749/H1749-1,"")</x:f>
        <x:v>0</x:v>
      </x:c>
      <x:c r="J1749" s="27" t="n">
        <x:f>IF(AND(ISNUMBER(G1749),F1749&gt;0),G1749/F1749-1,"")</x:f>
        <x:v>0</x:v>
      </x:c>
      <x:c r="K1749" s="19" t="str">
        <x:v>Exp_6/EXP055/results/seed20284363_BBP.json</x:v>
      </x:c>
    </x:row>
    <x:row r="1750" ht="15" hidden="0" customHeight="1">
      <x:c r="A1750" s="3" t="str">
        <x:v>EXP055</x:v>
      </x:c>
      <x:c r="B1750" s="3" t="str">
        <x:v>Exp. 6</x:v>
      </x:c>
      <x:c r="C1750" s="18" t="n">
        <x:v>20284363</x:v>
      </x:c>
      <x:c r="D1750" s="3" t="str">
        <x:v>Relative cutoff 1e-5</x:v>
      </x:c>
      <x:c r="E1750" s="18" t="n">
        <x:v>200</x:v>
      </x:c>
      <x:c r="F1750" s="21" t="n">
        <x:v>368.1126595070306</x:v>
      </x:c>
      <x:c r="G1750" s="21" t="n">
        <x:f>F1749</x:f>
        <x:v>368.1126595070306</x:v>
      </x:c>
      <x:c r="H1750" s="21" t="n">
        <x:f>F1754</x:f>
        <x:v>368.1126595070306</x:v>
      </x:c>
      <x:c r="I1750" s="27" t="n">
        <x:f>IF(AND(ISNUMBER(G1750),ISNUMBER(H1750),H1750&gt;0),G1750/H1750-1,"")</x:f>
        <x:v>0</x:v>
      </x:c>
      <x:c r="J1750" s="27" t="n">
        <x:f>IF(AND(ISNUMBER(G1750),F1750&gt;0),G1750/F1750-1,"")</x:f>
        <x:v>0</x:v>
      </x:c>
      <x:c r="K1750" s="19" t="str">
        <x:v>Exp_6/EXP055/results/seed20284363_Relative_cutoff_1e-5.json</x:v>
      </x:c>
    </x:row>
    <x:row r="1751" ht="15" hidden="0" customHeight="1">
      <x:c r="A1751" s="3" t="str">
        <x:v>EXP055</x:v>
      </x:c>
      <x:c r="B1751" s="3" t="str">
        <x:v>Exp. 6</x:v>
      </x:c>
      <x:c r="C1751" s="18" t="n">
        <x:v>20284363</x:v>
      </x:c>
      <x:c r="D1751" s="3" t="str">
        <x:v>Fixed rank 10</x:v>
      </x:c>
      <x:c r="E1751" s="18" t="n">
        <x:v>200</x:v>
      </x:c>
      <x:c r="F1751" s="21" t="n">
        <x:v>368.1126595070306</x:v>
      </x:c>
      <x:c r="G1751" s="21" t="n">
        <x:f>F1749</x:f>
        <x:v>368.1126595070306</x:v>
      </x:c>
      <x:c r="H1751" s="21" t="n">
        <x:f>F1754</x:f>
        <x:v>368.1126595070306</x:v>
      </x:c>
      <x:c r="I1751" s="27" t="n">
        <x:f>IF(AND(ISNUMBER(G1751),ISNUMBER(H1751),H1751&gt;0),G1751/H1751-1,"")</x:f>
        <x:v>0</x:v>
      </x:c>
      <x:c r="J1751" s="27" t="n">
        <x:f>IF(AND(ISNUMBER(G1751),F1751&gt;0),G1751/F1751-1,"")</x:f>
        <x:v>0</x:v>
      </x:c>
      <x:c r="K1751" s="19" t="str">
        <x:v>Exp_6/EXP055/results/seed20284363_Fixed_rank_10.json</x:v>
      </x:c>
    </x:row>
    <x:row r="1752" ht="15" hidden="0" customHeight="1">
      <x:c r="A1752" s="3" t="str">
        <x:v>EXP055</x:v>
      </x:c>
      <x:c r="B1752" s="3" t="str">
        <x:v>Exp. 6</x:v>
      </x:c>
      <x:c r="C1752" s="18" t="n">
        <x:v>20284363</x:v>
      </x:c>
      <x:c r="D1752" s="3" t="str">
        <x:v>Fixed rank 25</x:v>
      </x:c>
      <x:c r="E1752" s="18" t="n">
        <x:v>200</x:v>
      </x:c>
      <x:c r="F1752" s="21" t="n">
        <x:v>368.1126595070306</x:v>
      </x:c>
      <x:c r="G1752" s="21" t="n">
        <x:f>F1749</x:f>
        <x:v>368.1126595070306</x:v>
      </x:c>
      <x:c r="H1752" s="21" t="n">
        <x:f>F1754</x:f>
        <x:v>368.1126595070306</x:v>
      </x:c>
      <x:c r="I1752" s="27" t="n">
        <x:f>IF(AND(ISNUMBER(G1752),ISNUMBER(H1752),H1752&gt;0),G1752/H1752-1,"")</x:f>
        <x:v>0</x:v>
      </x:c>
      <x:c r="J1752" s="27" t="n">
        <x:f>IF(AND(ISNUMBER(G1752),F1752&gt;0),G1752/F1752-1,"")</x:f>
        <x:v>0</x:v>
      </x:c>
      <x:c r="K1752" s="19" t="str">
        <x:v>Exp_6/EXP055/results/seed20284363_Fixed_rank_25.json</x:v>
      </x:c>
    </x:row>
    <x:row r="1753" ht="15" hidden="0" customHeight="1">
      <x:c r="A1753" s="3" t="str">
        <x:v>EXP055</x:v>
      </x:c>
      <x:c r="B1753" s="3" t="str">
        <x:v>Exp. 6</x:v>
      </x:c>
      <x:c r="C1753" s="18" t="n">
        <x:v>20284363</x:v>
      </x:c>
      <x:c r="D1753" s="3" t="str">
        <x:v>Relative cutoff 1e-6</x:v>
      </x:c>
      <x:c r="E1753" s="18" t="n">
        <x:v>200</x:v>
      </x:c>
      <x:c r="F1753" s="21" t="n">
        <x:v>368.1126595070306</x:v>
      </x:c>
      <x:c r="G1753" s="21" t="n">
        <x:f>F1749</x:f>
        <x:v>368.1126595070306</x:v>
      </x:c>
      <x:c r="H1753" s="21" t="n">
        <x:f>F1754</x:f>
        <x:v>368.1126595070306</x:v>
      </x:c>
      <x:c r="I1753" s="27" t="n">
        <x:f>IF(AND(ISNUMBER(G1753),ISNUMBER(H1753),H1753&gt;0),G1753/H1753-1,"")</x:f>
        <x:v>0</x:v>
      </x:c>
      <x:c r="J1753" s="27" t="n">
        <x:f>IF(AND(ISNUMBER(G1753),F1753&gt;0),G1753/F1753-1,"")</x:f>
        <x:v>0</x:v>
      </x:c>
      <x:c r="K1753" s="19" t="str">
        <x:v>Exp_6/EXP055/results/seed20284363_Relative_cutoff_1e-6.json</x:v>
      </x:c>
    </x:row>
    <x:row r="1754" ht="15" hidden="0" customHeight="1">
      <x:c r="A1754" s="3" t="str">
        <x:v>EXP055</x:v>
      </x:c>
      <x:c r="B1754" s="3" t="str">
        <x:v>Exp. 6</x:v>
      </x:c>
      <x:c r="C1754" s="18" t="n">
        <x:v>20284363</x:v>
      </x:c>
      <x:c r="D1754" s="3" t="str">
        <x:v>Full</x:v>
      </x:c>
      <x:c r="E1754" s="18" t="n">
        <x:v>200</x:v>
      </x:c>
      <x:c r="F1754" s="21" t="n">
        <x:v>368.1126595070306</x:v>
      </x:c>
      <x:c r="G1754" s="21" t="n">
        <x:f>F1749</x:f>
        <x:v>368.1126595070306</x:v>
      </x:c>
      <x:c r="H1754" s="21" t="n">
        <x:f>F1754</x:f>
        <x:v>368.1126595070306</x:v>
      </x:c>
      <x:c r="I1754" s="27" t="n">
        <x:f>IF(AND(ISNUMBER(G1754),ISNUMBER(H1754),H1754&gt;0),G1754/H1754-1,"")</x:f>
        <x:v>0</x:v>
      </x:c>
      <x:c r="J1754" s="27" t="n">
        <x:f>IF(AND(ISNUMBER(G1754),F1754&gt;0),G1754/F1754-1,"")</x:f>
        <x:v>0</x:v>
      </x:c>
      <x:c r="K1754" s="19" t="str">
        <x:v>Exp_6/EXP055/results/seed20284363_Full.json</x:v>
      </x:c>
    </x:row>
    <x:row r="1755" ht="15" hidden="0" customHeight="1">
      <x:c r="A1755" s="3" t="str">
        <x:v>EXP055</x:v>
      </x:c>
      <x:c r="B1755" s="3" t="str">
        <x:v>Exp. 6</x:v>
      </x:c>
      <x:c r="C1755" s="18" t="n">
        <x:v>20284363</x:v>
      </x:c>
      <x:c r="D1755" s="3" t="str">
        <x:v>Relative cutoff 1e-2</x:v>
      </x:c>
      <x:c r="E1755" s="18" t="n">
        <x:v>200</x:v>
      </x:c>
      <x:c r="F1755" s="21" t="n">
        <x:v>405.9485583136909</x:v>
      </x:c>
      <x:c r="G1755" s="21" t="n">
        <x:f>F1749</x:f>
        <x:v>368.1126595070306</x:v>
      </x:c>
      <x:c r="H1755" s="21" t="n">
        <x:f>F1754</x:f>
        <x:v>368.1126595070306</x:v>
      </x:c>
      <x:c r="I1755" s="27" t="n">
        <x:f>IF(AND(ISNUMBER(G1755),ISNUMBER(H1755),H1755&gt;0),G1755/H1755-1,"")</x:f>
        <x:v>0</x:v>
      </x:c>
      <x:c r="J1755" s="27" t="n">
        <x:f>IF(AND(ISNUMBER(G1755),F1755&gt;0),G1755/F1755-1,"")</x:f>
        <x:v>-0.09320367822915909</x:v>
      </x:c>
      <x:c r="K1755" s="19" t="str">
        <x:v>Exp_6/EXP055/results/seed20284363_Relative_cutoff_1e-2.json</x:v>
      </x:c>
    </x:row>
    <x:row r="1756" ht="15" hidden="0" customHeight="1">
      <x:c r="A1756" s="3" t="str">
        <x:v>EXP055</x:v>
      </x:c>
      <x:c r="B1756" s="3" t="str">
        <x:v>Exp. 6</x:v>
      </x:c>
      <x:c r="C1756" s="18" t="n">
        <x:v>20284363</x:v>
      </x:c>
      <x:c r="D1756" s="3" t="str">
        <x:v>Relative cutoff 1e-4</x:v>
      </x:c>
      <x:c r="E1756" s="18" t="n">
        <x:v>200</x:v>
      </x:c>
      <x:c r="F1756" s="21" t="n">
        <x:v>368.1126595070306</x:v>
      </x:c>
      <x:c r="G1756" s="21" t="n">
        <x:f>F1749</x:f>
        <x:v>368.1126595070306</x:v>
      </x:c>
      <x:c r="H1756" s="21" t="n">
        <x:f>F1754</x:f>
        <x:v>368.1126595070306</x:v>
      </x:c>
      <x:c r="I1756" s="27" t="n">
        <x:f>IF(AND(ISNUMBER(G1756),ISNUMBER(H1756),H1756&gt;0),G1756/H1756-1,"")</x:f>
        <x:v>0</x:v>
      </x:c>
      <x:c r="J1756" s="27" t="n">
        <x:f>IF(AND(ISNUMBER(G1756),F1756&gt;0),G1756/F1756-1,"")</x:f>
        <x:v>0</x:v>
      </x:c>
      <x:c r="K1756" s="19" t="str">
        <x:v>Exp_6/EXP055/results/seed20284363_Relative_cutoff_1e-4.json</x:v>
      </x:c>
    </x:row>
    <x:row r="1757" ht="15" hidden="0" customHeight="1">
      <x:c r="A1757" s="3" t="str">
        <x:v>EXP055</x:v>
      </x:c>
      <x:c r="B1757" s="3" t="str">
        <x:v>Exp. 6</x:v>
      </x:c>
      <x:c r="C1757" s="18" t="n">
        <x:v>151801615</x:v>
      </x:c>
      <x:c r="D1757" s="3" t="str">
        <x:v>BBP</x:v>
      </x:c>
      <x:c r="E1757" s="18" t="n">
        <x:v>200</x:v>
      </x:c>
      <x:c r="F1757" s="21" t="n">
        <x:v>583.3462160921573</x:v>
      </x:c>
      <x:c r="G1757" s="21" t="n">
        <x:f>F1757</x:f>
        <x:v>583.3462160921573</x:v>
      </x:c>
      <x:c r="H1757" s="21" t="n">
        <x:f>F1762</x:f>
        <x:v>583.3462160921573</x:v>
      </x:c>
      <x:c r="I1757" s="27" t="n">
        <x:f>IF(AND(ISNUMBER(G1757),ISNUMBER(H1757),H1757&gt;0),G1757/H1757-1,"")</x:f>
        <x:v>0</x:v>
      </x:c>
      <x:c r="J1757" s="27" t="n">
        <x:f>IF(AND(ISNUMBER(G1757),F1757&gt;0),G1757/F1757-1,"")</x:f>
        <x:v>0</x:v>
      </x:c>
      <x:c r="K1757" s="19" t="str">
        <x:v>Exp_6/EXP055/results/seed151801615_BBP.json</x:v>
      </x:c>
    </x:row>
    <x:row r="1758" ht="15" hidden="0" customHeight="1">
      <x:c r="A1758" s="3" t="str">
        <x:v>EXP055</x:v>
      </x:c>
      <x:c r="B1758" s="3" t="str">
        <x:v>Exp. 6</x:v>
      </x:c>
      <x:c r="C1758" s="18" t="n">
        <x:v>151801615</x:v>
      </x:c>
      <x:c r="D1758" s="3" t="str">
        <x:v>Relative cutoff 1e-5</x:v>
      </x:c>
      <x:c r="E1758" s="18" t="n">
        <x:v>200</x:v>
      </x:c>
      <x:c r="F1758" s="21" t="n">
        <x:v>583.3462160921573</x:v>
      </x:c>
      <x:c r="G1758" s="21" t="n">
        <x:f>F1757</x:f>
        <x:v>583.3462160921573</x:v>
      </x:c>
      <x:c r="H1758" s="21" t="n">
        <x:f>F1762</x:f>
        <x:v>583.3462160921573</x:v>
      </x:c>
      <x:c r="I1758" s="27" t="n">
        <x:f>IF(AND(ISNUMBER(G1758),ISNUMBER(H1758),H1758&gt;0),G1758/H1758-1,"")</x:f>
        <x:v>0</x:v>
      </x:c>
      <x:c r="J1758" s="27" t="n">
        <x:f>IF(AND(ISNUMBER(G1758),F1758&gt;0),G1758/F1758-1,"")</x:f>
        <x:v>0</x:v>
      </x:c>
      <x:c r="K1758" s="19" t="str">
        <x:v>Exp_6/EXP055/results/seed151801615_Relative_cutoff_1e-5.json</x:v>
      </x:c>
    </x:row>
    <x:row r="1759" ht="15" hidden="0" customHeight="1">
      <x:c r="A1759" s="3" t="str">
        <x:v>EXP055</x:v>
      </x:c>
      <x:c r="B1759" s="3" t="str">
        <x:v>Exp. 6</x:v>
      </x:c>
      <x:c r="C1759" s="18" t="n">
        <x:v>151801615</x:v>
      </x:c>
      <x:c r="D1759" s="3" t="str">
        <x:v>Fixed rank 10</x:v>
      </x:c>
      <x:c r="E1759" s="18" t="n">
        <x:v>200</x:v>
      </x:c>
      <x:c r="F1759" s="21" t="n">
        <x:v>579.8847187063366</x:v>
      </x:c>
      <x:c r="G1759" s="21" t="n">
        <x:f>F1757</x:f>
        <x:v>583.3462160921573</x:v>
      </x:c>
      <x:c r="H1759" s="21" t="n">
        <x:f>F1762</x:f>
        <x:v>583.3462160921573</x:v>
      </x:c>
      <x:c r="I1759" s="27" t="n">
        <x:f>IF(AND(ISNUMBER(G1759),ISNUMBER(H1759),H1759&gt;0),G1759/H1759-1,"")</x:f>
        <x:v>0</x:v>
      </x:c>
      <x:c r="J1759" s="27" t="n">
        <x:f>IF(AND(ISNUMBER(G1759),F1759&gt;0),G1759/F1759-1,"")</x:f>
        <x:v>0.005969285401317359</x:v>
      </x:c>
      <x:c r="K1759" s="19" t="str">
        <x:v>Exp_6/EXP055/results/seed151801615_Fixed_rank_10.json</x:v>
      </x:c>
    </x:row>
    <x:row r="1760" ht="15" hidden="0" customHeight="1">
      <x:c r="A1760" s="3" t="str">
        <x:v>EXP055</x:v>
      </x:c>
      <x:c r="B1760" s="3" t="str">
        <x:v>Exp. 6</x:v>
      </x:c>
      <x:c r="C1760" s="18" t="n">
        <x:v>151801615</x:v>
      </x:c>
      <x:c r="D1760" s="3" t="str">
        <x:v>Fixed rank 25</x:v>
      </x:c>
      <x:c r="E1760" s="18" t="n">
        <x:v>200</x:v>
      </x:c>
      <x:c r="F1760" s="21" t="n">
        <x:v>583.3462160921573</x:v>
      </x:c>
      <x:c r="G1760" s="21" t="n">
        <x:f>F1757</x:f>
        <x:v>583.3462160921573</x:v>
      </x:c>
      <x:c r="H1760" s="21" t="n">
        <x:f>F1762</x:f>
        <x:v>583.3462160921573</x:v>
      </x:c>
      <x:c r="I1760" s="27" t="n">
        <x:f>IF(AND(ISNUMBER(G1760),ISNUMBER(H1760),H1760&gt;0),G1760/H1760-1,"")</x:f>
        <x:v>0</x:v>
      </x:c>
      <x:c r="J1760" s="27" t="n">
        <x:f>IF(AND(ISNUMBER(G1760),F1760&gt;0),G1760/F1760-1,"")</x:f>
        <x:v>0</x:v>
      </x:c>
      <x:c r="K1760" s="19" t="str">
        <x:v>Exp_6/EXP055/results/seed151801615_Fixed_rank_25.json</x:v>
      </x:c>
    </x:row>
    <x:row r="1761" ht="15" hidden="0" customHeight="1">
      <x:c r="A1761" s="3" t="str">
        <x:v>EXP055</x:v>
      </x:c>
      <x:c r="B1761" s="3" t="str">
        <x:v>Exp. 6</x:v>
      </x:c>
      <x:c r="C1761" s="18" t="n">
        <x:v>151801615</x:v>
      </x:c>
      <x:c r="D1761" s="3" t="str">
        <x:v>Relative cutoff 1e-6</x:v>
      </x:c>
      <x:c r="E1761" s="18" t="n">
        <x:v>200</x:v>
      </x:c>
      <x:c r="F1761" s="21" t="n">
        <x:v>583.3462160921573</x:v>
      </x:c>
      <x:c r="G1761" s="21" t="n">
        <x:f>F1757</x:f>
        <x:v>583.3462160921573</x:v>
      </x:c>
      <x:c r="H1761" s="21" t="n">
        <x:f>F1762</x:f>
        <x:v>583.3462160921573</x:v>
      </x:c>
      <x:c r="I1761" s="27" t="n">
        <x:f>IF(AND(ISNUMBER(G1761),ISNUMBER(H1761),H1761&gt;0),G1761/H1761-1,"")</x:f>
        <x:v>0</x:v>
      </x:c>
      <x:c r="J1761" s="27" t="n">
        <x:f>IF(AND(ISNUMBER(G1761),F1761&gt;0),G1761/F1761-1,"")</x:f>
        <x:v>0</x:v>
      </x:c>
      <x:c r="K1761" s="19" t="str">
        <x:v>Exp_6/EXP055/results/seed151801615_Relative_cutoff_1e-6.json</x:v>
      </x:c>
    </x:row>
    <x:row r="1762" ht="15" hidden="0" customHeight="1">
      <x:c r="A1762" s="3" t="str">
        <x:v>EXP055</x:v>
      </x:c>
      <x:c r="B1762" s="3" t="str">
        <x:v>Exp. 6</x:v>
      </x:c>
      <x:c r="C1762" s="18" t="n">
        <x:v>151801615</x:v>
      </x:c>
      <x:c r="D1762" s="3" t="str">
        <x:v>Full</x:v>
      </x:c>
      <x:c r="E1762" s="18" t="n">
        <x:v>200</x:v>
      </x:c>
      <x:c r="F1762" s="21" t="n">
        <x:v>583.3462160921573</x:v>
      </x:c>
      <x:c r="G1762" s="21" t="n">
        <x:f>F1757</x:f>
        <x:v>583.3462160921573</x:v>
      </x:c>
      <x:c r="H1762" s="21" t="n">
        <x:f>F1762</x:f>
        <x:v>583.3462160921573</x:v>
      </x:c>
      <x:c r="I1762" s="27" t="n">
        <x:f>IF(AND(ISNUMBER(G1762),ISNUMBER(H1762),H1762&gt;0),G1762/H1762-1,"")</x:f>
        <x:v>0</x:v>
      </x:c>
      <x:c r="J1762" s="27" t="n">
        <x:f>IF(AND(ISNUMBER(G1762),F1762&gt;0),G1762/F1762-1,"")</x:f>
        <x:v>0</x:v>
      </x:c>
      <x:c r="K1762" s="19" t="str">
        <x:v>Exp_6/EXP055/results/seed151801615_Full.json</x:v>
      </x:c>
    </x:row>
    <x:row r="1763" ht="15" hidden="0" customHeight="1">
      <x:c r="A1763" s="3" t="str">
        <x:v>EXP055</x:v>
      </x:c>
      <x:c r="B1763" s="3" t="str">
        <x:v>Exp. 6</x:v>
      </x:c>
      <x:c r="C1763" s="18" t="n">
        <x:v>151801615</x:v>
      </x:c>
      <x:c r="D1763" s="3" t="str">
        <x:v>Relative cutoff 1e-2</x:v>
      </x:c>
      <x:c r="E1763" s="18" t="n">
        <x:v>200</x:v>
      </x:c>
      <x:c r="F1763" s="21" t="n">
        <x:v>599.5059039113808</x:v>
      </x:c>
      <x:c r="G1763" s="21" t="n">
        <x:f>F1757</x:f>
        <x:v>583.3462160921573</x:v>
      </x:c>
      <x:c r="H1763" s="21" t="n">
        <x:f>F1762</x:f>
        <x:v>583.3462160921573</x:v>
      </x:c>
      <x:c r="I1763" s="27" t="n">
        <x:f>IF(AND(ISNUMBER(G1763),ISNUMBER(H1763),H1763&gt;0),G1763/H1763-1,"")</x:f>
        <x:v>0</x:v>
      </x:c>
      <x:c r="J1763" s="27" t="n">
        <x:f>IF(AND(ISNUMBER(G1763),F1763&gt;0),G1763/F1763-1,"")</x:f>
        <x:v>-0.02695501030730829</x:v>
      </x:c>
      <x:c r="K1763" s="19" t="str">
        <x:v>Exp_6/EXP055/results/seed151801615_Relative_cutoff_1e-2.json</x:v>
      </x:c>
    </x:row>
    <x:row r="1764" ht="15" hidden="0" customHeight="1">
      <x:c r="A1764" s="3" t="str">
        <x:v>EXP055</x:v>
      </x:c>
      <x:c r="B1764" s="3" t="str">
        <x:v>Exp. 6</x:v>
      </x:c>
      <x:c r="C1764" s="18" t="n">
        <x:v>151801615</x:v>
      </x:c>
      <x:c r="D1764" s="3" t="str">
        <x:v>Relative cutoff 1e-4</x:v>
      </x:c>
      <x:c r="E1764" s="18" t="n">
        <x:v>200</x:v>
      </x:c>
      <x:c r="F1764" s="21" t="n">
        <x:v>582.8370396817623</x:v>
      </x:c>
      <x:c r="G1764" s="21" t="n">
        <x:f>F1757</x:f>
        <x:v>583.3462160921573</x:v>
      </x:c>
      <x:c r="H1764" s="21" t="n">
        <x:f>F1762</x:f>
        <x:v>583.3462160921573</x:v>
      </x:c>
      <x:c r="I1764" s="27" t="n">
        <x:f>IF(AND(ISNUMBER(G1764),ISNUMBER(H1764),H1764&gt;0),G1764/H1764-1,"")</x:f>
        <x:v>0</x:v>
      </x:c>
      <x:c r="J1764" s="27" t="n">
        <x:f>IF(AND(ISNUMBER(G1764),F1764&gt;0),G1764/F1764-1,"")</x:f>
        <x:v>0.0008736171103211898</x:v>
      </x:c>
      <x:c r="K1764" s="19" t="str">
        <x:v>Exp_6/EXP055/results/seed151801615_Relative_cutoff_1e-4.json</x:v>
      </x:c>
    </x:row>
    <x:row r="1765" ht="15" hidden="0" customHeight="1">
      <x:c r="A1765" s="3" t="str">
        <x:v>EXP055</x:v>
      </x:c>
      <x:c r="B1765" s="3" t="str">
        <x:v>Exp. 6</x:v>
      </x:c>
      <x:c r="C1765" s="18" t="n">
        <x:v>159359747</x:v>
      </x:c>
      <x:c r="D1765" s="3" t="str">
        <x:v>BBP</x:v>
      </x:c>
      <x:c r="E1765" s="18" t="n">
        <x:v>200</x:v>
      </x:c>
      <x:c r="F1765" s="21" t="n">
        <x:v>523.0856682018243</x:v>
      </x:c>
      <x:c r="G1765" s="21" t="n">
        <x:f>F1765</x:f>
        <x:v>523.0856682018243</x:v>
      </x:c>
      <x:c r="H1765" s="21" t="n">
        <x:f>F1770</x:f>
        <x:v>516.7424300167812</x:v>
      </x:c>
      <x:c r="I1765" s="27" t="n">
        <x:f>IF(AND(ISNUMBER(G1765),ISNUMBER(H1765),H1765&gt;0),G1765/H1765-1,"")</x:f>
        <x:v>0.012275435142488966</x:v>
      </x:c>
      <x:c r="J1765" s="27" t="n">
        <x:f>IF(AND(ISNUMBER(G1765),F1765&gt;0),G1765/F1765-1,"")</x:f>
        <x:v>0</x:v>
      </x:c>
      <x:c r="K1765" s="19" t="str">
        <x:v>Exp_6/EXP055/results/seed159359747_BBP.json</x:v>
      </x:c>
    </x:row>
    <x:row r="1766" ht="15" hidden="0" customHeight="1">
      <x:c r="A1766" s="3" t="str">
        <x:v>EXP055</x:v>
      </x:c>
      <x:c r="B1766" s="3" t="str">
        <x:v>Exp. 6</x:v>
      </x:c>
      <x:c r="C1766" s="18" t="n">
        <x:v>159359747</x:v>
      </x:c>
      <x:c r="D1766" s="3" t="str">
        <x:v>Relative cutoff 1e-5</x:v>
      </x:c>
      <x:c r="E1766" s="18" t="n">
        <x:v>200</x:v>
      </x:c>
      <x:c r="F1766" s="21" t="n">
        <x:v>521.7560213218809</x:v>
      </x:c>
      <x:c r="G1766" s="21" t="n">
        <x:f>F1765</x:f>
        <x:v>523.0856682018243</x:v>
      </x:c>
      <x:c r="H1766" s="21" t="n">
        <x:f>F1770</x:f>
        <x:v>516.7424300167812</x:v>
      </x:c>
      <x:c r="I1766" s="27" t="n">
        <x:f>IF(AND(ISNUMBER(G1766),ISNUMBER(H1766),H1766&gt;0),G1766/H1766-1,"")</x:f>
        <x:v>0.012275435142488966</x:v>
      </x:c>
      <x:c r="J1766" s="27" t="n">
        <x:f>IF(AND(ISNUMBER(G1766),F1766&gt;0),G1766/F1766-1,"")</x:f>
        <x:v>0.0025484073505750438</x:v>
      </x:c>
      <x:c r="K1766" s="19" t="str">
        <x:v>Exp_6/EXP055/results/seed159359747_Relative_cutoff_1e-5.json</x:v>
      </x:c>
    </x:row>
    <x:row r="1767" ht="15" hidden="0" customHeight="1">
      <x:c r="A1767" s="3" t="str">
        <x:v>EXP055</x:v>
      </x:c>
      <x:c r="B1767" s="3" t="str">
        <x:v>Exp. 6</x:v>
      </x:c>
      <x:c r="C1767" s="18" t="n">
        <x:v>159359747</x:v>
      </x:c>
      <x:c r="D1767" s="3" t="str">
        <x:v>Fixed rank 10</x:v>
      </x:c>
      <x:c r="E1767" s="18" t="n">
        <x:v>200</x:v>
      </x:c>
      <x:c r="F1767" s="21" t="n">
        <x:v>523.4583594568577</x:v>
      </x:c>
      <x:c r="G1767" s="21" t="n">
        <x:f>F1765</x:f>
        <x:v>523.0856682018243</x:v>
      </x:c>
      <x:c r="H1767" s="21" t="n">
        <x:f>F1770</x:f>
        <x:v>516.7424300167812</x:v>
      </x:c>
      <x:c r="I1767" s="27" t="n">
        <x:f>IF(AND(ISNUMBER(G1767),ISNUMBER(H1767),H1767&gt;0),G1767/H1767-1,"")</x:f>
        <x:v>0.012275435142488966</x:v>
      </x:c>
      <x:c r="J1767" s="27" t="n">
        <x:f>IF(AND(ISNUMBER(G1767),F1767&gt;0),G1767/F1767-1,"")</x:f>
        <x:v>-0.0007119788007972083</x:v>
      </x:c>
      <x:c r="K1767" s="19" t="str">
        <x:v>Exp_6/EXP055/results/seed159359747_Fixed_rank_10.json</x:v>
      </x:c>
    </x:row>
    <x:row r="1768" ht="15" hidden="0" customHeight="1">
      <x:c r="A1768" s="3" t="str">
        <x:v>EXP055</x:v>
      </x:c>
      <x:c r="B1768" s="3" t="str">
        <x:v>Exp. 6</x:v>
      </x:c>
      <x:c r="C1768" s="18" t="n">
        <x:v>159359747</x:v>
      </x:c>
      <x:c r="D1768" s="3" t="str">
        <x:v>Fixed rank 25</x:v>
      </x:c>
      <x:c r="E1768" s="18" t="n">
        <x:v>200</x:v>
      </x:c>
      <x:c r="F1768" s="21" t="n">
        <x:v>523.0856682018243</x:v>
      </x:c>
      <x:c r="G1768" s="21" t="n">
        <x:f>F1765</x:f>
        <x:v>523.0856682018243</x:v>
      </x:c>
      <x:c r="H1768" s="21" t="n">
        <x:f>F1770</x:f>
        <x:v>516.7424300167812</x:v>
      </x:c>
      <x:c r="I1768" s="27" t="n">
        <x:f>IF(AND(ISNUMBER(G1768),ISNUMBER(H1768),H1768&gt;0),G1768/H1768-1,"")</x:f>
        <x:v>0.012275435142488966</x:v>
      </x:c>
      <x:c r="J1768" s="27" t="n">
        <x:f>IF(AND(ISNUMBER(G1768),F1768&gt;0),G1768/F1768-1,"")</x:f>
        <x:v>0</x:v>
      </x:c>
      <x:c r="K1768" s="19" t="str">
        <x:v>Exp_6/EXP055/results/seed159359747_Fixed_rank_25.json</x:v>
      </x:c>
    </x:row>
    <x:row r="1769" ht="15" hidden="0" customHeight="1">
      <x:c r="A1769" s="3" t="str">
        <x:v>EXP055</x:v>
      </x:c>
      <x:c r="B1769" s="3" t="str">
        <x:v>Exp. 6</x:v>
      </x:c>
      <x:c r="C1769" s="18" t="n">
        <x:v>159359747</x:v>
      </x:c>
      <x:c r="D1769" s="3" t="str">
        <x:v>Relative cutoff 1e-6</x:v>
      </x:c>
      <x:c r="E1769" s="18" t="n">
        <x:v>200</x:v>
      </x:c>
      <x:c r="F1769" s="21" t="n">
        <x:v>516.7424300167812</x:v>
      </x:c>
      <x:c r="G1769" s="21" t="n">
        <x:f>F1765</x:f>
        <x:v>523.0856682018243</x:v>
      </x:c>
      <x:c r="H1769" s="21" t="n">
        <x:f>F1770</x:f>
        <x:v>516.7424300167812</x:v>
      </x:c>
      <x:c r="I1769" s="27" t="n">
        <x:f>IF(AND(ISNUMBER(G1769),ISNUMBER(H1769),H1769&gt;0),G1769/H1769-1,"")</x:f>
        <x:v>0.012275435142488966</x:v>
      </x:c>
      <x:c r="J1769" s="27" t="n">
        <x:f>IF(AND(ISNUMBER(G1769),F1769&gt;0),G1769/F1769-1,"")</x:f>
        <x:v>0.012275435142488966</x:v>
      </x:c>
      <x:c r="K1769" s="19" t="str">
        <x:v>Exp_6/EXP055/results/seed159359747_Relative_cutoff_1e-6.json</x:v>
      </x:c>
    </x:row>
    <x:row r="1770" ht="15" hidden="0" customHeight="1">
      <x:c r="A1770" s="3" t="str">
        <x:v>EXP055</x:v>
      </x:c>
      <x:c r="B1770" s="3" t="str">
        <x:v>Exp. 6</x:v>
      </x:c>
      <x:c r="C1770" s="18" t="n">
        <x:v>159359747</x:v>
      </x:c>
      <x:c r="D1770" s="3" t="str">
        <x:v>Full</x:v>
      </x:c>
      <x:c r="E1770" s="18" t="n">
        <x:v>200</x:v>
      </x:c>
      <x:c r="F1770" s="21" t="n">
        <x:v>516.7424300167812</x:v>
      </x:c>
      <x:c r="G1770" s="21" t="n">
        <x:f>F1765</x:f>
        <x:v>523.0856682018243</x:v>
      </x:c>
      <x:c r="H1770" s="21" t="n">
        <x:f>F1770</x:f>
        <x:v>516.7424300167812</x:v>
      </x:c>
      <x:c r="I1770" s="27" t="n">
        <x:f>IF(AND(ISNUMBER(G1770),ISNUMBER(H1770),H1770&gt;0),G1770/H1770-1,"")</x:f>
        <x:v>0.012275435142488966</x:v>
      </x:c>
      <x:c r="J1770" s="27" t="n">
        <x:f>IF(AND(ISNUMBER(G1770),F1770&gt;0),G1770/F1770-1,"")</x:f>
        <x:v>0.012275435142488966</x:v>
      </x:c>
      <x:c r="K1770" s="19" t="str">
        <x:v>Exp_6/EXP055/results/seed159359747_Full.json</x:v>
      </x:c>
    </x:row>
    <x:row r="1771" ht="15" hidden="0" customHeight="1">
      <x:c r="A1771" s="3" t="str">
        <x:v>EXP055</x:v>
      </x:c>
      <x:c r="B1771" s="3" t="str">
        <x:v>Exp. 6</x:v>
      </x:c>
      <x:c r="C1771" s="18" t="n">
        <x:v>159359747</x:v>
      </x:c>
      <x:c r="D1771" s="3" t="str">
        <x:v>Relative cutoff 1e-2</x:v>
      </x:c>
      <x:c r="E1771" s="18" t="n">
        <x:v>200</x:v>
      </x:c>
      <x:c r="F1771" s="21" t="n">
        <x:v>536.4341550079994</x:v>
      </x:c>
      <x:c r="G1771" s="21" t="n">
        <x:f>F1765</x:f>
        <x:v>523.0856682018243</x:v>
      </x:c>
      <x:c r="H1771" s="21" t="n">
        <x:f>F1770</x:f>
        <x:v>516.7424300167812</x:v>
      </x:c>
      <x:c r="I1771" s="27" t="n">
        <x:f>IF(AND(ISNUMBER(G1771),ISNUMBER(H1771),H1771&gt;0),G1771/H1771-1,"")</x:f>
        <x:v>0.012275435142488966</x:v>
      </x:c>
      <x:c r="J1771" s="27" t="n">
        <x:f>IF(AND(ISNUMBER(G1771),F1771&gt;0),G1771/F1771-1,"")</x:f>
        <x:v>-0.024883737699319286</x:v>
      </x:c>
      <x:c r="K1771" s="19" t="str">
        <x:v>Exp_6/EXP055/results/seed159359747_Relative_cutoff_1e-2.json</x:v>
      </x:c>
    </x:row>
    <x:row r="1772" ht="15" hidden="0" customHeight="1">
      <x:c r="A1772" s="3" t="str">
        <x:v>EXP055</x:v>
      </x:c>
      <x:c r="B1772" s="3" t="str">
        <x:v>Exp. 6</x:v>
      </x:c>
      <x:c r="C1772" s="18" t="n">
        <x:v>159359747</x:v>
      </x:c>
      <x:c r="D1772" s="3" t="str">
        <x:v>Relative cutoff 1e-4</x:v>
      </x:c>
      <x:c r="E1772" s="18" t="n">
        <x:v>200</x:v>
      </x:c>
      <x:c r="F1772" s="21" t="n">
        <x:v>523.4583594568577</x:v>
      </x:c>
      <x:c r="G1772" s="21" t="n">
        <x:f>F1765</x:f>
        <x:v>523.0856682018243</x:v>
      </x:c>
      <x:c r="H1772" s="21" t="n">
        <x:f>F1770</x:f>
        <x:v>516.7424300167812</x:v>
      </x:c>
      <x:c r="I1772" s="27" t="n">
        <x:f>IF(AND(ISNUMBER(G1772),ISNUMBER(H1772),H1772&gt;0),G1772/H1772-1,"")</x:f>
        <x:v>0.012275435142488966</x:v>
      </x:c>
      <x:c r="J1772" s="27" t="n">
        <x:f>IF(AND(ISNUMBER(G1772),F1772&gt;0),G1772/F1772-1,"")</x:f>
        <x:v>-0.0007119788007972083</x:v>
      </x:c>
      <x:c r="K1772" s="19" t="str">
        <x:v>Exp_6/EXP055/results/seed159359747_Relative_cutoff_1e-4.json</x:v>
      </x:c>
    </x:row>
    <x:row r="1773" ht="15" hidden="0" customHeight="1">
      <x:c r="A1773" s="3" t="str">
        <x:v>EXP055</x:v>
      </x:c>
      <x:c r="B1773" s="3" t="str">
        <x:v>Exp. 6</x:v>
      </x:c>
      <x:c r="C1773" s="18" t="n">
        <x:v>254786210</x:v>
      </x:c>
      <x:c r="D1773" s="3" t="str">
        <x:v>BBP</x:v>
      </x:c>
      <x:c r="E1773" s="18" t="n">
        <x:v>200</x:v>
      </x:c>
      <x:c r="F1773" s="21" t="n">
        <x:v>601.2976043458035</x:v>
      </x:c>
      <x:c r="G1773" s="21" t="n">
        <x:f>F1773</x:f>
        <x:v>601.2976043458035</x:v>
      </x:c>
      <x:c r="H1773" s="21" t="n">
        <x:f>F1778</x:f>
        <x:v>656.6266344260206</x:v>
      </x:c>
      <x:c r="I1773" s="27" t="n">
        <x:f>IF(AND(ISNUMBER(G1773),ISNUMBER(H1773),H1773&gt;0),G1773/H1773-1,"")</x:f>
        <x:v>-0.08426254309434467</x:v>
      </x:c>
      <x:c r="J1773" s="27" t="n">
        <x:f>IF(AND(ISNUMBER(G1773),F1773&gt;0),G1773/F1773-1,"")</x:f>
        <x:v>0</x:v>
      </x:c>
      <x:c r="K1773" s="19" t="str">
        <x:v>Exp_6/EXP055/results/seed254786210_BBP.json</x:v>
      </x:c>
    </x:row>
    <x:row r="1774" ht="15" hidden="0" customHeight="1">
      <x:c r="A1774" s="3" t="str">
        <x:v>EXP055</x:v>
      </x:c>
      <x:c r="B1774" s="3" t="str">
        <x:v>Exp. 6</x:v>
      </x:c>
      <x:c r="C1774" s="18" t="n">
        <x:v>254786210</x:v>
      </x:c>
      <x:c r="D1774" s="3" t="str">
        <x:v>Relative cutoff 1e-5</x:v>
      </x:c>
      <x:c r="E1774" s="18" t="n">
        <x:v>200</x:v>
      </x:c>
      <x:c r="F1774" s="21" t="n">
        <x:v>601.2976043458035</x:v>
      </x:c>
      <x:c r="G1774" s="21" t="n">
        <x:f>F1773</x:f>
        <x:v>601.2976043458035</x:v>
      </x:c>
      <x:c r="H1774" s="21" t="n">
        <x:f>F1778</x:f>
        <x:v>656.6266344260206</x:v>
      </x:c>
      <x:c r="I1774" s="27" t="n">
        <x:f>IF(AND(ISNUMBER(G1774),ISNUMBER(H1774),H1774&gt;0),G1774/H1774-1,"")</x:f>
        <x:v>-0.08426254309434467</x:v>
      </x:c>
      <x:c r="J1774" s="27" t="n">
        <x:f>IF(AND(ISNUMBER(G1774),F1774&gt;0),G1774/F1774-1,"")</x:f>
        <x:v>0</x:v>
      </x:c>
      <x:c r="K1774" s="19" t="str">
        <x:v>Exp_6/EXP055/results/seed254786210_Relative_cutoff_1e-5.json</x:v>
      </x:c>
    </x:row>
    <x:row r="1775" ht="15" hidden="0" customHeight="1">
      <x:c r="A1775" s="3" t="str">
        <x:v>EXP055</x:v>
      </x:c>
      <x:c r="B1775" s="3" t="str">
        <x:v>Exp. 6</x:v>
      </x:c>
      <x:c r="C1775" s="18" t="n">
        <x:v>254786210</x:v>
      </x:c>
      <x:c r="D1775" s="3" t="str">
        <x:v>Fixed rank 10</x:v>
      </x:c>
      <x:c r="E1775" s="18" t="n">
        <x:v>200</x:v>
      </x:c>
      <x:c r="F1775" s="21" t="n">
        <x:v>656.6266344260206</x:v>
      </x:c>
      <x:c r="G1775" s="21" t="n">
        <x:f>F1773</x:f>
        <x:v>601.2976043458035</x:v>
      </x:c>
      <x:c r="H1775" s="21" t="n">
        <x:f>F1778</x:f>
        <x:v>656.6266344260206</x:v>
      </x:c>
      <x:c r="I1775" s="27" t="n">
        <x:f>IF(AND(ISNUMBER(G1775),ISNUMBER(H1775),H1775&gt;0),G1775/H1775-1,"")</x:f>
        <x:v>-0.08426254309434467</x:v>
      </x:c>
      <x:c r="J1775" s="27" t="n">
        <x:f>IF(AND(ISNUMBER(G1775),F1775&gt;0),G1775/F1775-1,"")</x:f>
        <x:v>-0.08426254309434467</x:v>
      </x:c>
      <x:c r="K1775" s="19" t="str">
        <x:v>Exp_6/EXP055/results/seed254786210_Fixed_rank_10.json</x:v>
      </x:c>
    </x:row>
    <x:row r="1776" ht="15" hidden="0" customHeight="1">
      <x:c r="A1776" s="3" t="str">
        <x:v>EXP055</x:v>
      </x:c>
      <x:c r="B1776" s="3" t="str">
        <x:v>Exp. 6</x:v>
      </x:c>
      <x:c r="C1776" s="18" t="n">
        <x:v>254786210</x:v>
      </x:c>
      <x:c r="D1776" s="3" t="str">
        <x:v>Fixed rank 25</x:v>
      </x:c>
      <x:c r="E1776" s="18" t="n">
        <x:v>200</x:v>
      </x:c>
      <x:c r="F1776" s="21" t="n">
        <x:v>601.2976043458035</x:v>
      </x:c>
      <x:c r="G1776" s="21" t="n">
        <x:f>F1773</x:f>
        <x:v>601.2976043458035</x:v>
      </x:c>
      <x:c r="H1776" s="21" t="n">
        <x:f>F1778</x:f>
        <x:v>656.6266344260206</x:v>
      </x:c>
      <x:c r="I1776" s="27" t="n">
        <x:f>IF(AND(ISNUMBER(G1776),ISNUMBER(H1776),H1776&gt;0),G1776/H1776-1,"")</x:f>
        <x:v>-0.08426254309434467</x:v>
      </x:c>
      <x:c r="J1776" s="27" t="n">
        <x:f>IF(AND(ISNUMBER(G1776),F1776&gt;0),G1776/F1776-1,"")</x:f>
        <x:v>0</x:v>
      </x:c>
      <x:c r="K1776" s="19" t="str">
        <x:v>Exp_6/EXP055/results/seed254786210_Fixed_rank_25.json</x:v>
      </x:c>
    </x:row>
    <x:row r="1777" ht="15" hidden="0" customHeight="1">
      <x:c r="A1777" s="3" t="str">
        <x:v>EXP055</x:v>
      </x:c>
      <x:c r="B1777" s="3" t="str">
        <x:v>Exp. 6</x:v>
      </x:c>
      <x:c r="C1777" s="18" t="n">
        <x:v>254786210</x:v>
      </x:c>
      <x:c r="D1777" s="3" t="str">
        <x:v>Relative cutoff 1e-6</x:v>
      </x:c>
      <x:c r="E1777" s="18" t="n">
        <x:v>200</x:v>
      </x:c>
      <x:c r="F1777" s="21" t="n">
        <x:v>601.2976043458035</x:v>
      </x:c>
      <x:c r="G1777" s="21" t="n">
        <x:f>F1773</x:f>
        <x:v>601.2976043458035</x:v>
      </x:c>
      <x:c r="H1777" s="21" t="n">
        <x:f>F1778</x:f>
        <x:v>656.6266344260206</x:v>
      </x:c>
      <x:c r="I1777" s="27" t="n">
        <x:f>IF(AND(ISNUMBER(G1777),ISNUMBER(H1777),H1777&gt;0),G1777/H1777-1,"")</x:f>
        <x:v>-0.08426254309434467</x:v>
      </x:c>
      <x:c r="J1777" s="27" t="n">
        <x:f>IF(AND(ISNUMBER(G1777),F1777&gt;0),G1777/F1777-1,"")</x:f>
        <x:v>0</x:v>
      </x:c>
      <x:c r="K1777" s="19" t="str">
        <x:v>Exp_6/EXP055/results/seed254786210_Relative_cutoff_1e-6.json</x:v>
      </x:c>
    </x:row>
    <x:row r="1778" ht="15" hidden="0" customHeight="1">
      <x:c r="A1778" s="3" t="str">
        <x:v>EXP055</x:v>
      </x:c>
      <x:c r="B1778" s="3" t="str">
        <x:v>Exp. 6</x:v>
      </x:c>
      <x:c r="C1778" s="18" t="n">
        <x:v>254786210</x:v>
      </x:c>
      <x:c r="D1778" s="3" t="str">
        <x:v>Full</x:v>
      </x:c>
      <x:c r="E1778" s="18" t="n">
        <x:v>200</x:v>
      </x:c>
      <x:c r="F1778" s="21" t="n">
        <x:v>656.6266344260206</x:v>
      </x:c>
      <x:c r="G1778" s="21" t="n">
        <x:f>F1773</x:f>
        <x:v>601.2976043458035</x:v>
      </x:c>
      <x:c r="H1778" s="21" t="n">
        <x:f>F1778</x:f>
        <x:v>656.6266344260206</x:v>
      </x:c>
      <x:c r="I1778" s="27" t="n">
        <x:f>IF(AND(ISNUMBER(G1778),ISNUMBER(H1778),H1778&gt;0),G1778/H1778-1,"")</x:f>
        <x:v>-0.08426254309434467</x:v>
      </x:c>
      <x:c r="J1778" s="27" t="n">
        <x:f>IF(AND(ISNUMBER(G1778),F1778&gt;0),G1778/F1778-1,"")</x:f>
        <x:v>-0.08426254309434467</x:v>
      </x:c>
      <x:c r="K1778" s="19" t="str">
        <x:v>Exp_6/EXP055/results/seed254786210_Full.json</x:v>
      </x:c>
    </x:row>
    <x:row r="1779" ht="15" hidden="0" customHeight="1">
      <x:c r="A1779" s="3" t="str">
        <x:v>EXP055</x:v>
      </x:c>
      <x:c r="B1779" s="3" t="str">
        <x:v>Exp. 6</x:v>
      </x:c>
      <x:c r="C1779" s="18" t="n">
        <x:v>254786210</x:v>
      </x:c>
      <x:c r="D1779" s="3" t="str">
        <x:v>Relative cutoff 1e-2</x:v>
      </x:c>
      <x:c r="E1779" s="18" t="n">
        <x:v>200</x:v>
      </x:c>
      <x:c r="F1779" s="21" t="n">
        <x:v>651.5326671846504</x:v>
      </x:c>
      <x:c r="G1779" s="21" t="n">
        <x:f>F1773</x:f>
        <x:v>601.2976043458035</x:v>
      </x:c>
      <x:c r="H1779" s="21" t="n">
        <x:f>F1778</x:f>
        <x:v>656.6266344260206</x:v>
      </x:c>
      <x:c r="I1779" s="27" t="n">
        <x:f>IF(AND(ISNUMBER(G1779),ISNUMBER(H1779),H1779&gt;0),G1779/H1779-1,"")</x:f>
        <x:v>-0.08426254309434467</x:v>
      </x:c>
      <x:c r="J1779" s="27" t="n">
        <x:f>IF(AND(ISNUMBER(G1779),F1779&gt;0),G1779/F1779-1,"")</x:f>
        <x:v>-0.0771029072969105</x:v>
      </x:c>
      <x:c r="K1779" s="19" t="str">
        <x:v>Exp_6/EXP055/results/seed254786210_Relative_cutoff_1e-2.json</x:v>
      </x:c>
    </x:row>
    <x:row r="1780" ht="15" hidden="0" customHeight="1">
      <x:c r="A1780" s="3" t="str">
        <x:v>EXP055</x:v>
      </x:c>
      <x:c r="B1780" s="3" t="str">
        <x:v>Exp. 6</x:v>
      </x:c>
      <x:c r="C1780" s="18" t="n">
        <x:v>254786210</x:v>
      </x:c>
      <x:c r="D1780" s="3" t="str">
        <x:v>Relative cutoff 1e-4</x:v>
      </x:c>
      <x:c r="E1780" s="18" t="n">
        <x:v>200</x:v>
      </x:c>
      <x:c r="F1780" s="21" t="n">
        <x:v>650.470499589596</x:v>
      </x:c>
      <x:c r="G1780" s="21" t="n">
        <x:f>F1773</x:f>
        <x:v>601.2976043458035</x:v>
      </x:c>
      <x:c r="H1780" s="21" t="n">
        <x:f>F1778</x:f>
        <x:v>656.6266344260206</x:v>
      </x:c>
      <x:c r="I1780" s="27" t="n">
        <x:f>IF(AND(ISNUMBER(G1780),ISNUMBER(H1780),H1780&gt;0),G1780/H1780-1,"")</x:f>
        <x:v>-0.08426254309434467</x:v>
      </x:c>
      <x:c r="J1780" s="27" t="n">
        <x:f>IF(AND(ISNUMBER(G1780),F1780&gt;0),G1780/F1780-1,"")</x:f>
        <x:v>-0.07559588832209507</x:v>
      </x:c>
      <x:c r="K1780" s="19" t="str">
        <x:v>Exp_6/EXP055/results/seed254786210_Relative_cutoff_1e-4.json</x:v>
      </x:c>
    </x:row>
    <x:row r="1781" ht="15" hidden="0" customHeight="1">
      <x:c r="A1781" s="3" t="str">
        <x:v>EXP055</x:v>
      </x:c>
      <x:c r="B1781" s="3" t="str">
        <x:v>Exp. 6</x:v>
      </x:c>
      <x:c r="C1781" s="18" t="n">
        <x:v>280737676</x:v>
      </x:c>
      <x:c r="D1781" s="3" t="str">
        <x:v>BBP</x:v>
      </x:c>
      <x:c r="E1781" s="18" t="n">
        <x:v>200</x:v>
      </x:c>
      <x:c r="F1781" s="21" t="n">
        <x:v>516.8124423656282</x:v>
      </x:c>
      <x:c r="G1781" s="21" t="n">
        <x:f>F1781</x:f>
        <x:v>516.8124423656282</x:v>
      </x:c>
      <x:c r="H1781" s="21" t="n">
        <x:f>F1786</x:f>
        <x:v>516.8124423656282</x:v>
      </x:c>
      <x:c r="I1781" s="27" t="n">
        <x:f>IF(AND(ISNUMBER(G1781),ISNUMBER(H1781),H1781&gt;0),G1781/H1781-1,"")</x:f>
        <x:v>0</x:v>
      </x:c>
      <x:c r="J1781" s="27" t="n">
        <x:f>IF(AND(ISNUMBER(G1781),F1781&gt;0),G1781/F1781-1,"")</x:f>
        <x:v>0</x:v>
      </x:c>
      <x:c r="K1781" s="19" t="str">
        <x:v>Exp_6/EXP055/results/seed280737676_BBP.json</x:v>
      </x:c>
    </x:row>
    <x:row r="1782" ht="15" hidden="0" customHeight="1">
      <x:c r="A1782" s="3" t="str">
        <x:v>EXP055</x:v>
      </x:c>
      <x:c r="B1782" s="3" t="str">
        <x:v>Exp. 6</x:v>
      </x:c>
      <x:c r="C1782" s="18" t="n">
        <x:v>280737676</x:v>
      </x:c>
      <x:c r="D1782" s="3" t="str">
        <x:v>Relative cutoff 1e-5</x:v>
      </x:c>
      <x:c r="E1782" s="18" t="n">
        <x:v>200</x:v>
      </x:c>
      <x:c r="F1782" s="21" t="n">
        <x:v>516.8124423656282</x:v>
      </x:c>
      <x:c r="G1782" s="21" t="n">
        <x:f>F1781</x:f>
        <x:v>516.8124423656282</x:v>
      </x:c>
      <x:c r="H1782" s="21" t="n">
        <x:f>F1786</x:f>
        <x:v>516.8124423656282</x:v>
      </x:c>
      <x:c r="I1782" s="27" t="n">
        <x:f>IF(AND(ISNUMBER(G1782),ISNUMBER(H1782),H1782&gt;0),G1782/H1782-1,"")</x:f>
        <x:v>0</x:v>
      </x:c>
      <x:c r="J1782" s="27" t="n">
        <x:f>IF(AND(ISNUMBER(G1782),F1782&gt;0),G1782/F1782-1,"")</x:f>
        <x:v>0</x:v>
      </x:c>
      <x:c r="K1782" s="19" t="str">
        <x:v>Exp_6/EXP055/results/seed280737676_Relative_cutoff_1e-5.json</x:v>
      </x:c>
    </x:row>
    <x:row r="1783" ht="15" hidden="0" customHeight="1">
      <x:c r="A1783" s="3" t="str">
        <x:v>EXP055</x:v>
      </x:c>
      <x:c r="B1783" s="3" t="str">
        <x:v>Exp. 6</x:v>
      </x:c>
      <x:c r="C1783" s="18" t="n">
        <x:v>280737676</x:v>
      </x:c>
      <x:c r="D1783" s="3" t="str">
        <x:v>Fixed rank 10</x:v>
      </x:c>
      <x:c r="E1783" s="18" t="n">
        <x:v>200</x:v>
      </x:c>
      <x:c r="F1783" s="21" t="n">
        <x:v>516.8124423656282</x:v>
      </x:c>
      <x:c r="G1783" s="21" t="n">
        <x:f>F1781</x:f>
        <x:v>516.8124423656282</x:v>
      </x:c>
      <x:c r="H1783" s="21" t="n">
        <x:f>F1786</x:f>
        <x:v>516.8124423656282</x:v>
      </x:c>
      <x:c r="I1783" s="27" t="n">
        <x:f>IF(AND(ISNUMBER(G1783),ISNUMBER(H1783),H1783&gt;0),G1783/H1783-1,"")</x:f>
        <x:v>0</x:v>
      </x:c>
      <x:c r="J1783" s="27" t="n">
        <x:f>IF(AND(ISNUMBER(G1783),F1783&gt;0),G1783/F1783-1,"")</x:f>
        <x:v>0</x:v>
      </x:c>
      <x:c r="K1783" s="19" t="str">
        <x:v>Exp_6/EXP055/results/seed280737676_Fixed_rank_10.json</x:v>
      </x:c>
    </x:row>
    <x:row r="1784" ht="15" hidden="0" customHeight="1">
      <x:c r="A1784" s="3" t="str">
        <x:v>EXP055</x:v>
      </x:c>
      <x:c r="B1784" s="3" t="str">
        <x:v>Exp. 6</x:v>
      </x:c>
      <x:c r="C1784" s="18" t="n">
        <x:v>280737676</x:v>
      </x:c>
      <x:c r="D1784" s="3" t="str">
        <x:v>Fixed rank 25</x:v>
      </x:c>
      <x:c r="E1784" s="18" t="n">
        <x:v>200</x:v>
      </x:c>
      <x:c r="F1784" s="21" t="n">
        <x:v>516.8124423656282</x:v>
      </x:c>
      <x:c r="G1784" s="21" t="n">
        <x:f>F1781</x:f>
        <x:v>516.8124423656282</x:v>
      </x:c>
      <x:c r="H1784" s="21" t="n">
        <x:f>F1786</x:f>
        <x:v>516.8124423656282</x:v>
      </x:c>
      <x:c r="I1784" s="27" t="n">
        <x:f>IF(AND(ISNUMBER(G1784),ISNUMBER(H1784),H1784&gt;0),G1784/H1784-1,"")</x:f>
        <x:v>0</x:v>
      </x:c>
      <x:c r="J1784" s="27" t="n">
        <x:f>IF(AND(ISNUMBER(G1784),F1784&gt;0),G1784/F1784-1,"")</x:f>
        <x:v>0</x:v>
      </x:c>
      <x:c r="K1784" s="19" t="str">
        <x:v>Exp_6/EXP055/results/seed280737676_Fixed_rank_25.json</x:v>
      </x:c>
    </x:row>
    <x:row r="1785" ht="15" hidden="0" customHeight="1">
      <x:c r="A1785" s="3" t="str">
        <x:v>EXP055</x:v>
      </x:c>
      <x:c r="B1785" s="3" t="str">
        <x:v>Exp. 6</x:v>
      </x:c>
      <x:c r="C1785" s="18" t="n">
        <x:v>280737676</x:v>
      </x:c>
      <x:c r="D1785" s="3" t="str">
        <x:v>Relative cutoff 1e-6</x:v>
      </x:c>
      <x:c r="E1785" s="18" t="n">
        <x:v>200</x:v>
      </x:c>
      <x:c r="F1785" s="21" t="n">
        <x:v>516.8124423656282</x:v>
      </x:c>
      <x:c r="G1785" s="21" t="n">
        <x:f>F1781</x:f>
        <x:v>516.8124423656282</x:v>
      </x:c>
      <x:c r="H1785" s="21" t="n">
        <x:f>F1786</x:f>
        <x:v>516.8124423656282</x:v>
      </x:c>
      <x:c r="I1785" s="27" t="n">
        <x:f>IF(AND(ISNUMBER(G1785),ISNUMBER(H1785),H1785&gt;0),G1785/H1785-1,"")</x:f>
        <x:v>0</x:v>
      </x:c>
      <x:c r="J1785" s="27" t="n">
        <x:f>IF(AND(ISNUMBER(G1785),F1785&gt;0),G1785/F1785-1,"")</x:f>
        <x:v>0</x:v>
      </x:c>
      <x:c r="K1785" s="19" t="str">
        <x:v>Exp_6/EXP055/results/seed280737676_Relative_cutoff_1e-6.json</x:v>
      </x:c>
    </x:row>
    <x:row r="1786" ht="15" hidden="0" customHeight="1">
      <x:c r="A1786" s="3" t="str">
        <x:v>EXP055</x:v>
      </x:c>
      <x:c r="B1786" s="3" t="str">
        <x:v>Exp. 6</x:v>
      </x:c>
      <x:c r="C1786" s="18" t="n">
        <x:v>280737676</x:v>
      </x:c>
      <x:c r="D1786" s="3" t="str">
        <x:v>Full</x:v>
      </x:c>
      <x:c r="E1786" s="18" t="n">
        <x:v>200</x:v>
      </x:c>
      <x:c r="F1786" s="21" t="n">
        <x:v>516.8124423656282</x:v>
      </x:c>
      <x:c r="G1786" s="21" t="n">
        <x:f>F1781</x:f>
        <x:v>516.8124423656282</x:v>
      </x:c>
      <x:c r="H1786" s="21" t="n">
        <x:f>F1786</x:f>
        <x:v>516.8124423656282</x:v>
      </x:c>
      <x:c r="I1786" s="27" t="n">
        <x:f>IF(AND(ISNUMBER(G1786),ISNUMBER(H1786),H1786&gt;0),G1786/H1786-1,"")</x:f>
        <x:v>0</x:v>
      </x:c>
      <x:c r="J1786" s="27" t="n">
        <x:f>IF(AND(ISNUMBER(G1786),F1786&gt;0),G1786/F1786-1,"")</x:f>
        <x:v>0</x:v>
      </x:c>
      <x:c r="K1786" s="19" t="str">
        <x:v>Exp_6/EXP055/results/seed280737676_Full.json</x:v>
      </x:c>
    </x:row>
    <x:row r="1787" ht="15" hidden="0" customHeight="1">
      <x:c r="A1787" s="3" t="str">
        <x:v>EXP055</x:v>
      </x:c>
      <x:c r="B1787" s="3" t="str">
        <x:v>Exp. 6</x:v>
      </x:c>
      <x:c r="C1787" s="18" t="n">
        <x:v>280737676</x:v>
      </x:c>
      <x:c r="D1787" s="3" t="str">
        <x:v>Relative cutoff 1e-2</x:v>
      </x:c>
      <x:c r="E1787" s="18" t="n">
        <x:v>200</x:v>
      </x:c>
      <x:c r="F1787" s="21" t="n">
        <x:v>531.9629698319569</x:v>
      </x:c>
      <x:c r="G1787" s="21" t="n">
        <x:f>F1781</x:f>
        <x:v>516.8124423656282</x:v>
      </x:c>
      <x:c r="H1787" s="21" t="n">
        <x:f>F1786</x:f>
        <x:v>516.8124423656282</x:v>
      </x:c>
      <x:c r="I1787" s="27" t="n">
        <x:f>IF(AND(ISNUMBER(G1787),ISNUMBER(H1787),H1787&gt;0),G1787/H1787-1,"")</x:f>
        <x:v>0</x:v>
      </x:c>
      <x:c r="J1787" s="27" t="n">
        <x:f>IF(AND(ISNUMBER(G1787),F1787&gt;0),G1787/F1787-1,"")</x:f>
        <x:v>-0.028480417483033982</x:v>
      </x:c>
      <x:c r="K1787" s="19" t="str">
        <x:v>Exp_6/EXP055/results/seed280737676_Relative_cutoff_1e-2.json</x:v>
      </x:c>
    </x:row>
    <x:row r="1788" ht="15" hidden="0" customHeight="1">
      <x:c r="A1788" s="3" t="str">
        <x:v>EXP055</x:v>
      </x:c>
      <x:c r="B1788" s="3" t="str">
        <x:v>Exp. 6</x:v>
      </x:c>
      <x:c r="C1788" s="18" t="n">
        <x:v>280737676</x:v>
      </x:c>
      <x:c r="D1788" s="3" t="str">
        <x:v>Relative cutoff 1e-4</x:v>
      </x:c>
      <x:c r="E1788" s="18" t="n">
        <x:v>200</x:v>
      </x:c>
      <x:c r="F1788" s="21" t="n">
        <x:v>515.9949379469762</x:v>
      </x:c>
      <x:c r="G1788" s="21" t="n">
        <x:f>F1781</x:f>
        <x:v>516.8124423656282</x:v>
      </x:c>
      <x:c r="H1788" s="21" t="n">
        <x:f>F1786</x:f>
        <x:v>516.8124423656282</x:v>
      </x:c>
      <x:c r="I1788" s="27" t="n">
        <x:f>IF(AND(ISNUMBER(G1788),ISNUMBER(H1788),H1788&gt;0),G1788/H1788-1,"")</x:f>
        <x:v>0</x:v>
      </x:c>
      <x:c r="J1788" s="27" t="n">
        <x:f>IF(AND(ISNUMBER(G1788),F1788&gt;0),G1788/F1788-1,"")</x:f>
        <x:v>0.0015843264313883942</x:v>
      </x:c>
      <x:c r="K1788" s="19" t="str">
        <x:v>Exp_6/EXP055/results/seed280737676_Relative_cutoff_1e-4.json</x:v>
      </x:c>
    </x:row>
    <x:row r="1789" ht="15" hidden="0" customHeight="1">
      <x:c r="A1789" s="3" t="str">
        <x:v>EXP055</x:v>
      </x:c>
      <x:c r="B1789" s="3" t="str">
        <x:v>Exp. 6</x:v>
      </x:c>
      <x:c r="C1789" s="18" t="n">
        <x:v>304444453</x:v>
      </x:c>
      <x:c r="D1789" s="3" t="str">
        <x:v>BBP</x:v>
      </x:c>
      <x:c r="E1789" s="18" t="n">
        <x:v>200</x:v>
      </x:c>
      <x:c r="F1789" s="21" t="n">
        <x:v>560.4721813273271</x:v>
      </x:c>
      <x:c r="G1789" s="21" t="n">
        <x:f>F1789</x:f>
        <x:v>560.4721813273271</x:v>
      </x:c>
      <x:c r="H1789" s="21" t="n">
        <x:f>F1794</x:f>
        <x:v>560.4721813273271</x:v>
      </x:c>
      <x:c r="I1789" s="27" t="n">
        <x:f>IF(AND(ISNUMBER(G1789),ISNUMBER(H1789),H1789&gt;0),G1789/H1789-1,"")</x:f>
        <x:v>0</x:v>
      </x:c>
      <x:c r="J1789" s="27" t="n">
        <x:f>IF(AND(ISNUMBER(G1789),F1789&gt;0),G1789/F1789-1,"")</x:f>
        <x:v>0</x:v>
      </x:c>
      <x:c r="K1789" s="19" t="str">
        <x:v>Exp_6/EXP055/results/seed304444453_BBP.json</x:v>
      </x:c>
    </x:row>
    <x:row r="1790" ht="15" hidden="0" customHeight="1">
      <x:c r="A1790" s="3" t="str">
        <x:v>EXP055</x:v>
      </x:c>
      <x:c r="B1790" s="3" t="str">
        <x:v>Exp. 6</x:v>
      </x:c>
      <x:c r="C1790" s="18" t="n">
        <x:v>304444453</x:v>
      </x:c>
      <x:c r="D1790" s="3" t="str">
        <x:v>Relative cutoff 1e-5</x:v>
      </x:c>
      <x:c r="E1790" s="18" t="n">
        <x:v>200</x:v>
      </x:c>
      <x:c r="F1790" s="21" t="n">
        <x:v>560.4721813273271</x:v>
      </x:c>
      <x:c r="G1790" s="21" t="n">
        <x:f>F1789</x:f>
        <x:v>560.4721813273271</x:v>
      </x:c>
      <x:c r="H1790" s="21" t="n">
        <x:f>F1794</x:f>
        <x:v>560.4721813273271</x:v>
      </x:c>
      <x:c r="I1790" s="27" t="n">
        <x:f>IF(AND(ISNUMBER(G1790),ISNUMBER(H1790),H1790&gt;0),G1790/H1790-1,"")</x:f>
        <x:v>0</x:v>
      </x:c>
      <x:c r="J1790" s="27" t="n">
        <x:f>IF(AND(ISNUMBER(G1790),F1790&gt;0),G1790/F1790-1,"")</x:f>
        <x:v>0</x:v>
      </x:c>
      <x:c r="K1790" s="19" t="str">
        <x:v>Exp_6/EXP055/results/seed304444453_Relative_cutoff_1e-5.json</x:v>
      </x:c>
    </x:row>
    <x:row r="1791" ht="15" hidden="0" customHeight="1">
      <x:c r="A1791" s="3" t="str">
        <x:v>EXP055</x:v>
      </x:c>
      <x:c r="B1791" s="3" t="str">
        <x:v>Exp. 6</x:v>
      </x:c>
      <x:c r="C1791" s="18" t="n">
        <x:v>304444453</x:v>
      </x:c>
      <x:c r="D1791" s="3" t="str">
        <x:v>Fixed rank 10</x:v>
      </x:c>
      <x:c r="E1791" s="18" t="n">
        <x:v>200</x:v>
      </x:c>
      <x:c r="F1791" s="21" t="n">
        <x:v>548.9810404260315</x:v>
      </x:c>
      <x:c r="G1791" s="21" t="n">
        <x:f>F1789</x:f>
        <x:v>560.4721813273271</x:v>
      </x:c>
      <x:c r="H1791" s="21" t="n">
        <x:f>F1794</x:f>
        <x:v>560.4721813273271</x:v>
      </x:c>
      <x:c r="I1791" s="27" t="n">
        <x:f>IF(AND(ISNUMBER(G1791),ISNUMBER(H1791),H1791&gt;0),G1791/H1791-1,"")</x:f>
        <x:v>0</x:v>
      </x:c>
      <x:c r="J1791" s="27" t="n">
        <x:f>IF(AND(ISNUMBER(G1791),F1791&gt;0),G1791/F1791-1,"")</x:f>
        <x:v>0.0209317627661203</x:v>
      </x:c>
      <x:c r="K1791" s="19" t="str">
        <x:v>Exp_6/EXP055/results/seed304444453_Fixed_rank_10.json</x:v>
      </x:c>
    </x:row>
    <x:row r="1792" ht="15" hidden="0" customHeight="1">
      <x:c r="A1792" s="3" t="str">
        <x:v>EXP055</x:v>
      </x:c>
      <x:c r="B1792" s="3" t="str">
        <x:v>Exp. 6</x:v>
      </x:c>
      <x:c r="C1792" s="18" t="n">
        <x:v>304444453</x:v>
      </x:c>
      <x:c r="D1792" s="3" t="str">
        <x:v>Fixed rank 25</x:v>
      </x:c>
      <x:c r="E1792" s="18" t="n">
        <x:v>200</x:v>
      </x:c>
      <x:c r="F1792" s="21" t="n">
        <x:v>560.4721813273271</x:v>
      </x:c>
      <x:c r="G1792" s="21" t="n">
        <x:f>F1789</x:f>
        <x:v>560.4721813273271</x:v>
      </x:c>
      <x:c r="H1792" s="21" t="n">
        <x:f>F1794</x:f>
        <x:v>560.4721813273271</x:v>
      </x:c>
      <x:c r="I1792" s="27" t="n">
        <x:f>IF(AND(ISNUMBER(G1792),ISNUMBER(H1792),H1792&gt;0),G1792/H1792-1,"")</x:f>
        <x:v>0</x:v>
      </x:c>
      <x:c r="J1792" s="27" t="n">
        <x:f>IF(AND(ISNUMBER(G1792),F1792&gt;0),G1792/F1792-1,"")</x:f>
        <x:v>0</x:v>
      </x:c>
      <x:c r="K1792" s="19" t="str">
        <x:v>Exp_6/EXP055/results/seed304444453_Fixed_rank_25.json</x:v>
      </x:c>
    </x:row>
    <x:row r="1793" ht="15" hidden="0" customHeight="1">
      <x:c r="A1793" s="3" t="str">
        <x:v>EXP055</x:v>
      </x:c>
      <x:c r="B1793" s="3" t="str">
        <x:v>Exp. 6</x:v>
      </x:c>
      <x:c r="C1793" s="18" t="n">
        <x:v>304444453</x:v>
      </x:c>
      <x:c r="D1793" s="3" t="str">
        <x:v>Relative cutoff 1e-6</x:v>
      </x:c>
      <x:c r="E1793" s="18" t="n">
        <x:v>200</x:v>
      </x:c>
      <x:c r="F1793" s="21" t="n">
        <x:v>560.4721813273271</x:v>
      </x:c>
      <x:c r="G1793" s="21" t="n">
        <x:f>F1789</x:f>
        <x:v>560.4721813273271</x:v>
      </x:c>
      <x:c r="H1793" s="21" t="n">
        <x:f>F1794</x:f>
        <x:v>560.4721813273271</x:v>
      </x:c>
      <x:c r="I1793" s="27" t="n">
        <x:f>IF(AND(ISNUMBER(G1793),ISNUMBER(H1793),H1793&gt;0),G1793/H1793-1,"")</x:f>
        <x:v>0</x:v>
      </x:c>
      <x:c r="J1793" s="27" t="n">
        <x:f>IF(AND(ISNUMBER(G1793),F1793&gt;0),G1793/F1793-1,"")</x:f>
        <x:v>0</x:v>
      </x:c>
      <x:c r="K1793" s="19" t="str">
        <x:v>Exp_6/EXP055/results/seed304444453_Relative_cutoff_1e-6.json</x:v>
      </x:c>
    </x:row>
    <x:row r="1794" ht="15" hidden="0" customHeight="1">
      <x:c r="A1794" s="3" t="str">
        <x:v>EXP055</x:v>
      </x:c>
      <x:c r="B1794" s="3" t="str">
        <x:v>Exp. 6</x:v>
      </x:c>
      <x:c r="C1794" s="18" t="n">
        <x:v>304444453</x:v>
      </x:c>
      <x:c r="D1794" s="3" t="str">
        <x:v>Full</x:v>
      </x:c>
      <x:c r="E1794" s="18" t="n">
        <x:v>200</x:v>
      </x:c>
      <x:c r="F1794" s="21" t="n">
        <x:v>560.4721813273271</x:v>
      </x:c>
      <x:c r="G1794" s="21" t="n">
        <x:f>F1789</x:f>
        <x:v>560.4721813273271</x:v>
      </x:c>
      <x:c r="H1794" s="21" t="n">
        <x:f>F1794</x:f>
        <x:v>560.4721813273271</x:v>
      </x:c>
      <x:c r="I1794" s="27" t="n">
        <x:f>IF(AND(ISNUMBER(G1794),ISNUMBER(H1794),H1794&gt;0),G1794/H1794-1,"")</x:f>
        <x:v>0</x:v>
      </x:c>
      <x:c r="J1794" s="27" t="n">
        <x:f>IF(AND(ISNUMBER(G1794),F1794&gt;0),G1794/F1794-1,"")</x:f>
        <x:v>0</x:v>
      </x:c>
      <x:c r="K1794" s="19" t="str">
        <x:v>Exp_6/EXP055/results/seed304444453_Full.json</x:v>
      </x:c>
    </x:row>
    <x:row r="1795" ht="15" hidden="0" customHeight="1">
      <x:c r="A1795" s="3" t="str">
        <x:v>EXP055</x:v>
      </x:c>
      <x:c r="B1795" s="3" t="str">
        <x:v>Exp. 6</x:v>
      </x:c>
      <x:c r="C1795" s="18" t="n">
        <x:v>304444453</x:v>
      </x:c>
      <x:c r="D1795" s="3" t="str">
        <x:v>Relative cutoff 1e-2</x:v>
      </x:c>
      <x:c r="E1795" s="18" t="n">
        <x:v>200</x:v>
      </x:c>
      <x:c r="F1795" s="21" t="n">
        <x:v>577.2576270221579</x:v>
      </x:c>
      <x:c r="G1795" s="21" t="n">
        <x:f>F1789</x:f>
        <x:v>560.4721813273271</x:v>
      </x:c>
      <x:c r="H1795" s="21" t="n">
        <x:f>F1794</x:f>
        <x:v>560.4721813273271</x:v>
      </x:c>
      <x:c r="I1795" s="27" t="n">
        <x:f>IF(AND(ISNUMBER(G1795),ISNUMBER(H1795),H1795&gt;0),G1795/H1795-1,"")</x:f>
        <x:v>0</x:v>
      </x:c>
      <x:c r="J1795" s="27" t="n">
        <x:f>IF(AND(ISNUMBER(G1795),F1795&gt;0),G1795/F1795-1,"")</x:f>
        <x:v>-0.029077910640038063</x:v>
      </x:c>
      <x:c r="K1795" s="19" t="str">
        <x:v>Exp_6/EXP055/results/seed304444453_Relative_cutoff_1e-2.json</x:v>
      </x:c>
    </x:row>
    <x:row r="1796" ht="15" hidden="0" customHeight="1">
      <x:c r="A1796" s="3" t="str">
        <x:v>EXP055</x:v>
      </x:c>
      <x:c r="B1796" s="3" t="str">
        <x:v>Exp. 6</x:v>
      </x:c>
      <x:c r="C1796" s="18" t="n">
        <x:v>304444453</x:v>
      </x:c>
      <x:c r="D1796" s="3" t="str">
        <x:v>Relative cutoff 1e-4</x:v>
      </x:c>
      <x:c r="E1796" s="18" t="n">
        <x:v>200</x:v>
      </x:c>
      <x:c r="F1796" s="21" t="n">
        <x:v>548.9810404260315</x:v>
      </x:c>
      <x:c r="G1796" s="21" t="n">
        <x:f>F1789</x:f>
        <x:v>560.4721813273271</x:v>
      </x:c>
      <x:c r="H1796" s="21" t="n">
        <x:f>F1794</x:f>
        <x:v>560.4721813273271</x:v>
      </x:c>
      <x:c r="I1796" s="27" t="n">
        <x:f>IF(AND(ISNUMBER(G1796),ISNUMBER(H1796),H1796&gt;0),G1796/H1796-1,"")</x:f>
        <x:v>0</x:v>
      </x:c>
      <x:c r="J1796" s="27" t="n">
        <x:f>IF(AND(ISNUMBER(G1796),F1796&gt;0),G1796/F1796-1,"")</x:f>
        <x:v>0.0209317627661203</x:v>
      </x:c>
      <x:c r="K1796" s="19" t="str">
        <x:v>Exp_6/EXP055/results/seed304444453_Relative_cutoff_1e-4.json</x:v>
      </x:c>
    </x:row>
    <x:row r="1797" ht="15" hidden="0" customHeight="1">
      <x:c r="A1797" s="3" t="str">
        <x:v>EXP055</x:v>
      </x:c>
      <x:c r="B1797" s="3" t="str">
        <x:v>Exp. 6</x:v>
      </x:c>
      <x:c r="C1797" s="18" t="n">
        <x:v>319922324</x:v>
      </x:c>
      <x:c r="D1797" s="3" t="str">
        <x:v>BBP</x:v>
      </x:c>
      <x:c r="E1797" s="18" t="n">
        <x:v>200</x:v>
      </x:c>
      <x:c r="F1797" s="21" t="n">
        <x:v>522.1559680997453</x:v>
      </x:c>
      <x:c r="G1797" s="21" t="n">
        <x:f>F1797</x:f>
        <x:v>522.1559680997453</x:v>
      </x:c>
      <x:c r="H1797" s="21" t="n">
        <x:f>F1802</x:f>
        <x:v>522.1559680997453</x:v>
      </x:c>
      <x:c r="I1797" s="27" t="n">
        <x:f>IF(AND(ISNUMBER(G1797),ISNUMBER(H1797),H1797&gt;0),G1797/H1797-1,"")</x:f>
        <x:v>0</x:v>
      </x:c>
      <x:c r="J1797" s="27" t="n">
        <x:f>IF(AND(ISNUMBER(G1797),F1797&gt;0),G1797/F1797-1,"")</x:f>
        <x:v>0</x:v>
      </x:c>
      <x:c r="K1797" s="19" t="str">
        <x:v>Exp_6/EXP055/results/seed319922324_BBP.json</x:v>
      </x:c>
    </x:row>
    <x:row r="1798" ht="15" hidden="0" customHeight="1">
      <x:c r="A1798" s="3" t="str">
        <x:v>EXP055</x:v>
      </x:c>
      <x:c r="B1798" s="3" t="str">
        <x:v>Exp. 6</x:v>
      </x:c>
      <x:c r="C1798" s="18" t="n">
        <x:v>319922324</x:v>
      </x:c>
      <x:c r="D1798" s="3" t="str">
        <x:v>Relative cutoff 1e-5</x:v>
      </x:c>
      <x:c r="E1798" s="18" t="n">
        <x:v>200</x:v>
      </x:c>
      <x:c r="F1798" s="21" t="n">
        <x:v>522.1559680997453</x:v>
      </x:c>
      <x:c r="G1798" s="21" t="n">
        <x:f>F1797</x:f>
        <x:v>522.1559680997453</x:v>
      </x:c>
      <x:c r="H1798" s="21" t="n">
        <x:f>F1802</x:f>
        <x:v>522.1559680997453</x:v>
      </x:c>
      <x:c r="I1798" s="27" t="n">
        <x:f>IF(AND(ISNUMBER(G1798),ISNUMBER(H1798),H1798&gt;0),G1798/H1798-1,"")</x:f>
        <x:v>0</x:v>
      </x:c>
      <x:c r="J1798" s="27" t="n">
        <x:f>IF(AND(ISNUMBER(G1798),F1798&gt;0),G1798/F1798-1,"")</x:f>
        <x:v>0</x:v>
      </x:c>
      <x:c r="K1798" s="19" t="str">
        <x:v>Exp_6/EXP055/results/seed319922324_Relative_cutoff_1e-5.json</x:v>
      </x:c>
    </x:row>
    <x:row r="1799" ht="15" hidden="0" customHeight="1">
      <x:c r="A1799" s="3" t="str">
        <x:v>EXP055</x:v>
      </x:c>
      <x:c r="B1799" s="3" t="str">
        <x:v>Exp. 6</x:v>
      </x:c>
      <x:c r="C1799" s="18" t="n">
        <x:v>319922324</x:v>
      </x:c>
      <x:c r="D1799" s="3" t="str">
        <x:v>Fixed rank 10</x:v>
      </x:c>
      <x:c r="E1799" s="18" t="n">
        <x:v>200</x:v>
      </x:c>
      <x:c r="F1799" s="21" t="n">
        <x:v>528.0544874600472</x:v>
      </x:c>
      <x:c r="G1799" s="21" t="n">
        <x:f>F1797</x:f>
        <x:v>522.1559680997453</x:v>
      </x:c>
      <x:c r="H1799" s="21" t="n">
        <x:f>F1802</x:f>
        <x:v>522.1559680997453</x:v>
      </x:c>
      <x:c r="I1799" s="27" t="n">
        <x:f>IF(AND(ISNUMBER(G1799),ISNUMBER(H1799),H1799&gt;0),G1799/H1799-1,"")</x:f>
        <x:v>0</x:v>
      </x:c>
      <x:c r="J1799" s="27" t="n">
        <x:f>IF(AND(ISNUMBER(G1799),F1799&gt;0),G1799/F1799-1,"")</x:f>
        <x:v>-0.01117028545420351</x:v>
      </x:c>
      <x:c r="K1799" s="19" t="str">
        <x:v>Exp_6/EXP055/results/seed319922324_Fixed_rank_10.json</x:v>
      </x:c>
    </x:row>
    <x:row r="1800" ht="15" hidden="0" customHeight="1">
      <x:c r="A1800" s="3" t="str">
        <x:v>EXP055</x:v>
      </x:c>
      <x:c r="B1800" s="3" t="str">
        <x:v>Exp. 6</x:v>
      </x:c>
      <x:c r="C1800" s="18" t="n">
        <x:v>319922324</x:v>
      </x:c>
      <x:c r="D1800" s="3" t="str">
        <x:v>Fixed rank 25</x:v>
      </x:c>
      <x:c r="E1800" s="18" t="n">
        <x:v>200</x:v>
      </x:c>
      <x:c r="F1800" s="21" t="n">
        <x:v>522.1559680997453</x:v>
      </x:c>
      <x:c r="G1800" s="21" t="n">
        <x:f>F1797</x:f>
        <x:v>522.1559680997453</x:v>
      </x:c>
      <x:c r="H1800" s="21" t="n">
        <x:f>F1802</x:f>
        <x:v>522.1559680997453</x:v>
      </x:c>
      <x:c r="I1800" s="27" t="n">
        <x:f>IF(AND(ISNUMBER(G1800),ISNUMBER(H1800),H1800&gt;0),G1800/H1800-1,"")</x:f>
        <x:v>0</x:v>
      </x:c>
      <x:c r="J1800" s="27" t="n">
        <x:f>IF(AND(ISNUMBER(G1800),F1800&gt;0),G1800/F1800-1,"")</x:f>
        <x:v>0</x:v>
      </x:c>
      <x:c r="K1800" s="19" t="str">
        <x:v>Exp_6/EXP055/results/seed319922324_Fixed_rank_25.json</x:v>
      </x:c>
    </x:row>
    <x:row r="1801" ht="15" hidden="0" customHeight="1">
      <x:c r="A1801" s="3" t="str">
        <x:v>EXP055</x:v>
      </x:c>
      <x:c r="B1801" s="3" t="str">
        <x:v>Exp. 6</x:v>
      </x:c>
      <x:c r="C1801" s="18" t="n">
        <x:v>319922324</x:v>
      </x:c>
      <x:c r="D1801" s="3" t="str">
        <x:v>Relative cutoff 1e-6</x:v>
      </x:c>
      <x:c r="E1801" s="18" t="n">
        <x:v>200</x:v>
      </x:c>
      <x:c r="F1801" s="21" t="n">
        <x:v>522.1559680997453</x:v>
      </x:c>
      <x:c r="G1801" s="21" t="n">
        <x:f>F1797</x:f>
        <x:v>522.1559680997453</x:v>
      </x:c>
      <x:c r="H1801" s="21" t="n">
        <x:f>F1802</x:f>
        <x:v>522.1559680997453</x:v>
      </x:c>
      <x:c r="I1801" s="27" t="n">
        <x:f>IF(AND(ISNUMBER(G1801),ISNUMBER(H1801),H1801&gt;0),G1801/H1801-1,"")</x:f>
        <x:v>0</x:v>
      </x:c>
      <x:c r="J1801" s="27" t="n">
        <x:f>IF(AND(ISNUMBER(G1801),F1801&gt;0),G1801/F1801-1,"")</x:f>
        <x:v>0</x:v>
      </x:c>
      <x:c r="K1801" s="19" t="str">
        <x:v>Exp_6/EXP055/results/seed319922324_Relative_cutoff_1e-6.json</x:v>
      </x:c>
    </x:row>
    <x:row r="1802" ht="15" hidden="0" customHeight="1">
      <x:c r="A1802" s="3" t="str">
        <x:v>EXP055</x:v>
      </x:c>
      <x:c r="B1802" s="3" t="str">
        <x:v>Exp. 6</x:v>
      </x:c>
      <x:c r="C1802" s="18" t="n">
        <x:v>319922324</x:v>
      </x:c>
      <x:c r="D1802" s="3" t="str">
        <x:v>Full</x:v>
      </x:c>
      <x:c r="E1802" s="18" t="n">
        <x:v>200</x:v>
      </x:c>
      <x:c r="F1802" s="21" t="n">
        <x:v>522.1559680997453</x:v>
      </x:c>
      <x:c r="G1802" s="21" t="n">
        <x:f>F1797</x:f>
        <x:v>522.1559680997453</x:v>
      </x:c>
      <x:c r="H1802" s="21" t="n">
        <x:f>F1802</x:f>
        <x:v>522.1559680997453</x:v>
      </x:c>
      <x:c r="I1802" s="27" t="n">
        <x:f>IF(AND(ISNUMBER(G1802),ISNUMBER(H1802),H1802&gt;0),G1802/H1802-1,"")</x:f>
        <x:v>0</x:v>
      </x:c>
      <x:c r="J1802" s="27" t="n">
        <x:f>IF(AND(ISNUMBER(G1802),F1802&gt;0),G1802/F1802-1,"")</x:f>
        <x:v>0</x:v>
      </x:c>
      <x:c r="K1802" s="19" t="str">
        <x:v>Exp_6/EXP055/results/seed319922324_Full.json</x:v>
      </x:c>
    </x:row>
    <x:row r="1803" ht="15" hidden="0" customHeight="1">
      <x:c r="A1803" s="3" t="str">
        <x:v>EXP055</x:v>
      </x:c>
      <x:c r="B1803" s="3" t="str">
        <x:v>Exp. 6</x:v>
      </x:c>
      <x:c r="C1803" s="18" t="n">
        <x:v>319922324</x:v>
      </x:c>
      <x:c r="D1803" s="3" t="str">
        <x:v>Relative cutoff 1e-2</x:v>
      </x:c>
      <x:c r="E1803" s="18" t="n">
        <x:v>200</x:v>
      </x:c>
      <x:c r="F1803" s="21" t="n">
        <x:v>521.0195616121508</x:v>
      </x:c>
      <x:c r="G1803" s="21" t="n">
        <x:f>F1797</x:f>
        <x:v>522.1559680997453</x:v>
      </x:c>
      <x:c r="H1803" s="21" t="n">
        <x:f>F1802</x:f>
        <x:v>522.1559680997453</x:v>
      </x:c>
      <x:c r="I1803" s="27" t="n">
        <x:f>IF(AND(ISNUMBER(G1803),ISNUMBER(H1803),H1803&gt;0),G1803/H1803-1,"")</x:f>
        <x:v>0</x:v>
      </x:c>
      <x:c r="J1803" s="27" t="n">
        <x:f>IF(AND(ISNUMBER(G1803),F1803&gt;0),G1803/F1803-1,"")</x:f>
        <x:v>0.002181120578425455</x:v>
      </x:c>
      <x:c r="K1803" s="19" t="str">
        <x:v>Exp_6/EXP055/results/seed319922324_Relative_cutoff_1e-2.json</x:v>
      </x:c>
    </x:row>
    <x:row r="1804" ht="15" hidden="0" customHeight="1">
      <x:c r="A1804" s="3" t="str">
        <x:v>EXP055</x:v>
      </x:c>
      <x:c r="B1804" s="3" t="str">
        <x:v>Exp. 6</x:v>
      </x:c>
      <x:c r="C1804" s="18" t="n">
        <x:v>319922324</x:v>
      </x:c>
      <x:c r="D1804" s="3" t="str">
        <x:v>Relative cutoff 1e-4</x:v>
      </x:c>
      <x:c r="E1804" s="18" t="n">
        <x:v>200</x:v>
      </x:c>
      <x:c r="F1804" s="21" t="n">
        <x:v>522.1559680997453</x:v>
      </x:c>
      <x:c r="G1804" s="21" t="n">
        <x:f>F1797</x:f>
        <x:v>522.1559680997453</x:v>
      </x:c>
      <x:c r="H1804" s="21" t="n">
        <x:f>F1802</x:f>
        <x:v>522.1559680997453</x:v>
      </x:c>
      <x:c r="I1804" s="27" t="n">
        <x:f>IF(AND(ISNUMBER(G1804),ISNUMBER(H1804),H1804&gt;0),G1804/H1804-1,"")</x:f>
        <x:v>0</x:v>
      </x:c>
      <x:c r="J1804" s="27" t="n">
        <x:f>IF(AND(ISNUMBER(G1804),F1804&gt;0),G1804/F1804-1,"")</x:f>
        <x:v>0</x:v>
      </x:c>
      <x:c r="K1804" s="19" t="str">
        <x:v>Exp_6/EXP055/results/seed319922324_Relative_cutoff_1e-4.json</x:v>
      </x:c>
    </x:row>
    <x:row r="1805" ht="15" hidden="0" customHeight="1">
      <x:c r="A1805" s="3" t="str">
        <x:v>EXP055</x:v>
      </x:c>
      <x:c r="B1805" s="3" t="str">
        <x:v>Exp. 6</x:v>
      </x:c>
      <x:c r="C1805" s="18" t="n">
        <x:v>560889375</x:v>
      </x:c>
      <x:c r="D1805" s="3" t="str">
        <x:v>BBP</x:v>
      </x:c>
      <x:c r="E1805" s="18" t="n">
        <x:v>200</x:v>
      </x:c>
      <x:c r="F1805" s="21" t="n">
        <x:v>656.3891002869742</x:v>
      </x:c>
      <x:c r="G1805" s="21" t="n">
        <x:f>F1805</x:f>
        <x:v>656.3891002869742</x:v>
      </x:c>
      <x:c r="H1805" s="21" t="n">
        <x:f>F1810</x:f>
        <x:v>656.3891002869742</x:v>
      </x:c>
      <x:c r="I1805" s="27" t="n">
        <x:f>IF(AND(ISNUMBER(G1805),ISNUMBER(H1805),H1805&gt;0),G1805/H1805-1,"")</x:f>
        <x:v>0</x:v>
      </x:c>
      <x:c r="J1805" s="27" t="n">
        <x:f>IF(AND(ISNUMBER(G1805),F1805&gt;0),G1805/F1805-1,"")</x:f>
        <x:v>0</x:v>
      </x:c>
      <x:c r="K1805" s="19" t="str">
        <x:v>Exp_6/EXP055/results/seed560889375_BBP.json</x:v>
      </x:c>
    </x:row>
    <x:row r="1806" ht="15" hidden="0" customHeight="1">
      <x:c r="A1806" s="3" t="str">
        <x:v>EXP055</x:v>
      </x:c>
      <x:c r="B1806" s="3" t="str">
        <x:v>Exp. 6</x:v>
      </x:c>
      <x:c r="C1806" s="18" t="n">
        <x:v>560889375</x:v>
      </x:c>
      <x:c r="D1806" s="3" t="str">
        <x:v>Relative cutoff 1e-5</x:v>
      </x:c>
      <x:c r="E1806" s="18" t="n">
        <x:v>200</x:v>
      </x:c>
      <x:c r="F1806" s="21" t="n">
        <x:v>656.3891002869742</x:v>
      </x:c>
      <x:c r="G1806" s="21" t="n">
        <x:f>F1805</x:f>
        <x:v>656.3891002869742</x:v>
      </x:c>
      <x:c r="H1806" s="21" t="n">
        <x:f>F1810</x:f>
        <x:v>656.3891002869742</x:v>
      </x:c>
      <x:c r="I1806" s="27" t="n">
        <x:f>IF(AND(ISNUMBER(G1806),ISNUMBER(H1806),H1806&gt;0),G1806/H1806-1,"")</x:f>
        <x:v>0</x:v>
      </x:c>
      <x:c r="J1806" s="27" t="n">
        <x:f>IF(AND(ISNUMBER(G1806),F1806&gt;0),G1806/F1806-1,"")</x:f>
        <x:v>0</x:v>
      </x:c>
      <x:c r="K1806" s="19" t="str">
        <x:v>Exp_6/EXP055/results/seed560889375_Relative_cutoff_1e-5.json</x:v>
      </x:c>
    </x:row>
    <x:row r="1807" ht="15" hidden="0" customHeight="1">
      <x:c r="A1807" s="3" t="str">
        <x:v>EXP055</x:v>
      </x:c>
      <x:c r="B1807" s="3" t="str">
        <x:v>Exp. 6</x:v>
      </x:c>
      <x:c r="C1807" s="18" t="n">
        <x:v>560889375</x:v>
      </x:c>
      <x:c r="D1807" s="3" t="str">
        <x:v>Fixed rank 10</x:v>
      </x:c>
      <x:c r="E1807" s="18" t="n">
        <x:v>200</x:v>
      </x:c>
      <x:c r="F1807" s="21" t="n">
        <x:v>656.3891002869742</x:v>
      </x:c>
      <x:c r="G1807" s="21" t="n">
        <x:f>F1805</x:f>
        <x:v>656.3891002869742</x:v>
      </x:c>
      <x:c r="H1807" s="21" t="n">
        <x:f>F1810</x:f>
        <x:v>656.3891002869742</x:v>
      </x:c>
      <x:c r="I1807" s="27" t="n">
        <x:f>IF(AND(ISNUMBER(G1807),ISNUMBER(H1807),H1807&gt;0),G1807/H1807-1,"")</x:f>
        <x:v>0</x:v>
      </x:c>
      <x:c r="J1807" s="27" t="n">
        <x:f>IF(AND(ISNUMBER(G1807),F1807&gt;0),G1807/F1807-1,"")</x:f>
        <x:v>0</x:v>
      </x:c>
      <x:c r="K1807" s="19" t="str">
        <x:v>Exp_6/EXP055/results/seed560889375_Fixed_rank_10.json</x:v>
      </x:c>
    </x:row>
    <x:row r="1808" ht="15" hidden="0" customHeight="1">
      <x:c r="A1808" s="3" t="str">
        <x:v>EXP055</x:v>
      </x:c>
      <x:c r="B1808" s="3" t="str">
        <x:v>Exp. 6</x:v>
      </x:c>
      <x:c r="C1808" s="18" t="n">
        <x:v>560889375</x:v>
      </x:c>
      <x:c r="D1808" s="3" t="str">
        <x:v>Fixed rank 25</x:v>
      </x:c>
      <x:c r="E1808" s="18" t="n">
        <x:v>200</x:v>
      </x:c>
      <x:c r="F1808" s="21" t="n">
        <x:v>656.3891002869742</x:v>
      </x:c>
      <x:c r="G1808" s="21" t="n">
        <x:f>F1805</x:f>
        <x:v>656.3891002869742</x:v>
      </x:c>
      <x:c r="H1808" s="21" t="n">
        <x:f>F1810</x:f>
        <x:v>656.3891002869742</x:v>
      </x:c>
      <x:c r="I1808" s="27" t="n">
        <x:f>IF(AND(ISNUMBER(G1808),ISNUMBER(H1808),H1808&gt;0),G1808/H1808-1,"")</x:f>
        <x:v>0</x:v>
      </x:c>
      <x:c r="J1808" s="27" t="n">
        <x:f>IF(AND(ISNUMBER(G1808),F1808&gt;0),G1808/F1808-1,"")</x:f>
        <x:v>0</x:v>
      </x:c>
      <x:c r="K1808" s="19" t="str">
        <x:v>Exp_6/EXP055/results/seed560889375_Fixed_rank_25.json</x:v>
      </x:c>
    </x:row>
    <x:row r="1809" ht="15" hidden="0" customHeight="1">
      <x:c r="A1809" s="3" t="str">
        <x:v>EXP055</x:v>
      </x:c>
      <x:c r="B1809" s="3" t="str">
        <x:v>Exp. 6</x:v>
      </x:c>
      <x:c r="C1809" s="18" t="n">
        <x:v>560889375</x:v>
      </x:c>
      <x:c r="D1809" s="3" t="str">
        <x:v>Relative cutoff 1e-6</x:v>
      </x:c>
      <x:c r="E1809" s="18" t="n">
        <x:v>200</x:v>
      </x:c>
      <x:c r="F1809" s="21" t="n">
        <x:v>656.3891002869742</x:v>
      </x:c>
      <x:c r="G1809" s="21" t="n">
        <x:f>F1805</x:f>
        <x:v>656.3891002869742</x:v>
      </x:c>
      <x:c r="H1809" s="21" t="n">
        <x:f>F1810</x:f>
        <x:v>656.3891002869742</x:v>
      </x:c>
      <x:c r="I1809" s="27" t="n">
        <x:f>IF(AND(ISNUMBER(G1809),ISNUMBER(H1809),H1809&gt;0),G1809/H1809-1,"")</x:f>
        <x:v>0</x:v>
      </x:c>
      <x:c r="J1809" s="27" t="n">
        <x:f>IF(AND(ISNUMBER(G1809),F1809&gt;0),G1809/F1809-1,"")</x:f>
        <x:v>0</x:v>
      </x:c>
      <x:c r="K1809" s="19" t="str">
        <x:v>Exp_6/EXP055/results/seed560889375_Relative_cutoff_1e-6.json</x:v>
      </x:c>
    </x:row>
    <x:row r="1810" ht="15" hidden="0" customHeight="1">
      <x:c r="A1810" s="3" t="str">
        <x:v>EXP055</x:v>
      </x:c>
      <x:c r="B1810" s="3" t="str">
        <x:v>Exp. 6</x:v>
      </x:c>
      <x:c r="C1810" s="18" t="n">
        <x:v>560889375</x:v>
      </x:c>
      <x:c r="D1810" s="3" t="str">
        <x:v>Full</x:v>
      </x:c>
      <x:c r="E1810" s="18" t="n">
        <x:v>200</x:v>
      </x:c>
      <x:c r="F1810" s="21" t="n">
        <x:v>656.3891002869742</x:v>
      </x:c>
      <x:c r="G1810" s="21" t="n">
        <x:f>F1805</x:f>
        <x:v>656.3891002869742</x:v>
      </x:c>
      <x:c r="H1810" s="21" t="n">
        <x:f>F1810</x:f>
        <x:v>656.3891002869742</x:v>
      </x:c>
      <x:c r="I1810" s="27" t="n">
        <x:f>IF(AND(ISNUMBER(G1810),ISNUMBER(H1810),H1810&gt;0),G1810/H1810-1,"")</x:f>
        <x:v>0</x:v>
      </x:c>
      <x:c r="J1810" s="27" t="n">
        <x:f>IF(AND(ISNUMBER(G1810),F1810&gt;0),G1810/F1810-1,"")</x:f>
        <x:v>0</x:v>
      </x:c>
      <x:c r="K1810" s="19" t="str">
        <x:v>Exp_6/EXP055/results/seed560889375_Full.json</x:v>
      </x:c>
    </x:row>
    <x:row r="1811" ht="15" hidden="0" customHeight="1">
      <x:c r="A1811" s="3" t="str">
        <x:v>EXP055</x:v>
      </x:c>
      <x:c r="B1811" s="3" t="str">
        <x:v>Exp. 6</x:v>
      </x:c>
      <x:c r="C1811" s="18" t="n">
        <x:v>560889375</x:v>
      </x:c>
      <x:c r="D1811" s="3" t="str">
        <x:v>Relative cutoff 1e-2</x:v>
      </x:c>
      <x:c r="E1811" s="18" t="n">
        <x:v>200</x:v>
      </x:c>
      <x:c r="F1811" s="21" t="n">
        <x:v>646.2290814365234</x:v>
      </x:c>
      <x:c r="G1811" s="21" t="n">
        <x:f>F1805</x:f>
        <x:v>656.3891002869742</x:v>
      </x:c>
      <x:c r="H1811" s="21" t="n">
        <x:f>F1810</x:f>
        <x:v>656.3891002869742</x:v>
      </x:c>
      <x:c r="I1811" s="27" t="n">
        <x:f>IF(AND(ISNUMBER(G1811),ISNUMBER(H1811),H1811&gt;0),G1811/H1811-1,"")</x:f>
        <x:v>0</x:v>
      </x:c>
      <x:c r="J1811" s="27" t="n">
        <x:f>IF(AND(ISNUMBER(G1811),F1811&gt;0),G1811/F1811-1,"")</x:f>
        <x:v>0.015722008096363815</x:v>
      </x:c>
      <x:c r="K1811" s="19" t="str">
        <x:v>Exp_6/EXP055/results/seed560889375_Relative_cutoff_1e-2.json</x:v>
      </x:c>
    </x:row>
    <x:row r="1812" ht="15" hidden="0" customHeight="1">
      <x:c r="A1812" s="3" t="str">
        <x:v>EXP055</x:v>
      </x:c>
      <x:c r="B1812" s="3" t="str">
        <x:v>Exp. 6</x:v>
      </x:c>
      <x:c r="C1812" s="18" t="n">
        <x:v>560889375</x:v>
      </x:c>
      <x:c r="D1812" s="3" t="str">
        <x:v>Relative cutoff 1e-4</x:v>
      </x:c>
      <x:c r="E1812" s="18" t="n">
        <x:v>200</x:v>
      </x:c>
      <x:c r="F1812" s="21" t="n">
        <x:v>656.3891002869742</x:v>
      </x:c>
      <x:c r="G1812" s="21" t="n">
        <x:f>F1805</x:f>
        <x:v>656.3891002869742</x:v>
      </x:c>
      <x:c r="H1812" s="21" t="n">
        <x:f>F1810</x:f>
        <x:v>656.3891002869742</x:v>
      </x:c>
      <x:c r="I1812" s="27" t="n">
        <x:f>IF(AND(ISNUMBER(G1812),ISNUMBER(H1812),H1812&gt;0),G1812/H1812-1,"")</x:f>
        <x:v>0</x:v>
      </x:c>
      <x:c r="J1812" s="27" t="n">
        <x:f>IF(AND(ISNUMBER(G1812),F1812&gt;0),G1812/F1812-1,"")</x:f>
        <x:v>0</x:v>
      </x:c>
      <x:c r="K1812" s="19" t="str">
        <x:v>Exp_6/EXP055/results/seed560889375_Relative_cutoff_1e-4.json</x:v>
      </x:c>
    </x:row>
    <x:row r="1813" ht="15" hidden="0" customHeight="1">
      <x:c r="A1813" s="3" t="str">
        <x:v>EXP055</x:v>
      </x:c>
      <x:c r="B1813" s="3" t="str">
        <x:v>Exp. 6</x:v>
      </x:c>
      <x:c r="C1813" s="18" t="n">
        <x:v>666829030</x:v>
      </x:c>
      <x:c r="D1813" s="3" t="str">
        <x:v>BBP</x:v>
      </x:c>
      <x:c r="E1813" s="18" t="n">
        <x:v>200</x:v>
      </x:c>
      <x:c r="F1813" s="21" t="n">
        <x:v>555.3861662827265</x:v>
      </x:c>
      <x:c r="G1813" s="21" t="n">
        <x:f>F1813</x:f>
        <x:v>555.3861662827265</x:v>
      </x:c>
      <x:c r="H1813" s="21" t="n">
        <x:f>F1818</x:f>
        <x:v>543.2127689630357</x:v>
      </x:c>
      <x:c r="I1813" s="27" t="n">
        <x:f>IF(AND(ISNUMBER(G1813),ISNUMBER(H1813),H1813&gt;0),G1813/H1813-1,"")</x:f>
        <x:v>0.022409998466952796</x:v>
      </x:c>
      <x:c r="J1813" s="27" t="n">
        <x:f>IF(AND(ISNUMBER(G1813),F1813&gt;0),G1813/F1813-1,"")</x:f>
        <x:v>0</x:v>
      </x:c>
      <x:c r="K1813" s="19" t="str">
        <x:v>Exp_6/EXP055/results/seed666829030_BBP.json</x:v>
      </x:c>
    </x:row>
    <x:row r="1814" ht="15" hidden="0" customHeight="1">
      <x:c r="A1814" s="3" t="str">
        <x:v>EXP055</x:v>
      </x:c>
      <x:c r="B1814" s="3" t="str">
        <x:v>Exp. 6</x:v>
      </x:c>
      <x:c r="C1814" s="18" t="n">
        <x:v>666829030</x:v>
      </x:c>
      <x:c r="D1814" s="3" t="str">
        <x:v>Relative cutoff 1e-5</x:v>
      </x:c>
      <x:c r="E1814" s="18" t="n">
        <x:v>200</x:v>
      </x:c>
      <x:c r="F1814" s="21" t="n">
        <x:v>543.2127689630357</x:v>
      </x:c>
      <x:c r="G1814" s="21" t="n">
        <x:f>F1813</x:f>
        <x:v>555.3861662827265</x:v>
      </x:c>
      <x:c r="H1814" s="21" t="n">
        <x:f>F1818</x:f>
        <x:v>543.2127689630357</x:v>
      </x:c>
      <x:c r="I1814" s="27" t="n">
        <x:f>IF(AND(ISNUMBER(G1814),ISNUMBER(H1814),H1814&gt;0),G1814/H1814-1,"")</x:f>
        <x:v>0.022409998466952796</x:v>
      </x:c>
      <x:c r="J1814" s="27" t="n">
        <x:f>IF(AND(ISNUMBER(G1814),F1814&gt;0),G1814/F1814-1,"")</x:f>
        <x:v>0.022409998466952796</x:v>
      </x:c>
      <x:c r="K1814" s="19" t="str">
        <x:v>Exp_6/EXP055/results/seed666829030_Relative_cutoff_1e-5.json</x:v>
      </x:c>
    </x:row>
    <x:row r="1815" ht="15" hidden="0" customHeight="1">
      <x:c r="A1815" s="3" t="str">
        <x:v>EXP055</x:v>
      </x:c>
      <x:c r="B1815" s="3" t="str">
        <x:v>Exp. 6</x:v>
      </x:c>
      <x:c r="C1815" s="18" t="n">
        <x:v>666829030</x:v>
      </x:c>
      <x:c r="D1815" s="3" t="str">
        <x:v>Fixed rank 10</x:v>
      </x:c>
      <x:c r="E1815" s="18" t="n">
        <x:v>200</x:v>
      </x:c>
      <x:c r="F1815" s="21" t="n">
        <x:v>550.6970069365187</x:v>
      </x:c>
      <x:c r="G1815" s="21" t="n">
        <x:f>F1813</x:f>
        <x:v>555.3861662827265</x:v>
      </x:c>
      <x:c r="H1815" s="21" t="n">
        <x:f>F1818</x:f>
        <x:v>543.2127689630357</x:v>
      </x:c>
      <x:c r="I1815" s="27" t="n">
        <x:f>IF(AND(ISNUMBER(G1815),ISNUMBER(H1815),H1815&gt;0),G1815/H1815-1,"")</x:f>
        <x:v>0.022409998466952796</x:v>
      </x:c>
      <x:c r="J1815" s="27" t="n">
        <x:f>IF(AND(ISNUMBER(G1815),F1815&gt;0),G1815/F1815-1,"")</x:f>
        <x:v>0.008514953390237556</x:v>
      </x:c>
      <x:c r="K1815" s="19" t="str">
        <x:v>Exp_6/EXP055/results/seed666829030_Fixed_rank_10.json</x:v>
      </x:c>
    </x:row>
    <x:row r="1816" ht="15" hidden="0" customHeight="1">
      <x:c r="A1816" s="3" t="str">
        <x:v>EXP055</x:v>
      </x:c>
      <x:c r="B1816" s="3" t="str">
        <x:v>Exp. 6</x:v>
      </x:c>
      <x:c r="C1816" s="18" t="n">
        <x:v>666829030</x:v>
      </x:c>
      <x:c r="D1816" s="3" t="str">
        <x:v>Fixed rank 25</x:v>
      </x:c>
      <x:c r="E1816" s="18" t="n">
        <x:v>200</x:v>
      </x:c>
      <x:c r="F1816" s="21" t="n">
        <x:v>543.2127689630357</x:v>
      </x:c>
      <x:c r="G1816" s="21" t="n">
        <x:f>F1813</x:f>
        <x:v>555.3861662827265</x:v>
      </x:c>
      <x:c r="H1816" s="21" t="n">
        <x:f>F1818</x:f>
        <x:v>543.2127689630357</x:v>
      </x:c>
      <x:c r="I1816" s="27" t="n">
        <x:f>IF(AND(ISNUMBER(G1816),ISNUMBER(H1816),H1816&gt;0),G1816/H1816-1,"")</x:f>
        <x:v>0.022409998466952796</x:v>
      </x:c>
      <x:c r="J1816" s="27" t="n">
        <x:f>IF(AND(ISNUMBER(G1816),F1816&gt;0),G1816/F1816-1,"")</x:f>
        <x:v>0.022409998466952796</x:v>
      </x:c>
      <x:c r="K1816" s="19" t="str">
        <x:v>Exp_6/EXP055/results/seed666829030_Fixed_rank_25.json</x:v>
      </x:c>
    </x:row>
    <x:row r="1817" ht="15" hidden="0" customHeight="1">
      <x:c r="A1817" s="3" t="str">
        <x:v>EXP055</x:v>
      </x:c>
      <x:c r="B1817" s="3" t="str">
        <x:v>Exp. 6</x:v>
      </x:c>
      <x:c r="C1817" s="18" t="n">
        <x:v>666829030</x:v>
      </x:c>
      <x:c r="D1817" s="3" t="str">
        <x:v>Relative cutoff 1e-6</x:v>
      </x:c>
      <x:c r="E1817" s="18" t="n">
        <x:v>200</x:v>
      </x:c>
      <x:c r="F1817" s="21" t="n">
        <x:v>543.2127689630357</x:v>
      </x:c>
      <x:c r="G1817" s="21" t="n">
        <x:f>F1813</x:f>
        <x:v>555.3861662827265</x:v>
      </x:c>
      <x:c r="H1817" s="21" t="n">
        <x:f>F1818</x:f>
        <x:v>543.2127689630357</x:v>
      </x:c>
      <x:c r="I1817" s="27" t="n">
        <x:f>IF(AND(ISNUMBER(G1817),ISNUMBER(H1817),H1817&gt;0),G1817/H1817-1,"")</x:f>
        <x:v>0.022409998466952796</x:v>
      </x:c>
      <x:c r="J1817" s="27" t="n">
        <x:f>IF(AND(ISNUMBER(G1817),F1817&gt;0),G1817/F1817-1,"")</x:f>
        <x:v>0.022409998466952796</x:v>
      </x:c>
      <x:c r="K1817" s="19" t="str">
        <x:v>Exp_6/EXP055/results/seed666829030_Relative_cutoff_1e-6.json</x:v>
      </x:c>
    </x:row>
    <x:row r="1818" ht="15" hidden="0" customHeight="1">
      <x:c r="A1818" s="3" t="str">
        <x:v>EXP055</x:v>
      </x:c>
      <x:c r="B1818" s="3" t="str">
        <x:v>Exp. 6</x:v>
      </x:c>
      <x:c r="C1818" s="18" t="n">
        <x:v>666829030</x:v>
      </x:c>
      <x:c r="D1818" s="3" t="str">
        <x:v>Full</x:v>
      </x:c>
      <x:c r="E1818" s="18" t="n">
        <x:v>200</x:v>
      </x:c>
      <x:c r="F1818" s="21" t="n">
        <x:v>543.2127689630357</x:v>
      </x:c>
      <x:c r="G1818" s="21" t="n">
        <x:f>F1813</x:f>
        <x:v>555.3861662827265</x:v>
      </x:c>
      <x:c r="H1818" s="21" t="n">
        <x:f>F1818</x:f>
        <x:v>543.2127689630357</x:v>
      </x:c>
      <x:c r="I1818" s="27" t="n">
        <x:f>IF(AND(ISNUMBER(G1818),ISNUMBER(H1818),H1818&gt;0),G1818/H1818-1,"")</x:f>
        <x:v>0.022409998466952796</x:v>
      </x:c>
      <x:c r="J1818" s="27" t="n">
        <x:f>IF(AND(ISNUMBER(G1818),F1818&gt;0),G1818/F1818-1,"")</x:f>
        <x:v>0.022409998466952796</x:v>
      </x:c>
      <x:c r="K1818" s="19" t="str">
        <x:v>Exp_6/EXP055/results/seed666829030_Full.json</x:v>
      </x:c>
    </x:row>
    <x:row r="1819" ht="15" hidden="0" customHeight="1">
      <x:c r="A1819" s="3" t="str">
        <x:v>EXP055</x:v>
      </x:c>
      <x:c r="B1819" s="3" t="str">
        <x:v>Exp. 6</x:v>
      </x:c>
      <x:c r="C1819" s="18" t="n">
        <x:v>666829030</x:v>
      </x:c>
      <x:c r="D1819" s="3" t="str">
        <x:v>Relative cutoff 1e-2</x:v>
      </x:c>
      <x:c r="E1819" s="18" t="n">
        <x:v>200</x:v>
      </x:c>
      <x:c r="F1819" s="21" t="n">
        <x:v>565.7580237729015</x:v>
      </x:c>
      <x:c r="G1819" s="21" t="n">
        <x:f>F1813</x:f>
        <x:v>555.3861662827265</x:v>
      </x:c>
      <x:c r="H1819" s="21" t="n">
        <x:f>F1818</x:f>
        <x:v>543.2127689630357</x:v>
      </x:c>
      <x:c r="I1819" s="27" t="n">
        <x:f>IF(AND(ISNUMBER(G1819),ISNUMBER(H1819),H1819&gt;0),G1819/H1819-1,"")</x:f>
        <x:v>0.022409998466952796</x:v>
      </x:c>
      <x:c r="J1819" s="27" t="n">
        <x:f>IF(AND(ISNUMBER(G1819),F1819&gt;0),G1819/F1819-1,"")</x:f>
        <x:v>-0.018332674136917415</x:v>
      </x:c>
      <x:c r="K1819" s="19" t="str">
        <x:v>Exp_6/EXP055/results/seed666829030_Relative_cutoff_1e-2.json</x:v>
      </x:c>
    </x:row>
    <x:row r="1820" ht="15" hidden="0" customHeight="1">
      <x:c r="A1820" s="3" t="str">
        <x:v>EXP055</x:v>
      </x:c>
      <x:c r="B1820" s="3" t="str">
        <x:v>Exp. 6</x:v>
      </x:c>
      <x:c r="C1820" s="18" t="n">
        <x:v>666829030</x:v>
      </x:c>
      <x:c r="D1820" s="3" t="str">
        <x:v>Relative cutoff 1e-4</x:v>
      </x:c>
      <x:c r="E1820" s="18" t="n">
        <x:v>200</x:v>
      </x:c>
      <x:c r="F1820" s="21" t="n">
        <x:v>550.6970069365187</x:v>
      </x:c>
      <x:c r="G1820" s="21" t="n">
        <x:f>F1813</x:f>
        <x:v>555.3861662827265</x:v>
      </x:c>
      <x:c r="H1820" s="21" t="n">
        <x:f>F1818</x:f>
        <x:v>543.2127689630357</x:v>
      </x:c>
      <x:c r="I1820" s="27" t="n">
        <x:f>IF(AND(ISNUMBER(G1820),ISNUMBER(H1820),H1820&gt;0),G1820/H1820-1,"")</x:f>
        <x:v>0.022409998466952796</x:v>
      </x:c>
      <x:c r="J1820" s="27" t="n">
        <x:f>IF(AND(ISNUMBER(G1820),F1820&gt;0),G1820/F1820-1,"")</x:f>
        <x:v>0.008514953390237556</x:v>
      </x:c>
      <x:c r="K1820" s="19" t="str">
        <x:v>Exp_6/EXP055/results/seed666829030_Relative_cutoff_1e-4.json</x:v>
      </x:c>
    </x:row>
    <x:row r="1821" ht="15" hidden="0" customHeight="1">
      <x:c r="A1821" s="3" t="str">
        <x:v>EXP055</x:v>
      </x:c>
      <x:c r="B1821" s="3" t="str">
        <x:v>Exp. 6</x:v>
      </x:c>
      <x:c r="C1821" s="18" t="n">
        <x:v>748076223</x:v>
      </x:c>
      <x:c r="D1821" s="3" t="str">
        <x:v>BBP</x:v>
      </x:c>
      <x:c r="E1821" s="18" t="n">
        <x:v>200</x:v>
      </x:c>
      <x:c r="F1821" s="21" t="n">
        <x:v>479.74006719093296</x:v>
      </x:c>
      <x:c r="G1821" s="21" t="n">
        <x:f>F1821</x:f>
        <x:v>479.74006719093296</x:v>
      </x:c>
      <x:c r="H1821" s="21" t="n">
        <x:f>F1826</x:f>
        <x:v>479.74006719093296</x:v>
      </x:c>
      <x:c r="I1821" s="27" t="n">
        <x:f>IF(AND(ISNUMBER(G1821),ISNUMBER(H1821),H1821&gt;0),G1821/H1821-1,"")</x:f>
        <x:v>0</x:v>
      </x:c>
      <x:c r="J1821" s="27" t="n">
        <x:f>IF(AND(ISNUMBER(G1821),F1821&gt;0),G1821/F1821-1,"")</x:f>
        <x:v>0</x:v>
      </x:c>
      <x:c r="K1821" s="19" t="str">
        <x:v>Exp_6/EXP055/results/seed748076223_BBP.json</x:v>
      </x:c>
    </x:row>
    <x:row r="1822" ht="15" hidden="0" customHeight="1">
      <x:c r="A1822" s="3" t="str">
        <x:v>EXP055</x:v>
      </x:c>
      <x:c r="B1822" s="3" t="str">
        <x:v>Exp. 6</x:v>
      </x:c>
      <x:c r="C1822" s="18" t="n">
        <x:v>748076223</x:v>
      </x:c>
      <x:c r="D1822" s="3" t="str">
        <x:v>Relative cutoff 1e-5</x:v>
      </x:c>
      <x:c r="E1822" s="18" t="n">
        <x:v>200</x:v>
      </x:c>
      <x:c r="F1822" s="21" t="n">
        <x:v>479.74006719093296</x:v>
      </x:c>
      <x:c r="G1822" s="21" t="n">
        <x:f>F1821</x:f>
        <x:v>479.74006719093296</x:v>
      </x:c>
      <x:c r="H1822" s="21" t="n">
        <x:f>F1826</x:f>
        <x:v>479.74006719093296</x:v>
      </x:c>
      <x:c r="I1822" s="27" t="n">
        <x:f>IF(AND(ISNUMBER(G1822),ISNUMBER(H1822),H1822&gt;0),G1822/H1822-1,"")</x:f>
        <x:v>0</x:v>
      </x:c>
      <x:c r="J1822" s="27" t="n">
        <x:f>IF(AND(ISNUMBER(G1822),F1822&gt;0),G1822/F1822-1,"")</x:f>
        <x:v>0</x:v>
      </x:c>
      <x:c r="K1822" s="19" t="str">
        <x:v>Exp_6/EXP055/results/seed748076223_Relative_cutoff_1e-5.json</x:v>
      </x:c>
    </x:row>
    <x:row r="1823" ht="15" hidden="0" customHeight="1">
      <x:c r="A1823" s="3" t="str">
        <x:v>EXP055</x:v>
      </x:c>
      <x:c r="B1823" s="3" t="str">
        <x:v>Exp. 6</x:v>
      </x:c>
      <x:c r="C1823" s="18" t="n">
        <x:v>748076223</x:v>
      </x:c>
      <x:c r="D1823" s="3" t="str">
        <x:v>Fixed rank 10</x:v>
      </x:c>
      <x:c r="E1823" s="18" t="n">
        <x:v>200</x:v>
      </x:c>
      <x:c r="F1823" s="21" t="n">
        <x:v>493.5219491663457</x:v>
      </x:c>
      <x:c r="G1823" s="21" t="n">
        <x:f>F1821</x:f>
        <x:v>479.74006719093296</x:v>
      </x:c>
      <x:c r="H1823" s="21" t="n">
        <x:f>F1826</x:f>
        <x:v>479.74006719093296</x:v>
      </x:c>
      <x:c r="I1823" s="27" t="n">
        <x:f>IF(AND(ISNUMBER(G1823),ISNUMBER(H1823),H1823&gt;0),G1823/H1823-1,"")</x:f>
        <x:v>0</x:v>
      </x:c>
      <x:c r="J1823" s="27" t="n">
        <x:f>IF(AND(ISNUMBER(G1823),F1823&gt;0),G1823/F1823-1,"")</x:f>
        <x:v>-0.027925570481096118</x:v>
      </x:c>
      <x:c r="K1823" s="19" t="str">
        <x:v>Exp_6/EXP055/results/seed748076223_Fixed_rank_10.json</x:v>
      </x:c>
    </x:row>
    <x:row r="1824" ht="15" hidden="0" customHeight="1">
      <x:c r="A1824" s="3" t="str">
        <x:v>EXP055</x:v>
      </x:c>
      <x:c r="B1824" s="3" t="str">
        <x:v>Exp. 6</x:v>
      </x:c>
      <x:c r="C1824" s="18" t="n">
        <x:v>748076223</x:v>
      </x:c>
      <x:c r="D1824" s="3" t="str">
        <x:v>Fixed rank 25</x:v>
      </x:c>
      <x:c r="E1824" s="18" t="n">
        <x:v>200</x:v>
      </x:c>
      <x:c r="F1824" s="21" t="n">
        <x:v>479.74006719093296</x:v>
      </x:c>
      <x:c r="G1824" s="21" t="n">
        <x:f>F1821</x:f>
        <x:v>479.74006719093296</x:v>
      </x:c>
      <x:c r="H1824" s="21" t="n">
        <x:f>F1826</x:f>
        <x:v>479.74006719093296</x:v>
      </x:c>
      <x:c r="I1824" s="27" t="n">
        <x:f>IF(AND(ISNUMBER(G1824),ISNUMBER(H1824),H1824&gt;0),G1824/H1824-1,"")</x:f>
        <x:v>0</x:v>
      </x:c>
      <x:c r="J1824" s="27" t="n">
        <x:f>IF(AND(ISNUMBER(G1824),F1824&gt;0),G1824/F1824-1,"")</x:f>
        <x:v>0</x:v>
      </x:c>
      <x:c r="K1824" s="19" t="str">
        <x:v>Exp_6/EXP055/results/seed748076223_Fixed_rank_25.json</x:v>
      </x:c>
    </x:row>
    <x:row r="1825" ht="15" hidden="0" customHeight="1">
      <x:c r="A1825" s="3" t="str">
        <x:v>EXP055</x:v>
      </x:c>
      <x:c r="B1825" s="3" t="str">
        <x:v>Exp. 6</x:v>
      </x:c>
      <x:c r="C1825" s="18" t="n">
        <x:v>748076223</x:v>
      </x:c>
      <x:c r="D1825" s="3" t="str">
        <x:v>Relative cutoff 1e-6</x:v>
      </x:c>
      <x:c r="E1825" s="18" t="n">
        <x:v>200</x:v>
      </x:c>
      <x:c r="F1825" s="21" t="n">
        <x:v>479.74006719093296</x:v>
      </x:c>
      <x:c r="G1825" s="21" t="n">
        <x:f>F1821</x:f>
        <x:v>479.74006719093296</x:v>
      </x:c>
      <x:c r="H1825" s="21" t="n">
        <x:f>F1826</x:f>
        <x:v>479.74006719093296</x:v>
      </x:c>
      <x:c r="I1825" s="27" t="n">
        <x:f>IF(AND(ISNUMBER(G1825),ISNUMBER(H1825),H1825&gt;0),G1825/H1825-1,"")</x:f>
        <x:v>0</x:v>
      </x:c>
      <x:c r="J1825" s="27" t="n">
        <x:f>IF(AND(ISNUMBER(G1825),F1825&gt;0),G1825/F1825-1,"")</x:f>
        <x:v>0</x:v>
      </x:c>
      <x:c r="K1825" s="19" t="str">
        <x:v>Exp_6/EXP055/results/seed748076223_Relative_cutoff_1e-6.json</x:v>
      </x:c>
    </x:row>
    <x:row r="1826" ht="15" hidden="0" customHeight="1">
      <x:c r="A1826" s="3" t="str">
        <x:v>EXP055</x:v>
      </x:c>
      <x:c r="B1826" s="3" t="str">
        <x:v>Exp. 6</x:v>
      </x:c>
      <x:c r="C1826" s="18" t="n">
        <x:v>748076223</x:v>
      </x:c>
      <x:c r="D1826" s="3" t="str">
        <x:v>Full</x:v>
      </x:c>
      <x:c r="E1826" s="18" t="n">
        <x:v>200</x:v>
      </x:c>
      <x:c r="F1826" s="21" t="n">
        <x:v>479.74006719093296</x:v>
      </x:c>
      <x:c r="G1826" s="21" t="n">
        <x:f>F1821</x:f>
        <x:v>479.74006719093296</x:v>
      </x:c>
      <x:c r="H1826" s="21" t="n">
        <x:f>F1826</x:f>
        <x:v>479.74006719093296</x:v>
      </x:c>
      <x:c r="I1826" s="27" t="n">
        <x:f>IF(AND(ISNUMBER(G1826),ISNUMBER(H1826),H1826&gt;0),G1826/H1826-1,"")</x:f>
        <x:v>0</x:v>
      </x:c>
      <x:c r="J1826" s="27" t="n">
        <x:f>IF(AND(ISNUMBER(G1826),F1826&gt;0),G1826/F1826-1,"")</x:f>
        <x:v>0</x:v>
      </x:c>
      <x:c r="K1826" s="19" t="str">
        <x:v>Exp_6/EXP055/results/seed748076223_Full.json</x:v>
      </x:c>
    </x:row>
    <x:row r="1827" ht="15" hidden="0" customHeight="1">
      <x:c r="A1827" s="3" t="str">
        <x:v>EXP055</x:v>
      </x:c>
      <x:c r="B1827" s="3" t="str">
        <x:v>Exp. 6</x:v>
      </x:c>
      <x:c r="C1827" s="18" t="n">
        <x:v>748076223</x:v>
      </x:c>
      <x:c r="D1827" s="3" t="str">
        <x:v>Relative cutoff 1e-2</x:v>
      </x:c>
      <x:c r="E1827" s="18" t="n">
        <x:v>200</x:v>
      </x:c>
      <x:c r="F1827" s="21" t="n">
        <x:v>505.55137779774094</x:v>
      </x:c>
      <x:c r="G1827" s="21" t="n">
        <x:f>F1821</x:f>
        <x:v>479.74006719093296</x:v>
      </x:c>
      <x:c r="H1827" s="21" t="n">
        <x:f>F1826</x:f>
        <x:v>479.74006719093296</x:v>
      </x:c>
      <x:c r="I1827" s="27" t="n">
        <x:f>IF(AND(ISNUMBER(G1827),ISNUMBER(H1827),H1827&gt;0),G1827/H1827-1,"")</x:f>
        <x:v>0</x:v>
      </x:c>
      <x:c r="J1827" s="27" t="n">
        <x:f>IF(AND(ISNUMBER(G1827),F1827&gt;0),G1827/F1827-1,"")</x:f>
        <x:v>-0.05105576157115033</x:v>
      </x:c>
      <x:c r="K1827" s="19" t="str">
        <x:v>Exp_6/EXP055/results/seed748076223_Relative_cutoff_1e-2.json</x:v>
      </x:c>
    </x:row>
    <x:row r="1828" ht="15" hidden="0" customHeight="1">
      <x:c r="A1828" s="3" t="str">
        <x:v>EXP055</x:v>
      </x:c>
      <x:c r="B1828" s="3" t="str">
        <x:v>Exp. 6</x:v>
      </x:c>
      <x:c r="C1828" s="18" t="n">
        <x:v>748076223</x:v>
      </x:c>
      <x:c r="D1828" s="3" t="str">
        <x:v>Relative cutoff 1e-4</x:v>
      </x:c>
      <x:c r="E1828" s="18" t="n">
        <x:v>200</x:v>
      </x:c>
      <x:c r="F1828" s="21" t="n">
        <x:v>493.5219491663457</x:v>
      </x:c>
      <x:c r="G1828" s="21" t="n">
        <x:f>F1821</x:f>
        <x:v>479.74006719093296</x:v>
      </x:c>
      <x:c r="H1828" s="21" t="n">
        <x:f>F1826</x:f>
        <x:v>479.74006719093296</x:v>
      </x:c>
      <x:c r="I1828" s="27" t="n">
        <x:f>IF(AND(ISNUMBER(G1828),ISNUMBER(H1828),H1828&gt;0),G1828/H1828-1,"")</x:f>
        <x:v>0</x:v>
      </x:c>
      <x:c r="J1828" s="27" t="n">
        <x:f>IF(AND(ISNUMBER(G1828),F1828&gt;0),G1828/F1828-1,"")</x:f>
        <x:v>-0.027925570481096118</x:v>
      </x:c>
      <x:c r="K1828" s="19" t="str">
        <x:v>Exp_6/EXP055/results/seed748076223_Relative_cutoff_1e-4.json</x:v>
      </x:c>
    </x:row>
    <x:row r="1829" ht="15" hidden="0" customHeight="1">
      <x:c r="A1829" s="3" t="str">
        <x:v>EXP055</x:v>
      </x:c>
      <x:c r="B1829" s="3" t="str">
        <x:v>Exp. 6</x:v>
      </x:c>
      <x:c r="C1829" s="18" t="n">
        <x:v>806884711</x:v>
      </x:c>
      <x:c r="D1829" s="3" t="str">
        <x:v>BBP</x:v>
      </x:c>
      <x:c r="E1829" s="18" t="n">
        <x:v>200</x:v>
      </x:c>
      <x:c r="F1829" s="21" t="n">
        <x:v>550.3413750082742</x:v>
      </x:c>
      <x:c r="G1829" s="21" t="n">
        <x:f>F1829</x:f>
        <x:v>550.3413750082742</x:v>
      </x:c>
      <x:c r="H1829" s="21" t="n">
        <x:f>F1834</x:f>
        <x:v>550.3413750082742</x:v>
      </x:c>
      <x:c r="I1829" s="27" t="n">
        <x:f>IF(AND(ISNUMBER(G1829),ISNUMBER(H1829),H1829&gt;0),G1829/H1829-1,"")</x:f>
        <x:v>0</x:v>
      </x:c>
      <x:c r="J1829" s="27" t="n">
        <x:f>IF(AND(ISNUMBER(G1829),F1829&gt;0),G1829/F1829-1,"")</x:f>
        <x:v>0</x:v>
      </x:c>
      <x:c r="K1829" s="19" t="str">
        <x:v>Exp_6/EXP055/results/seed806884711_BBP.json</x:v>
      </x:c>
    </x:row>
    <x:row r="1830" ht="15" hidden="0" customHeight="1">
      <x:c r="A1830" s="3" t="str">
        <x:v>EXP055</x:v>
      </x:c>
      <x:c r="B1830" s="3" t="str">
        <x:v>Exp. 6</x:v>
      </x:c>
      <x:c r="C1830" s="18" t="n">
        <x:v>806884711</x:v>
      </x:c>
      <x:c r="D1830" s="3" t="str">
        <x:v>Relative cutoff 1e-5</x:v>
      </x:c>
      <x:c r="E1830" s="18" t="n">
        <x:v>200</x:v>
      </x:c>
      <x:c r="F1830" s="21" t="n">
        <x:v>550.3413750082742</x:v>
      </x:c>
      <x:c r="G1830" s="21" t="n">
        <x:f>F1829</x:f>
        <x:v>550.3413750082742</x:v>
      </x:c>
      <x:c r="H1830" s="21" t="n">
        <x:f>F1834</x:f>
        <x:v>550.3413750082742</x:v>
      </x:c>
      <x:c r="I1830" s="27" t="n">
        <x:f>IF(AND(ISNUMBER(G1830),ISNUMBER(H1830),H1830&gt;0),G1830/H1830-1,"")</x:f>
        <x:v>0</x:v>
      </x:c>
      <x:c r="J1830" s="27" t="n">
        <x:f>IF(AND(ISNUMBER(G1830),F1830&gt;0),G1830/F1830-1,"")</x:f>
        <x:v>0</x:v>
      </x:c>
      <x:c r="K1830" s="19" t="str">
        <x:v>Exp_6/EXP055/results/seed806884711_Relative_cutoff_1e-5.json</x:v>
      </x:c>
    </x:row>
    <x:row r="1831" ht="15" hidden="0" customHeight="1">
      <x:c r="A1831" s="3" t="str">
        <x:v>EXP055</x:v>
      </x:c>
      <x:c r="B1831" s="3" t="str">
        <x:v>Exp. 6</x:v>
      </x:c>
      <x:c r="C1831" s="18" t="n">
        <x:v>806884711</x:v>
      </x:c>
      <x:c r="D1831" s="3" t="str">
        <x:v>Fixed rank 10</x:v>
      </x:c>
      <x:c r="E1831" s="18" t="n">
        <x:v>200</x:v>
      </x:c>
      <x:c r="F1831" s="21" t="n">
        <x:v>536.8758307512775</x:v>
      </x:c>
      <x:c r="G1831" s="21" t="n">
        <x:f>F1829</x:f>
        <x:v>550.3413750082742</x:v>
      </x:c>
      <x:c r="H1831" s="21" t="n">
        <x:f>F1834</x:f>
        <x:v>550.3413750082742</x:v>
      </x:c>
      <x:c r="I1831" s="27" t="n">
        <x:f>IF(AND(ISNUMBER(G1831),ISNUMBER(H1831),H1831&gt;0),G1831/H1831-1,"")</x:f>
        <x:v>0</x:v>
      </x:c>
      <x:c r="J1831" s="27" t="n">
        <x:f>IF(AND(ISNUMBER(G1831),F1831&gt;0),G1831/F1831-1,"")</x:f>
        <x:v>0.025081300899974845</x:v>
      </x:c>
      <x:c r="K1831" s="19" t="str">
        <x:v>Exp_6/EXP055/results/seed806884711_Fixed_rank_10.json</x:v>
      </x:c>
    </x:row>
    <x:row r="1832" ht="15" hidden="0" customHeight="1">
      <x:c r="A1832" s="3" t="str">
        <x:v>EXP055</x:v>
      </x:c>
      <x:c r="B1832" s="3" t="str">
        <x:v>Exp. 6</x:v>
      </x:c>
      <x:c r="C1832" s="18" t="n">
        <x:v>806884711</x:v>
      </x:c>
      <x:c r="D1832" s="3" t="str">
        <x:v>Fixed rank 25</x:v>
      </x:c>
      <x:c r="E1832" s="18" t="n">
        <x:v>200</x:v>
      </x:c>
      <x:c r="F1832" s="21" t="n">
        <x:v>550.3413750082742</x:v>
      </x:c>
      <x:c r="G1832" s="21" t="n">
        <x:f>F1829</x:f>
        <x:v>550.3413750082742</x:v>
      </x:c>
      <x:c r="H1832" s="21" t="n">
        <x:f>F1834</x:f>
        <x:v>550.3413750082742</x:v>
      </x:c>
      <x:c r="I1832" s="27" t="n">
        <x:f>IF(AND(ISNUMBER(G1832),ISNUMBER(H1832),H1832&gt;0),G1832/H1832-1,"")</x:f>
        <x:v>0</x:v>
      </x:c>
      <x:c r="J1832" s="27" t="n">
        <x:f>IF(AND(ISNUMBER(G1832),F1832&gt;0),G1832/F1832-1,"")</x:f>
        <x:v>0</x:v>
      </x:c>
      <x:c r="K1832" s="19" t="str">
        <x:v>Exp_6/EXP055/results/seed806884711_Fixed_rank_25.json</x:v>
      </x:c>
    </x:row>
    <x:row r="1833" ht="15" hidden="0" customHeight="1">
      <x:c r="A1833" s="3" t="str">
        <x:v>EXP055</x:v>
      </x:c>
      <x:c r="B1833" s="3" t="str">
        <x:v>Exp. 6</x:v>
      </x:c>
      <x:c r="C1833" s="18" t="n">
        <x:v>806884711</x:v>
      </x:c>
      <x:c r="D1833" s="3" t="str">
        <x:v>Relative cutoff 1e-6</x:v>
      </x:c>
      <x:c r="E1833" s="18" t="n">
        <x:v>200</x:v>
      </x:c>
      <x:c r="F1833" s="21" t="n">
        <x:v>550.3413750082742</x:v>
      </x:c>
      <x:c r="G1833" s="21" t="n">
        <x:f>F1829</x:f>
        <x:v>550.3413750082742</x:v>
      </x:c>
      <x:c r="H1833" s="21" t="n">
        <x:f>F1834</x:f>
        <x:v>550.3413750082742</x:v>
      </x:c>
      <x:c r="I1833" s="27" t="n">
        <x:f>IF(AND(ISNUMBER(G1833),ISNUMBER(H1833),H1833&gt;0),G1833/H1833-1,"")</x:f>
        <x:v>0</x:v>
      </x:c>
      <x:c r="J1833" s="27" t="n">
        <x:f>IF(AND(ISNUMBER(G1833),F1833&gt;0),G1833/F1833-1,"")</x:f>
        <x:v>0</x:v>
      </x:c>
      <x:c r="K1833" s="19" t="str">
        <x:v>Exp_6/EXP055/results/seed806884711_Relative_cutoff_1e-6.json</x:v>
      </x:c>
    </x:row>
    <x:row r="1834" ht="15" hidden="0" customHeight="1">
      <x:c r="A1834" s="3" t="str">
        <x:v>EXP055</x:v>
      </x:c>
      <x:c r="B1834" s="3" t="str">
        <x:v>Exp. 6</x:v>
      </x:c>
      <x:c r="C1834" s="18" t="n">
        <x:v>806884711</x:v>
      </x:c>
      <x:c r="D1834" s="3" t="str">
        <x:v>Full</x:v>
      </x:c>
      <x:c r="E1834" s="18" t="n">
        <x:v>200</x:v>
      </x:c>
      <x:c r="F1834" s="21" t="n">
        <x:v>550.3413750082742</x:v>
      </x:c>
      <x:c r="G1834" s="21" t="n">
        <x:f>F1829</x:f>
        <x:v>550.3413750082742</x:v>
      </x:c>
      <x:c r="H1834" s="21" t="n">
        <x:f>F1834</x:f>
        <x:v>550.3413750082742</x:v>
      </x:c>
      <x:c r="I1834" s="27" t="n">
        <x:f>IF(AND(ISNUMBER(G1834),ISNUMBER(H1834),H1834&gt;0),G1834/H1834-1,"")</x:f>
        <x:v>0</x:v>
      </x:c>
      <x:c r="J1834" s="27" t="n">
        <x:f>IF(AND(ISNUMBER(G1834),F1834&gt;0),G1834/F1834-1,"")</x:f>
        <x:v>0</x:v>
      </x:c>
      <x:c r="K1834" s="19" t="str">
        <x:v>Exp_6/EXP055/results/seed806884711_Full.json</x:v>
      </x:c>
    </x:row>
    <x:row r="1835" ht="15" hidden="0" customHeight="1">
      <x:c r="A1835" s="3" t="str">
        <x:v>EXP055</x:v>
      </x:c>
      <x:c r="B1835" s="3" t="str">
        <x:v>Exp. 6</x:v>
      </x:c>
      <x:c r="C1835" s="18" t="n">
        <x:v>806884711</x:v>
      </x:c>
      <x:c r="D1835" s="3" t="str">
        <x:v>Relative cutoff 1e-2</x:v>
      </x:c>
      <x:c r="E1835" s="18" t="n">
        <x:v>200</x:v>
      </x:c>
      <x:c r="F1835" s="21" t="n">
        <x:v>538.6437068625237</x:v>
      </x:c>
      <x:c r="G1835" s="21" t="n">
        <x:f>F1829</x:f>
        <x:v>550.3413750082742</x:v>
      </x:c>
      <x:c r="H1835" s="21" t="n">
        <x:f>F1834</x:f>
        <x:v>550.3413750082742</x:v>
      </x:c>
      <x:c r="I1835" s="27" t="n">
        <x:f>IF(AND(ISNUMBER(G1835),ISNUMBER(H1835),H1835&gt;0),G1835/H1835-1,"")</x:f>
        <x:v>0</x:v>
      </x:c>
      <x:c r="J1835" s="27" t="n">
        <x:f>IF(AND(ISNUMBER(G1835),F1835&gt;0),G1835/F1835-1,"")</x:f>
        <x:v>0.02171689374018082</x:v>
      </x:c>
      <x:c r="K1835" s="19" t="str">
        <x:v>Exp_6/EXP055/results/seed806884711_Relative_cutoff_1e-2.json</x:v>
      </x:c>
    </x:row>
    <x:row r="1836" ht="15" hidden="0" customHeight="1">
      <x:c r="A1836" s="3" t="str">
        <x:v>EXP055</x:v>
      </x:c>
      <x:c r="B1836" s="3" t="str">
        <x:v>Exp. 6</x:v>
      </x:c>
      <x:c r="C1836" s="18" t="n">
        <x:v>806884711</x:v>
      </x:c>
      <x:c r="D1836" s="3" t="str">
        <x:v>Relative cutoff 1e-4</x:v>
      </x:c>
      <x:c r="E1836" s="18" t="n">
        <x:v>200</x:v>
      </x:c>
      <x:c r="F1836" s="21" t="n">
        <x:v>536.2606590457591</x:v>
      </x:c>
      <x:c r="G1836" s="21" t="n">
        <x:f>F1829</x:f>
        <x:v>550.3413750082742</x:v>
      </x:c>
      <x:c r="H1836" s="21" t="n">
        <x:f>F1834</x:f>
        <x:v>550.3413750082742</x:v>
      </x:c>
      <x:c r="I1836" s="27" t="n">
        <x:f>IF(AND(ISNUMBER(G1836),ISNUMBER(H1836),H1836&gt;0),G1836/H1836-1,"")</x:f>
        <x:v>0</x:v>
      </x:c>
      <x:c r="J1836" s="27" t="n">
        <x:f>IF(AND(ISNUMBER(G1836),F1836&gt;0),G1836/F1836-1,"")</x:f>
        <x:v>0.026257223469591917</x:v>
      </x:c>
      <x:c r="K1836" s="19" t="str">
        <x:v>Exp_6/EXP055/results/seed806884711_Relative_cutoff_1e-4.json</x:v>
      </x:c>
    </x:row>
    <x:row r="1837" ht="15" hidden="0" customHeight="1">
      <x:c r="A1837" s="3" t="str">
        <x:v>EXP055</x:v>
      </x:c>
      <x:c r="B1837" s="3" t="str">
        <x:v>Exp. 6</x:v>
      </x:c>
      <x:c r="C1837" s="18" t="n">
        <x:v>954779777</x:v>
      </x:c>
      <x:c r="D1837" s="3" t="str">
        <x:v>BBP</x:v>
      </x:c>
      <x:c r="E1837" s="18" t="n">
        <x:v>200</x:v>
      </x:c>
      <x:c r="F1837" s="21" t="n">
        <x:v>493.03544020327627</x:v>
      </x:c>
      <x:c r="G1837" s="21" t="n">
        <x:f>F1837</x:f>
        <x:v>493.03544020327627</x:v>
      </x:c>
      <x:c r="H1837" s="21" t="n">
        <x:f>F1842</x:f>
        <x:v>493.03544020327627</x:v>
      </x:c>
      <x:c r="I1837" s="27" t="n">
        <x:f>IF(AND(ISNUMBER(G1837),ISNUMBER(H1837),H1837&gt;0),G1837/H1837-1,"")</x:f>
        <x:v>0</x:v>
      </x:c>
      <x:c r="J1837" s="27" t="n">
        <x:f>IF(AND(ISNUMBER(G1837),F1837&gt;0),G1837/F1837-1,"")</x:f>
        <x:v>0</x:v>
      </x:c>
      <x:c r="K1837" s="19" t="str">
        <x:v>Exp_6/EXP055/results/seed954779777_BBP.json</x:v>
      </x:c>
    </x:row>
    <x:row r="1838" ht="15" hidden="0" customHeight="1">
      <x:c r="A1838" s="3" t="str">
        <x:v>EXP055</x:v>
      </x:c>
      <x:c r="B1838" s="3" t="str">
        <x:v>Exp. 6</x:v>
      </x:c>
      <x:c r="C1838" s="18" t="n">
        <x:v>954779777</x:v>
      </x:c>
      <x:c r="D1838" s="3" t="str">
        <x:v>Relative cutoff 1e-5</x:v>
      </x:c>
      <x:c r="E1838" s="18" t="n">
        <x:v>200</x:v>
      </x:c>
      <x:c r="F1838" s="21" t="n">
        <x:v>493.03544020327627</x:v>
      </x:c>
      <x:c r="G1838" s="21" t="n">
        <x:f>F1837</x:f>
        <x:v>493.03544020327627</x:v>
      </x:c>
      <x:c r="H1838" s="21" t="n">
        <x:f>F1842</x:f>
        <x:v>493.03544020327627</x:v>
      </x:c>
      <x:c r="I1838" s="27" t="n">
        <x:f>IF(AND(ISNUMBER(G1838),ISNUMBER(H1838),H1838&gt;0),G1838/H1838-1,"")</x:f>
        <x:v>0</x:v>
      </x:c>
      <x:c r="J1838" s="27" t="n">
        <x:f>IF(AND(ISNUMBER(G1838),F1838&gt;0),G1838/F1838-1,"")</x:f>
        <x:v>0</x:v>
      </x:c>
      <x:c r="K1838" s="19" t="str">
        <x:v>Exp_6/EXP055/results/seed954779777_Relative_cutoff_1e-5.json</x:v>
      </x:c>
    </x:row>
    <x:row r="1839" ht="15" hidden="0" customHeight="1">
      <x:c r="A1839" s="3" t="str">
        <x:v>EXP055</x:v>
      </x:c>
      <x:c r="B1839" s="3" t="str">
        <x:v>Exp. 6</x:v>
      </x:c>
      <x:c r="C1839" s="18" t="n">
        <x:v>954779777</x:v>
      </x:c>
      <x:c r="D1839" s="3" t="str">
        <x:v>Fixed rank 10</x:v>
      </x:c>
      <x:c r="E1839" s="18" t="n">
        <x:v>200</x:v>
      </x:c>
      <x:c r="F1839" s="21" t="n">
        <x:v>493.03544020327627</x:v>
      </x:c>
      <x:c r="G1839" s="21" t="n">
        <x:f>F1837</x:f>
        <x:v>493.03544020327627</x:v>
      </x:c>
      <x:c r="H1839" s="21" t="n">
        <x:f>F1842</x:f>
        <x:v>493.03544020327627</x:v>
      </x:c>
      <x:c r="I1839" s="27" t="n">
        <x:f>IF(AND(ISNUMBER(G1839),ISNUMBER(H1839),H1839&gt;0),G1839/H1839-1,"")</x:f>
        <x:v>0</x:v>
      </x:c>
      <x:c r="J1839" s="27" t="n">
        <x:f>IF(AND(ISNUMBER(G1839),F1839&gt;0),G1839/F1839-1,"")</x:f>
        <x:v>0</x:v>
      </x:c>
      <x:c r="K1839" s="19" t="str">
        <x:v>Exp_6/EXP055/results/seed954779777_Fixed_rank_10.json</x:v>
      </x:c>
    </x:row>
    <x:row r="1840" ht="15" hidden="0" customHeight="1">
      <x:c r="A1840" s="3" t="str">
        <x:v>EXP055</x:v>
      </x:c>
      <x:c r="B1840" s="3" t="str">
        <x:v>Exp. 6</x:v>
      </x:c>
      <x:c r="C1840" s="18" t="n">
        <x:v>954779777</x:v>
      </x:c>
      <x:c r="D1840" s="3" t="str">
        <x:v>Fixed rank 25</x:v>
      </x:c>
      <x:c r="E1840" s="18" t="n">
        <x:v>200</x:v>
      </x:c>
      <x:c r="F1840" s="21" t="n">
        <x:v>493.03544020327627</x:v>
      </x:c>
      <x:c r="G1840" s="21" t="n">
        <x:f>F1837</x:f>
        <x:v>493.03544020327627</x:v>
      </x:c>
      <x:c r="H1840" s="21" t="n">
        <x:f>F1842</x:f>
        <x:v>493.03544020327627</x:v>
      </x:c>
      <x:c r="I1840" s="27" t="n">
        <x:f>IF(AND(ISNUMBER(G1840),ISNUMBER(H1840),H1840&gt;0),G1840/H1840-1,"")</x:f>
        <x:v>0</x:v>
      </x:c>
      <x:c r="J1840" s="27" t="n">
        <x:f>IF(AND(ISNUMBER(G1840),F1840&gt;0),G1840/F1840-1,"")</x:f>
        <x:v>0</x:v>
      </x:c>
      <x:c r="K1840" s="19" t="str">
        <x:v>Exp_6/EXP055/results/seed954779777_Fixed_rank_25.json</x:v>
      </x:c>
    </x:row>
    <x:row r="1841" ht="15" hidden="0" customHeight="1">
      <x:c r="A1841" s="3" t="str">
        <x:v>EXP055</x:v>
      </x:c>
      <x:c r="B1841" s="3" t="str">
        <x:v>Exp. 6</x:v>
      </x:c>
      <x:c r="C1841" s="18" t="n">
        <x:v>954779777</x:v>
      </x:c>
      <x:c r="D1841" s="3" t="str">
        <x:v>Relative cutoff 1e-6</x:v>
      </x:c>
      <x:c r="E1841" s="18" t="n">
        <x:v>200</x:v>
      </x:c>
      <x:c r="F1841" s="21" t="n">
        <x:v>493.03544020327627</x:v>
      </x:c>
      <x:c r="G1841" s="21" t="n">
        <x:f>F1837</x:f>
        <x:v>493.03544020327627</x:v>
      </x:c>
      <x:c r="H1841" s="21" t="n">
        <x:f>F1842</x:f>
        <x:v>493.03544020327627</x:v>
      </x:c>
      <x:c r="I1841" s="27" t="n">
        <x:f>IF(AND(ISNUMBER(G1841),ISNUMBER(H1841),H1841&gt;0),G1841/H1841-1,"")</x:f>
        <x:v>0</x:v>
      </x:c>
      <x:c r="J1841" s="27" t="n">
        <x:f>IF(AND(ISNUMBER(G1841),F1841&gt;0),G1841/F1841-1,"")</x:f>
        <x:v>0</x:v>
      </x:c>
      <x:c r="K1841" s="19" t="str">
        <x:v>Exp_6/EXP055/results/seed954779777_Relative_cutoff_1e-6.json</x:v>
      </x:c>
    </x:row>
    <x:row r="1842" ht="15" hidden="0" customHeight="1">
      <x:c r="A1842" s="3" t="str">
        <x:v>EXP055</x:v>
      </x:c>
      <x:c r="B1842" s="3" t="str">
        <x:v>Exp. 6</x:v>
      </x:c>
      <x:c r="C1842" s="18" t="n">
        <x:v>954779777</x:v>
      </x:c>
      <x:c r="D1842" s="3" t="str">
        <x:v>Full</x:v>
      </x:c>
      <x:c r="E1842" s="18" t="n">
        <x:v>200</x:v>
      </x:c>
      <x:c r="F1842" s="21" t="n">
        <x:v>493.03544020327627</x:v>
      </x:c>
      <x:c r="G1842" s="21" t="n">
        <x:f>F1837</x:f>
        <x:v>493.03544020327627</x:v>
      </x:c>
      <x:c r="H1842" s="21" t="n">
        <x:f>F1842</x:f>
        <x:v>493.03544020327627</x:v>
      </x:c>
      <x:c r="I1842" s="27" t="n">
        <x:f>IF(AND(ISNUMBER(G1842),ISNUMBER(H1842),H1842&gt;0),G1842/H1842-1,"")</x:f>
        <x:v>0</x:v>
      </x:c>
      <x:c r="J1842" s="27" t="n">
        <x:f>IF(AND(ISNUMBER(G1842),F1842&gt;0),G1842/F1842-1,"")</x:f>
        <x:v>0</x:v>
      </x:c>
      <x:c r="K1842" s="19" t="str">
        <x:v>Exp_6/EXP055/results/seed954779777_Full.json</x:v>
      </x:c>
    </x:row>
    <x:row r="1843" ht="15" hidden="0" customHeight="1">
      <x:c r="A1843" s="3" t="str">
        <x:v>EXP055</x:v>
      </x:c>
      <x:c r="B1843" s="3" t="str">
        <x:v>Exp. 6</x:v>
      </x:c>
      <x:c r="C1843" s="18" t="n">
        <x:v>954779777</x:v>
      </x:c>
      <x:c r="D1843" s="3" t="str">
        <x:v>Relative cutoff 1e-2</x:v>
      </x:c>
      <x:c r="E1843" s="18" t="n">
        <x:v>200</x:v>
      </x:c>
      <x:c r="F1843" s="21" t="n">
        <x:v>469.553501114749</x:v>
      </x:c>
      <x:c r="G1843" s="21" t="n">
        <x:f>F1837</x:f>
        <x:v>493.03544020327627</x:v>
      </x:c>
      <x:c r="H1843" s="21" t="n">
        <x:f>F1842</x:f>
        <x:v>493.03544020327627</x:v>
      </x:c>
      <x:c r="I1843" s="27" t="n">
        <x:f>IF(AND(ISNUMBER(G1843),ISNUMBER(H1843),H1843&gt;0),G1843/H1843-1,"")</x:f>
        <x:v>0</x:v>
      </x:c>
      <x:c r="J1843" s="27" t="n">
        <x:f>IF(AND(ISNUMBER(G1843),F1843&gt;0),G1843/F1843-1,"")</x:f>
        <x:v>0.05000908103715496</x:v>
      </x:c>
      <x:c r="K1843" s="19" t="str">
        <x:v>Exp_6/EXP055/results/seed954779777_Relative_cutoff_1e-2.json</x:v>
      </x:c>
    </x:row>
    <x:row r="1844" ht="15" hidden="0" customHeight="1">
      <x:c r="A1844" s="3" t="str">
        <x:v>EXP055</x:v>
      </x:c>
      <x:c r="B1844" s="3" t="str">
        <x:v>Exp. 6</x:v>
      </x:c>
      <x:c r="C1844" s="18" t="n">
        <x:v>954779777</x:v>
      </x:c>
      <x:c r="D1844" s="3" t="str">
        <x:v>Relative cutoff 1e-4</x:v>
      </x:c>
      <x:c r="E1844" s="18" t="n">
        <x:v>200</x:v>
      </x:c>
      <x:c r="F1844" s="21" t="n">
        <x:v>493.05444371937006</x:v>
      </x:c>
      <x:c r="G1844" s="21" t="n">
        <x:f>F1837</x:f>
        <x:v>493.03544020327627</x:v>
      </x:c>
      <x:c r="H1844" s="21" t="n">
        <x:f>F1842</x:f>
        <x:v>493.03544020327627</x:v>
      </x:c>
      <x:c r="I1844" s="27" t="n">
        <x:f>IF(AND(ISNUMBER(G1844),ISNUMBER(H1844),H1844&gt;0),G1844/H1844-1,"")</x:f>
        <x:v>0</x:v>
      </x:c>
      <x:c r="J1844" s="27" t="n">
        <x:f>IF(AND(ISNUMBER(G1844),F1844&gt;0),G1844/F1844-1,"")</x:f>
        <x:v>-0.000038542429412924406</x:v>
      </x:c>
      <x:c r="K1844" s="19" t="str">
        <x:v>Exp_6/EXP055/results/seed954779777_Relative_cutoff_1e-4.json</x:v>
      </x:c>
    </x:row>
    <x:row r="1845" ht="15" hidden="0" customHeight="1">
      <x:c r="A1845" s="3" t="str">
        <x:v>EXP055</x:v>
      </x:c>
      <x:c r="B1845" s="3" t="str">
        <x:v>Exp. 6</x:v>
      </x:c>
      <x:c r="C1845" s="18" t="n">
        <x:v>1084613802</x:v>
      </x:c>
      <x:c r="D1845" s="3" t="str">
        <x:v>BBP</x:v>
      </x:c>
      <x:c r="E1845" s="18" t="n">
        <x:v>200</x:v>
      </x:c>
      <x:c r="F1845" s="21" t="n">
        <x:v>596.2559600723176</x:v>
      </x:c>
      <x:c r="G1845" s="21" t="n">
        <x:f>F1845</x:f>
        <x:v>596.2559600723176</x:v>
      </x:c>
      <x:c r="H1845" s="21" t="n">
        <x:f>F1850</x:f>
        <x:v>621.8379920558722</x:v>
      </x:c>
      <x:c r="I1845" s="27" t="n">
        <x:f>IF(AND(ISNUMBER(G1845),ISNUMBER(H1845),H1845&gt;0),G1845/H1845-1,"")</x:f>
        <x:v>-0.04113938406847295</x:v>
      </x:c>
      <x:c r="J1845" s="27" t="n">
        <x:f>IF(AND(ISNUMBER(G1845),F1845&gt;0),G1845/F1845-1,"")</x:f>
        <x:v>0</x:v>
      </x:c>
      <x:c r="K1845" s="19" t="str">
        <x:v>Exp_6/EXP055/results/seed1084613802_BBP.json</x:v>
      </x:c>
    </x:row>
    <x:row r="1846" ht="15" hidden="0" customHeight="1">
      <x:c r="A1846" s="3" t="str">
        <x:v>EXP055</x:v>
      </x:c>
      <x:c r="B1846" s="3" t="str">
        <x:v>Exp. 6</x:v>
      </x:c>
      <x:c r="C1846" s="18" t="n">
        <x:v>1084613802</x:v>
      </x:c>
      <x:c r="D1846" s="3" t="str">
        <x:v>Relative cutoff 1e-5</x:v>
      </x:c>
      <x:c r="E1846" s="18" t="n">
        <x:v>200</x:v>
      </x:c>
      <x:c r="F1846" s="21" t="n">
        <x:v>596.2559600723176</x:v>
      </x:c>
      <x:c r="G1846" s="21" t="n">
        <x:f>F1845</x:f>
        <x:v>596.2559600723176</x:v>
      </x:c>
      <x:c r="H1846" s="21" t="n">
        <x:f>F1850</x:f>
        <x:v>621.8379920558722</x:v>
      </x:c>
      <x:c r="I1846" s="27" t="n">
        <x:f>IF(AND(ISNUMBER(G1846),ISNUMBER(H1846),H1846&gt;0),G1846/H1846-1,"")</x:f>
        <x:v>-0.04113938406847295</x:v>
      </x:c>
      <x:c r="J1846" s="27" t="n">
        <x:f>IF(AND(ISNUMBER(G1846),F1846&gt;0),G1846/F1846-1,"")</x:f>
        <x:v>0</x:v>
      </x:c>
      <x:c r="K1846" s="19" t="str">
        <x:v>Exp_6/EXP055/results/seed1084613802_Relative_cutoff_1e-5.json</x:v>
      </x:c>
    </x:row>
    <x:row r="1847" ht="15" hidden="0" customHeight="1">
      <x:c r="A1847" s="3" t="str">
        <x:v>EXP055</x:v>
      </x:c>
      <x:c r="B1847" s="3" t="str">
        <x:v>Exp. 6</x:v>
      </x:c>
      <x:c r="C1847" s="18" t="n">
        <x:v>1084613802</x:v>
      </x:c>
      <x:c r="D1847" s="3" t="str">
        <x:v>Fixed rank 10</x:v>
      </x:c>
      <x:c r="E1847" s="18" t="n">
        <x:v>200</x:v>
      </x:c>
      <x:c r="F1847" s="21" t="n">
        <x:v>596.2559600723176</x:v>
      </x:c>
      <x:c r="G1847" s="21" t="n">
        <x:f>F1845</x:f>
        <x:v>596.2559600723176</x:v>
      </x:c>
      <x:c r="H1847" s="21" t="n">
        <x:f>F1850</x:f>
        <x:v>621.8379920558722</x:v>
      </x:c>
      <x:c r="I1847" s="27" t="n">
        <x:f>IF(AND(ISNUMBER(G1847),ISNUMBER(H1847),H1847&gt;0),G1847/H1847-1,"")</x:f>
        <x:v>-0.04113938406847295</x:v>
      </x:c>
      <x:c r="J1847" s="27" t="n">
        <x:f>IF(AND(ISNUMBER(G1847),F1847&gt;0),G1847/F1847-1,"")</x:f>
        <x:v>0</x:v>
      </x:c>
      <x:c r="K1847" s="19" t="str">
        <x:v>Exp_6/EXP055/results/seed1084613802_Fixed_rank_10.json</x:v>
      </x:c>
    </x:row>
    <x:row r="1848" ht="15" hidden="0" customHeight="1">
      <x:c r="A1848" s="3" t="str">
        <x:v>EXP055</x:v>
      </x:c>
      <x:c r="B1848" s="3" t="str">
        <x:v>Exp. 6</x:v>
      </x:c>
      <x:c r="C1848" s="18" t="n">
        <x:v>1084613802</x:v>
      </x:c>
      <x:c r="D1848" s="3" t="str">
        <x:v>Fixed rank 25</x:v>
      </x:c>
      <x:c r="E1848" s="18" t="n">
        <x:v>200</x:v>
      </x:c>
      <x:c r="F1848" s="21" t="n">
        <x:v>596.2559600723176</x:v>
      </x:c>
      <x:c r="G1848" s="21" t="n">
        <x:f>F1845</x:f>
        <x:v>596.2559600723176</x:v>
      </x:c>
      <x:c r="H1848" s="21" t="n">
        <x:f>F1850</x:f>
        <x:v>621.8379920558722</x:v>
      </x:c>
      <x:c r="I1848" s="27" t="n">
        <x:f>IF(AND(ISNUMBER(G1848),ISNUMBER(H1848),H1848&gt;0),G1848/H1848-1,"")</x:f>
        <x:v>-0.04113938406847295</x:v>
      </x:c>
      <x:c r="J1848" s="27" t="n">
        <x:f>IF(AND(ISNUMBER(G1848),F1848&gt;0),G1848/F1848-1,"")</x:f>
        <x:v>0</x:v>
      </x:c>
      <x:c r="K1848" s="19" t="str">
        <x:v>Exp_6/EXP055/results/seed1084613802_Fixed_rank_25.json</x:v>
      </x:c>
    </x:row>
    <x:row r="1849" ht="15" hidden="0" customHeight="1">
      <x:c r="A1849" s="3" t="str">
        <x:v>EXP055</x:v>
      </x:c>
      <x:c r="B1849" s="3" t="str">
        <x:v>Exp. 6</x:v>
      </x:c>
      <x:c r="C1849" s="18" t="n">
        <x:v>1084613802</x:v>
      </x:c>
      <x:c r="D1849" s="3" t="str">
        <x:v>Relative cutoff 1e-6</x:v>
      </x:c>
      <x:c r="E1849" s="18" t="n">
        <x:v>200</x:v>
      </x:c>
      <x:c r="F1849" s="21" t="n">
        <x:v>621.8379920558722</x:v>
      </x:c>
      <x:c r="G1849" s="21" t="n">
        <x:f>F1845</x:f>
        <x:v>596.2559600723176</x:v>
      </x:c>
      <x:c r="H1849" s="21" t="n">
        <x:f>F1850</x:f>
        <x:v>621.8379920558722</x:v>
      </x:c>
      <x:c r="I1849" s="27" t="n">
        <x:f>IF(AND(ISNUMBER(G1849),ISNUMBER(H1849),H1849&gt;0),G1849/H1849-1,"")</x:f>
        <x:v>-0.04113938406847295</x:v>
      </x:c>
      <x:c r="J1849" s="27" t="n">
        <x:f>IF(AND(ISNUMBER(G1849),F1849&gt;0),G1849/F1849-1,"")</x:f>
        <x:v>-0.04113938406847295</x:v>
      </x:c>
      <x:c r="K1849" s="19" t="str">
        <x:v>Exp_6/EXP055/results/seed1084613802_Relative_cutoff_1e-6.json</x:v>
      </x:c>
    </x:row>
    <x:row r="1850" ht="15" hidden="0" customHeight="1">
      <x:c r="A1850" s="3" t="str">
        <x:v>EXP055</x:v>
      </x:c>
      <x:c r="B1850" s="3" t="str">
        <x:v>Exp. 6</x:v>
      </x:c>
      <x:c r="C1850" s="18" t="n">
        <x:v>1084613802</x:v>
      </x:c>
      <x:c r="D1850" s="3" t="str">
        <x:v>Full</x:v>
      </x:c>
      <x:c r="E1850" s="18" t="n">
        <x:v>200</x:v>
      </x:c>
      <x:c r="F1850" s="21" t="n">
        <x:v>621.8379920558722</x:v>
      </x:c>
      <x:c r="G1850" s="21" t="n">
        <x:f>F1845</x:f>
        <x:v>596.2559600723176</x:v>
      </x:c>
      <x:c r="H1850" s="21" t="n">
        <x:f>F1850</x:f>
        <x:v>621.8379920558722</x:v>
      </x:c>
      <x:c r="I1850" s="27" t="n">
        <x:f>IF(AND(ISNUMBER(G1850),ISNUMBER(H1850),H1850&gt;0),G1850/H1850-1,"")</x:f>
        <x:v>-0.04113938406847295</x:v>
      </x:c>
      <x:c r="J1850" s="27" t="n">
        <x:f>IF(AND(ISNUMBER(G1850),F1850&gt;0),G1850/F1850-1,"")</x:f>
        <x:v>-0.04113938406847295</x:v>
      </x:c>
      <x:c r="K1850" s="19" t="str">
        <x:v>Exp_6/EXP055/results/seed1084613802_Full.json</x:v>
      </x:c>
    </x:row>
    <x:row r="1851" ht="15" hidden="0" customHeight="1">
      <x:c r="A1851" s="3" t="str">
        <x:v>EXP055</x:v>
      </x:c>
      <x:c r="B1851" s="3" t="str">
        <x:v>Exp. 6</x:v>
      </x:c>
      <x:c r="C1851" s="18" t="n">
        <x:v>1084613802</x:v>
      </x:c>
      <x:c r="D1851" s="3" t="str">
        <x:v>Relative cutoff 1e-2</x:v>
      </x:c>
      <x:c r="E1851" s="18" t="n">
        <x:v>200</x:v>
      </x:c>
      <x:c r="F1851" s="21" t="n">
        <x:v>636.9396105039903</x:v>
      </x:c>
      <x:c r="G1851" s="21" t="n">
        <x:f>F1845</x:f>
        <x:v>596.2559600723176</x:v>
      </x:c>
      <x:c r="H1851" s="21" t="n">
        <x:f>F1850</x:f>
        <x:v>621.8379920558722</x:v>
      </x:c>
      <x:c r="I1851" s="27" t="n">
        <x:f>IF(AND(ISNUMBER(G1851),ISNUMBER(H1851),H1851&gt;0),G1851/H1851-1,"")</x:f>
        <x:v>-0.04113938406847295</x:v>
      </x:c>
      <x:c r="J1851" s="27" t="n">
        <x:f>IF(AND(ISNUMBER(G1851),F1851&gt;0),G1851/F1851-1,"")</x:f>
        <x:v>-0.06387363850629568</x:v>
      </x:c>
      <x:c r="K1851" s="19" t="str">
        <x:v>Exp_6/EXP055/results/seed1084613802_Relative_cutoff_1e-2.json</x:v>
      </x:c>
    </x:row>
    <x:row r="1852" ht="15" hidden="0" customHeight="1">
      <x:c r="A1852" s="3" t="str">
        <x:v>EXP055</x:v>
      </x:c>
      <x:c r="B1852" s="3" t="str">
        <x:v>Exp. 6</x:v>
      </x:c>
      <x:c r="C1852" s="18" t="n">
        <x:v>1084613802</x:v>
      </x:c>
      <x:c r="D1852" s="3" t="str">
        <x:v>Relative cutoff 1e-4</x:v>
      </x:c>
      <x:c r="E1852" s="18" t="n">
        <x:v>200</x:v>
      </x:c>
      <x:c r="F1852" s="21" t="n">
        <x:v>596.2559600723176</x:v>
      </x:c>
      <x:c r="G1852" s="21" t="n">
        <x:f>F1845</x:f>
        <x:v>596.2559600723176</x:v>
      </x:c>
      <x:c r="H1852" s="21" t="n">
        <x:f>F1850</x:f>
        <x:v>621.8379920558722</x:v>
      </x:c>
      <x:c r="I1852" s="27" t="n">
        <x:f>IF(AND(ISNUMBER(G1852),ISNUMBER(H1852),H1852&gt;0),G1852/H1852-1,"")</x:f>
        <x:v>-0.04113938406847295</x:v>
      </x:c>
      <x:c r="J1852" s="27" t="n">
        <x:f>IF(AND(ISNUMBER(G1852),F1852&gt;0),G1852/F1852-1,"")</x:f>
        <x:v>0</x:v>
      </x:c>
      <x:c r="K1852" s="19" t="str">
        <x:v>Exp_6/EXP055/results/seed1084613802_Relative_cutoff_1e-4.json</x:v>
      </x:c>
    </x:row>
    <x:row r="1853" ht="15" hidden="0" customHeight="1">
      <x:c r="A1853" s="3" t="str">
        <x:v>EXP055</x:v>
      </x:c>
      <x:c r="B1853" s="3" t="str">
        <x:v>Exp. 6</x:v>
      </x:c>
      <x:c r="C1853" s="18" t="n">
        <x:v>1390358485</x:v>
      </x:c>
      <x:c r="D1853" s="3" t="str">
        <x:v>BBP</x:v>
      </x:c>
      <x:c r="E1853" s="18" t="n">
        <x:v>200</x:v>
      </x:c>
      <x:c r="F1853" s="21" t="n">
        <x:v>496.3391323351429</x:v>
      </x:c>
      <x:c r="G1853" s="21" t="n">
        <x:f>F1853</x:f>
        <x:v>496.3391323351429</x:v>
      </x:c>
      <x:c r="H1853" s="21" t="n">
        <x:f>F1858</x:f>
        <x:v>500.16024129731045</x:v>
      </x:c>
      <x:c r="I1853" s="27" t="n">
        <x:f>IF(AND(ISNUMBER(G1853),ISNUMBER(H1853),H1853&gt;0),G1853/H1853-1,"")</x:f>
        <x:v>-0.007639769511179839</x:v>
      </x:c>
      <x:c r="J1853" s="27" t="n">
        <x:f>IF(AND(ISNUMBER(G1853),F1853&gt;0),G1853/F1853-1,"")</x:f>
        <x:v>0</x:v>
      </x:c>
      <x:c r="K1853" s="19" t="str">
        <x:v>Exp_6/EXP055/results/seed1390358485_BBP.json</x:v>
      </x:c>
    </x:row>
    <x:row r="1854" ht="15" hidden="0" customHeight="1">
      <x:c r="A1854" s="3" t="str">
        <x:v>EXP055</x:v>
      </x:c>
      <x:c r="B1854" s="3" t="str">
        <x:v>Exp. 6</x:v>
      </x:c>
      <x:c r="C1854" s="18" t="n">
        <x:v>1390358485</x:v>
      </x:c>
      <x:c r="D1854" s="3" t="str">
        <x:v>Relative cutoff 1e-5</x:v>
      </x:c>
      <x:c r="E1854" s="18" t="n">
        <x:v>200</x:v>
      </x:c>
      <x:c r="F1854" s="21" t="n">
        <x:v>496.3391323351429</x:v>
      </x:c>
      <x:c r="G1854" s="21" t="n">
        <x:f>F1853</x:f>
        <x:v>496.3391323351429</x:v>
      </x:c>
      <x:c r="H1854" s="21" t="n">
        <x:f>F1858</x:f>
        <x:v>500.16024129731045</x:v>
      </x:c>
      <x:c r="I1854" s="27" t="n">
        <x:f>IF(AND(ISNUMBER(G1854),ISNUMBER(H1854),H1854&gt;0),G1854/H1854-1,"")</x:f>
        <x:v>-0.007639769511179839</x:v>
      </x:c>
      <x:c r="J1854" s="27" t="n">
        <x:f>IF(AND(ISNUMBER(G1854),F1854&gt;0),G1854/F1854-1,"")</x:f>
        <x:v>0</x:v>
      </x:c>
      <x:c r="K1854" s="19" t="str">
        <x:v>Exp_6/EXP055/results/seed1390358485_Relative_cutoff_1e-5.json</x:v>
      </x:c>
    </x:row>
    <x:row r="1855" ht="15" hidden="0" customHeight="1">
      <x:c r="A1855" s="3" t="str">
        <x:v>EXP055</x:v>
      </x:c>
      <x:c r="B1855" s="3" t="str">
        <x:v>Exp. 6</x:v>
      </x:c>
      <x:c r="C1855" s="18" t="n">
        <x:v>1390358485</x:v>
      </x:c>
      <x:c r="D1855" s="3" t="str">
        <x:v>Fixed rank 10</x:v>
      </x:c>
      <x:c r="E1855" s="18" t="n">
        <x:v>200</x:v>
      </x:c>
      <x:c r="F1855" s="21" t="n">
        <x:v>501.4832353413859</x:v>
      </x:c>
      <x:c r="G1855" s="21" t="n">
        <x:f>F1853</x:f>
        <x:v>496.3391323351429</x:v>
      </x:c>
      <x:c r="H1855" s="21" t="n">
        <x:f>F1858</x:f>
        <x:v>500.16024129731045</x:v>
      </x:c>
      <x:c r="I1855" s="27" t="n">
        <x:f>IF(AND(ISNUMBER(G1855),ISNUMBER(H1855),H1855&gt;0),G1855/H1855-1,"")</x:f>
        <x:v>-0.007639769511179839</x:v>
      </x:c>
      <x:c r="J1855" s="27" t="n">
        <x:f>IF(AND(ISNUMBER(G1855),F1855&gt;0),G1855/F1855-1,"")</x:f>
        <x:v>-0.010257776618875725</x:v>
      </x:c>
      <x:c r="K1855" s="19" t="str">
        <x:v>Exp_6/EXP055/results/seed1390358485_Fixed_rank_10.json</x:v>
      </x:c>
    </x:row>
    <x:row r="1856" ht="15" hidden="0" customHeight="1">
      <x:c r="A1856" s="3" t="str">
        <x:v>EXP055</x:v>
      </x:c>
      <x:c r="B1856" s="3" t="str">
        <x:v>Exp. 6</x:v>
      </x:c>
      <x:c r="C1856" s="18" t="n">
        <x:v>1390358485</x:v>
      </x:c>
      <x:c r="D1856" s="3" t="str">
        <x:v>Fixed rank 25</x:v>
      </x:c>
      <x:c r="E1856" s="18" t="n">
        <x:v>200</x:v>
      </x:c>
      <x:c r="F1856" s="21" t="n">
        <x:v>496.3391323351429</x:v>
      </x:c>
      <x:c r="G1856" s="21" t="n">
        <x:f>F1853</x:f>
        <x:v>496.3391323351429</x:v>
      </x:c>
      <x:c r="H1856" s="21" t="n">
        <x:f>F1858</x:f>
        <x:v>500.16024129731045</x:v>
      </x:c>
      <x:c r="I1856" s="27" t="n">
        <x:f>IF(AND(ISNUMBER(G1856),ISNUMBER(H1856),H1856&gt;0),G1856/H1856-1,"")</x:f>
        <x:v>-0.007639769511179839</x:v>
      </x:c>
      <x:c r="J1856" s="27" t="n">
        <x:f>IF(AND(ISNUMBER(G1856),F1856&gt;0),G1856/F1856-1,"")</x:f>
        <x:v>0</x:v>
      </x:c>
      <x:c r="K1856" s="19" t="str">
        <x:v>Exp_6/EXP055/results/seed1390358485_Fixed_rank_25.json</x:v>
      </x:c>
    </x:row>
    <x:row r="1857" ht="15" hidden="0" customHeight="1">
      <x:c r="A1857" s="3" t="str">
        <x:v>EXP055</x:v>
      </x:c>
      <x:c r="B1857" s="3" t="str">
        <x:v>Exp. 6</x:v>
      </x:c>
      <x:c r="C1857" s="18" t="n">
        <x:v>1390358485</x:v>
      </x:c>
      <x:c r="D1857" s="3" t="str">
        <x:v>Relative cutoff 1e-6</x:v>
      </x:c>
      <x:c r="E1857" s="18" t="n">
        <x:v>200</x:v>
      </x:c>
      <x:c r="F1857" s="21" t="n">
        <x:v>500.16024129731045</x:v>
      </x:c>
      <x:c r="G1857" s="21" t="n">
        <x:f>F1853</x:f>
        <x:v>496.3391323351429</x:v>
      </x:c>
      <x:c r="H1857" s="21" t="n">
        <x:f>F1858</x:f>
        <x:v>500.16024129731045</x:v>
      </x:c>
      <x:c r="I1857" s="27" t="n">
        <x:f>IF(AND(ISNUMBER(G1857),ISNUMBER(H1857),H1857&gt;0),G1857/H1857-1,"")</x:f>
        <x:v>-0.007639769511179839</x:v>
      </x:c>
      <x:c r="J1857" s="27" t="n">
        <x:f>IF(AND(ISNUMBER(G1857),F1857&gt;0),G1857/F1857-1,"")</x:f>
        <x:v>-0.007639769511179839</x:v>
      </x:c>
      <x:c r="K1857" s="19" t="str">
        <x:v>Exp_6/EXP055/results/seed1390358485_Relative_cutoff_1e-6.json</x:v>
      </x:c>
    </x:row>
    <x:row r="1858" ht="15" hidden="0" customHeight="1">
      <x:c r="A1858" s="3" t="str">
        <x:v>EXP055</x:v>
      </x:c>
      <x:c r="B1858" s="3" t="str">
        <x:v>Exp. 6</x:v>
      </x:c>
      <x:c r="C1858" s="18" t="n">
        <x:v>1390358485</x:v>
      </x:c>
      <x:c r="D1858" s="3" t="str">
        <x:v>Full</x:v>
      </x:c>
      <x:c r="E1858" s="18" t="n">
        <x:v>200</x:v>
      </x:c>
      <x:c r="F1858" s="21" t="n">
        <x:v>500.16024129731045</x:v>
      </x:c>
      <x:c r="G1858" s="21" t="n">
        <x:f>F1853</x:f>
        <x:v>496.3391323351429</x:v>
      </x:c>
      <x:c r="H1858" s="21" t="n">
        <x:f>F1858</x:f>
        <x:v>500.16024129731045</x:v>
      </x:c>
      <x:c r="I1858" s="27" t="n">
        <x:f>IF(AND(ISNUMBER(G1858),ISNUMBER(H1858),H1858&gt;0),G1858/H1858-1,"")</x:f>
        <x:v>-0.007639769511179839</x:v>
      </x:c>
      <x:c r="J1858" s="27" t="n">
        <x:f>IF(AND(ISNUMBER(G1858),F1858&gt;0),G1858/F1858-1,"")</x:f>
        <x:v>-0.007639769511179839</x:v>
      </x:c>
      <x:c r="K1858" s="19" t="str">
        <x:v>Exp_6/EXP055/results/seed1390358485_Full.json</x:v>
      </x:c>
    </x:row>
    <x:row r="1859" ht="15" hidden="0" customHeight="1">
      <x:c r="A1859" s="3" t="str">
        <x:v>EXP055</x:v>
      </x:c>
      <x:c r="B1859" s="3" t="str">
        <x:v>Exp. 6</x:v>
      </x:c>
      <x:c r="C1859" s="18" t="n">
        <x:v>1390358485</x:v>
      </x:c>
      <x:c r="D1859" s="3" t="str">
        <x:v>Relative cutoff 1e-2</x:v>
      </x:c>
      <x:c r="E1859" s="18" t="n">
        <x:v>200</x:v>
      </x:c>
      <x:c r="F1859" s="21" t="n">
        <x:v>472.69979431424747</x:v>
      </x:c>
      <x:c r="G1859" s="21" t="n">
        <x:f>F1853</x:f>
        <x:v>496.3391323351429</x:v>
      </x:c>
      <x:c r="H1859" s="21" t="n">
        <x:f>F1858</x:f>
        <x:v>500.16024129731045</x:v>
      </x:c>
      <x:c r="I1859" s="27" t="n">
        <x:f>IF(AND(ISNUMBER(G1859),ISNUMBER(H1859),H1859&gt;0),G1859/H1859-1,"")</x:f>
        <x:v>-0.007639769511179839</x:v>
      </x:c>
      <x:c r="J1859" s="27" t="n">
        <x:f>IF(AND(ISNUMBER(G1859),F1859&gt;0),G1859/F1859-1,"")</x:f>
        <x:v>0.05000919887259392</x:v>
      </x:c>
      <x:c r="K1859" s="19" t="str">
        <x:v>Exp_6/EXP055/results/seed1390358485_Relative_cutoff_1e-2.json</x:v>
      </x:c>
    </x:row>
    <x:row r="1860" ht="15" hidden="0" customHeight="1">
      <x:c r="A1860" s="3" t="str">
        <x:v>EXP055</x:v>
      </x:c>
      <x:c r="B1860" s="3" t="str">
        <x:v>Exp. 6</x:v>
      </x:c>
      <x:c r="C1860" s="18" t="n">
        <x:v>1390358485</x:v>
      </x:c>
      <x:c r="D1860" s="3" t="str">
        <x:v>Relative cutoff 1e-4</x:v>
      </x:c>
      <x:c r="E1860" s="18" t="n">
        <x:v>200</x:v>
      </x:c>
      <x:c r="F1860" s="21" t="n">
        <x:v>507.48465054603224</x:v>
      </x:c>
      <x:c r="G1860" s="21" t="n">
        <x:f>F1853</x:f>
        <x:v>496.3391323351429</x:v>
      </x:c>
      <x:c r="H1860" s="21" t="n">
        <x:f>F1858</x:f>
        <x:v>500.16024129731045</x:v>
      </x:c>
      <x:c r="I1860" s="27" t="n">
        <x:f>IF(AND(ISNUMBER(G1860),ISNUMBER(H1860),H1860&gt;0),G1860/H1860-1,"")</x:f>
        <x:v>-0.007639769511179839</x:v>
      </x:c>
      <x:c r="J1860" s="27" t="n">
        <x:f>IF(AND(ISNUMBER(G1860),F1860&gt;0),G1860/F1860-1,"")</x:f>
        <x:v>-0.021962276492298316</x:v>
      </x:c>
      <x:c r="K1860" s="19" t="str">
        <x:v>Exp_6/EXP055/results/seed1390358485_Relative_cutoff_1e-4.json</x:v>
      </x:c>
    </x:row>
    <x:row r="1861" ht="15" hidden="0" customHeight="1">
      <x:c r="A1861" s="3" t="str">
        <x:v>EXP055</x:v>
      </x:c>
      <x:c r="B1861" s="3" t="str">
        <x:v>Exp. 6</x:v>
      </x:c>
      <x:c r="C1861" s="18" t="n">
        <x:v>1711112905</x:v>
      </x:c>
      <x:c r="D1861" s="3" t="str">
        <x:v>BBP</x:v>
      </x:c>
      <x:c r="E1861" s="18" t="n">
        <x:v>200</x:v>
      </x:c>
      <x:c r="F1861" s="21" t="n">
        <x:v>395.75470728768494</x:v>
      </x:c>
      <x:c r="G1861" s="21" t="n">
        <x:f>F1861</x:f>
        <x:v>395.75470728768494</x:v>
      </x:c>
      <x:c r="H1861" s="21" t="n">
        <x:f>F1866</x:f>
        <x:v>395.75470728768494</x:v>
      </x:c>
      <x:c r="I1861" s="27" t="n">
        <x:f>IF(AND(ISNUMBER(G1861),ISNUMBER(H1861),H1861&gt;0),G1861/H1861-1,"")</x:f>
        <x:v>0</x:v>
      </x:c>
      <x:c r="J1861" s="27" t="n">
        <x:f>IF(AND(ISNUMBER(G1861),F1861&gt;0),G1861/F1861-1,"")</x:f>
        <x:v>0</x:v>
      </x:c>
      <x:c r="K1861" s="19" t="str">
        <x:v>Exp_6/EXP055/results/seed1711112905_BBP.json</x:v>
      </x:c>
    </x:row>
    <x:row r="1862" ht="15" hidden="0" customHeight="1">
      <x:c r="A1862" s="3" t="str">
        <x:v>EXP055</x:v>
      </x:c>
      <x:c r="B1862" s="3" t="str">
        <x:v>Exp. 6</x:v>
      </x:c>
      <x:c r="C1862" s="18" t="n">
        <x:v>1711112905</x:v>
      </x:c>
      <x:c r="D1862" s="3" t="str">
        <x:v>Relative cutoff 1e-5</x:v>
      </x:c>
      <x:c r="E1862" s="18" t="n">
        <x:v>200</x:v>
      </x:c>
      <x:c r="F1862" s="21" t="n">
        <x:v>395.75470728768494</x:v>
      </x:c>
      <x:c r="G1862" s="21" t="n">
        <x:f>F1861</x:f>
        <x:v>395.75470728768494</x:v>
      </x:c>
      <x:c r="H1862" s="21" t="n">
        <x:f>F1866</x:f>
        <x:v>395.75470728768494</x:v>
      </x:c>
      <x:c r="I1862" s="27" t="n">
        <x:f>IF(AND(ISNUMBER(G1862),ISNUMBER(H1862),H1862&gt;0),G1862/H1862-1,"")</x:f>
        <x:v>0</x:v>
      </x:c>
      <x:c r="J1862" s="27" t="n">
        <x:f>IF(AND(ISNUMBER(G1862),F1862&gt;0),G1862/F1862-1,"")</x:f>
        <x:v>0</x:v>
      </x:c>
      <x:c r="K1862" s="19" t="str">
        <x:v>Exp_6/EXP055/results/seed1711112905_Relative_cutoff_1e-5.json</x:v>
      </x:c>
    </x:row>
    <x:row r="1863" ht="15" hidden="0" customHeight="1">
      <x:c r="A1863" s="3" t="str">
        <x:v>EXP055</x:v>
      </x:c>
      <x:c r="B1863" s="3" t="str">
        <x:v>Exp. 6</x:v>
      </x:c>
      <x:c r="C1863" s="18" t="n">
        <x:v>1711112905</x:v>
      </x:c>
      <x:c r="D1863" s="3" t="str">
        <x:v>Fixed rank 10</x:v>
      </x:c>
      <x:c r="E1863" s="18" t="n">
        <x:v>200</x:v>
      </x:c>
      <x:c r="F1863" s="21" t="n">
        <x:v>397.2989367338676</x:v>
      </x:c>
      <x:c r="G1863" s="21" t="n">
        <x:f>F1861</x:f>
        <x:v>395.75470728768494</x:v>
      </x:c>
      <x:c r="H1863" s="21" t="n">
        <x:f>F1866</x:f>
        <x:v>395.75470728768494</x:v>
      </x:c>
      <x:c r="I1863" s="27" t="n">
        <x:f>IF(AND(ISNUMBER(G1863),ISNUMBER(H1863),H1863&gt;0),G1863/H1863-1,"")</x:f>
        <x:v>0</x:v>
      </x:c>
      <x:c r="J1863" s="27" t="n">
        <x:f>IF(AND(ISNUMBER(G1863),F1863&gt;0),G1863/F1863-1,"")</x:f>
        <x:v>-0.003886819982146239</x:v>
      </x:c>
      <x:c r="K1863" s="19" t="str">
        <x:v>Exp_6/EXP055/results/seed1711112905_Fixed_rank_10.json</x:v>
      </x:c>
    </x:row>
    <x:row r="1864" ht="15" hidden="0" customHeight="1">
      <x:c r="A1864" s="3" t="str">
        <x:v>EXP055</x:v>
      </x:c>
      <x:c r="B1864" s="3" t="str">
        <x:v>Exp. 6</x:v>
      </x:c>
      <x:c r="C1864" s="18" t="n">
        <x:v>1711112905</x:v>
      </x:c>
      <x:c r="D1864" s="3" t="str">
        <x:v>Fixed rank 25</x:v>
      </x:c>
      <x:c r="E1864" s="18" t="n">
        <x:v>200</x:v>
      </x:c>
      <x:c r="F1864" s="21" t="n">
        <x:v>395.75470728768494</x:v>
      </x:c>
      <x:c r="G1864" s="21" t="n">
        <x:f>F1861</x:f>
        <x:v>395.75470728768494</x:v>
      </x:c>
      <x:c r="H1864" s="21" t="n">
        <x:f>F1866</x:f>
        <x:v>395.75470728768494</x:v>
      </x:c>
      <x:c r="I1864" s="27" t="n">
        <x:f>IF(AND(ISNUMBER(G1864),ISNUMBER(H1864),H1864&gt;0),G1864/H1864-1,"")</x:f>
        <x:v>0</x:v>
      </x:c>
      <x:c r="J1864" s="27" t="n">
        <x:f>IF(AND(ISNUMBER(G1864),F1864&gt;0),G1864/F1864-1,"")</x:f>
        <x:v>0</x:v>
      </x:c>
      <x:c r="K1864" s="19" t="str">
        <x:v>Exp_6/EXP055/results/seed1711112905_Fixed_rank_25.json</x:v>
      </x:c>
    </x:row>
    <x:row r="1865" ht="15" hidden="0" customHeight="1">
      <x:c r="A1865" s="3" t="str">
        <x:v>EXP055</x:v>
      </x:c>
      <x:c r="B1865" s="3" t="str">
        <x:v>Exp. 6</x:v>
      </x:c>
      <x:c r="C1865" s="18" t="n">
        <x:v>1711112905</x:v>
      </x:c>
      <x:c r="D1865" s="3" t="str">
        <x:v>Relative cutoff 1e-6</x:v>
      </x:c>
      <x:c r="E1865" s="18" t="n">
        <x:v>200</x:v>
      </x:c>
      <x:c r="F1865" s="21" t="n">
        <x:v>395.75470728768494</x:v>
      </x:c>
      <x:c r="G1865" s="21" t="n">
        <x:f>F1861</x:f>
        <x:v>395.75470728768494</x:v>
      </x:c>
      <x:c r="H1865" s="21" t="n">
        <x:f>F1866</x:f>
        <x:v>395.75470728768494</x:v>
      </x:c>
      <x:c r="I1865" s="27" t="n">
        <x:f>IF(AND(ISNUMBER(G1865),ISNUMBER(H1865),H1865&gt;0),G1865/H1865-1,"")</x:f>
        <x:v>0</x:v>
      </x:c>
      <x:c r="J1865" s="27" t="n">
        <x:f>IF(AND(ISNUMBER(G1865),F1865&gt;0),G1865/F1865-1,"")</x:f>
        <x:v>0</x:v>
      </x:c>
      <x:c r="K1865" s="19" t="str">
        <x:v>Exp_6/EXP055/results/seed1711112905_Relative_cutoff_1e-6.json</x:v>
      </x:c>
    </x:row>
    <x:row r="1866" ht="15" hidden="0" customHeight="1">
      <x:c r="A1866" s="3" t="str">
        <x:v>EXP055</x:v>
      </x:c>
      <x:c r="B1866" s="3" t="str">
        <x:v>Exp. 6</x:v>
      </x:c>
      <x:c r="C1866" s="18" t="n">
        <x:v>1711112905</x:v>
      </x:c>
      <x:c r="D1866" s="3" t="str">
        <x:v>Full</x:v>
      </x:c>
      <x:c r="E1866" s="18" t="n">
        <x:v>200</x:v>
      </x:c>
      <x:c r="F1866" s="21" t="n">
        <x:v>395.75470728768494</x:v>
      </x:c>
      <x:c r="G1866" s="21" t="n">
        <x:f>F1861</x:f>
        <x:v>395.75470728768494</x:v>
      </x:c>
      <x:c r="H1866" s="21" t="n">
        <x:f>F1866</x:f>
        <x:v>395.75470728768494</x:v>
      </x:c>
      <x:c r="I1866" s="27" t="n">
        <x:f>IF(AND(ISNUMBER(G1866),ISNUMBER(H1866),H1866&gt;0),G1866/H1866-1,"")</x:f>
        <x:v>0</x:v>
      </x:c>
      <x:c r="J1866" s="27" t="n">
        <x:f>IF(AND(ISNUMBER(G1866),F1866&gt;0),G1866/F1866-1,"")</x:f>
        <x:v>0</x:v>
      </x:c>
      <x:c r="K1866" s="19" t="str">
        <x:v>Exp_6/EXP055/results/seed1711112905_Full.json</x:v>
      </x:c>
    </x:row>
    <x:row r="1867" ht="15" hidden="0" customHeight="1">
      <x:c r="A1867" s="3" t="str">
        <x:v>EXP055</x:v>
      </x:c>
      <x:c r="B1867" s="3" t="str">
        <x:v>Exp. 6</x:v>
      </x:c>
      <x:c r="C1867" s="18" t="n">
        <x:v>1711112905</x:v>
      </x:c>
      <x:c r="D1867" s="3" t="str">
        <x:v>Relative cutoff 1e-2</x:v>
      </x:c>
      <x:c r="E1867" s="18" t="n">
        <x:v>200</x:v>
      </x:c>
      <x:c r="F1867" s="21" t="n">
        <x:v>413.3265555369324</x:v>
      </x:c>
      <x:c r="G1867" s="21" t="n">
        <x:f>F1861</x:f>
        <x:v>395.75470728768494</x:v>
      </x:c>
      <x:c r="H1867" s="21" t="n">
        <x:f>F1866</x:f>
        <x:v>395.75470728768494</x:v>
      </x:c>
      <x:c r="I1867" s="27" t="n">
        <x:f>IF(AND(ISNUMBER(G1867),ISNUMBER(H1867),H1867&gt;0),G1867/H1867-1,"")</x:f>
        <x:v>0</x:v>
      </x:c>
      <x:c r="J1867" s="27" t="n">
        <x:f>IF(AND(ISNUMBER(G1867),F1867&gt;0),G1867/F1867-1,"")</x:f>
        <x:v>-0.04251323321440292</x:v>
      </x:c>
      <x:c r="K1867" s="19" t="str">
        <x:v>Exp_6/EXP055/results/seed1711112905_Relative_cutoff_1e-2.json</x:v>
      </x:c>
    </x:row>
    <x:row r="1868" ht="15" hidden="0" customHeight="1">
      <x:c r="A1868" s="3" t="str">
        <x:v>EXP055</x:v>
      </x:c>
      <x:c r="B1868" s="3" t="str">
        <x:v>Exp. 6</x:v>
      </x:c>
      <x:c r="C1868" s="18" t="n">
        <x:v>1711112905</x:v>
      </x:c>
      <x:c r="D1868" s="3" t="str">
        <x:v>Relative cutoff 1e-4</x:v>
      </x:c>
      <x:c r="E1868" s="18" t="n">
        <x:v>200</x:v>
      </x:c>
      <x:c r="F1868" s="21" t="n">
        <x:v>397.2989367338676</x:v>
      </x:c>
      <x:c r="G1868" s="21" t="n">
        <x:f>F1861</x:f>
        <x:v>395.75470728768494</x:v>
      </x:c>
      <x:c r="H1868" s="21" t="n">
        <x:f>F1866</x:f>
        <x:v>395.75470728768494</x:v>
      </x:c>
      <x:c r="I1868" s="27" t="n">
        <x:f>IF(AND(ISNUMBER(G1868),ISNUMBER(H1868),H1868&gt;0),G1868/H1868-1,"")</x:f>
        <x:v>0</x:v>
      </x:c>
      <x:c r="J1868" s="27" t="n">
        <x:f>IF(AND(ISNUMBER(G1868),F1868&gt;0),G1868/F1868-1,"")</x:f>
        <x:v>-0.003886819982146239</x:v>
      </x:c>
      <x:c r="K1868" s="19" t="str">
        <x:v>Exp_6/EXP055/results/seed1711112905_Relative_cutoff_1e-4.json</x:v>
      </x:c>
    </x:row>
    <x:row r="1869" ht="15" hidden="0" customHeight="1">
      <x:c r="A1869" s="3" t="str">
        <x:v>EXP058</x:v>
      </x:c>
      <x:c r="B1869" s="3" t="str">
        <x:v>Exp. 6</x:v>
      </x:c>
      <x:c r="C1869" s="18" t="n">
        <x:v>1000</x:v>
      </x:c>
      <x:c r="D1869" s="3" t="str">
        <x:v>Fixed rank 10</x:v>
      </x:c>
      <x:c r="E1869" s="18" t="n">
        <x:v>200</x:v>
      </x:c>
      <x:c r="F1869" s="21" t="n">
        <x:v>502.64268921464657</x:v>
      </x:c>
      <x:c r="G1869" s="21" t="str">
        <x:f>""</x:f>
      </x:c>
      <x:c r="H1869" s="21" t="n">
        <x:f>F1872</x:f>
        <x:v>552.6864143821681</x:v>
      </x:c>
      <x:c r="I1869" s="27" t="str">
        <x:f>IF(AND(ISNUMBER(G1869),ISNUMBER(H1869),H1869&gt;0),G1869/H1869-1,"")</x:f>
      </x:c>
      <x:c r="J1869" s="27" t="str">
        <x:f>IF(AND(ISNUMBER(G1869),F1869&gt;0),G1869/F1869-1,"")</x:f>
      </x:c>
      <x:c r="K1869" s="19" t="str">
        <x:v>Exp_6/EXP058/results/seed1000_Fixed_rank_10.json</x:v>
      </x:c>
    </x:row>
    <x:row r="1870" ht="15" hidden="0" customHeight="1">
      <x:c r="A1870" s="3" t="str">
        <x:v>EXP058</x:v>
      </x:c>
      <x:c r="B1870" s="3" t="str">
        <x:v>Exp. 6</x:v>
      </x:c>
      <x:c r="C1870" s="18" t="n">
        <x:v>1000</x:v>
      </x:c>
      <x:c r="D1870" s="3" t="str">
        <x:v>Fixed rank 3</x:v>
      </x:c>
      <x:c r="E1870" s="18" t="n">
        <x:v>200</x:v>
      </x:c>
      <x:c r="F1870" s="21" t="n">
        <x:v>539.8272310519503</x:v>
      </x:c>
      <x:c r="G1870" s="21" t="str">
        <x:f>""</x:f>
      </x:c>
      <x:c r="H1870" s="21" t="n">
        <x:f>F1872</x:f>
        <x:v>552.6864143821681</x:v>
      </x:c>
      <x:c r="I1870" s="27" t="str">
        <x:f>IF(AND(ISNUMBER(G1870),ISNUMBER(H1870),H1870&gt;0),G1870/H1870-1,"")</x:f>
      </x:c>
      <x:c r="J1870" s="27" t="str">
        <x:f>IF(AND(ISNUMBER(G1870),F1870&gt;0),G1870/F1870-1,"")</x:f>
      </x:c>
      <x:c r="K1870" s="19" t="str">
        <x:v>Exp_6/EXP058/results/seed1000_Fixed_rank_3.json</x:v>
      </x:c>
    </x:row>
    <x:row r="1871" ht="15" hidden="0" customHeight="1">
      <x:c r="A1871" s="3" t="str">
        <x:v>EXP058</x:v>
      </x:c>
      <x:c r="B1871" s="3" t="str">
        <x:v>Exp. 6</x:v>
      </x:c>
      <x:c r="C1871" s="18" t="n">
        <x:v>1000</x:v>
      </x:c>
      <x:c r="D1871" s="3" t="str">
        <x:v>Fixed rank 5</x:v>
      </x:c>
      <x:c r="E1871" s="18" t="n">
        <x:v>200</x:v>
      </x:c>
      <x:c r="F1871" s="21" t="n">
        <x:v>515.8383230192218</x:v>
      </x:c>
      <x:c r="G1871" s="21" t="str">
        <x:f>""</x:f>
      </x:c>
      <x:c r="H1871" s="21" t="n">
        <x:f>F1872</x:f>
        <x:v>552.6864143821681</x:v>
      </x:c>
      <x:c r="I1871" s="27" t="str">
        <x:f>IF(AND(ISNUMBER(G1871),ISNUMBER(H1871),H1871&gt;0),G1871/H1871-1,"")</x:f>
      </x:c>
      <x:c r="J1871" s="27" t="str">
        <x:f>IF(AND(ISNUMBER(G1871),F1871&gt;0),G1871/F1871-1,"")</x:f>
      </x:c>
      <x:c r="K1871" s="19" t="str">
        <x:v>Exp_6/EXP058/results/seed1000_Fixed_rank_5.json</x:v>
      </x:c>
    </x:row>
    <x:row r="1872" ht="15" hidden="0" customHeight="1">
      <x:c r="A1872" s="3" t="str">
        <x:v>EXP058</x:v>
      </x:c>
      <x:c r="B1872" s="3" t="str">
        <x:v>Exp. 6</x:v>
      </x:c>
      <x:c r="C1872" s="18" t="n">
        <x:v>1000</x:v>
      </x:c>
      <x:c r="D1872" s="3" t="str">
        <x:v>Full</x:v>
      </x:c>
      <x:c r="E1872" s="18" t="n">
        <x:v>200</x:v>
      </x:c>
      <x:c r="F1872" s="21" t="n">
        <x:v>552.6864143821681</x:v>
      </x:c>
      <x:c r="G1872" s="21" t="str">
        <x:f>""</x:f>
      </x:c>
      <x:c r="H1872" s="21" t="n">
        <x:f>F1872</x:f>
        <x:v>552.6864143821681</x:v>
      </x:c>
      <x:c r="I1872" s="27" t="str">
        <x:f>IF(AND(ISNUMBER(G1872),ISNUMBER(H1872),H1872&gt;0),G1872/H1872-1,"")</x:f>
      </x:c>
      <x:c r="J1872" s="27" t="str">
        <x:f>IF(AND(ISNUMBER(G1872),F1872&gt;0),G1872/F1872-1,"")</x:f>
      </x:c>
      <x:c r="K1872" s="19" t="str">
        <x:v>Exp_6/EXP058/results/seed1000_Full.json</x:v>
      </x:c>
    </x:row>
    <x:row r="1873" ht="15" hidden="0" customHeight="1">
      <x:c r="A1873" s="3" t="str">
        <x:v>EXP058</x:v>
      </x:c>
      <x:c r="B1873" s="3" t="str">
        <x:v>Exp. 6</x:v>
      </x:c>
      <x:c r="C1873" s="18" t="n">
        <x:v>1000</x:v>
      </x:c>
      <x:c r="D1873" s="3" t="str">
        <x:v>Relative cutoff 1e-2</x:v>
      </x:c>
      <x:c r="E1873" s="18" t="n">
        <x:v>200</x:v>
      </x:c>
      <x:c r="F1873" s="21" t="n">
        <x:v>520.7591196603801</x:v>
      </x:c>
      <x:c r="G1873" s="21" t="str">
        <x:f>""</x:f>
      </x:c>
      <x:c r="H1873" s="21" t="n">
        <x:f>F1872</x:f>
        <x:v>552.6864143821681</x:v>
      </x:c>
      <x:c r="I1873" s="27" t="str">
        <x:f>IF(AND(ISNUMBER(G1873),ISNUMBER(H1873),H1873&gt;0),G1873/H1873-1,"")</x:f>
      </x:c>
      <x:c r="J1873" s="27" t="str">
        <x:f>IF(AND(ISNUMBER(G1873),F1873&gt;0),G1873/F1873-1,"")</x:f>
      </x:c>
      <x:c r="K1873" s="19" t="str">
        <x:v>Exp_6/EXP058/results/seed1000_Relative_cutoff_1e-2.json</x:v>
      </x:c>
    </x:row>
    <x:row r="1874" ht="15" hidden="0" customHeight="1">
      <x:c r="A1874" s="3" t="str">
        <x:v>EXP058</x:v>
      </x:c>
      <x:c r="B1874" s="3" t="str">
        <x:v>Exp. 6</x:v>
      </x:c>
      <x:c r="C1874" s="18" t="n">
        <x:v>1001</x:v>
      </x:c>
      <x:c r="D1874" s="3" t="str">
        <x:v>Fixed rank 10</x:v>
      </x:c>
      <x:c r="E1874" s="18" t="n">
        <x:v>200</x:v>
      </x:c>
      <x:c r="F1874" s="21" t="n">
        <x:v>567.6386362125015</x:v>
      </x:c>
      <x:c r="G1874" s="21" t="str">
        <x:f>""</x:f>
      </x:c>
      <x:c r="H1874" s="21" t="n">
        <x:f>F1877</x:f>
        <x:v>567.6386362125015</x:v>
      </x:c>
      <x:c r="I1874" s="27" t="str">
        <x:f>IF(AND(ISNUMBER(G1874),ISNUMBER(H1874),H1874&gt;0),G1874/H1874-1,"")</x:f>
      </x:c>
      <x:c r="J1874" s="27" t="str">
        <x:f>IF(AND(ISNUMBER(G1874),F1874&gt;0),G1874/F1874-1,"")</x:f>
      </x:c>
      <x:c r="K1874" s="19" t="str">
        <x:v>Exp_6/EXP058/results/seed1001_Fixed_rank_10.json</x:v>
      </x:c>
    </x:row>
    <x:row r="1875" ht="15" hidden="0" customHeight="1">
      <x:c r="A1875" s="3" t="str">
        <x:v>EXP058</x:v>
      </x:c>
      <x:c r="B1875" s="3" t="str">
        <x:v>Exp. 6</x:v>
      </x:c>
      <x:c r="C1875" s="18" t="n">
        <x:v>1001</x:v>
      </x:c>
      <x:c r="D1875" s="3" t="str">
        <x:v>Fixed rank 3</x:v>
      </x:c>
      <x:c r="E1875" s="18" t="n">
        <x:v>200</x:v>
      </x:c>
      <x:c r="F1875" s="21" t="n">
        <x:v>531.0064498019424</x:v>
      </x:c>
      <x:c r="G1875" s="21" t="str">
        <x:f>""</x:f>
      </x:c>
      <x:c r="H1875" s="21" t="n">
        <x:f>F1877</x:f>
        <x:v>567.6386362125015</x:v>
      </x:c>
      <x:c r="I1875" s="27" t="str">
        <x:f>IF(AND(ISNUMBER(G1875),ISNUMBER(H1875),H1875&gt;0),G1875/H1875-1,"")</x:f>
      </x:c>
      <x:c r="J1875" s="27" t="str">
        <x:f>IF(AND(ISNUMBER(G1875),F1875&gt;0),G1875/F1875-1,"")</x:f>
      </x:c>
      <x:c r="K1875" s="19" t="str">
        <x:v>Exp_6/EXP058/results/seed1001_Fixed_rank_3.json</x:v>
      </x:c>
    </x:row>
    <x:row r="1876" ht="15" hidden="0" customHeight="1">
      <x:c r="A1876" s="3" t="str">
        <x:v>EXP058</x:v>
      </x:c>
      <x:c r="B1876" s="3" t="str">
        <x:v>Exp. 6</x:v>
      </x:c>
      <x:c r="C1876" s="18" t="n">
        <x:v>1001</x:v>
      </x:c>
      <x:c r="D1876" s="3" t="str">
        <x:v>Fixed rank 5</x:v>
      </x:c>
      <x:c r="E1876" s="18" t="n">
        <x:v>200</x:v>
      </x:c>
      <x:c r="F1876" s="21" t="n">
        <x:v>567.6386362125015</x:v>
      </x:c>
      <x:c r="G1876" s="21" t="str">
        <x:f>""</x:f>
      </x:c>
      <x:c r="H1876" s="21" t="n">
        <x:f>F1877</x:f>
        <x:v>567.6386362125015</x:v>
      </x:c>
      <x:c r="I1876" s="27" t="str">
        <x:f>IF(AND(ISNUMBER(G1876),ISNUMBER(H1876),H1876&gt;0),G1876/H1876-1,"")</x:f>
      </x:c>
      <x:c r="J1876" s="27" t="str">
        <x:f>IF(AND(ISNUMBER(G1876),F1876&gt;0),G1876/F1876-1,"")</x:f>
      </x:c>
      <x:c r="K1876" s="19" t="str">
        <x:v>Exp_6/EXP058/results/seed1001_Fixed_rank_5.json</x:v>
      </x:c>
    </x:row>
    <x:row r="1877" ht="15" hidden="0" customHeight="1">
      <x:c r="A1877" s="3" t="str">
        <x:v>EXP058</x:v>
      </x:c>
      <x:c r="B1877" s="3" t="str">
        <x:v>Exp. 6</x:v>
      </x:c>
      <x:c r="C1877" s="18" t="n">
        <x:v>1001</x:v>
      </x:c>
      <x:c r="D1877" s="3" t="str">
        <x:v>Full</x:v>
      </x:c>
      <x:c r="E1877" s="18" t="n">
        <x:v>200</x:v>
      </x:c>
      <x:c r="F1877" s="21" t="n">
        <x:v>567.6386362125015</x:v>
      </x:c>
      <x:c r="G1877" s="21" t="str">
        <x:f>""</x:f>
      </x:c>
      <x:c r="H1877" s="21" t="n">
        <x:f>F1877</x:f>
        <x:v>567.6386362125015</x:v>
      </x:c>
      <x:c r="I1877" s="27" t="str">
        <x:f>IF(AND(ISNUMBER(G1877),ISNUMBER(H1877),H1877&gt;0),G1877/H1877-1,"")</x:f>
      </x:c>
      <x:c r="J1877" s="27" t="str">
        <x:f>IF(AND(ISNUMBER(G1877),F1877&gt;0),G1877/F1877-1,"")</x:f>
      </x:c>
      <x:c r="K1877" s="19" t="str">
        <x:v>Exp_6/EXP058/results/seed1001_Full.json</x:v>
      </x:c>
    </x:row>
    <x:row r="1878" ht="15" hidden="0" customHeight="1">
      <x:c r="A1878" s="3" t="str">
        <x:v>EXP058</x:v>
      </x:c>
      <x:c r="B1878" s="3" t="str">
        <x:v>Exp. 6</x:v>
      </x:c>
      <x:c r="C1878" s="18" t="n">
        <x:v>1001</x:v>
      </x:c>
      <x:c r="D1878" s="3" t="str">
        <x:v>Relative cutoff 1e-2</x:v>
      </x:c>
      <x:c r="E1878" s="18" t="n">
        <x:v>200</x:v>
      </x:c>
      <x:c r="F1878" s="21" t="n">
        <x:v>556.1322865959432</x:v>
      </x:c>
      <x:c r="G1878" s="21" t="str">
        <x:f>""</x:f>
      </x:c>
      <x:c r="H1878" s="21" t="n">
        <x:f>F1877</x:f>
        <x:v>567.6386362125015</x:v>
      </x:c>
      <x:c r="I1878" s="27" t="str">
        <x:f>IF(AND(ISNUMBER(G1878),ISNUMBER(H1878),H1878&gt;0),G1878/H1878-1,"")</x:f>
      </x:c>
      <x:c r="J1878" s="27" t="str">
        <x:f>IF(AND(ISNUMBER(G1878),F1878&gt;0),G1878/F1878-1,"")</x:f>
      </x:c>
      <x:c r="K1878" s="19" t="str">
        <x:v>Exp_6/EXP058/results/seed1001_Relative_cutoff_1e-2.json</x:v>
      </x:c>
    </x:row>
    <x:row r="1879" ht="15" hidden="0" customHeight="1">
      <x:c r="A1879" s="3" t="str">
        <x:v>EXP058</x:v>
      </x:c>
      <x:c r="B1879" s="3" t="str">
        <x:v>Exp. 6</x:v>
      </x:c>
      <x:c r="C1879" s="18" t="n">
        <x:v>1002</x:v>
      </x:c>
      <x:c r="D1879" s="3" t="str">
        <x:v>Fixed rank 10</x:v>
      </x:c>
      <x:c r="E1879" s="18" t="n">
        <x:v>200</x:v>
      </x:c>
      <x:c r="F1879" s="21" t="n">
        <x:v>566.0276913435569</x:v>
      </x:c>
      <x:c r="G1879" s="21" t="str">
        <x:f>""</x:f>
      </x:c>
      <x:c r="H1879" s="21" t="n">
        <x:f>F1882</x:f>
        <x:v>566.0276913435569</x:v>
      </x:c>
      <x:c r="I1879" s="27" t="str">
        <x:f>IF(AND(ISNUMBER(G1879),ISNUMBER(H1879),H1879&gt;0),G1879/H1879-1,"")</x:f>
      </x:c>
      <x:c r="J1879" s="27" t="str">
        <x:f>IF(AND(ISNUMBER(G1879),F1879&gt;0),G1879/F1879-1,"")</x:f>
      </x:c>
      <x:c r="K1879" s="19" t="str">
        <x:v>Exp_6/EXP058/results/seed1002_Fixed_rank_10.json</x:v>
      </x:c>
    </x:row>
    <x:row r="1880" ht="15" hidden="0" customHeight="1">
      <x:c r="A1880" s="3" t="str">
        <x:v>EXP058</x:v>
      </x:c>
      <x:c r="B1880" s="3" t="str">
        <x:v>Exp. 6</x:v>
      </x:c>
      <x:c r="C1880" s="18" t="n">
        <x:v>1002</x:v>
      </x:c>
      <x:c r="D1880" s="3" t="str">
        <x:v>Fixed rank 3</x:v>
      </x:c>
      <x:c r="E1880" s="18" t="n">
        <x:v>200</x:v>
      </x:c>
      <x:c r="F1880" s="21" t="n">
        <x:v>551.8562885752496</x:v>
      </x:c>
      <x:c r="G1880" s="21" t="str">
        <x:f>""</x:f>
      </x:c>
      <x:c r="H1880" s="21" t="n">
        <x:f>F1882</x:f>
        <x:v>566.0276913435569</x:v>
      </x:c>
      <x:c r="I1880" s="27" t="str">
        <x:f>IF(AND(ISNUMBER(G1880),ISNUMBER(H1880),H1880&gt;0),G1880/H1880-1,"")</x:f>
      </x:c>
      <x:c r="J1880" s="27" t="str">
        <x:f>IF(AND(ISNUMBER(G1880),F1880&gt;0),G1880/F1880-1,"")</x:f>
      </x:c>
      <x:c r="K1880" s="19" t="str">
        <x:v>Exp_6/EXP058/results/seed1002_Fixed_rank_3.json</x:v>
      </x:c>
    </x:row>
    <x:row r="1881" ht="15" hidden="0" customHeight="1">
      <x:c r="A1881" s="3" t="str">
        <x:v>EXP058</x:v>
      </x:c>
      <x:c r="B1881" s="3" t="str">
        <x:v>Exp. 6</x:v>
      </x:c>
      <x:c r="C1881" s="18" t="n">
        <x:v>1002</x:v>
      </x:c>
      <x:c r="D1881" s="3" t="str">
        <x:v>Fixed rank 5</x:v>
      </x:c>
      <x:c r="E1881" s="18" t="n">
        <x:v>200</x:v>
      </x:c>
      <x:c r="F1881" s="21" t="n">
        <x:v>558.1825374223404</x:v>
      </x:c>
      <x:c r="G1881" s="21" t="str">
        <x:f>""</x:f>
      </x:c>
      <x:c r="H1881" s="21" t="n">
        <x:f>F1882</x:f>
        <x:v>566.0276913435569</x:v>
      </x:c>
      <x:c r="I1881" s="27" t="str">
        <x:f>IF(AND(ISNUMBER(G1881),ISNUMBER(H1881),H1881&gt;0),G1881/H1881-1,"")</x:f>
      </x:c>
      <x:c r="J1881" s="27" t="str">
        <x:f>IF(AND(ISNUMBER(G1881),F1881&gt;0),G1881/F1881-1,"")</x:f>
      </x:c>
      <x:c r="K1881" s="19" t="str">
        <x:v>Exp_6/EXP058/results/seed1002_Fixed_rank_5.json</x:v>
      </x:c>
    </x:row>
    <x:row r="1882" ht="15" hidden="0" customHeight="1">
      <x:c r="A1882" s="3" t="str">
        <x:v>EXP058</x:v>
      </x:c>
      <x:c r="B1882" s="3" t="str">
        <x:v>Exp. 6</x:v>
      </x:c>
      <x:c r="C1882" s="18" t="n">
        <x:v>1002</x:v>
      </x:c>
      <x:c r="D1882" s="3" t="str">
        <x:v>Full</x:v>
      </x:c>
      <x:c r="E1882" s="18" t="n">
        <x:v>200</x:v>
      </x:c>
      <x:c r="F1882" s="21" t="n">
        <x:v>566.0276913435569</x:v>
      </x:c>
      <x:c r="G1882" s="21" t="str">
        <x:f>""</x:f>
      </x:c>
      <x:c r="H1882" s="21" t="n">
        <x:f>F1882</x:f>
        <x:v>566.0276913435569</x:v>
      </x:c>
      <x:c r="I1882" s="27" t="str">
        <x:f>IF(AND(ISNUMBER(G1882),ISNUMBER(H1882),H1882&gt;0),G1882/H1882-1,"")</x:f>
      </x:c>
      <x:c r="J1882" s="27" t="str">
        <x:f>IF(AND(ISNUMBER(G1882),F1882&gt;0),G1882/F1882-1,"")</x:f>
      </x:c>
      <x:c r="K1882" s="19" t="str">
        <x:v>Exp_6/EXP058/results/seed1002_Full.json</x:v>
      </x:c>
    </x:row>
    <x:row r="1883" ht="15" hidden="0" customHeight="1">
      <x:c r="A1883" s="3" t="str">
        <x:v>EXP058</x:v>
      </x:c>
      <x:c r="B1883" s="3" t="str">
        <x:v>Exp. 6</x:v>
      </x:c>
      <x:c r="C1883" s="18" t="n">
        <x:v>1002</x:v>
      </x:c>
      <x:c r="D1883" s="3" t="str">
        <x:v>Relative cutoff 1e-2</x:v>
      </x:c>
      <x:c r="E1883" s="18" t="n">
        <x:v>200</x:v>
      </x:c>
      <x:c r="F1883" s="21" t="n">
        <x:v>551.8562885752496</x:v>
      </x:c>
      <x:c r="G1883" s="21" t="str">
        <x:f>""</x:f>
      </x:c>
      <x:c r="H1883" s="21" t="n">
        <x:f>F1882</x:f>
        <x:v>566.0276913435569</x:v>
      </x:c>
      <x:c r="I1883" s="27" t="str">
        <x:f>IF(AND(ISNUMBER(G1883),ISNUMBER(H1883),H1883&gt;0),G1883/H1883-1,"")</x:f>
      </x:c>
      <x:c r="J1883" s="27" t="str">
        <x:f>IF(AND(ISNUMBER(G1883),F1883&gt;0),G1883/F1883-1,"")</x:f>
      </x:c>
      <x:c r="K1883" s="19" t="str">
        <x:v>Exp_6/EXP058/results/seed1002_Relative_cutoff_1e-2.json</x:v>
      </x:c>
    </x:row>
    <x:row r="1884" ht="15" hidden="0" customHeight="1">
      <x:c r="A1884" s="3" t="str">
        <x:v>EXP058</x:v>
      </x:c>
      <x:c r="B1884" s="3" t="str">
        <x:v>Exp. 6</x:v>
      </x:c>
      <x:c r="C1884" s="18" t="n">
        <x:v>1003</x:v>
      </x:c>
      <x:c r="D1884" s="3" t="str">
        <x:v>Fixed rank 10</x:v>
      </x:c>
      <x:c r="E1884" s="18" t="n">
        <x:v>200</x:v>
      </x:c>
      <x:c r="F1884" s="21" t="n">
        <x:v>553.7353554947655</x:v>
      </x:c>
      <x:c r="G1884" s="21" t="str">
        <x:f>""</x:f>
      </x:c>
      <x:c r="H1884" s="21" t="n">
        <x:f>F1887</x:f>
        <x:v>584.2274671050137</x:v>
      </x:c>
      <x:c r="I1884" s="27" t="str">
        <x:f>IF(AND(ISNUMBER(G1884),ISNUMBER(H1884),H1884&gt;0),G1884/H1884-1,"")</x:f>
      </x:c>
      <x:c r="J1884" s="27" t="str">
        <x:f>IF(AND(ISNUMBER(G1884),F1884&gt;0),G1884/F1884-1,"")</x:f>
      </x:c>
      <x:c r="K1884" s="19" t="str">
        <x:v>Exp_6/EXP058/results/seed1003_Fixed_rank_10.json</x:v>
      </x:c>
    </x:row>
    <x:row r="1885" ht="15" hidden="0" customHeight="1">
      <x:c r="A1885" s="3" t="str">
        <x:v>EXP058</x:v>
      </x:c>
      <x:c r="B1885" s="3" t="str">
        <x:v>Exp. 6</x:v>
      </x:c>
      <x:c r="C1885" s="18" t="n">
        <x:v>1003</x:v>
      </x:c>
      <x:c r="D1885" s="3" t="str">
        <x:v>Fixed rank 3</x:v>
      </x:c>
      <x:c r="E1885" s="18" t="n">
        <x:v>200</x:v>
      </x:c>
      <x:c r="F1885" s="21" t="n">
        <x:v>562.9762622372656</x:v>
      </x:c>
      <x:c r="G1885" s="21" t="str">
        <x:f>""</x:f>
      </x:c>
      <x:c r="H1885" s="21" t="n">
        <x:f>F1887</x:f>
        <x:v>584.2274671050137</x:v>
      </x:c>
      <x:c r="I1885" s="27" t="str">
        <x:f>IF(AND(ISNUMBER(G1885),ISNUMBER(H1885),H1885&gt;0),G1885/H1885-1,"")</x:f>
      </x:c>
      <x:c r="J1885" s="27" t="str">
        <x:f>IF(AND(ISNUMBER(G1885),F1885&gt;0),G1885/F1885-1,"")</x:f>
      </x:c>
      <x:c r="K1885" s="19" t="str">
        <x:v>Exp_6/EXP058/results/seed1003_Fixed_rank_3.json</x:v>
      </x:c>
    </x:row>
    <x:row r="1886" ht="15" hidden="0" customHeight="1">
      <x:c r="A1886" s="3" t="str">
        <x:v>EXP058</x:v>
      </x:c>
      <x:c r="B1886" s="3" t="str">
        <x:v>Exp. 6</x:v>
      </x:c>
      <x:c r="C1886" s="18" t="n">
        <x:v>1003</x:v>
      </x:c>
      <x:c r="D1886" s="3" t="str">
        <x:v>Fixed rank 5</x:v>
      </x:c>
      <x:c r="E1886" s="18" t="n">
        <x:v>200</x:v>
      </x:c>
      <x:c r="F1886" s="21" t="n">
        <x:v>563.3434753992968</x:v>
      </x:c>
      <x:c r="G1886" s="21" t="str">
        <x:f>""</x:f>
      </x:c>
      <x:c r="H1886" s="21" t="n">
        <x:f>F1887</x:f>
        <x:v>584.2274671050137</x:v>
      </x:c>
      <x:c r="I1886" s="27" t="str">
        <x:f>IF(AND(ISNUMBER(G1886),ISNUMBER(H1886),H1886&gt;0),G1886/H1886-1,"")</x:f>
      </x:c>
      <x:c r="J1886" s="27" t="str">
        <x:f>IF(AND(ISNUMBER(G1886),F1886&gt;0),G1886/F1886-1,"")</x:f>
      </x:c>
      <x:c r="K1886" s="19" t="str">
        <x:v>Exp_6/EXP058/results/seed1003_Fixed_rank_5.json</x:v>
      </x:c>
    </x:row>
    <x:row r="1887" ht="15" hidden="0" customHeight="1">
      <x:c r="A1887" s="3" t="str">
        <x:v>EXP058</x:v>
      </x:c>
      <x:c r="B1887" s="3" t="str">
        <x:v>Exp. 6</x:v>
      </x:c>
      <x:c r="C1887" s="18" t="n">
        <x:v>1003</x:v>
      </x:c>
      <x:c r="D1887" s="3" t="str">
        <x:v>Full</x:v>
      </x:c>
      <x:c r="E1887" s="18" t="n">
        <x:v>200</x:v>
      </x:c>
      <x:c r="F1887" s="21" t="n">
        <x:v>584.2274671050137</x:v>
      </x:c>
      <x:c r="G1887" s="21" t="str">
        <x:f>""</x:f>
      </x:c>
      <x:c r="H1887" s="21" t="n">
        <x:f>F1887</x:f>
        <x:v>584.2274671050137</x:v>
      </x:c>
      <x:c r="I1887" s="27" t="str">
        <x:f>IF(AND(ISNUMBER(G1887),ISNUMBER(H1887),H1887&gt;0),G1887/H1887-1,"")</x:f>
      </x:c>
      <x:c r="J1887" s="27" t="str">
        <x:f>IF(AND(ISNUMBER(G1887),F1887&gt;0),G1887/F1887-1,"")</x:f>
      </x:c>
      <x:c r="K1887" s="19" t="str">
        <x:v>Exp_6/EXP058/results/seed1003_Full.json</x:v>
      </x:c>
    </x:row>
    <x:row r="1888" ht="15" hidden="0" customHeight="1">
      <x:c r="A1888" s="3" t="str">
        <x:v>EXP058</x:v>
      </x:c>
      <x:c r="B1888" s="3" t="str">
        <x:v>Exp. 6</x:v>
      </x:c>
      <x:c r="C1888" s="18" t="n">
        <x:v>1003</x:v>
      </x:c>
      <x:c r="D1888" s="3" t="str">
        <x:v>Relative cutoff 1e-2</x:v>
      </x:c>
      <x:c r="E1888" s="18" t="n">
        <x:v>200</x:v>
      </x:c>
      <x:c r="F1888" s="21" t="n">
        <x:v>581.948018047843</x:v>
      </x:c>
      <x:c r="G1888" s="21" t="str">
        <x:f>""</x:f>
      </x:c>
      <x:c r="H1888" s="21" t="n">
        <x:f>F1887</x:f>
        <x:v>584.2274671050137</x:v>
      </x:c>
      <x:c r="I1888" s="27" t="str">
        <x:f>IF(AND(ISNUMBER(G1888),ISNUMBER(H1888),H1888&gt;0),G1888/H1888-1,"")</x:f>
      </x:c>
      <x:c r="J1888" s="27" t="str">
        <x:f>IF(AND(ISNUMBER(G1888),F1888&gt;0),G1888/F1888-1,"")</x:f>
      </x:c>
      <x:c r="K1888" s="19" t="str">
        <x:v>Exp_6/EXP058/results/seed1003_Relative_cutoff_1e-2.json</x:v>
      </x:c>
    </x:row>
    <x:row r="1889" ht="15" hidden="0" customHeight="1">
      <x:c r="A1889" s="3" t="str">
        <x:v>EXP058</x:v>
      </x:c>
      <x:c r="B1889" s="3" t="str">
        <x:v>Exp. 6</x:v>
      </x:c>
      <x:c r="C1889" s="18" t="n">
        <x:v>1004</x:v>
      </x:c>
      <x:c r="D1889" s="3" t="str">
        <x:v>Fixed rank 10</x:v>
      </x:c>
      <x:c r="E1889" s="18" t="n">
        <x:v>200</x:v>
      </x:c>
      <x:c r="F1889" s="21" t="n">
        <x:v>502.8467180736608</x:v>
      </x:c>
      <x:c r="G1889" s="21" t="str">
        <x:f>""</x:f>
      </x:c>
      <x:c r="H1889" s="21" t="n">
        <x:f>F1892</x:f>
        <x:v>494.57670817135505</x:v>
      </x:c>
      <x:c r="I1889" s="27" t="str">
        <x:f>IF(AND(ISNUMBER(G1889),ISNUMBER(H1889),H1889&gt;0),G1889/H1889-1,"")</x:f>
      </x:c>
      <x:c r="J1889" s="27" t="str">
        <x:f>IF(AND(ISNUMBER(G1889),F1889&gt;0),G1889/F1889-1,"")</x:f>
      </x:c>
      <x:c r="K1889" s="19" t="str">
        <x:v>Exp_6/EXP058/results/seed1004_Fixed_rank_10.json</x:v>
      </x:c>
    </x:row>
    <x:row r="1890" ht="15" hidden="0" customHeight="1">
      <x:c r="A1890" s="3" t="str">
        <x:v>EXP058</x:v>
      </x:c>
      <x:c r="B1890" s="3" t="str">
        <x:v>Exp. 6</x:v>
      </x:c>
      <x:c r="C1890" s="18" t="n">
        <x:v>1004</x:v>
      </x:c>
      <x:c r="D1890" s="3" t="str">
        <x:v>Fixed rank 3</x:v>
      </x:c>
      <x:c r="E1890" s="18" t="n">
        <x:v>200</x:v>
      </x:c>
      <x:c r="F1890" s="21" t="n">
        <x:v>521.8774338460988</x:v>
      </x:c>
      <x:c r="G1890" s="21" t="str">
        <x:f>""</x:f>
      </x:c>
      <x:c r="H1890" s="21" t="n">
        <x:f>F1892</x:f>
        <x:v>494.57670817135505</x:v>
      </x:c>
      <x:c r="I1890" s="27" t="str">
        <x:f>IF(AND(ISNUMBER(G1890),ISNUMBER(H1890),H1890&gt;0),G1890/H1890-1,"")</x:f>
      </x:c>
      <x:c r="J1890" s="27" t="str">
        <x:f>IF(AND(ISNUMBER(G1890),F1890&gt;0),G1890/F1890-1,"")</x:f>
      </x:c>
      <x:c r="K1890" s="19" t="str">
        <x:v>Exp_6/EXP058/results/seed1004_Fixed_rank_3.json</x:v>
      </x:c>
    </x:row>
    <x:row r="1891" ht="15" hidden="0" customHeight="1">
      <x:c r="A1891" s="3" t="str">
        <x:v>EXP058</x:v>
      </x:c>
      <x:c r="B1891" s="3" t="str">
        <x:v>Exp. 6</x:v>
      </x:c>
      <x:c r="C1891" s="18" t="n">
        <x:v>1004</x:v>
      </x:c>
      <x:c r="D1891" s="3" t="str">
        <x:v>Fixed rank 5</x:v>
      </x:c>
      <x:c r="E1891" s="18" t="n">
        <x:v>200</x:v>
      </x:c>
      <x:c r="F1891" s="21" t="n">
        <x:v>510.18372184650434</x:v>
      </x:c>
      <x:c r="G1891" s="21" t="str">
        <x:f>""</x:f>
      </x:c>
      <x:c r="H1891" s="21" t="n">
        <x:f>F1892</x:f>
        <x:v>494.57670817135505</x:v>
      </x:c>
      <x:c r="I1891" s="27" t="str">
        <x:f>IF(AND(ISNUMBER(G1891),ISNUMBER(H1891),H1891&gt;0),G1891/H1891-1,"")</x:f>
      </x:c>
      <x:c r="J1891" s="27" t="str">
        <x:f>IF(AND(ISNUMBER(G1891),F1891&gt;0),G1891/F1891-1,"")</x:f>
      </x:c>
      <x:c r="K1891" s="19" t="str">
        <x:v>Exp_6/EXP058/results/seed1004_Fixed_rank_5.json</x:v>
      </x:c>
    </x:row>
    <x:row r="1892" ht="15" hidden="0" customHeight="1">
      <x:c r="A1892" s="3" t="str">
        <x:v>EXP058</x:v>
      </x:c>
      <x:c r="B1892" s="3" t="str">
        <x:v>Exp. 6</x:v>
      </x:c>
      <x:c r="C1892" s="18" t="n">
        <x:v>1004</x:v>
      </x:c>
      <x:c r="D1892" s="3" t="str">
        <x:v>Full</x:v>
      </x:c>
      <x:c r="E1892" s="18" t="n">
        <x:v>200</x:v>
      </x:c>
      <x:c r="F1892" s="21" t="n">
        <x:v>494.57670817135505</x:v>
      </x:c>
      <x:c r="G1892" s="21" t="str">
        <x:f>""</x:f>
      </x:c>
      <x:c r="H1892" s="21" t="n">
        <x:f>F1892</x:f>
        <x:v>494.57670817135505</x:v>
      </x:c>
      <x:c r="I1892" s="27" t="str">
        <x:f>IF(AND(ISNUMBER(G1892),ISNUMBER(H1892),H1892&gt;0),G1892/H1892-1,"")</x:f>
      </x:c>
      <x:c r="J1892" s="27" t="str">
        <x:f>IF(AND(ISNUMBER(G1892),F1892&gt;0),G1892/F1892-1,"")</x:f>
      </x:c>
      <x:c r="K1892" s="19" t="str">
        <x:v>Exp_6/EXP058/results/seed1004_Full.json</x:v>
      </x:c>
    </x:row>
    <x:row r="1893" ht="15" hidden="0" customHeight="1">
      <x:c r="A1893" s="3" t="str">
        <x:v>EXP058</x:v>
      </x:c>
      <x:c r="B1893" s="3" t="str">
        <x:v>Exp. 6</x:v>
      </x:c>
      <x:c r="C1893" s="18" t="n">
        <x:v>1004</x:v>
      </x:c>
      <x:c r="D1893" s="3" t="str">
        <x:v>Relative cutoff 1e-2</x:v>
      </x:c>
      <x:c r="E1893" s="18" t="n">
        <x:v>200</x:v>
      </x:c>
      <x:c r="F1893" s="21" t="n">
        <x:v>527.2185079989874</x:v>
      </x:c>
      <x:c r="G1893" s="21" t="str">
        <x:f>""</x:f>
      </x:c>
      <x:c r="H1893" s="21" t="n">
        <x:f>F1892</x:f>
        <x:v>494.57670817135505</x:v>
      </x:c>
      <x:c r="I1893" s="27" t="str">
        <x:f>IF(AND(ISNUMBER(G1893),ISNUMBER(H1893),H1893&gt;0),G1893/H1893-1,"")</x:f>
      </x:c>
      <x:c r="J1893" s="27" t="str">
        <x:f>IF(AND(ISNUMBER(G1893),F1893&gt;0),G1893/F1893-1,"")</x:f>
      </x:c>
      <x:c r="K1893" s="19" t="str">
        <x:v>Exp_6/EXP058/results/seed1004_Relative_cutoff_1e-2.json</x:v>
      </x:c>
    </x:row>
    <x:row r="1894" ht="15" hidden="0" customHeight="1">
      <x:c r="A1894" s="3" t="str">
        <x:v>EXP058</x:v>
      </x:c>
      <x:c r="B1894" s="3" t="str">
        <x:v>Exp. 6</x:v>
      </x:c>
      <x:c r="C1894" s="18" t="n">
        <x:v>1005</x:v>
      </x:c>
      <x:c r="D1894" s="3" t="str">
        <x:v>Fixed rank 10</x:v>
      </x:c>
      <x:c r="E1894" s="18" t="n">
        <x:v>200</x:v>
      </x:c>
      <x:c r="F1894" s="21" t="n">
        <x:v>567.7679685472488</x:v>
      </x:c>
      <x:c r="G1894" s="21" t="str">
        <x:f>""</x:f>
      </x:c>
      <x:c r="H1894" s="21" t="n">
        <x:f>F1897</x:f>
        <x:v>541.3163424052266</x:v>
      </x:c>
      <x:c r="I1894" s="27" t="str">
        <x:f>IF(AND(ISNUMBER(G1894),ISNUMBER(H1894),H1894&gt;0),G1894/H1894-1,"")</x:f>
      </x:c>
      <x:c r="J1894" s="27" t="str">
        <x:f>IF(AND(ISNUMBER(G1894),F1894&gt;0),G1894/F1894-1,"")</x:f>
      </x:c>
      <x:c r="K1894" s="19" t="str">
        <x:v>Exp_6/EXP058/results/seed1005_Fixed_rank_10.json</x:v>
      </x:c>
    </x:row>
    <x:row r="1895" ht="15" hidden="0" customHeight="1">
      <x:c r="A1895" s="3" t="str">
        <x:v>EXP058</x:v>
      </x:c>
      <x:c r="B1895" s="3" t="str">
        <x:v>Exp. 6</x:v>
      </x:c>
      <x:c r="C1895" s="18" t="n">
        <x:v>1005</x:v>
      </x:c>
      <x:c r="D1895" s="3" t="str">
        <x:v>Fixed rank 3</x:v>
      </x:c>
      <x:c r="E1895" s="18" t="n">
        <x:v>200</x:v>
      </x:c>
      <x:c r="F1895" s="21" t="n">
        <x:v>572.9427997624316</x:v>
      </x:c>
      <x:c r="G1895" s="21" t="str">
        <x:f>""</x:f>
      </x:c>
      <x:c r="H1895" s="21" t="n">
        <x:f>F1897</x:f>
        <x:v>541.3163424052266</x:v>
      </x:c>
      <x:c r="I1895" s="27" t="str">
        <x:f>IF(AND(ISNUMBER(G1895),ISNUMBER(H1895),H1895&gt;0),G1895/H1895-1,"")</x:f>
      </x:c>
      <x:c r="J1895" s="27" t="str">
        <x:f>IF(AND(ISNUMBER(G1895),F1895&gt;0),G1895/F1895-1,"")</x:f>
      </x:c>
      <x:c r="K1895" s="19" t="str">
        <x:v>Exp_6/EXP058/results/seed1005_Fixed_rank_3.json</x:v>
      </x:c>
    </x:row>
    <x:row r="1896" ht="15" hidden="0" customHeight="1">
      <x:c r="A1896" s="3" t="str">
        <x:v>EXP058</x:v>
      </x:c>
      <x:c r="B1896" s="3" t="str">
        <x:v>Exp. 6</x:v>
      </x:c>
      <x:c r="C1896" s="18" t="n">
        <x:v>1005</x:v>
      </x:c>
      <x:c r="D1896" s="3" t="str">
        <x:v>Fixed rank 5</x:v>
      </x:c>
      <x:c r="E1896" s="18" t="n">
        <x:v>200</x:v>
      </x:c>
      <x:c r="F1896" s="21" t="n">
        <x:v>572.9172579504926</x:v>
      </x:c>
      <x:c r="G1896" s="21" t="str">
        <x:f>""</x:f>
      </x:c>
      <x:c r="H1896" s="21" t="n">
        <x:f>F1897</x:f>
        <x:v>541.3163424052266</x:v>
      </x:c>
      <x:c r="I1896" s="27" t="str">
        <x:f>IF(AND(ISNUMBER(G1896),ISNUMBER(H1896),H1896&gt;0),G1896/H1896-1,"")</x:f>
      </x:c>
      <x:c r="J1896" s="27" t="str">
        <x:f>IF(AND(ISNUMBER(G1896),F1896&gt;0),G1896/F1896-1,"")</x:f>
      </x:c>
      <x:c r="K1896" s="19" t="str">
        <x:v>Exp_6/EXP058/results/seed1005_Fixed_rank_5.json</x:v>
      </x:c>
    </x:row>
    <x:row r="1897" ht="15" hidden="0" customHeight="1">
      <x:c r="A1897" s="3" t="str">
        <x:v>EXP058</x:v>
      </x:c>
      <x:c r="B1897" s="3" t="str">
        <x:v>Exp. 6</x:v>
      </x:c>
      <x:c r="C1897" s="18" t="n">
        <x:v>1005</x:v>
      </x:c>
      <x:c r="D1897" s="3" t="str">
        <x:v>Full</x:v>
      </x:c>
      <x:c r="E1897" s="18" t="n">
        <x:v>200</x:v>
      </x:c>
      <x:c r="F1897" s="21" t="n">
        <x:v>541.3163424052266</x:v>
      </x:c>
      <x:c r="G1897" s="21" t="str">
        <x:f>""</x:f>
      </x:c>
      <x:c r="H1897" s="21" t="n">
        <x:f>F1897</x:f>
        <x:v>541.3163424052266</x:v>
      </x:c>
      <x:c r="I1897" s="27" t="str">
        <x:f>IF(AND(ISNUMBER(G1897),ISNUMBER(H1897),H1897&gt;0),G1897/H1897-1,"")</x:f>
      </x:c>
      <x:c r="J1897" s="27" t="str">
        <x:f>IF(AND(ISNUMBER(G1897),F1897&gt;0),G1897/F1897-1,"")</x:f>
      </x:c>
      <x:c r="K1897" s="19" t="str">
        <x:v>Exp_6/EXP058/results/seed1005_Full.json</x:v>
      </x:c>
    </x:row>
    <x:row r="1898" ht="15" hidden="0" customHeight="1">
      <x:c r="A1898" s="3" t="str">
        <x:v>EXP058</x:v>
      </x:c>
      <x:c r="B1898" s="3" t="str">
        <x:v>Exp. 6</x:v>
      </x:c>
      <x:c r="C1898" s="18" t="n">
        <x:v>1005</x:v>
      </x:c>
      <x:c r="D1898" s="3" t="str">
        <x:v>Relative cutoff 1e-2</x:v>
      </x:c>
      <x:c r="E1898" s="18" t="n">
        <x:v>200</x:v>
      </x:c>
      <x:c r="F1898" s="21" t="n">
        <x:v>552.5619497449842</x:v>
      </x:c>
      <x:c r="G1898" s="21" t="str">
        <x:f>""</x:f>
      </x:c>
      <x:c r="H1898" s="21" t="n">
        <x:f>F1897</x:f>
        <x:v>541.3163424052266</x:v>
      </x:c>
      <x:c r="I1898" s="27" t="str">
        <x:f>IF(AND(ISNUMBER(G1898),ISNUMBER(H1898),H1898&gt;0),G1898/H1898-1,"")</x:f>
      </x:c>
      <x:c r="J1898" s="27" t="str">
        <x:f>IF(AND(ISNUMBER(G1898),F1898&gt;0),G1898/F1898-1,"")</x:f>
      </x:c>
      <x:c r="K1898" s="19" t="str">
        <x:v>Exp_6/EXP058/results/seed1005_Relative_cutoff_1e-2.json</x:v>
      </x:c>
    </x:row>
    <x:row r="1899" ht="15" hidden="0" customHeight="1">
      <x:c r="A1899" s="3" t="str">
        <x:v>EXP058</x:v>
      </x:c>
      <x:c r="B1899" s="3" t="str">
        <x:v>Exp. 6</x:v>
      </x:c>
      <x:c r="C1899" s="18" t="n">
        <x:v>1006</x:v>
      </x:c>
      <x:c r="D1899" s="3" t="str">
        <x:v>Fixed rank 10</x:v>
      </x:c>
      <x:c r="E1899" s="18" t="n">
        <x:v>200</x:v>
      </x:c>
      <x:c r="F1899" s="21" t="n">
        <x:v>499.3301503462035</x:v>
      </x:c>
      <x:c r="G1899" s="21" t="str">
        <x:f>""</x:f>
      </x:c>
      <x:c r="H1899" s="21" t="n">
        <x:f>F1902</x:f>
        <x:v>494.3417048726514</x:v>
      </x:c>
      <x:c r="I1899" s="27" t="str">
        <x:f>IF(AND(ISNUMBER(G1899),ISNUMBER(H1899),H1899&gt;0),G1899/H1899-1,"")</x:f>
      </x:c>
      <x:c r="J1899" s="27" t="str">
        <x:f>IF(AND(ISNUMBER(G1899),F1899&gt;0),G1899/F1899-1,"")</x:f>
      </x:c>
      <x:c r="K1899" s="19" t="str">
        <x:v>Exp_6/EXP058/results/seed1006_Fixed_rank_10.json</x:v>
      </x:c>
    </x:row>
    <x:row r="1900" ht="15" hidden="0" customHeight="1">
      <x:c r="A1900" s="3" t="str">
        <x:v>EXP058</x:v>
      </x:c>
      <x:c r="B1900" s="3" t="str">
        <x:v>Exp. 6</x:v>
      </x:c>
      <x:c r="C1900" s="18" t="n">
        <x:v>1006</x:v>
      </x:c>
      <x:c r="D1900" s="3" t="str">
        <x:v>Fixed rank 3</x:v>
      </x:c>
      <x:c r="E1900" s="18" t="n">
        <x:v>200</x:v>
      </x:c>
      <x:c r="F1900" s="21" t="n">
        <x:v>439.11351026477854</x:v>
      </x:c>
      <x:c r="G1900" s="21" t="str">
        <x:f>""</x:f>
      </x:c>
      <x:c r="H1900" s="21" t="n">
        <x:f>F1902</x:f>
        <x:v>494.3417048726514</x:v>
      </x:c>
      <x:c r="I1900" s="27" t="str">
        <x:f>IF(AND(ISNUMBER(G1900),ISNUMBER(H1900),H1900&gt;0),G1900/H1900-1,"")</x:f>
      </x:c>
      <x:c r="J1900" s="27" t="str">
        <x:f>IF(AND(ISNUMBER(G1900),F1900&gt;0),G1900/F1900-1,"")</x:f>
      </x:c>
      <x:c r="K1900" s="19" t="str">
        <x:v>Exp_6/EXP058/results/seed1006_Fixed_rank_3.json</x:v>
      </x:c>
    </x:row>
    <x:row r="1901" ht="15" hidden="0" customHeight="1">
      <x:c r="A1901" s="3" t="str">
        <x:v>EXP058</x:v>
      </x:c>
      <x:c r="B1901" s="3" t="str">
        <x:v>Exp. 6</x:v>
      </x:c>
      <x:c r="C1901" s="18" t="n">
        <x:v>1006</x:v>
      </x:c>
      <x:c r="D1901" s="3" t="str">
        <x:v>Fixed rank 5</x:v>
      </x:c>
      <x:c r="E1901" s="18" t="n">
        <x:v>200</x:v>
      </x:c>
      <x:c r="F1901" s="21" t="n">
        <x:v>494.3417048726514</x:v>
      </x:c>
      <x:c r="G1901" s="21" t="str">
        <x:f>""</x:f>
      </x:c>
      <x:c r="H1901" s="21" t="n">
        <x:f>F1902</x:f>
        <x:v>494.3417048726514</x:v>
      </x:c>
      <x:c r="I1901" s="27" t="str">
        <x:f>IF(AND(ISNUMBER(G1901),ISNUMBER(H1901),H1901&gt;0),G1901/H1901-1,"")</x:f>
      </x:c>
      <x:c r="J1901" s="27" t="str">
        <x:f>IF(AND(ISNUMBER(G1901),F1901&gt;0),G1901/F1901-1,"")</x:f>
      </x:c>
      <x:c r="K1901" s="19" t="str">
        <x:v>Exp_6/EXP058/results/seed1006_Fixed_rank_5.json</x:v>
      </x:c>
    </x:row>
    <x:row r="1902" ht="15" hidden="0" customHeight="1">
      <x:c r="A1902" s="3" t="str">
        <x:v>EXP058</x:v>
      </x:c>
      <x:c r="B1902" s="3" t="str">
        <x:v>Exp. 6</x:v>
      </x:c>
      <x:c r="C1902" s="18" t="n">
        <x:v>1006</x:v>
      </x:c>
      <x:c r="D1902" s="3" t="str">
        <x:v>Full</x:v>
      </x:c>
      <x:c r="E1902" s="18" t="n">
        <x:v>200</x:v>
      </x:c>
      <x:c r="F1902" s="21" t="n">
        <x:v>494.3417048726514</x:v>
      </x:c>
      <x:c r="G1902" s="21" t="str">
        <x:f>""</x:f>
      </x:c>
      <x:c r="H1902" s="21" t="n">
        <x:f>F1902</x:f>
        <x:v>494.3417048726514</x:v>
      </x:c>
      <x:c r="I1902" s="27" t="str">
        <x:f>IF(AND(ISNUMBER(G1902),ISNUMBER(H1902),H1902&gt;0),G1902/H1902-1,"")</x:f>
      </x:c>
      <x:c r="J1902" s="27" t="str">
        <x:f>IF(AND(ISNUMBER(G1902),F1902&gt;0),G1902/F1902-1,"")</x:f>
      </x:c>
      <x:c r="K1902" s="19" t="str">
        <x:v>Exp_6/EXP058/results/seed1006_Full.json</x:v>
      </x:c>
    </x:row>
    <x:row r="1903" ht="15" hidden="0" customHeight="1">
      <x:c r="A1903" s="3" t="str">
        <x:v>EXP058</x:v>
      </x:c>
      <x:c r="B1903" s="3" t="str">
        <x:v>Exp. 6</x:v>
      </x:c>
      <x:c r="C1903" s="18" t="n">
        <x:v>1006</x:v>
      </x:c>
      <x:c r="D1903" s="3" t="str">
        <x:v>Relative cutoff 1e-2</x:v>
      </x:c>
      <x:c r="E1903" s="18" t="n">
        <x:v>200</x:v>
      </x:c>
      <x:c r="F1903" s="21" t="n">
        <x:v>439.11351026477854</x:v>
      </x:c>
      <x:c r="G1903" s="21" t="str">
        <x:f>""</x:f>
      </x:c>
      <x:c r="H1903" s="21" t="n">
        <x:f>F1902</x:f>
        <x:v>494.3417048726514</x:v>
      </x:c>
      <x:c r="I1903" s="27" t="str">
        <x:f>IF(AND(ISNUMBER(G1903),ISNUMBER(H1903),H1903&gt;0),G1903/H1903-1,"")</x:f>
      </x:c>
      <x:c r="J1903" s="27" t="str">
        <x:f>IF(AND(ISNUMBER(G1903),F1903&gt;0),G1903/F1903-1,"")</x:f>
      </x:c>
      <x:c r="K1903" s="19" t="str">
        <x:v>Exp_6/EXP058/results/seed1006_Relative_cutoff_1e-2.json</x:v>
      </x:c>
    </x:row>
    <x:row r="1904" ht="15" hidden="0" customHeight="1">
      <x:c r="A1904" s="3" t="str">
        <x:v>EXP058</x:v>
      </x:c>
      <x:c r="B1904" s="3" t="str">
        <x:v>Exp. 6</x:v>
      </x:c>
      <x:c r="C1904" s="18" t="n">
        <x:v>1007</x:v>
      </x:c>
      <x:c r="D1904" s="3" t="str">
        <x:v>Fixed rank 10</x:v>
      </x:c>
      <x:c r="E1904" s="18" t="n">
        <x:v>200</x:v>
      </x:c>
      <x:c r="F1904" s="21" t="n">
        <x:v>469.2256414228687</x:v>
      </x:c>
      <x:c r="G1904" s="21" t="str">
        <x:f>""</x:f>
      </x:c>
      <x:c r="H1904" s="21" t="n">
        <x:f>F1907</x:f>
        <x:v>457.2042540288374</x:v>
      </x:c>
      <x:c r="I1904" s="27" t="str">
        <x:f>IF(AND(ISNUMBER(G1904),ISNUMBER(H1904),H1904&gt;0),G1904/H1904-1,"")</x:f>
      </x:c>
      <x:c r="J1904" s="27" t="str">
        <x:f>IF(AND(ISNUMBER(G1904),F1904&gt;0),G1904/F1904-1,"")</x:f>
      </x:c>
      <x:c r="K1904" s="19" t="str">
        <x:v>Exp_6/EXP058/results/seed1007_Fixed_rank_10.json</x:v>
      </x:c>
    </x:row>
    <x:row r="1905" ht="15" hidden="0" customHeight="1">
      <x:c r="A1905" s="3" t="str">
        <x:v>EXP058</x:v>
      </x:c>
      <x:c r="B1905" s="3" t="str">
        <x:v>Exp. 6</x:v>
      </x:c>
      <x:c r="C1905" s="18" t="n">
        <x:v>1007</x:v>
      </x:c>
      <x:c r="D1905" s="3" t="str">
        <x:v>Fixed rank 3</x:v>
      </x:c>
      <x:c r="E1905" s="18" t="n">
        <x:v>200</x:v>
      </x:c>
      <x:c r="F1905" s="21" t="n">
        <x:v>440.5213140879533</x:v>
      </x:c>
      <x:c r="G1905" s="21" t="str">
        <x:f>""</x:f>
      </x:c>
      <x:c r="H1905" s="21" t="n">
        <x:f>F1907</x:f>
        <x:v>457.2042540288374</x:v>
      </x:c>
      <x:c r="I1905" s="27" t="str">
        <x:f>IF(AND(ISNUMBER(G1905),ISNUMBER(H1905),H1905&gt;0),G1905/H1905-1,"")</x:f>
      </x:c>
      <x:c r="J1905" s="27" t="str">
        <x:f>IF(AND(ISNUMBER(G1905),F1905&gt;0),G1905/F1905-1,"")</x:f>
      </x:c>
      <x:c r="K1905" s="19" t="str">
        <x:v>Exp_6/EXP058/results/seed1007_Fixed_rank_3.json</x:v>
      </x:c>
    </x:row>
    <x:row r="1906" ht="15" hidden="0" customHeight="1">
      <x:c r="A1906" s="3" t="str">
        <x:v>EXP058</x:v>
      </x:c>
      <x:c r="B1906" s="3" t="str">
        <x:v>Exp. 6</x:v>
      </x:c>
      <x:c r="C1906" s="18" t="n">
        <x:v>1007</x:v>
      </x:c>
      <x:c r="D1906" s="3" t="str">
        <x:v>Fixed rank 5</x:v>
      </x:c>
      <x:c r="E1906" s="18" t="n">
        <x:v>200</x:v>
      </x:c>
      <x:c r="F1906" s="21" t="n">
        <x:v>454.71918132204814</x:v>
      </x:c>
      <x:c r="G1906" s="21" t="str">
        <x:f>""</x:f>
      </x:c>
      <x:c r="H1906" s="21" t="n">
        <x:f>F1907</x:f>
        <x:v>457.2042540288374</x:v>
      </x:c>
      <x:c r="I1906" s="27" t="str">
        <x:f>IF(AND(ISNUMBER(G1906),ISNUMBER(H1906),H1906&gt;0),G1906/H1906-1,"")</x:f>
      </x:c>
      <x:c r="J1906" s="27" t="str">
        <x:f>IF(AND(ISNUMBER(G1906),F1906&gt;0),G1906/F1906-1,"")</x:f>
      </x:c>
      <x:c r="K1906" s="19" t="str">
        <x:v>Exp_6/EXP058/results/seed1007_Fixed_rank_5.json</x:v>
      </x:c>
    </x:row>
    <x:row r="1907" ht="15" hidden="0" customHeight="1">
      <x:c r="A1907" s="3" t="str">
        <x:v>EXP058</x:v>
      </x:c>
      <x:c r="B1907" s="3" t="str">
        <x:v>Exp. 6</x:v>
      </x:c>
      <x:c r="C1907" s="18" t="n">
        <x:v>1007</x:v>
      </x:c>
      <x:c r="D1907" s="3" t="str">
        <x:v>Full</x:v>
      </x:c>
      <x:c r="E1907" s="18" t="n">
        <x:v>200</x:v>
      </x:c>
      <x:c r="F1907" s="21" t="n">
        <x:v>457.2042540288374</x:v>
      </x:c>
      <x:c r="G1907" s="21" t="str">
        <x:f>""</x:f>
      </x:c>
      <x:c r="H1907" s="21" t="n">
        <x:f>F1907</x:f>
        <x:v>457.2042540288374</x:v>
      </x:c>
      <x:c r="I1907" s="27" t="str">
        <x:f>IF(AND(ISNUMBER(G1907),ISNUMBER(H1907),H1907&gt;0),G1907/H1907-1,"")</x:f>
      </x:c>
      <x:c r="J1907" s="27" t="str">
        <x:f>IF(AND(ISNUMBER(G1907),F1907&gt;0),G1907/F1907-1,"")</x:f>
      </x:c>
      <x:c r="K1907" s="19" t="str">
        <x:v>Exp_6/EXP058/results/seed1007_Full.json</x:v>
      </x:c>
    </x:row>
    <x:row r="1908" ht="15" hidden="0" customHeight="1">
      <x:c r="A1908" s="3" t="str">
        <x:v>EXP058</x:v>
      </x:c>
      <x:c r="B1908" s="3" t="str">
        <x:v>Exp. 6</x:v>
      </x:c>
      <x:c r="C1908" s="18" t="n">
        <x:v>1007</x:v>
      </x:c>
      <x:c r="D1908" s="3" t="str">
        <x:v>Relative cutoff 1e-2</x:v>
      </x:c>
      <x:c r="E1908" s="18" t="n">
        <x:v>200</x:v>
      </x:c>
      <x:c r="F1908" s="21" t="n">
        <x:v>455.44690182353867</x:v>
      </x:c>
      <x:c r="G1908" s="21" t="str">
        <x:f>""</x:f>
      </x:c>
      <x:c r="H1908" s="21" t="n">
        <x:f>F1907</x:f>
        <x:v>457.2042540288374</x:v>
      </x:c>
      <x:c r="I1908" s="27" t="str">
        <x:f>IF(AND(ISNUMBER(G1908),ISNUMBER(H1908),H1908&gt;0),G1908/H1908-1,"")</x:f>
      </x:c>
      <x:c r="J1908" s="27" t="str">
        <x:f>IF(AND(ISNUMBER(G1908),F1908&gt;0),G1908/F1908-1,"")</x:f>
      </x:c>
      <x:c r="K1908" s="19" t="str">
        <x:v>Exp_6/EXP058/results/seed1007_Relative_cutoff_1e-2.json</x:v>
      </x:c>
    </x:row>
    <x:row r="1909" ht="15" hidden="0" customHeight="1">
      <x:c r="A1909" s="3" t="str">
        <x:v>EXP058</x:v>
      </x:c>
      <x:c r="B1909" s="3" t="str">
        <x:v>Exp. 6</x:v>
      </x:c>
      <x:c r="C1909" s="18" t="n">
        <x:v>1008</x:v>
      </x:c>
      <x:c r="D1909" s="3" t="str">
        <x:v>Fixed rank 10</x:v>
      </x:c>
      <x:c r="E1909" s="18" t="n">
        <x:v>200</x:v>
      </x:c>
      <x:c r="F1909" s="21" t="n">
        <x:v>406.0159623802321</x:v>
      </x:c>
      <x:c r="G1909" s="21" t="str">
        <x:f>""</x:f>
      </x:c>
      <x:c r="H1909" s="21" t="n">
        <x:f>F1912</x:f>
        <x:v>449.89227496538626</x:v>
      </x:c>
      <x:c r="I1909" s="27" t="str">
        <x:f>IF(AND(ISNUMBER(G1909),ISNUMBER(H1909),H1909&gt;0),G1909/H1909-1,"")</x:f>
      </x:c>
      <x:c r="J1909" s="27" t="str">
        <x:f>IF(AND(ISNUMBER(G1909),F1909&gt;0),G1909/F1909-1,"")</x:f>
      </x:c>
      <x:c r="K1909" s="19" t="str">
        <x:v>Exp_6/EXP058/results/seed1008_Fixed_rank_10.json</x:v>
      </x:c>
    </x:row>
    <x:row r="1910" ht="15" hidden="0" customHeight="1">
      <x:c r="A1910" s="3" t="str">
        <x:v>EXP058</x:v>
      </x:c>
      <x:c r="B1910" s="3" t="str">
        <x:v>Exp. 6</x:v>
      </x:c>
      <x:c r="C1910" s="18" t="n">
        <x:v>1008</x:v>
      </x:c>
      <x:c r="D1910" s="3" t="str">
        <x:v>Fixed rank 3</x:v>
      </x:c>
      <x:c r="E1910" s="18" t="n">
        <x:v>200</x:v>
      </x:c>
      <x:c r="F1910" s="21" t="n">
        <x:v>413.5302008994147</x:v>
      </x:c>
      <x:c r="G1910" s="21" t="str">
        <x:f>""</x:f>
      </x:c>
      <x:c r="H1910" s="21" t="n">
        <x:f>F1912</x:f>
        <x:v>449.89227496538626</x:v>
      </x:c>
      <x:c r="I1910" s="27" t="str">
        <x:f>IF(AND(ISNUMBER(G1910),ISNUMBER(H1910),H1910&gt;0),G1910/H1910-1,"")</x:f>
      </x:c>
      <x:c r="J1910" s="27" t="str">
        <x:f>IF(AND(ISNUMBER(G1910),F1910&gt;0),G1910/F1910-1,"")</x:f>
      </x:c>
      <x:c r="K1910" s="19" t="str">
        <x:v>Exp_6/EXP058/results/seed1008_Fixed_rank_3.json</x:v>
      </x:c>
    </x:row>
    <x:row r="1911" ht="15" hidden="0" customHeight="1">
      <x:c r="A1911" s="3" t="str">
        <x:v>EXP058</x:v>
      </x:c>
      <x:c r="B1911" s="3" t="str">
        <x:v>Exp. 6</x:v>
      </x:c>
      <x:c r="C1911" s="18" t="n">
        <x:v>1008</x:v>
      </x:c>
      <x:c r="D1911" s="3" t="str">
        <x:v>Fixed rank 5</x:v>
      </x:c>
      <x:c r="E1911" s="18" t="n">
        <x:v>200</x:v>
      </x:c>
      <x:c r="F1911" s="21" t="n">
        <x:v>398.2978771555898</x:v>
      </x:c>
      <x:c r="G1911" s="21" t="str">
        <x:f>""</x:f>
      </x:c>
      <x:c r="H1911" s="21" t="n">
        <x:f>F1912</x:f>
        <x:v>449.89227496538626</x:v>
      </x:c>
      <x:c r="I1911" s="27" t="str">
        <x:f>IF(AND(ISNUMBER(G1911),ISNUMBER(H1911),H1911&gt;0),G1911/H1911-1,"")</x:f>
      </x:c>
      <x:c r="J1911" s="27" t="str">
        <x:f>IF(AND(ISNUMBER(G1911),F1911&gt;0),G1911/F1911-1,"")</x:f>
      </x:c>
      <x:c r="K1911" s="19" t="str">
        <x:v>Exp_6/EXP058/results/seed1008_Fixed_rank_5.json</x:v>
      </x:c>
    </x:row>
    <x:row r="1912" ht="15" hidden="0" customHeight="1">
      <x:c r="A1912" s="3" t="str">
        <x:v>EXP058</x:v>
      </x:c>
      <x:c r="B1912" s="3" t="str">
        <x:v>Exp. 6</x:v>
      </x:c>
      <x:c r="C1912" s="18" t="n">
        <x:v>1008</x:v>
      </x:c>
      <x:c r="D1912" s="3" t="str">
        <x:v>Full</x:v>
      </x:c>
      <x:c r="E1912" s="18" t="n">
        <x:v>200</x:v>
      </x:c>
      <x:c r="F1912" s="21" t="n">
        <x:v>449.89227496538626</x:v>
      </x:c>
      <x:c r="G1912" s="21" t="str">
        <x:f>""</x:f>
      </x:c>
      <x:c r="H1912" s="21" t="n">
        <x:f>F1912</x:f>
        <x:v>449.89227496538626</x:v>
      </x:c>
      <x:c r="I1912" s="27" t="str">
        <x:f>IF(AND(ISNUMBER(G1912),ISNUMBER(H1912),H1912&gt;0),G1912/H1912-1,"")</x:f>
      </x:c>
      <x:c r="J1912" s="27" t="str">
        <x:f>IF(AND(ISNUMBER(G1912),F1912&gt;0),G1912/F1912-1,"")</x:f>
      </x:c>
      <x:c r="K1912" s="19" t="str">
        <x:v>Exp_6/EXP058/results/seed1008_Full.json</x:v>
      </x:c>
    </x:row>
    <x:row r="1913" ht="15" hidden="0" customHeight="1">
      <x:c r="A1913" s="3" t="str">
        <x:v>EXP058</x:v>
      </x:c>
      <x:c r="B1913" s="3" t="str">
        <x:v>Exp. 6</x:v>
      </x:c>
      <x:c r="C1913" s="18" t="n">
        <x:v>1008</x:v>
      </x:c>
      <x:c r="D1913" s="3" t="str">
        <x:v>Relative cutoff 1e-2</x:v>
      </x:c>
      <x:c r="E1913" s="18" t="n">
        <x:v>200</x:v>
      </x:c>
      <x:c r="F1913" s="21" t="n">
        <x:v>355.42555262190626</x:v>
      </x:c>
      <x:c r="G1913" s="21" t="str">
        <x:f>""</x:f>
      </x:c>
      <x:c r="H1913" s="21" t="n">
        <x:f>F1912</x:f>
        <x:v>449.89227496538626</x:v>
      </x:c>
      <x:c r="I1913" s="27" t="str">
        <x:f>IF(AND(ISNUMBER(G1913),ISNUMBER(H1913),H1913&gt;0),G1913/H1913-1,"")</x:f>
      </x:c>
      <x:c r="J1913" s="27" t="str">
        <x:f>IF(AND(ISNUMBER(G1913),F1913&gt;0),G1913/F1913-1,"")</x:f>
      </x:c>
      <x:c r="K1913" s="19" t="str">
        <x:v>Exp_6/EXP058/results/seed1008_Relative_cutoff_1e-2.json</x:v>
      </x:c>
    </x:row>
    <x:row r="1914" ht="15" hidden="0" customHeight="1">
      <x:c r="A1914" s="3" t="str">
        <x:v>EXP058</x:v>
      </x:c>
      <x:c r="B1914" s="3" t="str">
        <x:v>Exp. 6</x:v>
      </x:c>
      <x:c r="C1914" s="18" t="n">
        <x:v>1009</x:v>
      </x:c>
      <x:c r="D1914" s="3" t="str">
        <x:v>Fixed rank 10</x:v>
      </x:c>
      <x:c r="E1914" s="18" t="n">
        <x:v>200</x:v>
      </x:c>
      <x:c r="F1914" s="21" t="n">
        <x:v>443.97474203096607</x:v>
      </x:c>
      <x:c r="G1914" s="21" t="str">
        <x:f>""</x:f>
      </x:c>
      <x:c r="H1914" s="21" t="n">
        <x:f>F1917</x:f>
        <x:v>448.1632626591732</x:v>
      </x:c>
      <x:c r="I1914" s="27" t="str">
        <x:f>IF(AND(ISNUMBER(G1914),ISNUMBER(H1914),H1914&gt;0),G1914/H1914-1,"")</x:f>
      </x:c>
      <x:c r="J1914" s="27" t="str">
        <x:f>IF(AND(ISNUMBER(G1914),F1914&gt;0),G1914/F1914-1,"")</x:f>
      </x:c>
      <x:c r="K1914" s="19" t="str">
        <x:v>Exp_6/EXP058/results/seed1009_Fixed_rank_10.json</x:v>
      </x:c>
    </x:row>
    <x:row r="1915" ht="15" hidden="0" customHeight="1">
      <x:c r="A1915" s="3" t="str">
        <x:v>EXP058</x:v>
      </x:c>
      <x:c r="B1915" s="3" t="str">
        <x:v>Exp. 6</x:v>
      </x:c>
      <x:c r="C1915" s="18" t="n">
        <x:v>1009</x:v>
      </x:c>
      <x:c r="D1915" s="3" t="str">
        <x:v>Fixed rank 3</x:v>
      </x:c>
      <x:c r="E1915" s="18" t="n">
        <x:v>200</x:v>
      </x:c>
      <x:c r="F1915" s="21" t="n">
        <x:v>451.3969796850915</x:v>
      </x:c>
      <x:c r="G1915" s="21" t="str">
        <x:f>""</x:f>
      </x:c>
      <x:c r="H1915" s="21" t="n">
        <x:f>F1917</x:f>
        <x:v>448.1632626591732</x:v>
      </x:c>
      <x:c r="I1915" s="27" t="str">
        <x:f>IF(AND(ISNUMBER(G1915),ISNUMBER(H1915),H1915&gt;0),G1915/H1915-1,"")</x:f>
      </x:c>
      <x:c r="J1915" s="27" t="str">
        <x:f>IF(AND(ISNUMBER(G1915),F1915&gt;0),G1915/F1915-1,"")</x:f>
      </x:c>
      <x:c r="K1915" s="19" t="str">
        <x:v>Exp_6/EXP058/results/seed1009_Fixed_rank_3.json</x:v>
      </x:c>
    </x:row>
    <x:row r="1916" ht="15" hidden="0" customHeight="1">
      <x:c r="A1916" s="3" t="str">
        <x:v>EXP058</x:v>
      </x:c>
      <x:c r="B1916" s="3" t="str">
        <x:v>Exp. 6</x:v>
      </x:c>
      <x:c r="C1916" s="18" t="n">
        <x:v>1009</x:v>
      </x:c>
      <x:c r="D1916" s="3" t="str">
        <x:v>Fixed rank 5</x:v>
      </x:c>
      <x:c r="E1916" s="18" t="n">
        <x:v>200</x:v>
      </x:c>
      <x:c r="F1916" s="21" t="n">
        <x:v>435.7619768728162</x:v>
      </x:c>
      <x:c r="G1916" s="21" t="str">
        <x:f>""</x:f>
      </x:c>
      <x:c r="H1916" s="21" t="n">
        <x:f>F1917</x:f>
        <x:v>448.1632626591732</x:v>
      </x:c>
      <x:c r="I1916" s="27" t="str">
        <x:f>IF(AND(ISNUMBER(G1916),ISNUMBER(H1916),H1916&gt;0),G1916/H1916-1,"")</x:f>
      </x:c>
      <x:c r="J1916" s="27" t="str">
        <x:f>IF(AND(ISNUMBER(G1916),F1916&gt;0),G1916/F1916-1,"")</x:f>
      </x:c>
      <x:c r="K1916" s="19" t="str">
        <x:v>Exp_6/EXP058/results/seed1009_Fixed_rank_5.json</x:v>
      </x:c>
    </x:row>
    <x:row r="1917" ht="15" hidden="0" customHeight="1">
      <x:c r="A1917" s="3" t="str">
        <x:v>EXP058</x:v>
      </x:c>
      <x:c r="B1917" s="3" t="str">
        <x:v>Exp. 6</x:v>
      </x:c>
      <x:c r="C1917" s="18" t="n">
        <x:v>1009</x:v>
      </x:c>
      <x:c r="D1917" s="3" t="str">
        <x:v>Full</x:v>
      </x:c>
      <x:c r="E1917" s="18" t="n">
        <x:v>200</x:v>
      </x:c>
      <x:c r="F1917" s="21" t="n">
        <x:v>448.1632626591732</x:v>
      </x:c>
      <x:c r="G1917" s="21" t="str">
        <x:f>""</x:f>
      </x:c>
      <x:c r="H1917" s="21" t="n">
        <x:f>F1917</x:f>
        <x:v>448.1632626591732</x:v>
      </x:c>
      <x:c r="I1917" s="27" t="str">
        <x:f>IF(AND(ISNUMBER(G1917),ISNUMBER(H1917),H1917&gt;0),G1917/H1917-1,"")</x:f>
      </x:c>
      <x:c r="J1917" s="27" t="str">
        <x:f>IF(AND(ISNUMBER(G1917),F1917&gt;0),G1917/F1917-1,"")</x:f>
      </x:c>
      <x:c r="K1917" s="19" t="str">
        <x:v>Exp_6/EXP058/results/seed1009_Full.json</x:v>
      </x:c>
    </x:row>
    <x:row r="1918" ht="15" hidden="0" customHeight="1">
      <x:c r="A1918" s="3" t="str">
        <x:v>EXP058</x:v>
      </x:c>
      <x:c r="B1918" s="3" t="str">
        <x:v>Exp. 6</x:v>
      </x:c>
      <x:c r="C1918" s="18" t="n">
        <x:v>1009</x:v>
      </x:c>
      <x:c r="D1918" s="3" t="str">
        <x:v>Relative cutoff 1e-2</x:v>
      </x:c>
      <x:c r="E1918" s="18" t="n">
        <x:v>200</x:v>
      </x:c>
      <x:c r="F1918" s="21" t="n">
        <x:v>439.3036388513129</x:v>
      </x:c>
      <x:c r="G1918" s="21" t="str">
        <x:f>""</x:f>
      </x:c>
      <x:c r="H1918" s="21" t="n">
        <x:f>F1917</x:f>
        <x:v>448.1632626591732</x:v>
      </x:c>
      <x:c r="I1918" s="27" t="str">
        <x:f>IF(AND(ISNUMBER(G1918),ISNUMBER(H1918),H1918&gt;0),G1918/H1918-1,"")</x:f>
      </x:c>
      <x:c r="J1918" s="27" t="str">
        <x:f>IF(AND(ISNUMBER(G1918),F1918&gt;0),G1918/F1918-1,"")</x:f>
      </x:c>
      <x:c r="K1918" s="19" t="str">
        <x:v>Exp_6/EXP058/results/seed1009_Relative_cutoff_1e-2.json</x:v>
      </x:c>
    </x:row>
    <x:row r="1919" ht="15" hidden="0" customHeight="1">
      <x:c r="A1919" s="3" t="str">
        <x:v>EXP058</x:v>
      </x:c>
      <x:c r="B1919" s="3" t="str">
        <x:v>Exp. 6</x:v>
      </x:c>
      <x:c r="C1919" s="18" t="n">
        <x:v>1010</x:v>
      </x:c>
      <x:c r="D1919" s="3" t="str">
        <x:v>Fixed rank 10</x:v>
      </x:c>
      <x:c r="E1919" s="18" t="n">
        <x:v>200</x:v>
      </x:c>
      <x:c r="F1919" s="21" t="n">
        <x:v>453.38610998127905</x:v>
      </x:c>
      <x:c r="G1919" s="21" t="str">
        <x:f>""</x:f>
      </x:c>
      <x:c r="H1919" s="21" t="n">
        <x:f>F1922</x:f>
        <x:v>511.20015069202356</x:v>
      </x:c>
      <x:c r="I1919" s="27" t="str">
        <x:f>IF(AND(ISNUMBER(G1919),ISNUMBER(H1919),H1919&gt;0),G1919/H1919-1,"")</x:f>
      </x:c>
      <x:c r="J1919" s="27" t="str">
        <x:f>IF(AND(ISNUMBER(G1919),F1919&gt;0),G1919/F1919-1,"")</x:f>
      </x:c>
      <x:c r="K1919" s="19" t="str">
        <x:v>Exp_6/EXP058/results/seed1010_Fixed_rank_10.json</x:v>
      </x:c>
    </x:row>
    <x:row r="1920" ht="15" hidden="0" customHeight="1">
      <x:c r="A1920" s="3" t="str">
        <x:v>EXP058</x:v>
      </x:c>
      <x:c r="B1920" s="3" t="str">
        <x:v>Exp. 6</x:v>
      </x:c>
      <x:c r="C1920" s="18" t="n">
        <x:v>1010</x:v>
      </x:c>
      <x:c r="D1920" s="3" t="str">
        <x:v>Fixed rank 3</x:v>
      </x:c>
      <x:c r="E1920" s="18" t="n">
        <x:v>200</x:v>
      </x:c>
      <x:c r="F1920" s="21" t="n">
        <x:v>441.1098055860507</x:v>
      </x:c>
      <x:c r="G1920" s="21" t="str">
        <x:f>""</x:f>
      </x:c>
      <x:c r="H1920" s="21" t="n">
        <x:f>F1922</x:f>
        <x:v>511.20015069202356</x:v>
      </x:c>
      <x:c r="I1920" s="27" t="str">
        <x:f>IF(AND(ISNUMBER(G1920),ISNUMBER(H1920),H1920&gt;0),G1920/H1920-1,"")</x:f>
      </x:c>
      <x:c r="J1920" s="27" t="str">
        <x:f>IF(AND(ISNUMBER(G1920),F1920&gt;0),G1920/F1920-1,"")</x:f>
      </x:c>
      <x:c r="K1920" s="19" t="str">
        <x:v>Exp_6/EXP058/results/seed1010_Fixed_rank_3.json</x:v>
      </x:c>
    </x:row>
    <x:row r="1921" ht="15" hidden="0" customHeight="1">
      <x:c r="A1921" s="3" t="str">
        <x:v>EXP058</x:v>
      </x:c>
      <x:c r="B1921" s="3" t="str">
        <x:v>Exp. 6</x:v>
      </x:c>
      <x:c r="C1921" s="18" t="n">
        <x:v>1010</x:v>
      </x:c>
      <x:c r="D1921" s="3" t="str">
        <x:v>Fixed rank 5</x:v>
      </x:c>
      <x:c r="E1921" s="18" t="n">
        <x:v>200</x:v>
      </x:c>
      <x:c r="F1921" s="21" t="n">
        <x:v>453.38610998127905</x:v>
      </x:c>
      <x:c r="G1921" s="21" t="str">
        <x:f>""</x:f>
      </x:c>
      <x:c r="H1921" s="21" t="n">
        <x:f>F1922</x:f>
        <x:v>511.20015069202356</x:v>
      </x:c>
      <x:c r="I1921" s="27" t="str">
        <x:f>IF(AND(ISNUMBER(G1921),ISNUMBER(H1921),H1921&gt;0),G1921/H1921-1,"")</x:f>
      </x:c>
      <x:c r="J1921" s="27" t="str">
        <x:f>IF(AND(ISNUMBER(G1921),F1921&gt;0),G1921/F1921-1,"")</x:f>
      </x:c>
      <x:c r="K1921" s="19" t="str">
        <x:v>Exp_6/EXP058/results/seed1010_Fixed_rank_5.json</x:v>
      </x:c>
    </x:row>
    <x:row r="1922" ht="15" hidden="0" customHeight="1">
      <x:c r="A1922" s="3" t="str">
        <x:v>EXP058</x:v>
      </x:c>
      <x:c r="B1922" s="3" t="str">
        <x:v>Exp. 6</x:v>
      </x:c>
      <x:c r="C1922" s="18" t="n">
        <x:v>1010</x:v>
      </x:c>
      <x:c r="D1922" s="3" t="str">
        <x:v>Full</x:v>
      </x:c>
      <x:c r="E1922" s="18" t="n">
        <x:v>200</x:v>
      </x:c>
      <x:c r="F1922" s="21" t="n">
        <x:v>511.20015069202356</x:v>
      </x:c>
      <x:c r="G1922" s="21" t="str">
        <x:f>""</x:f>
      </x:c>
      <x:c r="H1922" s="21" t="n">
        <x:f>F1922</x:f>
        <x:v>511.20015069202356</x:v>
      </x:c>
      <x:c r="I1922" s="27" t="str">
        <x:f>IF(AND(ISNUMBER(G1922),ISNUMBER(H1922),H1922&gt;0),G1922/H1922-1,"")</x:f>
      </x:c>
      <x:c r="J1922" s="27" t="str">
        <x:f>IF(AND(ISNUMBER(G1922),F1922&gt;0),G1922/F1922-1,"")</x:f>
      </x:c>
      <x:c r="K1922" s="19" t="str">
        <x:v>Exp_6/EXP058/results/seed1010_Full.json</x:v>
      </x:c>
    </x:row>
    <x:row r="1923" ht="15" hidden="0" customHeight="1">
      <x:c r="A1923" s="3" t="str">
        <x:v>EXP058</x:v>
      </x:c>
      <x:c r="B1923" s="3" t="str">
        <x:v>Exp. 6</x:v>
      </x:c>
      <x:c r="C1923" s="18" t="n">
        <x:v>1010</x:v>
      </x:c>
      <x:c r="D1923" s="3" t="str">
        <x:v>Relative cutoff 1e-2</x:v>
      </x:c>
      <x:c r="E1923" s="18" t="n">
        <x:v>200</x:v>
      </x:c>
      <x:c r="F1923" s="21" t="n">
        <x:v>443.2117025307244</x:v>
      </x:c>
      <x:c r="G1923" s="21" t="str">
        <x:f>""</x:f>
      </x:c>
      <x:c r="H1923" s="21" t="n">
        <x:f>F1922</x:f>
        <x:v>511.20015069202356</x:v>
      </x:c>
      <x:c r="I1923" s="27" t="str">
        <x:f>IF(AND(ISNUMBER(G1923),ISNUMBER(H1923),H1923&gt;0),G1923/H1923-1,"")</x:f>
      </x:c>
      <x:c r="J1923" s="27" t="str">
        <x:f>IF(AND(ISNUMBER(G1923),F1923&gt;0),G1923/F1923-1,"")</x:f>
      </x:c>
      <x:c r="K1923" s="19" t="str">
        <x:v>Exp_6/EXP058/results/seed1010_Relative_cutoff_1e-2.json</x:v>
      </x:c>
    </x:row>
    <x:row r="1924" ht="15" hidden="0" customHeight="1">
      <x:c r="A1924" s="3" t="str">
        <x:v>EXP058</x:v>
      </x:c>
      <x:c r="B1924" s="3" t="str">
        <x:v>Exp. 6</x:v>
      </x:c>
      <x:c r="C1924" s="18" t="n">
        <x:v>1011</x:v>
      </x:c>
      <x:c r="D1924" s="3" t="str">
        <x:v>Fixed rank 10</x:v>
      </x:c>
      <x:c r="E1924" s="18" t="n">
        <x:v>200</x:v>
      </x:c>
      <x:c r="F1924" s="21" t="n">
        <x:v>661.7858665195859</x:v>
      </x:c>
      <x:c r="G1924" s="21" t="str">
        <x:f>""</x:f>
      </x:c>
      <x:c r="H1924" s="21" t="n">
        <x:f>F1927</x:f>
        <x:v>667.9119031186214</x:v>
      </x:c>
      <x:c r="I1924" s="27" t="str">
        <x:f>IF(AND(ISNUMBER(G1924),ISNUMBER(H1924),H1924&gt;0),G1924/H1924-1,"")</x:f>
      </x:c>
      <x:c r="J1924" s="27" t="str">
        <x:f>IF(AND(ISNUMBER(G1924),F1924&gt;0),G1924/F1924-1,"")</x:f>
      </x:c>
      <x:c r="K1924" s="19" t="str">
        <x:v>Exp_6/EXP058/results/seed1011_Fixed_rank_10.json</x:v>
      </x:c>
    </x:row>
    <x:row r="1925" ht="15" hidden="0" customHeight="1">
      <x:c r="A1925" s="3" t="str">
        <x:v>EXP058</x:v>
      </x:c>
      <x:c r="B1925" s="3" t="str">
        <x:v>Exp. 6</x:v>
      </x:c>
      <x:c r="C1925" s="18" t="n">
        <x:v>1011</x:v>
      </x:c>
      <x:c r="D1925" s="3" t="str">
        <x:v>Fixed rank 3</x:v>
      </x:c>
      <x:c r="E1925" s="18" t="n">
        <x:v>200</x:v>
      </x:c>
      <x:c r="F1925" s="21" t="n">
        <x:v>674.2744412134822</x:v>
      </x:c>
      <x:c r="G1925" s="21" t="str">
        <x:f>""</x:f>
      </x:c>
      <x:c r="H1925" s="21" t="n">
        <x:f>F1927</x:f>
        <x:v>667.9119031186214</x:v>
      </x:c>
      <x:c r="I1925" s="27" t="str">
        <x:f>IF(AND(ISNUMBER(G1925),ISNUMBER(H1925),H1925&gt;0),G1925/H1925-1,"")</x:f>
      </x:c>
      <x:c r="J1925" s="27" t="str">
        <x:f>IF(AND(ISNUMBER(G1925),F1925&gt;0),G1925/F1925-1,"")</x:f>
      </x:c>
      <x:c r="K1925" s="19" t="str">
        <x:v>Exp_6/EXP058/results/seed1011_Fixed_rank_3.json</x:v>
      </x:c>
    </x:row>
    <x:row r="1926" ht="15" hidden="0" customHeight="1">
      <x:c r="A1926" s="3" t="str">
        <x:v>EXP058</x:v>
      </x:c>
      <x:c r="B1926" s="3" t="str">
        <x:v>Exp. 6</x:v>
      </x:c>
      <x:c r="C1926" s="18" t="n">
        <x:v>1011</x:v>
      </x:c>
      <x:c r="D1926" s="3" t="str">
        <x:v>Fixed rank 5</x:v>
      </x:c>
      <x:c r="E1926" s="18" t="n">
        <x:v>200</x:v>
      </x:c>
      <x:c r="F1926" s="21" t="n">
        <x:v>664.5143365229569</x:v>
      </x:c>
      <x:c r="G1926" s="21" t="str">
        <x:f>""</x:f>
      </x:c>
      <x:c r="H1926" s="21" t="n">
        <x:f>F1927</x:f>
        <x:v>667.9119031186214</x:v>
      </x:c>
      <x:c r="I1926" s="27" t="str">
        <x:f>IF(AND(ISNUMBER(G1926),ISNUMBER(H1926),H1926&gt;0),G1926/H1926-1,"")</x:f>
      </x:c>
      <x:c r="J1926" s="27" t="str">
        <x:f>IF(AND(ISNUMBER(G1926),F1926&gt;0),G1926/F1926-1,"")</x:f>
      </x:c>
      <x:c r="K1926" s="19" t="str">
        <x:v>Exp_6/EXP058/results/seed1011_Fixed_rank_5.json</x:v>
      </x:c>
    </x:row>
    <x:row r="1927" ht="15" hidden="0" customHeight="1">
      <x:c r="A1927" s="3" t="str">
        <x:v>EXP058</x:v>
      </x:c>
      <x:c r="B1927" s="3" t="str">
        <x:v>Exp. 6</x:v>
      </x:c>
      <x:c r="C1927" s="18" t="n">
        <x:v>1011</x:v>
      </x:c>
      <x:c r="D1927" s="3" t="str">
        <x:v>Full</x:v>
      </x:c>
      <x:c r="E1927" s="18" t="n">
        <x:v>200</x:v>
      </x:c>
      <x:c r="F1927" s="21" t="n">
        <x:v>667.9119031186214</x:v>
      </x:c>
      <x:c r="G1927" s="21" t="str">
        <x:f>""</x:f>
      </x:c>
      <x:c r="H1927" s="21" t="n">
        <x:f>F1927</x:f>
        <x:v>667.9119031186214</x:v>
      </x:c>
      <x:c r="I1927" s="27" t="str">
        <x:f>IF(AND(ISNUMBER(G1927),ISNUMBER(H1927),H1927&gt;0),G1927/H1927-1,"")</x:f>
      </x:c>
      <x:c r="J1927" s="27" t="str">
        <x:f>IF(AND(ISNUMBER(G1927),F1927&gt;0),G1927/F1927-1,"")</x:f>
      </x:c>
      <x:c r="K1927" s="19" t="str">
        <x:v>Exp_6/EXP058/results/seed1011_Full.json</x:v>
      </x:c>
    </x:row>
    <x:row r="1928" ht="15" hidden="0" customHeight="1">
      <x:c r="A1928" s="3" t="str">
        <x:v>EXP058</x:v>
      </x:c>
      <x:c r="B1928" s="3" t="str">
        <x:v>Exp. 6</x:v>
      </x:c>
      <x:c r="C1928" s="18" t="n">
        <x:v>1011</x:v>
      </x:c>
      <x:c r="D1928" s="3" t="str">
        <x:v>Relative cutoff 1e-2</x:v>
      </x:c>
      <x:c r="E1928" s="18" t="n">
        <x:v>200</x:v>
      </x:c>
      <x:c r="F1928" s="21" t="n">
        <x:v>601.4054843607103</x:v>
      </x:c>
      <x:c r="G1928" s="21" t="str">
        <x:f>""</x:f>
      </x:c>
      <x:c r="H1928" s="21" t="n">
        <x:f>F1927</x:f>
        <x:v>667.9119031186214</x:v>
      </x:c>
      <x:c r="I1928" s="27" t="str">
        <x:f>IF(AND(ISNUMBER(G1928),ISNUMBER(H1928),H1928&gt;0),G1928/H1928-1,"")</x:f>
      </x:c>
      <x:c r="J1928" s="27" t="str">
        <x:f>IF(AND(ISNUMBER(G1928),F1928&gt;0),G1928/F1928-1,"")</x:f>
      </x:c>
      <x:c r="K1928" s="19" t="str">
        <x:v>Exp_6/EXP058/results/seed1011_Relative_cutoff_1e-2.json</x:v>
      </x:c>
    </x:row>
    <x:row r="1929" ht="15" hidden="0" customHeight="1">
      <x:c r="A1929" s="3" t="str">
        <x:v>EXP058</x:v>
      </x:c>
      <x:c r="B1929" s="3" t="str">
        <x:v>Exp. 6</x:v>
      </x:c>
      <x:c r="C1929" s="18" t="n">
        <x:v>1012</x:v>
      </x:c>
      <x:c r="D1929" s="3" t="str">
        <x:v>Fixed rank 10</x:v>
      </x:c>
      <x:c r="E1929" s="18" t="n">
        <x:v>200</x:v>
      </x:c>
      <x:c r="F1929" s="21" t="n">
        <x:v>517.8604061235053</x:v>
      </x:c>
      <x:c r="G1929" s="21" t="str">
        <x:f>""</x:f>
      </x:c>
      <x:c r="H1929" s="21" t="n">
        <x:f>F1932</x:f>
        <x:v>493.1115714132451</x:v>
      </x:c>
      <x:c r="I1929" s="27" t="str">
        <x:f>IF(AND(ISNUMBER(G1929),ISNUMBER(H1929),H1929&gt;0),G1929/H1929-1,"")</x:f>
      </x:c>
      <x:c r="J1929" s="27" t="str">
        <x:f>IF(AND(ISNUMBER(G1929),F1929&gt;0),G1929/F1929-1,"")</x:f>
      </x:c>
      <x:c r="K1929" s="19" t="str">
        <x:v>Exp_6/EXP058/results/seed1012_Fixed_rank_10.json</x:v>
      </x:c>
    </x:row>
    <x:row r="1930" ht="15" hidden="0" customHeight="1">
      <x:c r="A1930" s="3" t="str">
        <x:v>EXP058</x:v>
      </x:c>
      <x:c r="B1930" s="3" t="str">
        <x:v>Exp. 6</x:v>
      </x:c>
      <x:c r="C1930" s="18" t="n">
        <x:v>1012</x:v>
      </x:c>
      <x:c r="D1930" s="3" t="str">
        <x:v>Fixed rank 3</x:v>
      </x:c>
      <x:c r="E1930" s="18" t="n">
        <x:v>200</x:v>
      </x:c>
      <x:c r="F1930" s="21" t="n">
        <x:v>513.6108930963507</x:v>
      </x:c>
      <x:c r="G1930" s="21" t="str">
        <x:f>""</x:f>
      </x:c>
      <x:c r="H1930" s="21" t="n">
        <x:f>F1932</x:f>
        <x:v>493.1115714132451</x:v>
      </x:c>
      <x:c r="I1930" s="27" t="str">
        <x:f>IF(AND(ISNUMBER(G1930),ISNUMBER(H1930),H1930&gt;0),G1930/H1930-1,"")</x:f>
      </x:c>
      <x:c r="J1930" s="27" t="str">
        <x:f>IF(AND(ISNUMBER(G1930),F1930&gt;0),G1930/F1930-1,"")</x:f>
      </x:c>
      <x:c r="K1930" s="19" t="str">
        <x:v>Exp_6/EXP058/results/seed1012_Fixed_rank_3.json</x:v>
      </x:c>
    </x:row>
    <x:row r="1931" ht="15" hidden="0" customHeight="1">
      <x:c r="A1931" s="3" t="str">
        <x:v>EXP058</x:v>
      </x:c>
      <x:c r="B1931" s="3" t="str">
        <x:v>Exp. 6</x:v>
      </x:c>
      <x:c r="C1931" s="18" t="n">
        <x:v>1012</x:v>
      </x:c>
      <x:c r="D1931" s="3" t="str">
        <x:v>Fixed rank 5</x:v>
      </x:c>
      <x:c r="E1931" s="18" t="n">
        <x:v>200</x:v>
      </x:c>
      <x:c r="F1931" s="21" t="n">
        <x:v>498.3672671613377</x:v>
      </x:c>
      <x:c r="G1931" s="21" t="str">
        <x:f>""</x:f>
      </x:c>
      <x:c r="H1931" s="21" t="n">
        <x:f>F1932</x:f>
        <x:v>493.1115714132451</x:v>
      </x:c>
      <x:c r="I1931" s="27" t="str">
        <x:f>IF(AND(ISNUMBER(G1931),ISNUMBER(H1931),H1931&gt;0),G1931/H1931-1,"")</x:f>
      </x:c>
      <x:c r="J1931" s="27" t="str">
        <x:f>IF(AND(ISNUMBER(G1931),F1931&gt;0),G1931/F1931-1,"")</x:f>
      </x:c>
      <x:c r="K1931" s="19" t="str">
        <x:v>Exp_6/EXP058/results/seed1012_Fixed_rank_5.json</x:v>
      </x:c>
    </x:row>
    <x:row r="1932" ht="15" hidden="0" customHeight="1">
      <x:c r="A1932" s="3" t="str">
        <x:v>EXP058</x:v>
      </x:c>
      <x:c r="B1932" s="3" t="str">
        <x:v>Exp. 6</x:v>
      </x:c>
      <x:c r="C1932" s="18" t="n">
        <x:v>1012</x:v>
      </x:c>
      <x:c r="D1932" s="3" t="str">
        <x:v>Full</x:v>
      </x:c>
      <x:c r="E1932" s="18" t="n">
        <x:v>200</x:v>
      </x:c>
      <x:c r="F1932" s="21" t="n">
        <x:v>493.1115714132451</x:v>
      </x:c>
      <x:c r="G1932" s="21" t="str">
        <x:f>""</x:f>
      </x:c>
      <x:c r="H1932" s="21" t="n">
        <x:f>F1932</x:f>
        <x:v>493.1115714132451</x:v>
      </x:c>
      <x:c r="I1932" s="27" t="str">
        <x:f>IF(AND(ISNUMBER(G1932),ISNUMBER(H1932),H1932&gt;0),G1932/H1932-1,"")</x:f>
      </x:c>
      <x:c r="J1932" s="27" t="str">
        <x:f>IF(AND(ISNUMBER(G1932),F1932&gt;0),G1932/F1932-1,"")</x:f>
      </x:c>
      <x:c r="K1932" s="19" t="str">
        <x:v>Exp_6/EXP058/results/seed1012_Full.json</x:v>
      </x:c>
    </x:row>
    <x:row r="1933" ht="15" hidden="0" customHeight="1">
      <x:c r="A1933" s="3" t="str">
        <x:v>EXP058</x:v>
      </x:c>
      <x:c r="B1933" s="3" t="str">
        <x:v>Exp. 6</x:v>
      </x:c>
      <x:c r="C1933" s="18" t="n">
        <x:v>1012</x:v>
      </x:c>
      <x:c r="D1933" s="3" t="str">
        <x:v>Relative cutoff 1e-2</x:v>
      </x:c>
      <x:c r="E1933" s="18" t="n">
        <x:v>200</x:v>
      </x:c>
      <x:c r="F1933" s="21" t="n">
        <x:v>504.6462808224436</x:v>
      </x:c>
      <x:c r="G1933" s="21" t="str">
        <x:f>""</x:f>
      </x:c>
      <x:c r="H1933" s="21" t="n">
        <x:f>F1932</x:f>
        <x:v>493.1115714132451</x:v>
      </x:c>
      <x:c r="I1933" s="27" t="str">
        <x:f>IF(AND(ISNUMBER(G1933),ISNUMBER(H1933),H1933&gt;0),G1933/H1933-1,"")</x:f>
      </x:c>
      <x:c r="J1933" s="27" t="str">
        <x:f>IF(AND(ISNUMBER(G1933),F1933&gt;0),G1933/F1933-1,"")</x:f>
      </x:c>
      <x:c r="K1933" s="19" t="str">
        <x:v>Exp_6/EXP058/results/seed1012_Relative_cutoff_1e-2.json</x:v>
      </x:c>
    </x:row>
    <x:row r="1934" ht="15" hidden="0" customHeight="1">
      <x:c r="A1934" s="3" t="str">
        <x:v>EXP058</x:v>
      </x:c>
      <x:c r="B1934" s="3" t="str">
        <x:v>Exp. 6</x:v>
      </x:c>
      <x:c r="C1934" s="18" t="n">
        <x:v>1013</x:v>
      </x:c>
      <x:c r="D1934" s="3" t="str">
        <x:v>Fixed rank 10</x:v>
      </x:c>
      <x:c r="E1934" s="18" t="n">
        <x:v>200</x:v>
      </x:c>
      <x:c r="F1934" s="21" t="n">
        <x:v>665.3170509742952</x:v>
      </x:c>
      <x:c r="G1934" s="21" t="str">
        <x:f>""</x:f>
      </x:c>
      <x:c r="H1934" s="21" t="n">
        <x:f>F1937</x:f>
        <x:v>687.728322220394</x:v>
      </x:c>
      <x:c r="I1934" s="27" t="str">
        <x:f>IF(AND(ISNUMBER(G1934),ISNUMBER(H1934),H1934&gt;0),G1934/H1934-1,"")</x:f>
      </x:c>
      <x:c r="J1934" s="27" t="str">
        <x:f>IF(AND(ISNUMBER(G1934),F1934&gt;0),G1934/F1934-1,"")</x:f>
      </x:c>
      <x:c r="K1934" s="19" t="str">
        <x:v>Exp_6/EXP058/results/seed1013_Fixed_rank_10.json</x:v>
      </x:c>
    </x:row>
    <x:row r="1935" ht="15" hidden="0" customHeight="1">
      <x:c r="A1935" s="3" t="str">
        <x:v>EXP058</x:v>
      </x:c>
      <x:c r="B1935" s="3" t="str">
        <x:v>Exp. 6</x:v>
      </x:c>
      <x:c r="C1935" s="18" t="n">
        <x:v>1013</x:v>
      </x:c>
      <x:c r="D1935" s="3" t="str">
        <x:v>Fixed rank 3</x:v>
      </x:c>
      <x:c r="E1935" s="18" t="n">
        <x:v>200</x:v>
      </x:c>
      <x:c r="F1935" s="21" t="n">
        <x:v>667.9471707785747</x:v>
      </x:c>
      <x:c r="G1935" s="21" t="str">
        <x:f>""</x:f>
      </x:c>
      <x:c r="H1935" s="21" t="n">
        <x:f>F1937</x:f>
        <x:v>687.728322220394</x:v>
      </x:c>
      <x:c r="I1935" s="27" t="str">
        <x:f>IF(AND(ISNUMBER(G1935),ISNUMBER(H1935),H1935&gt;0),G1935/H1935-1,"")</x:f>
      </x:c>
      <x:c r="J1935" s="27" t="str">
        <x:f>IF(AND(ISNUMBER(G1935),F1935&gt;0),G1935/F1935-1,"")</x:f>
      </x:c>
      <x:c r="K1935" s="19" t="str">
        <x:v>Exp_6/EXP058/results/seed1013_Fixed_rank_3.json</x:v>
      </x:c>
    </x:row>
    <x:row r="1936" ht="15" hidden="0" customHeight="1">
      <x:c r="A1936" s="3" t="str">
        <x:v>EXP058</x:v>
      </x:c>
      <x:c r="B1936" s="3" t="str">
        <x:v>Exp. 6</x:v>
      </x:c>
      <x:c r="C1936" s="18" t="n">
        <x:v>1013</x:v>
      </x:c>
      <x:c r="D1936" s="3" t="str">
        <x:v>Fixed rank 5</x:v>
      </x:c>
      <x:c r="E1936" s="18" t="n">
        <x:v>200</x:v>
      </x:c>
      <x:c r="F1936" s="21" t="n">
        <x:v>665.3170509742952</x:v>
      </x:c>
      <x:c r="G1936" s="21" t="str">
        <x:f>""</x:f>
      </x:c>
      <x:c r="H1936" s="21" t="n">
        <x:f>F1937</x:f>
        <x:v>687.728322220394</x:v>
      </x:c>
      <x:c r="I1936" s="27" t="str">
        <x:f>IF(AND(ISNUMBER(G1936),ISNUMBER(H1936),H1936&gt;0),G1936/H1936-1,"")</x:f>
      </x:c>
      <x:c r="J1936" s="27" t="str">
        <x:f>IF(AND(ISNUMBER(G1936),F1936&gt;0),G1936/F1936-1,"")</x:f>
      </x:c>
      <x:c r="K1936" s="19" t="str">
        <x:v>Exp_6/EXP058/results/seed1013_Fixed_rank_5.json</x:v>
      </x:c>
    </x:row>
    <x:row r="1937" ht="15" hidden="0" customHeight="1">
      <x:c r="A1937" s="3" t="str">
        <x:v>EXP058</x:v>
      </x:c>
      <x:c r="B1937" s="3" t="str">
        <x:v>Exp. 6</x:v>
      </x:c>
      <x:c r="C1937" s="18" t="n">
        <x:v>1013</x:v>
      </x:c>
      <x:c r="D1937" s="3" t="str">
        <x:v>Full</x:v>
      </x:c>
      <x:c r="E1937" s="18" t="n">
        <x:v>200</x:v>
      </x:c>
      <x:c r="F1937" s="21" t="n">
        <x:v>687.728322220394</x:v>
      </x:c>
      <x:c r="G1937" s="21" t="str">
        <x:f>""</x:f>
      </x:c>
      <x:c r="H1937" s="21" t="n">
        <x:f>F1937</x:f>
        <x:v>687.728322220394</x:v>
      </x:c>
      <x:c r="I1937" s="27" t="str">
        <x:f>IF(AND(ISNUMBER(G1937),ISNUMBER(H1937),H1937&gt;0),G1937/H1937-1,"")</x:f>
      </x:c>
      <x:c r="J1937" s="27" t="str">
        <x:f>IF(AND(ISNUMBER(G1937),F1937&gt;0),G1937/F1937-1,"")</x:f>
      </x:c>
      <x:c r="K1937" s="19" t="str">
        <x:v>Exp_6/EXP058/results/seed1013_Full.json</x:v>
      </x:c>
    </x:row>
    <x:row r="1938" ht="15" hidden="0" customHeight="1">
      <x:c r="A1938" s="3" t="str">
        <x:v>EXP058</x:v>
      </x:c>
      <x:c r="B1938" s="3" t="str">
        <x:v>Exp. 6</x:v>
      </x:c>
      <x:c r="C1938" s="18" t="n">
        <x:v>1013</x:v>
      </x:c>
      <x:c r="D1938" s="3" t="str">
        <x:v>Relative cutoff 1e-2</x:v>
      </x:c>
      <x:c r="E1938" s="18" t="n">
        <x:v>200</x:v>
      </x:c>
      <x:c r="F1938" s="21" t="n">
        <x:v>706.3936672685976</x:v>
      </x:c>
      <x:c r="G1938" s="21" t="str">
        <x:f>""</x:f>
      </x:c>
      <x:c r="H1938" s="21" t="n">
        <x:f>F1937</x:f>
        <x:v>687.728322220394</x:v>
      </x:c>
      <x:c r="I1938" s="27" t="str">
        <x:f>IF(AND(ISNUMBER(G1938),ISNUMBER(H1938),H1938&gt;0),G1938/H1938-1,"")</x:f>
      </x:c>
      <x:c r="J1938" s="27" t="str">
        <x:f>IF(AND(ISNUMBER(G1938),F1938&gt;0),G1938/F1938-1,"")</x:f>
      </x:c>
      <x:c r="K1938" s="19" t="str">
        <x:v>Exp_6/EXP058/results/seed1013_Relative_cutoff_1e-2.json</x:v>
      </x:c>
    </x:row>
    <x:row r="1939" ht="15" hidden="0" customHeight="1">
      <x:c r="A1939" s="3" t="str">
        <x:v>EXP058</x:v>
      </x:c>
      <x:c r="B1939" s="3" t="str">
        <x:v>Exp. 6</x:v>
      </x:c>
      <x:c r="C1939" s="18" t="n">
        <x:v>1014</x:v>
      </x:c>
      <x:c r="D1939" s="3" t="str">
        <x:v>Fixed rank 10</x:v>
      </x:c>
      <x:c r="E1939" s="18" t="n">
        <x:v>200</x:v>
      </x:c>
      <x:c r="F1939" s="21" t="n">
        <x:v>572.061611468529</x:v>
      </x:c>
      <x:c r="G1939" s="21" t="str">
        <x:f>""</x:f>
      </x:c>
      <x:c r="H1939" s="21" t="n">
        <x:f>F1942</x:f>
        <x:v>539.0215220907835</x:v>
      </x:c>
      <x:c r="I1939" s="27" t="str">
        <x:f>IF(AND(ISNUMBER(G1939),ISNUMBER(H1939),H1939&gt;0),G1939/H1939-1,"")</x:f>
      </x:c>
      <x:c r="J1939" s="27" t="str">
        <x:f>IF(AND(ISNUMBER(G1939),F1939&gt;0),G1939/F1939-1,"")</x:f>
      </x:c>
      <x:c r="K1939" s="19" t="str">
        <x:v>Exp_6/EXP058/results/seed1014_Fixed_rank_10.json</x:v>
      </x:c>
    </x:row>
    <x:row r="1940" ht="15" hidden="0" customHeight="1">
      <x:c r="A1940" s="3" t="str">
        <x:v>EXP058</x:v>
      </x:c>
      <x:c r="B1940" s="3" t="str">
        <x:v>Exp. 6</x:v>
      </x:c>
      <x:c r="C1940" s="18" t="n">
        <x:v>1014</x:v>
      </x:c>
      <x:c r="D1940" s="3" t="str">
        <x:v>Fixed rank 3</x:v>
      </x:c>
      <x:c r="E1940" s="18" t="n">
        <x:v>200</x:v>
      </x:c>
      <x:c r="F1940" s="21" t="n">
        <x:v>546.0548902963802</x:v>
      </x:c>
      <x:c r="G1940" s="21" t="str">
        <x:f>""</x:f>
      </x:c>
      <x:c r="H1940" s="21" t="n">
        <x:f>F1942</x:f>
        <x:v>539.0215220907835</x:v>
      </x:c>
      <x:c r="I1940" s="27" t="str">
        <x:f>IF(AND(ISNUMBER(G1940),ISNUMBER(H1940),H1940&gt;0),G1940/H1940-1,"")</x:f>
      </x:c>
      <x:c r="J1940" s="27" t="str">
        <x:f>IF(AND(ISNUMBER(G1940),F1940&gt;0),G1940/F1940-1,"")</x:f>
      </x:c>
      <x:c r="K1940" s="19" t="str">
        <x:v>Exp_6/EXP058/results/seed1014_Fixed_rank_3.json</x:v>
      </x:c>
    </x:row>
    <x:row r="1941" ht="15" hidden="0" customHeight="1">
      <x:c r="A1941" s="3" t="str">
        <x:v>EXP058</x:v>
      </x:c>
      <x:c r="B1941" s="3" t="str">
        <x:v>Exp. 6</x:v>
      </x:c>
      <x:c r="C1941" s="18" t="n">
        <x:v>1014</x:v>
      </x:c>
      <x:c r="D1941" s="3" t="str">
        <x:v>Fixed rank 5</x:v>
      </x:c>
      <x:c r="E1941" s="18" t="n">
        <x:v>200</x:v>
      </x:c>
      <x:c r="F1941" s="21" t="n">
        <x:v>546.3112711936994</x:v>
      </x:c>
      <x:c r="G1941" s="21" t="str">
        <x:f>""</x:f>
      </x:c>
      <x:c r="H1941" s="21" t="n">
        <x:f>F1942</x:f>
        <x:v>539.0215220907835</x:v>
      </x:c>
      <x:c r="I1941" s="27" t="str">
        <x:f>IF(AND(ISNUMBER(G1941),ISNUMBER(H1941),H1941&gt;0),G1941/H1941-1,"")</x:f>
      </x:c>
      <x:c r="J1941" s="27" t="str">
        <x:f>IF(AND(ISNUMBER(G1941),F1941&gt;0),G1941/F1941-1,"")</x:f>
      </x:c>
      <x:c r="K1941" s="19" t="str">
        <x:v>Exp_6/EXP058/results/seed1014_Fixed_rank_5.json</x:v>
      </x:c>
    </x:row>
    <x:row r="1942" ht="15" hidden="0" customHeight="1">
      <x:c r="A1942" s="3" t="str">
        <x:v>EXP058</x:v>
      </x:c>
      <x:c r="B1942" s="3" t="str">
        <x:v>Exp. 6</x:v>
      </x:c>
      <x:c r="C1942" s="18" t="n">
        <x:v>1014</x:v>
      </x:c>
      <x:c r="D1942" s="3" t="str">
        <x:v>Full</x:v>
      </x:c>
      <x:c r="E1942" s="18" t="n">
        <x:v>200</x:v>
      </x:c>
      <x:c r="F1942" s="21" t="n">
        <x:v>539.0215220907835</x:v>
      </x:c>
      <x:c r="G1942" s="21" t="str">
        <x:f>""</x:f>
      </x:c>
      <x:c r="H1942" s="21" t="n">
        <x:f>F1942</x:f>
        <x:v>539.0215220907835</x:v>
      </x:c>
      <x:c r="I1942" s="27" t="str">
        <x:f>IF(AND(ISNUMBER(G1942),ISNUMBER(H1942),H1942&gt;0),G1942/H1942-1,"")</x:f>
      </x:c>
      <x:c r="J1942" s="27" t="str">
        <x:f>IF(AND(ISNUMBER(G1942),F1942&gt;0),G1942/F1942-1,"")</x:f>
      </x:c>
      <x:c r="K1942" s="19" t="str">
        <x:v>Exp_6/EXP058/results/seed1014_Full.json</x:v>
      </x:c>
    </x:row>
    <x:row r="1943" ht="15" hidden="0" customHeight="1">
      <x:c r="A1943" s="3" t="str">
        <x:v>EXP058</x:v>
      </x:c>
      <x:c r="B1943" s="3" t="str">
        <x:v>Exp. 6</x:v>
      </x:c>
      <x:c r="C1943" s="18" t="n">
        <x:v>1014</x:v>
      </x:c>
      <x:c r="D1943" s="3" t="str">
        <x:v>Relative cutoff 1e-2</x:v>
      </x:c>
      <x:c r="E1943" s="18" t="n">
        <x:v>200</x:v>
      </x:c>
      <x:c r="F1943" s="21" t="n">
        <x:v>580.7104259819886</x:v>
      </x:c>
      <x:c r="G1943" s="21" t="str">
        <x:f>""</x:f>
      </x:c>
      <x:c r="H1943" s="21" t="n">
        <x:f>F1942</x:f>
        <x:v>539.0215220907835</x:v>
      </x:c>
      <x:c r="I1943" s="27" t="str">
        <x:f>IF(AND(ISNUMBER(G1943),ISNUMBER(H1943),H1943&gt;0),G1943/H1943-1,"")</x:f>
      </x:c>
      <x:c r="J1943" s="27" t="str">
        <x:f>IF(AND(ISNUMBER(G1943),F1943&gt;0),G1943/F1943-1,"")</x:f>
      </x:c>
      <x:c r="K1943" s="19" t="str">
        <x:v>Exp_6/EXP058/results/seed1014_Relative_cutoff_1e-2.json</x:v>
      </x:c>
    </x:row>
    <x:row r="1944" ht="15" hidden="0" customHeight="1">
      <x:c r="A1944" s="3" t="str">
        <x:v>EXP058</x:v>
      </x:c>
      <x:c r="B1944" s="3" t="str">
        <x:v>Exp. 6</x:v>
      </x:c>
      <x:c r="C1944" s="18" t="n">
        <x:v>1015</x:v>
      </x:c>
      <x:c r="D1944" s="3" t="str">
        <x:v>Fixed rank 10</x:v>
      </x:c>
      <x:c r="E1944" s="18" t="n">
        <x:v>200</x:v>
      </x:c>
      <x:c r="F1944" s="21" t="n">
        <x:v>478.8494035427059</x:v>
      </x:c>
      <x:c r="G1944" s="21" t="str">
        <x:f>""</x:f>
      </x:c>
      <x:c r="H1944" s="21" t="n">
        <x:f>F1947</x:f>
        <x:v>478.8494035427059</x:v>
      </x:c>
      <x:c r="I1944" s="27" t="str">
        <x:f>IF(AND(ISNUMBER(G1944),ISNUMBER(H1944),H1944&gt;0),G1944/H1944-1,"")</x:f>
      </x:c>
      <x:c r="J1944" s="27" t="str">
        <x:f>IF(AND(ISNUMBER(G1944),F1944&gt;0),G1944/F1944-1,"")</x:f>
      </x:c>
      <x:c r="K1944" s="19" t="str">
        <x:v>Exp_6/EXP058/results/seed1015_Fixed_rank_10.json</x:v>
      </x:c>
    </x:row>
    <x:row r="1945" ht="15" hidden="0" customHeight="1">
      <x:c r="A1945" s="3" t="str">
        <x:v>EXP058</x:v>
      </x:c>
      <x:c r="B1945" s="3" t="str">
        <x:v>Exp. 6</x:v>
      </x:c>
      <x:c r="C1945" s="18" t="n">
        <x:v>1015</x:v>
      </x:c>
      <x:c r="D1945" s="3" t="str">
        <x:v>Fixed rank 3</x:v>
      </x:c>
      <x:c r="E1945" s="18" t="n">
        <x:v>200</x:v>
      </x:c>
      <x:c r="F1945" s="21" t="n">
        <x:v>470.0176774789946</x:v>
      </x:c>
      <x:c r="G1945" s="21" t="str">
        <x:f>""</x:f>
      </x:c>
      <x:c r="H1945" s="21" t="n">
        <x:f>F1947</x:f>
        <x:v>478.8494035427059</x:v>
      </x:c>
      <x:c r="I1945" s="27" t="str">
        <x:f>IF(AND(ISNUMBER(G1945),ISNUMBER(H1945),H1945&gt;0),G1945/H1945-1,"")</x:f>
      </x:c>
      <x:c r="J1945" s="27" t="str">
        <x:f>IF(AND(ISNUMBER(G1945),F1945&gt;0),G1945/F1945-1,"")</x:f>
      </x:c>
      <x:c r="K1945" s="19" t="str">
        <x:v>Exp_6/EXP058/results/seed1015_Fixed_rank_3.json</x:v>
      </x:c>
    </x:row>
    <x:row r="1946" ht="15" hidden="0" customHeight="1">
      <x:c r="A1946" s="3" t="str">
        <x:v>EXP058</x:v>
      </x:c>
      <x:c r="B1946" s="3" t="str">
        <x:v>Exp. 6</x:v>
      </x:c>
      <x:c r="C1946" s="18" t="n">
        <x:v>1015</x:v>
      </x:c>
      <x:c r="D1946" s="3" t="str">
        <x:v>Fixed rank 5</x:v>
      </x:c>
      <x:c r="E1946" s="18" t="n">
        <x:v>200</x:v>
      </x:c>
      <x:c r="F1946" s="21" t="n">
        <x:v>489.91644145205936</x:v>
      </x:c>
      <x:c r="G1946" s="21" t="str">
        <x:f>""</x:f>
      </x:c>
      <x:c r="H1946" s="21" t="n">
        <x:f>F1947</x:f>
        <x:v>478.8494035427059</x:v>
      </x:c>
      <x:c r="I1946" s="27" t="str">
        <x:f>IF(AND(ISNUMBER(G1946),ISNUMBER(H1946),H1946&gt;0),G1946/H1946-1,"")</x:f>
      </x:c>
      <x:c r="J1946" s="27" t="str">
        <x:f>IF(AND(ISNUMBER(G1946),F1946&gt;0),G1946/F1946-1,"")</x:f>
      </x:c>
      <x:c r="K1946" s="19" t="str">
        <x:v>Exp_6/EXP058/results/seed1015_Fixed_rank_5.json</x:v>
      </x:c>
    </x:row>
    <x:row r="1947" ht="15" hidden="0" customHeight="1">
      <x:c r="A1947" s="3" t="str">
        <x:v>EXP058</x:v>
      </x:c>
      <x:c r="B1947" s="3" t="str">
        <x:v>Exp. 6</x:v>
      </x:c>
      <x:c r="C1947" s="18" t="n">
        <x:v>1015</x:v>
      </x:c>
      <x:c r="D1947" s="3" t="str">
        <x:v>Full</x:v>
      </x:c>
      <x:c r="E1947" s="18" t="n">
        <x:v>200</x:v>
      </x:c>
      <x:c r="F1947" s="21" t="n">
        <x:v>478.8494035427059</x:v>
      </x:c>
      <x:c r="G1947" s="21" t="str">
        <x:f>""</x:f>
      </x:c>
      <x:c r="H1947" s="21" t="n">
        <x:f>F1947</x:f>
        <x:v>478.8494035427059</x:v>
      </x:c>
      <x:c r="I1947" s="27" t="str">
        <x:f>IF(AND(ISNUMBER(G1947),ISNUMBER(H1947),H1947&gt;0),G1947/H1947-1,"")</x:f>
      </x:c>
      <x:c r="J1947" s="27" t="str">
        <x:f>IF(AND(ISNUMBER(G1947),F1947&gt;0),G1947/F1947-1,"")</x:f>
      </x:c>
      <x:c r="K1947" s="19" t="str">
        <x:v>Exp_6/EXP058/results/seed1015_Full.json</x:v>
      </x:c>
    </x:row>
    <x:row r="1948" ht="15" hidden="0" customHeight="1">
      <x:c r="A1948" s="3" t="str">
        <x:v>EXP058</x:v>
      </x:c>
      <x:c r="B1948" s="3" t="str">
        <x:v>Exp. 6</x:v>
      </x:c>
      <x:c r="C1948" s="18" t="n">
        <x:v>1015</x:v>
      </x:c>
      <x:c r="D1948" s="3" t="str">
        <x:v>Relative cutoff 1e-2</x:v>
      </x:c>
      <x:c r="E1948" s="18" t="n">
        <x:v>200</x:v>
      </x:c>
      <x:c r="F1948" s="21" t="n">
        <x:v>498.83243679846174</x:v>
      </x:c>
      <x:c r="G1948" s="21" t="str">
        <x:f>""</x:f>
      </x:c>
      <x:c r="H1948" s="21" t="n">
        <x:f>F1947</x:f>
        <x:v>478.8494035427059</x:v>
      </x:c>
      <x:c r="I1948" s="27" t="str">
        <x:f>IF(AND(ISNUMBER(G1948),ISNUMBER(H1948),H1948&gt;0),G1948/H1948-1,"")</x:f>
      </x:c>
      <x:c r="J1948" s="27" t="str">
        <x:f>IF(AND(ISNUMBER(G1948),F1948&gt;0),G1948/F1948-1,"")</x:f>
      </x:c>
      <x:c r="K1948" s="19" t="str">
        <x:v>Exp_6/EXP058/results/seed1015_Relative_cutoff_1e-2.json</x:v>
      </x:c>
    </x:row>
    <x:row r="1949" ht="15" hidden="0" customHeight="1">
      <x:c r="A1949" s="3" t="str">
        <x:v>EXP058</x:v>
      </x:c>
      <x:c r="B1949" s="3" t="str">
        <x:v>Exp. 6</x:v>
      </x:c>
      <x:c r="C1949" s="18" t="n">
        <x:v>1016</x:v>
      </x:c>
      <x:c r="D1949" s="3" t="str">
        <x:v>Fixed rank 10</x:v>
      </x:c>
      <x:c r="E1949" s="18" t="n">
        <x:v>200</x:v>
      </x:c>
      <x:c r="F1949" s="21" t="n">
        <x:v>496.7832842592323</x:v>
      </x:c>
      <x:c r="G1949" s="21" t="str">
        <x:f>""</x:f>
      </x:c>
      <x:c r="H1949" s="21" t="n">
        <x:f>F1952</x:f>
        <x:v>486.205126039947</x:v>
      </x:c>
      <x:c r="I1949" s="27" t="str">
        <x:f>IF(AND(ISNUMBER(G1949),ISNUMBER(H1949),H1949&gt;0),G1949/H1949-1,"")</x:f>
      </x:c>
      <x:c r="J1949" s="27" t="str">
        <x:f>IF(AND(ISNUMBER(G1949),F1949&gt;0),G1949/F1949-1,"")</x:f>
      </x:c>
      <x:c r="K1949" s="19" t="str">
        <x:v>Exp_6/EXP058/results/seed1016_Fixed_rank_10.json</x:v>
      </x:c>
    </x:row>
    <x:row r="1950" ht="15" hidden="0" customHeight="1">
      <x:c r="A1950" s="3" t="str">
        <x:v>EXP058</x:v>
      </x:c>
      <x:c r="B1950" s="3" t="str">
        <x:v>Exp. 6</x:v>
      </x:c>
      <x:c r="C1950" s="18" t="n">
        <x:v>1016</x:v>
      </x:c>
      <x:c r="D1950" s="3" t="str">
        <x:v>Fixed rank 3</x:v>
      </x:c>
      <x:c r="E1950" s="18" t="n">
        <x:v>200</x:v>
      </x:c>
      <x:c r="F1950" s="21" t="n">
        <x:v>495.3207732206618</x:v>
      </x:c>
      <x:c r="G1950" s="21" t="str">
        <x:f>""</x:f>
      </x:c>
      <x:c r="H1950" s="21" t="n">
        <x:f>F1952</x:f>
        <x:v>486.205126039947</x:v>
      </x:c>
      <x:c r="I1950" s="27" t="str">
        <x:f>IF(AND(ISNUMBER(G1950),ISNUMBER(H1950),H1950&gt;0),G1950/H1950-1,"")</x:f>
      </x:c>
      <x:c r="J1950" s="27" t="str">
        <x:f>IF(AND(ISNUMBER(G1950),F1950&gt;0),G1950/F1950-1,"")</x:f>
      </x:c>
      <x:c r="K1950" s="19" t="str">
        <x:v>Exp_6/EXP058/results/seed1016_Fixed_rank_3.json</x:v>
      </x:c>
    </x:row>
    <x:row r="1951" ht="15" hidden="0" customHeight="1">
      <x:c r="A1951" s="3" t="str">
        <x:v>EXP058</x:v>
      </x:c>
      <x:c r="B1951" s="3" t="str">
        <x:v>Exp. 6</x:v>
      </x:c>
      <x:c r="C1951" s="18" t="n">
        <x:v>1016</x:v>
      </x:c>
      <x:c r="D1951" s="3" t="str">
        <x:v>Fixed rank 5</x:v>
      </x:c>
      <x:c r="E1951" s="18" t="n">
        <x:v>200</x:v>
      </x:c>
      <x:c r="F1951" s="21" t="n">
        <x:v>482.78702913511853</x:v>
      </x:c>
      <x:c r="G1951" s="21" t="str">
        <x:f>""</x:f>
      </x:c>
      <x:c r="H1951" s="21" t="n">
        <x:f>F1952</x:f>
        <x:v>486.205126039947</x:v>
      </x:c>
      <x:c r="I1951" s="27" t="str">
        <x:f>IF(AND(ISNUMBER(G1951),ISNUMBER(H1951),H1951&gt;0),G1951/H1951-1,"")</x:f>
      </x:c>
      <x:c r="J1951" s="27" t="str">
        <x:f>IF(AND(ISNUMBER(G1951),F1951&gt;0),G1951/F1951-1,"")</x:f>
      </x:c>
      <x:c r="K1951" s="19" t="str">
        <x:v>Exp_6/EXP058/results/seed1016_Fixed_rank_5.json</x:v>
      </x:c>
    </x:row>
    <x:row r="1952" ht="15" hidden="0" customHeight="1">
      <x:c r="A1952" s="3" t="str">
        <x:v>EXP058</x:v>
      </x:c>
      <x:c r="B1952" s="3" t="str">
        <x:v>Exp. 6</x:v>
      </x:c>
      <x:c r="C1952" s="18" t="n">
        <x:v>1016</x:v>
      </x:c>
      <x:c r="D1952" s="3" t="str">
        <x:v>Full</x:v>
      </x:c>
      <x:c r="E1952" s="18" t="n">
        <x:v>200</x:v>
      </x:c>
      <x:c r="F1952" s="21" t="n">
        <x:v>486.205126039947</x:v>
      </x:c>
      <x:c r="G1952" s="21" t="str">
        <x:f>""</x:f>
      </x:c>
      <x:c r="H1952" s="21" t="n">
        <x:f>F1952</x:f>
        <x:v>486.205126039947</x:v>
      </x:c>
      <x:c r="I1952" s="27" t="str">
        <x:f>IF(AND(ISNUMBER(G1952),ISNUMBER(H1952),H1952&gt;0),G1952/H1952-1,"")</x:f>
      </x:c>
      <x:c r="J1952" s="27" t="str">
        <x:f>IF(AND(ISNUMBER(G1952),F1952&gt;0),G1952/F1952-1,"")</x:f>
      </x:c>
      <x:c r="K1952" s="19" t="str">
        <x:v>Exp_6/EXP058/results/seed1016_Full.json</x:v>
      </x:c>
    </x:row>
    <x:row r="1953" ht="15" hidden="0" customHeight="1">
      <x:c r="A1953" s="3" t="str">
        <x:v>EXP058</x:v>
      </x:c>
      <x:c r="B1953" s="3" t="str">
        <x:v>Exp. 6</x:v>
      </x:c>
      <x:c r="C1953" s="18" t="n">
        <x:v>1016</x:v>
      </x:c>
      <x:c r="D1953" s="3" t="str">
        <x:v>Relative cutoff 1e-2</x:v>
      </x:c>
      <x:c r="E1953" s="18" t="n">
        <x:v>200</x:v>
      </x:c>
      <x:c r="F1953" s="21" t="n">
        <x:v>568.6458652615108</x:v>
      </x:c>
      <x:c r="G1953" s="21" t="str">
        <x:f>""</x:f>
      </x:c>
      <x:c r="H1953" s="21" t="n">
        <x:f>F1952</x:f>
        <x:v>486.205126039947</x:v>
      </x:c>
      <x:c r="I1953" s="27" t="str">
        <x:f>IF(AND(ISNUMBER(G1953),ISNUMBER(H1953),H1953&gt;0),G1953/H1953-1,"")</x:f>
      </x:c>
      <x:c r="J1953" s="27" t="str">
        <x:f>IF(AND(ISNUMBER(G1953),F1953&gt;0),G1953/F1953-1,"")</x:f>
      </x:c>
      <x:c r="K1953" s="19" t="str">
        <x:v>Exp_6/EXP058/results/seed1016_Relative_cutoff_1e-2.json</x:v>
      </x:c>
    </x:row>
    <x:row r="1954" ht="15" hidden="0" customHeight="1">
      <x:c r="A1954" s="3" t="str">
        <x:v>EXP058</x:v>
      </x:c>
      <x:c r="B1954" s="3" t="str">
        <x:v>Exp. 6</x:v>
      </x:c>
      <x:c r="C1954" s="18" t="n">
        <x:v>1017</x:v>
      </x:c>
      <x:c r="D1954" s="3" t="str">
        <x:v>Fixed rank 10</x:v>
      </x:c>
      <x:c r="E1954" s="18" t="n">
        <x:v>200</x:v>
      </x:c>
      <x:c r="F1954" s="21" t="n">
        <x:v>601.7849339862564</x:v>
      </x:c>
      <x:c r="G1954" s="21" t="str">
        <x:f>""</x:f>
      </x:c>
      <x:c r="H1954" s="21" t="n">
        <x:f>F1957</x:f>
        <x:v>616.0422027419647</x:v>
      </x:c>
      <x:c r="I1954" s="27" t="str">
        <x:f>IF(AND(ISNUMBER(G1954),ISNUMBER(H1954),H1954&gt;0),G1954/H1954-1,"")</x:f>
      </x:c>
      <x:c r="J1954" s="27" t="str">
        <x:f>IF(AND(ISNUMBER(G1954),F1954&gt;0),G1954/F1954-1,"")</x:f>
      </x:c>
      <x:c r="K1954" s="19" t="str">
        <x:v>Exp_6/EXP058/results/seed1017_Fixed_rank_10.json</x:v>
      </x:c>
    </x:row>
    <x:row r="1955" ht="15" hidden="0" customHeight="1">
      <x:c r="A1955" s="3" t="str">
        <x:v>EXP058</x:v>
      </x:c>
      <x:c r="B1955" s="3" t="str">
        <x:v>Exp. 6</x:v>
      </x:c>
      <x:c r="C1955" s="18" t="n">
        <x:v>1017</x:v>
      </x:c>
      <x:c r="D1955" s="3" t="str">
        <x:v>Fixed rank 3</x:v>
      </x:c>
      <x:c r="E1955" s="18" t="n">
        <x:v>200</x:v>
      </x:c>
      <x:c r="F1955" s="21" t="n">
        <x:v>606.4524469782044</x:v>
      </x:c>
      <x:c r="G1955" s="21" t="str">
        <x:f>""</x:f>
      </x:c>
      <x:c r="H1955" s="21" t="n">
        <x:f>F1957</x:f>
        <x:v>616.0422027419647</x:v>
      </x:c>
      <x:c r="I1955" s="27" t="str">
        <x:f>IF(AND(ISNUMBER(G1955),ISNUMBER(H1955),H1955&gt;0),G1955/H1955-1,"")</x:f>
      </x:c>
      <x:c r="J1955" s="27" t="str">
        <x:f>IF(AND(ISNUMBER(G1955),F1955&gt;0),G1955/F1955-1,"")</x:f>
      </x:c>
      <x:c r="K1955" s="19" t="str">
        <x:v>Exp_6/EXP058/results/seed1017_Fixed_rank_3.json</x:v>
      </x:c>
    </x:row>
    <x:row r="1956" ht="15" hidden="0" customHeight="1">
      <x:c r="A1956" s="3" t="str">
        <x:v>EXP058</x:v>
      </x:c>
      <x:c r="B1956" s="3" t="str">
        <x:v>Exp. 6</x:v>
      </x:c>
      <x:c r="C1956" s="18" t="n">
        <x:v>1017</x:v>
      </x:c>
      <x:c r="D1956" s="3" t="str">
        <x:v>Fixed rank 5</x:v>
      </x:c>
      <x:c r="E1956" s="18" t="n">
        <x:v>200</x:v>
      </x:c>
      <x:c r="F1956" s="21" t="n">
        <x:v>575.2732238512024</x:v>
      </x:c>
      <x:c r="G1956" s="21" t="str">
        <x:f>""</x:f>
      </x:c>
      <x:c r="H1956" s="21" t="n">
        <x:f>F1957</x:f>
        <x:v>616.0422027419647</x:v>
      </x:c>
      <x:c r="I1956" s="27" t="str">
        <x:f>IF(AND(ISNUMBER(G1956),ISNUMBER(H1956),H1956&gt;0),G1956/H1956-1,"")</x:f>
      </x:c>
      <x:c r="J1956" s="27" t="str">
        <x:f>IF(AND(ISNUMBER(G1956),F1956&gt;0),G1956/F1956-1,"")</x:f>
      </x:c>
      <x:c r="K1956" s="19" t="str">
        <x:v>Exp_6/EXP058/results/seed1017_Fixed_rank_5.json</x:v>
      </x:c>
    </x:row>
    <x:row r="1957" ht="15" hidden="0" customHeight="1">
      <x:c r="A1957" s="3" t="str">
        <x:v>EXP058</x:v>
      </x:c>
      <x:c r="B1957" s="3" t="str">
        <x:v>Exp. 6</x:v>
      </x:c>
      <x:c r="C1957" s="18" t="n">
        <x:v>1017</x:v>
      </x:c>
      <x:c r="D1957" s="3" t="str">
        <x:v>Full</x:v>
      </x:c>
      <x:c r="E1957" s="18" t="n">
        <x:v>200</x:v>
      </x:c>
      <x:c r="F1957" s="21" t="n">
        <x:v>616.0422027419647</x:v>
      </x:c>
      <x:c r="G1957" s="21" t="str">
        <x:f>""</x:f>
      </x:c>
      <x:c r="H1957" s="21" t="n">
        <x:f>F1957</x:f>
        <x:v>616.0422027419647</x:v>
      </x:c>
      <x:c r="I1957" s="27" t="str">
        <x:f>IF(AND(ISNUMBER(G1957),ISNUMBER(H1957),H1957&gt;0),G1957/H1957-1,"")</x:f>
      </x:c>
      <x:c r="J1957" s="27" t="str">
        <x:f>IF(AND(ISNUMBER(G1957),F1957&gt;0),G1957/F1957-1,"")</x:f>
      </x:c>
      <x:c r="K1957" s="19" t="str">
        <x:v>Exp_6/EXP058/results/seed1017_Full.json</x:v>
      </x:c>
    </x:row>
    <x:row r="1958" ht="15" hidden="0" customHeight="1">
      <x:c r="A1958" s="3" t="str">
        <x:v>EXP058</x:v>
      </x:c>
      <x:c r="B1958" s="3" t="str">
        <x:v>Exp. 6</x:v>
      </x:c>
      <x:c r="C1958" s="18" t="n">
        <x:v>1017</x:v>
      </x:c>
      <x:c r="D1958" s="3" t="str">
        <x:v>Relative cutoff 1e-2</x:v>
      </x:c>
      <x:c r="E1958" s="18" t="n">
        <x:v>200</x:v>
      </x:c>
      <x:c r="F1958" s="21" t="n">
        <x:v>605.9427094390811</x:v>
      </x:c>
      <x:c r="G1958" s="21" t="str">
        <x:f>""</x:f>
      </x:c>
      <x:c r="H1958" s="21" t="n">
        <x:f>F1957</x:f>
        <x:v>616.0422027419647</x:v>
      </x:c>
      <x:c r="I1958" s="27" t="str">
        <x:f>IF(AND(ISNUMBER(G1958),ISNUMBER(H1958),H1958&gt;0),G1958/H1958-1,"")</x:f>
      </x:c>
      <x:c r="J1958" s="27" t="str">
        <x:f>IF(AND(ISNUMBER(G1958),F1958&gt;0),G1958/F1958-1,"")</x:f>
      </x:c>
      <x:c r="K1958" s="19" t="str">
        <x:v>Exp_6/EXP058/results/seed1017_Relative_cutoff_1e-2.json</x:v>
      </x:c>
    </x:row>
    <x:row r="1959" ht="15" hidden="0" customHeight="1">
      <x:c r="A1959" s="3" t="str">
        <x:v>EXP058</x:v>
      </x:c>
      <x:c r="B1959" s="3" t="str">
        <x:v>Exp. 6</x:v>
      </x:c>
      <x:c r="C1959" s="18" t="n">
        <x:v>1018</x:v>
      </x:c>
      <x:c r="D1959" s="3" t="str">
        <x:v>Fixed rank 10</x:v>
      </x:c>
      <x:c r="E1959" s="18" t="n">
        <x:v>200</x:v>
      </x:c>
      <x:c r="F1959" s="21" t="n">
        <x:v>605.9727663424891</x:v>
      </x:c>
      <x:c r="G1959" s="21" t="str">
        <x:f>""</x:f>
      </x:c>
      <x:c r="H1959" s="21" t="n">
        <x:f>F1962</x:f>
        <x:v>616.3563284478381</x:v>
      </x:c>
      <x:c r="I1959" s="27" t="str">
        <x:f>IF(AND(ISNUMBER(G1959),ISNUMBER(H1959),H1959&gt;0),G1959/H1959-1,"")</x:f>
      </x:c>
      <x:c r="J1959" s="27" t="str">
        <x:f>IF(AND(ISNUMBER(G1959),F1959&gt;0),G1959/F1959-1,"")</x:f>
      </x:c>
      <x:c r="K1959" s="19" t="str">
        <x:v>Exp_6/EXP058/results/seed1018_Fixed_rank_10.json</x:v>
      </x:c>
    </x:row>
    <x:row r="1960" ht="15" hidden="0" customHeight="1">
      <x:c r="A1960" s="3" t="str">
        <x:v>EXP058</x:v>
      </x:c>
      <x:c r="B1960" s="3" t="str">
        <x:v>Exp. 6</x:v>
      </x:c>
      <x:c r="C1960" s="18" t="n">
        <x:v>1018</x:v>
      </x:c>
      <x:c r="D1960" s="3" t="str">
        <x:v>Fixed rank 3</x:v>
      </x:c>
      <x:c r="E1960" s="18" t="n">
        <x:v>200</x:v>
      </x:c>
      <x:c r="F1960" s="21" t="n">
        <x:v>599.510286103265</x:v>
      </x:c>
      <x:c r="G1960" s="21" t="str">
        <x:f>""</x:f>
      </x:c>
      <x:c r="H1960" s="21" t="n">
        <x:f>F1962</x:f>
        <x:v>616.3563284478381</x:v>
      </x:c>
      <x:c r="I1960" s="27" t="str">
        <x:f>IF(AND(ISNUMBER(G1960),ISNUMBER(H1960),H1960&gt;0),G1960/H1960-1,"")</x:f>
      </x:c>
      <x:c r="J1960" s="27" t="str">
        <x:f>IF(AND(ISNUMBER(G1960),F1960&gt;0),G1960/F1960-1,"")</x:f>
      </x:c>
      <x:c r="K1960" s="19" t="str">
        <x:v>Exp_6/EXP058/results/seed1018_Fixed_rank_3.json</x:v>
      </x:c>
    </x:row>
    <x:row r="1961" ht="15" hidden="0" customHeight="1">
      <x:c r="A1961" s="3" t="str">
        <x:v>EXP058</x:v>
      </x:c>
      <x:c r="B1961" s="3" t="str">
        <x:v>Exp. 6</x:v>
      </x:c>
      <x:c r="C1961" s="18" t="n">
        <x:v>1018</x:v>
      </x:c>
      <x:c r="D1961" s="3" t="str">
        <x:v>Fixed rank 5</x:v>
      </x:c>
      <x:c r="E1961" s="18" t="n">
        <x:v>200</x:v>
      </x:c>
      <x:c r="F1961" s="21" t="n">
        <x:v>618.2530964059066</x:v>
      </x:c>
      <x:c r="G1961" s="21" t="str">
        <x:f>""</x:f>
      </x:c>
      <x:c r="H1961" s="21" t="n">
        <x:f>F1962</x:f>
        <x:v>616.3563284478381</x:v>
      </x:c>
      <x:c r="I1961" s="27" t="str">
        <x:f>IF(AND(ISNUMBER(G1961),ISNUMBER(H1961),H1961&gt;0),G1961/H1961-1,"")</x:f>
      </x:c>
      <x:c r="J1961" s="27" t="str">
        <x:f>IF(AND(ISNUMBER(G1961),F1961&gt;0),G1961/F1961-1,"")</x:f>
      </x:c>
      <x:c r="K1961" s="19" t="str">
        <x:v>Exp_6/EXP058/results/seed1018_Fixed_rank_5.json</x:v>
      </x:c>
    </x:row>
    <x:row r="1962" ht="15" hidden="0" customHeight="1">
      <x:c r="A1962" s="3" t="str">
        <x:v>EXP058</x:v>
      </x:c>
      <x:c r="B1962" s="3" t="str">
        <x:v>Exp. 6</x:v>
      </x:c>
      <x:c r="C1962" s="18" t="n">
        <x:v>1018</x:v>
      </x:c>
      <x:c r="D1962" s="3" t="str">
        <x:v>Full</x:v>
      </x:c>
      <x:c r="E1962" s="18" t="n">
        <x:v>200</x:v>
      </x:c>
      <x:c r="F1962" s="21" t="n">
        <x:v>616.3563284478381</x:v>
      </x:c>
      <x:c r="G1962" s="21" t="str">
        <x:f>""</x:f>
      </x:c>
      <x:c r="H1962" s="21" t="n">
        <x:f>F1962</x:f>
        <x:v>616.3563284478381</x:v>
      </x:c>
      <x:c r="I1962" s="27" t="str">
        <x:f>IF(AND(ISNUMBER(G1962),ISNUMBER(H1962),H1962&gt;0),G1962/H1962-1,"")</x:f>
      </x:c>
      <x:c r="J1962" s="27" t="str">
        <x:f>IF(AND(ISNUMBER(G1962),F1962&gt;0),G1962/F1962-1,"")</x:f>
      </x:c>
      <x:c r="K1962" s="19" t="str">
        <x:v>Exp_6/EXP058/results/seed1018_Full.json</x:v>
      </x:c>
    </x:row>
    <x:row r="1963" ht="15" hidden="0" customHeight="1">
      <x:c r="A1963" s="3" t="str">
        <x:v>EXP058</x:v>
      </x:c>
      <x:c r="B1963" s="3" t="str">
        <x:v>Exp. 6</x:v>
      </x:c>
      <x:c r="C1963" s="18" t="n">
        <x:v>1018</x:v>
      </x:c>
      <x:c r="D1963" s="3" t="str">
        <x:v>Relative cutoff 1e-2</x:v>
      </x:c>
      <x:c r="E1963" s="18" t="n">
        <x:v>200</x:v>
      </x:c>
      <x:c r="F1963" s="21" t="n">
        <x:v>599.510286103265</x:v>
      </x:c>
      <x:c r="G1963" s="21" t="str">
        <x:f>""</x:f>
      </x:c>
      <x:c r="H1963" s="21" t="n">
        <x:f>F1962</x:f>
        <x:v>616.3563284478381</x:v>
      </x:c>
      <x:c r="I1963" s="27" t="str">
        <x:f>IF(AND(ISNUMBER(G1963),ISNUMBER(H1963),H1963&gt;0),G1963/H1963-1,"")</x:f>
      </x:c>
      <x:c r="J1963" s="27" t="str">
        <x:f>IF(AND(ISNUMBER(G1963),F1963&gt;0),G1963/F1963-1,"")</x:f>
      </x:c>
      <x:c r="K1963" s="19" t="str">
        <x:v>Exp_6/EXP058/results/seed1018_Relative_cutoff_1e-2.json</x:v>
      </x:c>
    </x:row>
    <x:row r="1964" ht="15" hidden="0" customHeight="1">
      <x:c r="A1964" s="3" t="str">
        <x:v>EXP058</x:v>
      </x:c>
      <x:c r="B1964" s="3" t="str">
        <x:v>Exp. 6</x:v>
      </x:c>
      <x:c r="C1964" s="18" t="n">
        <x:v>1019</x:v>
      </x:c>
      <x:c r="D1964" s="3" t="str">
        <x:v>Fixed rank 10</x:v>
      </x:c>
      <x:c r="E1964" s="18" t="n">
        <x:v>200</x:v>
      </x:c>
      <x:c r="F1964" s="21" t="n">
        <x:v>599.1307348691839</x:v>
      </x:c>
      <x:c r="G1964" s="21" t="str">
        <x:f>""</x:f>
      </x:c>
      <x:c r="H1964" s="21" t="n">
        <x:f>F1967</x:f>
        <x:v>609.373493610123</x:v>
      </x:c>
      <x:c r="I1964" s="27" t="str">
        <x:f>IF(AND(ISNUMBER(G1964),ISNUMBER(H1964),H1964&gt;0),G1964/H1964-1,"")</x:f>
      </x:c>
      <x:c r="J1964" s="27" t="str">
        <x:f>IF(AND(ISNUMBER(G1964),F1964&gt;0),G1964/F1964-1,"")</x:f>
      </x:c>
      <x:c r="K1964" s="19" t="str">
        <x:v>Exp_6/EXP058/results/seed1019_Fixed_rank_10.json</x:v>
      </x:c>
    </x:row>
    <x:row r="1965" ht="15" hidden="0" customHeight="1">
      <x:c r="A1965" s="3" t="str">
        <x:v>EXP058</x:v>
      </x:c>
      <x:c r="B1965" s="3" t="str">
        <x:v>Exp. 6</x:v>
      </x:c>
      <x:c r="C1965" s="18" t="n">
        <x:v>1019</x:v>
      </x:c>
      <x:c r="D1965" s="3" t="str">
        <x:v>Fixed rank 3</x:v>
      </x:c>
      <x:c r="E1965" s="18" t="n">
        <x:v>200</x:v>
      </x:c>
      <x:c r="F1965" s="21" t="n">
        <x:v>622.4304152228839</x:v>
      </x:c>
      <x:c r="G1965" s="21" t="str">
        <x:f>""</x:f>
      </x:c>
      <x:c r="H1965" s="21" t="n">
        <x:f>F1967</x:f>
        <x:v>609.373493610123</x:v>
      </x:c>
      <x:c r="I1965" s="27" t="str">
        <x:f>IF(AND(ISNUMBER(G1965),ISNUMBER(H1965),H1965&gt;0),G1965/H1965-1,"")</x:f>
      </x:c>
      <x:c r="J1965" s="27" t="str">
        <x:f>IF(AND(ISNUMBER(G1965),F1965&gt;0),G1965/F1965-1,"")</x:f>
      </x:c>
      <x:c r="K1965" s="19" t="str">
        <x:v>Exp_6/EXP058/results/seed1019_Fixed_rank_3.json</x:v>
      </x:c>
    </x:row>
    <x:row r="1966" ht="15" hidden="0" customHeight="1">
      <x:c r="A1966" s="3" t="str">
        <x:v>EXP058</x:v>
      </x:c>
      <x:c r="B1966" s="3" t="str">
        <x:v>Exp. 6</x:v>
      </x:c>
      <x:c r="C1966" s="18" t="n">
        <x:v>1019</x:v>
      </x:c>
      <x:c r="D1966" s="3" t="str">
        <x:v>Fixed rank 5</x:v>
      </x:c>
      <x:c r="E1966" s="18" t="n">
        <x:v>200</x:v>
      </x:c>
      <x:c r="F1966" s="21" t="n">
        <x:v>646.1733567414913</x:v>
      </x:c>
      <x:c r="G1966" s="21" t="str">
        <x:f>""</x:f>
      </x:c>
      <x:c r="H1966" s="21" t="n">
        <x:f>F1967</x:f>
        <x:v>609.373493610123</x:v>
      </x:c>
      <x:c r="I1966" s="27" t="str">
        <x:f>IF(AND(ISNUMBER(G1966),ISNUMBER(H1966),H1966&gt;0),G1966/H1966-1,"")</x:f>
      </x:c>
      <x:c r="J1966" s="27" t="str">
        <x:f>IF(AND(ISNUMBER(G1966),F1966&gt;0),G1966/F1966-1,"")</x:f>
      </x:c>
      <x:c r="K1966" s="19" t="str">
        <x:v>Exp_6/EXP058/results/seed1019_Fixed_rank_5.json</x:v>
      </x:c>
    </x:row>
    <x:row r="1967" ht="15" hidden="0" customHeight="1">
      <x:c r="A1967" s="3" t="str">
        <x:v>EXP058</x:v>
      </x:c>
      <x:c r="B1967" s="3" t="str">
        <x:v>Exp. 6</x:v>
      </x:c>
      <x:c r="C1967" s="18" t="n">
        <x:v>1019</x:v>
      </x:c>
      <x:c r="D1967" s="3" t="str">
        <x:v>Full</x:v>
      </x:c>
      <x:c r="E1967" s="18" t="n">
        <x:v>200</x:v>
      </x:c>
      <x:c r="F1967" s="21" t="n">
        <x:v>609.373493610123</x:v>
      </x:c>
      <x:c r="G1967" s="21" t="str">
        <x:f>""</x:f>
      </x:c>
      <x:c r="H1967" s="21" t="n">
        <x:f>F1967</x:f>
        <x:v>609.373493610123</x:v>
      </x:c>
      <x:c r="I1967" s="27" t="str">
        <x:f>IF(AND(ISNUMBER(G1967),ISNUMBER(H1967),H1967&gt;0),G1967/H1967-1,"")</x:f>
      </x:c>
      <x:c r="J1967" s="27" t="str">
        <x:f>IF(AND(ISNUMBER(G1967),F1967&gt;0),G1967/F1967-1,"")</x:f>
      </x:c>
      <x:c r="K1967" s="19" t="str">
        <x:v>Exp_6/EXP058/results/seed1019_Full.json</x:v>
      </x:c>
    </x:row>
    <x:row r="1968" ht="15" hidden="0" customHeight="1">
      <x:c r="A1968" s="3" t="str">
        <x:v>EXP058</x:v>
      </x:c>
      <x:c r="B1968" s="3" t="str">
        <x:v>Exp. 6</x:v>
      </x:c>
      <x:c r="C1968" s="18" t="n">
        <x:v>1019</x:v>
      </x:c>
      <x:c r="D1968" s="3" t="str">
        <x:v>Relative cutoff 1e-2</x:v>
      </x:c>
      <x:c r="E1968" s="18" t="n">
        <x:v>200</x:v>
      </x:c>
      <x:c r="F1968" s="21" t="n">
        <x:v>629.4459752011916</x:v>
      </x:c>
      <x:c r="G1968" s="21" t="str">
        <x:f>""</x:f>
      </x:c>
      <x:c r="H1968" s="21" t="n">
        <x:f>F1967</x:f>
        <x:v>609.373493610123</x:v>
      </x:c>
      <x:c r="I1968" s="27" t="str">
        <x:f>IF(AND(ISNUMBER(G1968),ISNUMBER(H1968),H1968&gt;0),G1968/H1968-1,"")</x:f>
      </x:c>
      <x:c r="J1968" s="27" t="str">
        <x:f>IF(AND(ISNUMBER(G1968),F1968&gt;0),G1968/F1968-1,"")</x:f>
      </x:c>
      <x:c r="K1968" s="19" t="str">
        <x:v>Exp_6/EXP058/results/seed1019_Relative_cutoff_1e-2.json</x:v>
      </x:c>
    </x:row>
    <x:row r="1969" ht="15" hidden="0" customHeight="1">
      <x:c r="A1969" s="3" t="str">
        <x:v>EXP061</x:v>
      </x:c>
      <x:c r="B1969" s="3" t="str">
        <x:v>Exp. 7</x:v>
      </x:c>
      <x:c r="C1969" s="18" t="n">
        <x:v>20284363</x:v>
      </x:c>
      <x:c r="D1969" s="3" t="str">
        <x:v>BBP</x:v>
      </x:c>
      <x:c r="E1969" s="18" t="n">
        <x:v>200</x:v>
      </x:c>
      <x:c r="F1969" s="21" t="n">
        <x:v>374.156420744029</x:v>
      </x:c>
      <x:c r="G1969" s="21" t="n">
        <x:f>F1969</x:f>
        <x:v>374.156420744029</x:v>
      </x:c>
      <x:c r="H1969" s="21" t="n">
        <x:f>F1974</x:f>
        <x:v>374.156420744029</x:v>
      </x:c>
      <x:c r="I1969" s="27" t="n">
        <x:f>IF(AND(ISNUMBER(G1969),ISNUMBER(H1969),H1969&gt;0),G1969/H1969-1,"")</x:f>
        <x:v>0</x:v>
      </x:c>
      <x:c r="J1969" s="27" t="n">
        <x:f>IF(AND(ISNUMBER(G1969),F1969&gt;0),G1969/F1969-1,"")</x:f>
        <x:v>0</x:v>
      </x:c>
      <x:c r="K1969" s="19" t="str">
        <x:v>Exp_7/EXP061/results/seed20284363_BBP.json</x:v>
      </x:c>
    </x:row>
    <x:row r="1970" ht="15" hidden="0" customHeight="1">
      <x:c r="A1970" s="3" t="str">
        <x:v>EXP061</x:v>
      </x:c>
      <x:c r="B1970" s="3" t="str">
        <x:v>Exp. 7</x:v>
      </x:c>
      <x:c r="C1970" s="18" t="n">
        <x:v>20284363</x:v>
      </x:c>
      <x:c r="D1970" s="3" t="str">
        <x:v>Relative cutoff 1e-5</x:v>
      </x:c>
      <x:c r="E1970" s="18" t="n">
        <x:v>200</x:v>
      </x:c>
      <x:c r="F1970" s="21" t="n">
        <x:v>374.156420744029</x:v>
      </x:c>
      <x:c r="G1970" s="21" t="n">
        <x:f>F1969</x:f>
        <x:v>374.156420744029</x:v>
      </x:c>
      <x:c r="H1970" s="21" t="n">
        <x:f>F1974</x:f>
        <x:v>374.156420744029</x:v>
      </x:c>
      <x:c r="I1970" s="27" t="n">
        <x:f>IF(AND(ISNUMBER(G1970),ISNUMBER(H1970),H1970&gt;0),G1970/H1970-1,"")</x:f>
        <x:v>0</x:v>
      </x:c>
      <x:c r="J1970" s="27" t="n">
        <x:f>IF(AND(ISNUMBER(G1970),F1970&gt;0),G1970/F1970-1,"")</x:f>
        <x:v>0</x:v>
      </x:c>
      <x:c r="K1970" s="19" t="str">
        <x:v>Exp_7/EXP061/results/seed20284363_Relative_cutoff_1e-5.json</x:v>
      </x:c>
    </x:row>
    <x:row r="1971" ht="15" hidden="0" customHeight="1">
      <x:c r="A1971" s="3" t="str">
        <x:v>EXP061</x:v>
      </x:c>
      <x:c r="B1971" s="3" t="str">
        <x:v>Exp. 7</x:v>
      </x:c>
      <x:c r="C1971" s="18" t="n">
        <x:v>20284363</x:v>
      </x:c>
      <x:c r="D1971" s="3" t="str">
        <x:v>Fixed rank 10</x:v>
      </x:c>
      <x:c r="E1971" s="18" t="n">
        <x:v>200</x:v>
      </x:c>
      <x:c r="F1971" s="21" t="n">
        <x:v>374.156420744029</x:v>
      </x:c>
      <x:c r="G1971" s="21" t="n">
        <x:f>F1969</x:f>
        <x:v>374.156420744029</x:v>
      </x:c>
      <x:c r="H1971" s="21" t="n">
        <x:f>F1974</x:f>
        <x:v>374.156420744029</x:v>
      </x:c>
      <x:c r="I1971" s="27" t="n">
        <x:f>IF(AND(ISNUMBER(G1971),ISNUMBER(H1971),H1971&gt;0),G1971/H1971-1,"")</x:f>
        <x:v>0</x:v>
      </x:c>
      <x:c r="J1971" s="27" t="n">
        <x:f>IF(AND(ISNUMBER(G1971),F1971&gt;0),G1971/F1971-1,"")</x:f>
        <x:v>0</x:v>
      </x:c>
      <x:c r="K1971" s="19" t="str">
        <x:v>Exp_7/EXP061/results/seed20284363_Fixed_rank_10.json</x:v>
      </x:c>
    </x:row>
    <x:row r="1972" ht="15" hidden="0" customHeight="1">
      <x:c r="A1972" s="3" t="str">
        <x:v>EXP061</x:v>
      </x:c>
      <x:c r="B1972" s="3" t="str">
        <x:v>Exp. 7</x:v>
      </x:c>
      <x:c r="C1972" s="18" t="n">
        <x:v>20284363</x:v>
      </x:c>
      <x:c r="D1972" s="3" t="str">
        <x:v>Fixed rank 25</x:v>
      </x:c>
      <x:c r="E1972" s="18" t="n">
        <x:v>200</x:v>
      </x:c>
      <x:c r="F1972" s="21" t="n">
        <x:v>374.156420744029</x:v>
      </x:c>
      <x:c r="G1972" s="21" t="n">
        <x:f>F1969</x:f>
        <x:v>374.156420744029</x:v>
      </x:c>
      <x:c r="H1972" s="21" t="n">
        <x:f>F1974</x:f>
        <x:v>374.156420744029</x:v>
      </x:c>
      <x:c r="I1972" s="27" t="n">
        <x:f>IF(AND(ISNUMBER(G1972),ISNUMBER(H1972),H1972&gt;0),G1972/H1972-1,"")</x:f>
        <x:v>0</x:v>
      </x:c>
      <x:c r="J1972" s="27" t="n">
        <x:f>IF(AND(ISNUMBER(G1972),F1972&gt;0),G1972/F1972-1,"")</x:f>
        <x:v>0</x:v>
      </x:c>
      <x:c r="K1972" s="19" t="str">
        <x:v>Exp_7/EXP061/results/seed20284363_Fixed_rank_25.json</x:v>
      </x:c>
    </x:row>
    <x:row r="1973" ht="15" hidden="0" customHeight="1">
      <x:c r="A1973" s="3" t="str">
        <x:v>EXP061</x:v>
      </x:c>
      <x:c r="B1973" s="3" t="str">
        <x:v>Exp. 7</x:v>
      </x:c>
      <x:c r="C1973" s="18" t="n">
        <x:v>20284363</x:v>
      </x:c>
      <x:c r="D1973" s="3" t="str">
        <x:v>Relative cutoff 1e-6</x:v>
      </x:c>
      <x:c r="E1973" s="18" t="n">
        <x:v>200</x:v>
      </x:c>
      <x:c r="F1973" s="21" t="n">
        <x:v>374.156420744029</x:v>
      </x:c>
      <x:c r="G1973" s="21" t="n">
        <x:f>F1969</x:f>
        <x:v>374.156420744029</x:v>
      </x:c>
      <x:c r="H1973" s="21" t="n">
        <x:f>F1974</x:f>
        <x:v>374.156420744029</x:v>
      </x:c>
      <x:c r="I1973" s="27" t="n">
        <x:f>IF(AND(ISNUMBER(G1973),ISNUMBER(H1973),H1973&gt;0),G1973/H1973-1,"")</x:f>
        <x:v>0</x:v>
      </x:c>
      <x:c r="J1973" s="27" t="n">
        <x:f>IF(AND(ISNUMBER(G1973),F1973&gt;0),G1973/F1973-1,"")</x:f>
        <x:v>0</x:v>
      </x:c>
      <x:c r="K1973" s="19" t="str">
        <x:v>Exp_7/EXP061/results/seed20284363_Relative_cutoff_1e-6.json</x:v>
      </x:c>
    </x:row>
    <x:row r="1974" ht="15" hidden="0" customHeight="1">
      <x:c r="A1974" s="3" t="str">
        <x:v>EXP061</x:v>
      </x:c>
      <x:c r="B1974" s="3" t="str">
        <x:v>Exp. 7</x:v>
      </x:c>
      <x:c r="C1974" s="18" t="n">
        <x:v>20284363</x:v>
      </x:c>
      <x:c r="D1974" s="3" t="str">
        <x:v>Full</x:v>
      </x:c>
      <x:c r="E1974" s="18" t="n">
        <x:v>200</x:v>
      </x:c>
      <x:c r="F1974" s="21" t="n">
        <x:v>374.156420744029</x:v>
      </x:c>
      <x:c r="G1974" s="21" t="n">
        <x:f>F1969</x:f>
        <x:v>374.156420744029</x:v>
      </x:c>
      <x:c r="H1974" s="21" t="n">
        <x:f>F1974</x:f>
        <x:v>374.156420744029</x:v>
      </x:c>
      <x:c r="I1974" s="27" t="n">
        <x:f>IF(AND(ISNUMBER(G1974),ISNUMBER(H1974),H1974&gt;0),G1974/H1974-1,"")</x:f>
        <x:v>0</x:v>
      </x:c>
      <x:c r="J1974" s="27" t="n">
        <x:f>IF(AND(ISNUMBER(G1974),F1974&gt;0),G1974/F1974-1,"")</x:f>
        <x:v>0</x:v>
      </x:c>
      <x:c r="K1974" s="19" t="str">
        <x:v>Exp_7/EXP061/results/seed20284363_Full.json</x:v>
      </x:c>
    </x:row>
    <x:row r="1975" ht="15" hidden="0" customHeight="1">
      <x:c r="A1975" s="3" t="str">
        <x:v>EXP061</x:v>
      </x:c>
      <x:c r="B1975" s="3" t="str">
        <x:v>Exp. 7</x:v>
      </x:c>
      <x:c r="C1975" s="18" t="n">
        <x:v>20284363</x:v>
      </x:c>
      <x:c r="D1975" s="3" t="str">
        <x:v>Relative cutoff 1e-2</x:v>
      </x:c>
      <x:c r="E1975" s="18" t="n">
        <x:v>200</x:v>
      </x:c>
      <x:c r="F1975" s="21" t="n">
        <x:v>361.68590910814544</x:v>
      </x:c>
      <x:c r="G1975" s="21" t="n">
        <x:f>F1969</x:f>
        <x:v>374.156420744029</x:v>
      </x:c>
      <x:c r="H1975" s="21" t="n">
        <x:f>F1974</x:f>
        <x:v>374.156420744029</x:v>
      </x:c>
      <x:c r="I1975" s="27" t="n">
        <x:f>IF(AND(ISNUMBER(G1975),ISNUMBER(H1975),H1975&gt;0),G1975/H1975-1,"")</x:f>
        <x:v>0</x:v>
      </x:c>
      <x:c r="J1975" s="27" t="n">
        <x:f>IF(AND(ISNUMBER(G1975),F1975&gt;0),G1975/F1975-1,"")</x:f>
        <x:v>0.03447884289059999</x:v>
      </x:c>
      <x:c r="K1975" s="19" t="str">
        <x:v>Exp_7/EXP061/results/seed20284363_Relative_cutoff_1e-2.json</x:v>
      </x:c>
    </x:row>
    <x:row r="1976" ht="15" hidden="0" customHeight="1">
      <x:c r="A1976" s="3" t="str">
        <x:v>EXP061</x:v>
      </x:c>
      <x:c r="B1976" s="3" t="str">
        <x:v>Exp. 7</x:v>
      </x:c>
      <x:c r="C1976" s="18" t="n">
        <x:v>20284363</x:v>
      </x:c>
      <x:c r="D1976" s="3" t="str">
        <x:v>Relative cutoff 1e-4</x:v>
      </x:c>
      <x:c r="E1976" s="18" t="n">
        <x:v>200</x:v>
      </x:c>
      <x:c r="F1976" s="21" t="n">
        <x:v>374.156420744029</x:v>
      </x:c>
      <x:c r="G1976" s="21" t="n">
        <x:f>F1969</x:f>
        <x:v>374.156420744029</x:v>
      </x:c>
      <x:c r="H1976" s="21" t="n">
        <x:f>F1974</x:f>
        <x:v>374.156420744029</x:v>
      </x:c>
      <x:c r="I1976" s="27" t="n">
        <x:f>IF(AND(ISNUMBER(G1976),ISNUMBER(H1976),H1976&gt;0),G1976/H1976-1,"")</x:f>
        <x:v>0</x:v>
      </x:c>
      <x:c r="J1976" s="27" t="n">
        <x:f>IF(AND(ISNUMBER(G1976),F1976&gt;0),G1976/F1976-1,"")</x:f>
        <x:v>0</x:v>
      </x:c>
      <x:c r="K1976" s="19" t="str">
        <x:v>Exp_7/EXP061/results/seed20284363_Relative_cutoff_1e-4.json</x:v>
      </x:c>
    </x:row>
    <x:row r="1977" ht="15" hidden="0" customHeight="1">
      <x:c r="A1977" s="3" t="str">
        <x:v>EXP061</x:v>
      </x:c>
      <x:c r="B1977" s="3" t="str">
        <x:v>Exp. 7</x:v>
      </x:c>
      <x:c r="C1977" s="18" t="n">
        <x:v>151801615</x:v>
      </x:c>
      <x:c r="D1977" s="3" t="str">
        <x:v>BBP</x:v>
      </x:c>
      <x:c r="E1977" s="18" t="n">
        <x:v>200</x:v>
      </x:c>
      <x:c r="F1977" s="21" t="n">
        <x:v>489.5857549605356</x:v>
      </x:c>
      <x:c r="G1977" s="21" t="n">
        <x:f>F1977</x:f>
        <x:v>489.5857549605356</x:v>
      </x:c>
      <x:c r="H1977" s="21" t="n">
        <x:f>F1982</x:f>
        <x:v>489.5857549605356</x:v>
      </x:c>
      <x:c r="I1977" s="27" t="n">
        <x:f>IF(AND(ISNUMBER(G1977),ISNUMBER(H1977),H1977&gt;0),G1977/H1977-1,"")</x:f>
        <x:v>0</x:v>
      </x:c>
      <x:c r="J1977" s="27" t="n">
        <x:f>IF(AND(ISNUMBER(G1977),F1977&gt;0),G1977/F1977-1,"")</x:f>
        <x:v>0</x:v>
      </x:c>
      <x:c r="K1977" s="19" t="str">
        <x:v>Exp_7/EXP061/results/seed151801615_BBP.json</x:v>
      </x:c>
    </x:row>
    <x:row r="1978" ht="15" hidden="0" customHeight="1">
      <x:c r="A1978" s="3" t="str">
        <x:v>EXP061</x:v>
      </x:c>
      <x:c r="B1978" s="3" t="str">
        <x:v>Exp. 7</x:v>
      </x:c>
      <x:c r="C1978" s="18" t="n">
        <x:v>151801615</x:v>
      </x:c>
      <x:c r="D1978" s="3" t="str">
        <x:v>Relative cutoff 1e-5</x:v>
      </x:c>
      <x:c r="E1978" s="18" t="n">
        <x:v>200</x:v>
      </x:c>
      <x:c r="F1978" s="21" t="n">
        <x:v>489.5857549605356</x:v>
      </x:c>
      <x:c r="G1978" s="21" t="n">
        <x:f>F1977</x:f>
        <x:v>489.5857549605356</x:v>
      </x:c>
      <x:c r="H1978" s="21" t="n">
        <x:f>F1982</x:f>
        <x:v>489.5857549605356</x:v>
      </x:c>
      <x:c r="I1978" s="27" t="n">
        <x:f>IF(AND(ISNUMBER(G1978),ISNUMBER(H1978),H1978&gt;0),G1978/H1978-1,"")</x:f>
        <x:v>0</x:v>
      </x:c>
      <x:c r="J1978" s="27" t="n">
        <x:f>IF(AND(ISNUMBER(G1978),F1978&gt;0),G1978/F1978-1,"")</x:f>
        <x:v>0</x:v>
      </x:c>
      <x:c r="K1978" s="19" t="str">
        <x:v>Exp_7/EXP061/results/seed151801615_Relative_cutoff_1e-5.json</x:v>
      </x:c>
    </x:row>
    <x:row r="1979" ht="15" hidden="0" customHeight="1">
      <x:c r="A1979" s="3" t="str">
        <x:v>EXP061</x:v>
      </x:c>
      <x:c r="B1979" s="3" t="str">
        <x:v>Exp. 7</x:v>
      </x:c>
      <x:c r="C1979" s="18" t="n">
        <x:v>151801615</x:v>
      </x:c>
      <x:c r="D1979" s="3" t="str">
        <x:v>Fixed rank 10</x:v>
      </x:c>
      <x:c r="E1979" s="18" t="n">
        <x:v>200</x:v>
      </x:c>
      <x:c r="F1979" s="21" t="n">
        <x:v>505.8092083231991</x:v>
      </x:c>
      <x:c r="G1979" s="21" t="n">
        <x:f>F1977</x:f>
        <x:v>489.5857549605356</x:v>
      </x:c>
      <x:c r="H1979" s="21" t="n">
        <x:f>F1982</x:f>
        <x:v>489.5857549605356</x:v>
      </x:c>
      <x:c r="I1979" s="27" t="n">
        <x:f>IF(AND(ISNUMBER(G1979),ISNUMBER(H1979),H1979&gt;0),G1979/H1979-1,"")</x:f>
        <x:v>0</x:v>
      </x:c>
      <x:c r="J1979" s="27" t="n">
        <x:f>IF(AND(ISNUMBER(G1979),F1979&gt;0),G1979/F1979-1,"")</x:f>
        <x:v>-0.032074254670937274</x:v>
      </x:c>
      <x:c r="K1979" s="19" t="str">
        <x:v>Exp_7/EXP061/results/seed151801615_Fixed_rank_10.json</x:v>
      </x:c>
    </x:row>
    <x:row r="1980" ht="15" hidden="0" customHeight="1">
      <x:c r="A1980" s="3" t="str">
        <x:v>EXP061</x:v>
      </x:c>
      <x:c r="B1980" s="3" t="str">
        <x:v>Exp. 7</x:v>
      </x:c>
      <x:c r="C1980" s="18" t="n">
        <x:v>151801615</x:v>
      </x:c>
      <x:c r="D1980" s="3" t="str">
        <x:v>Fixed rank 25</x:v>
      </x:c>
      <x:c r="E1980" s="18" t="n">
        <x:v>200</x:v>
      </x:c>
      <x:c r="F1980" s="21" t="n">
        <x:v>489.5857549605356</x:v>
      </x:c>
      <x:c r="G1980" s="21" t="n">
        <x:f>F1977</x:f>
        <x:v>489.5857549605356</x:v>
      </x:c>
      <x:c r="H1980" s="21" t="n">
        <x:f>F1982</x:f>
        <x:v>489.5857549605356</x:v>
      </x:c>
      <x:c r="I1980" s="27" t="n">
        <x:f>IF(AND(ISNUMBER(G1980),ISNUMBER(H1980),H1980&gt;0),G1980/H1980-1,"")</x:f>
        <x:v>0</x:v>
      </x:c>
      <x:c r="J1980" s="27" t="n">
        <x:f>IF(AND(ISNUMBER(G1980),F1980&gt;0),G1980/F1980-1,"")</x:f>
        <x:v>0</x:v>
      </x:c>
      <x:c r="K1980" s="19" t="str">
        <x:v>Exp_7/EXP061/results/seed151801615_Fixed_rank_25.json</x:v>
      </x:c>
    </x:row>
    <x:row r="1981" ht="15" hidden="0" customHeight="1">
      <x:c r="A1981" s="3" t="str">
        <x:v>EXP061</x:v>
      </x:c>
      <x:c r="B1981" s="3" t="str">
        <x:v>Exp. 7</x:v>
      </x:c>
      <x:c r="C1981" s="18" t="n">
        <x:v>151801615</x:v>
      </x:c>
      <x:c r="D1981" s="3" t="str">
        <x:v>Relative cutoff 1e-6</x:v>
      </x:c>
      <x:c r="E1981" s="18" t="n">
        <x:v>200</x:v>
      </x:c>
      <x:c r="F1981" s="21" t="n">
        <x:v>489.5857549605356</x:v>
      </x:c>
      <x:c r="G1981" s="21" t="n">
        <x:f>F1977</x:f>
        <x:v>489.5857549605356</x:v>
      </x:c>
      <x:c r="H1981" s="21" t="n">
        <x:f>F1982</x:f>
        <x:v>489.5857549605356</x:v>
      </x:c>
      <x:c r="I1981" s="27" t="n">
        <x:f>IF(AND(ISNUMBER(G1981),ISNUMBER(H1981),H1981&gt;0),G1981/H1981-1,"")</x:f>
        <x:v>0</x:v>
      </x:c>
      <x:c r="J1981" s="27" t="n">
        <x:f>IF(AND(ISNUMBER(G1981),F1981&gt;0),G1981/F1981-1,"")</x:f>
        <x:v>0</x:v>
      </x:c>
      <x:c r="K1981" s="19" t="str">
        <x:v>Exp_7/EXP061/results/seed151801615_Relative_cutoff_1e-6.json</x:v>
      </x:c>
    </x:row>
    <x:row r="1982" ht="15" hidden="0" customHeight="1">
      <x:c r="A1982" s="3" t="str">
        <x:v>EXP061</x:v>
      </x:c>
      <x:c r="B1982" s="3" t="str">
        <x:v>Exp. 7</x:v>
      </x:c>
      <x:c r="C1982" s="18" t="n">
        <x:v>151801615</x:v>
      </x:c>
      <x:c r="D1982" s="3" t="str">
        <x:v>Full</x:v>
      </x:c>
      <x:c r="E1982" s="18" t="n">
        <x:v>200</x:v>
      </x:c>
      <x:c r="F1982" s="21" t="n">
        <x:v>489.5857549605356</x:v>
      </x:c>
      <x:c r="G1982" s="21" t="n">
        <x:f>F1977</x:f>
        <x:v>489.5857549605356</x:v>
      </x:c>
      <x:c r="H1982" s="21" t="n">
        <x:f>F1982</x:f>
        <x:v>489.5857549605356</x:v>
      </x:c>
      <x:c r="I1982" s="27" t="n">
        <x:f>IF(AND(ISNUMBER(G1982),ISNUMBER(H1982),H1982&gt;0),G1982/H1982-1,"")</x:f>
        <x:v>0</x:v>
      </x:c>
      <x:c r="J1982" s="27" t="n">
        <x:f>IF(AND(ISNUMBER(G1982),F1982&gt;0),G1982/F1982-1,"")</x:f>
        <x:v>0</x:v>
      </x:c>
      <x:c r="K1982" s="19" t="str">
        <x:v>Exp_7/EXP061/results/seed151801615_Full.json</x:v>
      </x:c>
    </x:row>
    <x:row r="1983" ht="15" hidden="0" customHeight="1">
      <x:c r="A1983" s="3" t="str">
        <x:v>EXP061</x:v>
      </x:c>
      <x:c r="B1983" s="3" t="str">
        <x:v>Exp. 7</x:v>
      </x:c>
      <x:c r="C1983" s="18" t="n">
        <x:v>151801615</x:v>
      </x:c>
      <x:c r="D1983" s="3" t="str">
        <x:v>Relative cutoff 1e-2</x:v>
      </x:c>
      <x:c r="E1983" s="18" t="n">
        <x:v>200</x:v>
      </x:c>
      <x:c r="F1983" s="21" t="n">
        <x:v>496.13554131760145</x:v>
      </x:c>
      <x:c r="G1983" s="21" t="n">
        <x:f>F1977</x:f>
        <x:v>489.5857549605356</x:v>
      </x:c>
      <x:c r="H1983" s="21" t="n">
        <x:f>F1982</x:f>
        <x:v>489.5857549605356</x:v>
      </x:c>
      <x:c r="I1983" s="27" t="n">
        <x:f>IF(AND(ISNUMBER(G1983),ISNUMBER(H1983),H1983&gt;0),G1983/H1983-1,"")</x:f>
        <x:v>0</x:v>
      </x:c>
      <x:c r="J1983" s="27" t="n">
        <x:f>IF(AND(ISNUMBER(G1983),F1983&gt;0),G1983/F1983-1,"")</x:f>
        <x:v>-0.013201606842499936</x:v>
      </x:c>
      <x:c r="K1983" s="19" t="str">
        <x:v>Exp_7/EXP061/results/seed151801615_Relative_cutoff_1e-2.json</x:v>
      </x:c>
    </x:row>
    <x:row r="1984" ht="15" hidden="0" customHeight="1">
      <x:c r="A1984" s="3" t="str">
        <x:v>EXP061</x:v>
      </x:c>
      <x:c r="B1984" s="3" t="str">
        <x:v>Exp. 7</x:v>
      </x:c>
      <x:c r="C1984" s="18" t="n">
        <x:v>151801615</x:v>
      </x:c>
      <x:c r="D1984" s="3" t="str">
        <x:v>Relative cutoff 1e-4</x:v>
      </x:c>
      <x:c r="E1984" s="18" t="n">
        <x:v>200</x:v>
      </x:c>
      <x:c r="F1984" s="21" t="n">
        <x:v>505.8092083231991</x:v>
      </x:c>
      <x:c r="G1984" s="21" t="n">
        <x:f>F1977</x:f>
        <x:v>489.5857549605356</x:v>
      </x:c>
      <x:c r="H1984" s="21" t="n">
        <x:f>F1982</x:f>
        <x:v>489.5857549605356</x:v>
      </x:c>
      <x:c r="I1984" s="27" t="n">
        <x:f>IF(AND(ISNUMBER(G1984),ISNUMBER(H1984),H1984&gt;0),G1984/H1984-1,"")</x:f>
        <x:v>0</x:v>
      </x:c>
      <x:c r="J1984" s="27" t="n">
        <x:f>IF(AND(ISNUMBER(G1984),F1984&gt;0),G1984/F1984-1,"")</x:f>
        <x:v>-0.032074254670937274</x:v>
      </x:c>
      <x:c r="K1984" s="19" t="str">
        <x:v>Exp_7/EXP061/results/seed151801615_Relative_cutoff_1e-4.json</x:v>
      </x:c>
    </x:row>
    <x:row r="1985" ht="15" hidden="0" customHeight="1">
      <x:c r="A1985" s="3" t="str">
        <x:v>EXP061</x:v>
      </x:c>
      <x:c r="B1985" s="3" t="str">
        <x:v>Exp. 7</x:v>
      </x:c>
      <x:c r="C1985" s="18" t="n">
        <x:v>159359747</x:v>
      </x:c>
      <x:c r="D1985" s="3" t="str">
        <x:v>BBP</x:v>
      </x:c>
      <x:c r="E1985" s="18" t="n">
        <x:v>200</x:v>
      </x:c>
      <x:c r="F1985" s="21" t="n">
        <x:v>470.175326648721</x:v>
      </x:c>
      <x:c r="G1985" s="21" t="n">
        <x:f>F1985</x:f>
        <x:v>470.175326648721</x:v>
      </x:c>
      <x:c r="H1985" s="21" t="n">
        <x:f>F1990</x:f>
        <x:v>470.175326648721</x:v>
      </x:c>
      <x:c r="I1985" s="27" t="n">
        <x:f>IF(AND(ISNUMBER(G1985),ISNUMBER(H1985),H1985&gt;0),G1985/H1985-1,"")</x:f>
        <x:v>0</x:v>
      </x:c>
      <x:c r="J1985" s="27" t="n">
        <x:f>IF(AND(ISNUMBER(G1985),F1985&gt;0),G1985/F1985-1,"")</x:f>
        <x:v>0</x:v>
      </x:c>
      <x:c r="K1985" s="19" t="str">
        <x:v>Exp_7/EXP061/results/seed159359747_BBP.json</x:v>
      </x:c>
    </x:row>
    <x:row r="1986" ht="15" hidden="0" customHeight="1">
      <x:c r="A1986" s="3" t="str">
        <x:v>EXP061</x:v>
      </x:c>
      <x:c r="B1986" s="3" t="str">
        <x:v>Exp. 7</x:v>
      </x:c>
      <x:c r="C1986" s="18" t="n">
        <x:v>159359747</x:v>
      </x:c>
      <x:c r="D1986" s="3" t="str">
        <x:v>Relative cutoff 1e-5</x:v>
      </x:c>
      <x:c r="E1986" s="18" t="n">
        <x:v>200</x:v>
      </x:c>
      <x:c r="F1986" s="21" t="n">
        <x:v>470.175326648721</x:v>
      </x:c>
      <x:c r="G1986" s="21" t="n">
        <x:f>F1985</x:f>
        <x:v>470.175326648721</x:v>
      </x:c>
      <x:c r="H1986" s="21" t="n">
        <x:f>F1990</x:f>
        <x:v>470.175326648721</x:v>
      </x:c>
      <x:c r="I1986" s="27" t="n">
        <x:f>IF(AND(ISNUMBER(G1986),ISNUMBER(H1986),H1986&gt;0),G1986/H1986-1,"")</x:f>
        <x:v>0</x:v>
      </x:c>
      <x:c r="J1986" s="27" t="n">
        <x:f>IF(AND(ISNUMBER(G1986),F1986&gt;0),G1986/F1986-1,"")</x:f>
        <x:v>0</x:v>
      </x:c>
      <x:c r="K1986" s="19" t="str">
        <x:v>Exp_7/EXP061/results/seed159359747_Relative_cutoff_1e-5.json</x:v>
      </x:c>
    </x:row>
    <x:row r="1987" ht="15" hidden="0" customHeight="1">
      <x:c r="A1987" s="3" t="str">
        <x:v>EXP061</x:v>
      </x:c>
      <x:c r="B1987" s="3" t="str">
        <x:v>Exp. 7</x:v>
      </x:c>
      <x:c r="C1987" s="18" t="n">
        <x:v>159359747</x:v>
      </x:c>
      <x:c r="D1987" s="3" t="str">
        <x:v>Fixed rank 10</x:v>
      </x:c>
      <x:c r="E1987" s="18" t="n">
        <x:v>200</x:v>
      </x:c>
      <x:c r="F1987" s="21" t="n">
        <x:v>470.175326648721</x:v>
      </x:c>
      <x:c r="G1987" s="21" t="n">
        <x:f>F1985</x:f>
        <x:v>470.175326648721</x:v>
      </x:c>
      <x:c r="H1987" s="21" t="n">
        <x:f>F1990</x:f>
        <x:v>470.175326648721</x:v>
      </x:c>
      <x:c r="I1987" s="27" t="n">
        <x:f>IF(AND(ISNUMBER(G1987),ISNUMBER(H1987),H1987&gt;0),G1987/H1987-1,"")</x:f>
        <x:v>0</x:v>
      </x:c>
      <x:c r="J1987" s="27" t="n">
        <x:f>IF(AND(ISNUMBER(G1987),F1987&gt;0),G1987/F1987-1,"")</x:f>
        <x:v>0</x:v>
      </x:c>
      <x:c r="K1987" s="19" t="str">
        <x:v>Exp_7/EXP061/results/seed159359747_Fixed_rank_10.json</x:v>
      </x:c>
    </x:row>
    <x:row r="1988" ht="15" hidden="0" customHeight="1">
      <x:c r="A1988" s="3" t="str">
        <x:v>EXP061</x:v>
      </x:c>
      <x:c r="B1988" s="3" t="str">
        <x:v>Exp. 7</x:v>
      </x:c>
      <x:c r="C1988" s="18" t="n">
        <x:v>159359747</x:v>
      </x:c>
      <x:c r="D1988" s="3" t="str">
        <x:v>Fixed rank 25</x:v>
      </x:c>
      <x:c r="E1988" s="18" t="n">
        <x:v>200</x:v>
      </x:c>
      <x:c r="F1988" s="21" t="n">
        <x:v>470.175326648721</x:v>
      </x:c>
      <x:c r="G1988" s="21" t="n">
        <x:f>F1985</x:f>
        <x:v>470.175326648721</x:v>
      </x:c>
      <x:c r="H1988" s="21" t="n">
        <x:f>F1990</x:f>
        <x:v>470.175326648721</x:v>
      </x:c>
      <x:c r="I1988" s="27" t="n">
        <x:f>IF(AND(ISNUMBER(G1988),ISNUMBER(H1988),H1988&gt;0),G1988/H1988-1,"")</x:f>
        <x:v>0</x:v>
      </x:c>
      <x:c r="J1988" s="27" t="n">
        <x:f>IF(AND(ISNUMBER(G1988),F1988&gt;0),G1988/F1988-1,"")</x:f>
        <x:v>0</x:v>
      </x:c>
      <x:c r="K1988" s="19" t="str">
        <x:v>Exp_7/EXP061/results/seed159359747_Fixed_rank_25.json</x:v>
      </x:c>
    </x:row>
    <x:row r="1989" ht="15" hidden="0" customHeight="1">
      <x:c r="A1989" s="3" t="str">
        <x:v>EXP061</x:v>
      </x:c>
      <x:c r="B1989" s="3" t="str">
        <x:v>Exp. 7</x:v>
      </x:c>
      <x:c r="C1989" s="18" t="n">
        <x:v>159359747</x:v>
      </x:c>
      <x:c r="D1989" s="3" t="str">
        <x:v>Relative cutoff 1e-6</x:v>
      </x:c>
      <x:c r="E1989" s="18" t="n">
        <x:v>200</x:v>
      </x:c>
      <x:c r="F1989" s="21" t="n">
        <x:v>470.175326648721</x:v>
      </x:c>
      <x:c r="G1989" s="21" t="n">
        <x:f>F1985</x:f>
        <x:v>470.175326648721</x:v>
      </x:c>
      <x:c r="H1989" s="21" t="n">
        <x:f>F1990</x:f>
        <x:v>470.175326648721</x:v>
      </x:c>
      <x:c r="I1989" s="27" t="n">
        <x:f>IF(AND(ISNUMBER(G1989),ISNUMBER(H1989),H1989&gt;0),G1989/H1989-1,"")</x:f>
        <x:v>0</x:v>
      </x:c>
      <x:c r="J1989" s="27" t="n">
        <x:f>IF(AND(ISNUMBER(G1989),F1989&gt;0),G1989/F1989-1,"")</x:f>
        <x:v>0</x:v>
      </x:c>
      <x:c r="K1989" s="19" t="str">
        <x:v>Exp_7/EXP061/results/seed159359747_Relative_cutoff_1e-6.json</x:v>
      </x:c>
    </x:row>
    <x:row r="1990" ht="15" hidden="0" customHeight="1">
      <x:c r="A1990" s="3" t="str">
        <x:v>EXP061</x:v>
      </x:c>
      <x:c r="B1990" s="3" t="str">
        <x:v>Exp. 7</x:v>
      </x:c>
      <x:c r="C1990" s="18" t="n">
        <x:v>159359747</x:v>
      </x:c>
      <x:c r="D1990" s="3" t="str">
        <x:v>Full</x:v>
      </x:c>
      <x:c r="E1990" s="18" t="n">
        <x:v>200</x:v>
      </x:c>
      <x:c r="F1990" s="21" t="n">
        <x:v>470.175326648721</x:v>
      </x:c>
      <x:c r="G1990" s="21" t="n">
        <x:f>F1985</x:f>
        <x:v>470.175326648721</x:v>
      </x:c>
      <x:c r="H1990" s="21" t="n">
        <x:f>F1990</x:f>
        <x:v>470.175326648721</x:v>
      </x:c>
      <x:c r="I1990" s="27" t="n">
        <x:f>IF(AND(ISNUMBER(G1990),ISNUMBER(H1990),H1990&gt;0),G1990/H1990-1,"")</x:f>
        <x:v>0</x:v>
      </x:c>
      <x:c r="J1990" s="27" t="n">
        <x:f>IF(AND(ISNUMBER(G1990),F1990&gt;0),G1990/F1990-1,"")</x:f>
        <x:v>0</x:v>
      </x:c>
      <x:c r="K1990" s="19" t="str">
        <x:v>Exp_7/EXP061/results/seed159359747_Full.json</x:v>
      </x:c>
    </x:row>
    <x:row r="1991" ht="15" hidden="0" customHeight="1">
      <x:c r="A1991" s="3" t="str">
        <x:v>EXP061</x:v>
      </x:c>
      <x:c r="B1991" s="3" t="str">
        <x:v>Exp. 7</x:v>
      </x:c>
      <x:c r="C1991" s="18" t="n">
        <x:v>159359747</x:v>
      </x:c>
      <x:c r="D1991" s="3" t="str">
        <x:v>Relative cutoff 1e-2</x:v>
      </x:c>
      <x:c r="E1991" s="18" t="n">
        <x:v>200</x:v>
      </x:c>
      <x:c r="F1991" s="21" t="n">
        <x:v>475.59220742743776</x:v>
      </x:c>
      <x:c r="G1991" s="21" t="n">
        <x:f>F1985</x:f>
        <x:v>470.175326648721</x:v>
      </x:c>
      <x:c r="H1991" s="21" t="n">
        <x:f>F1990</x:f>
        <x:v>470.175326648721</x:v>
      </x:c>
      <x:c r="I1991" s="27" t="n">
        <x:f>IF(AND(ISNUMBER(G1991),ISNUMBER(H1991),H1991&gt;0),G1991/H1991-1,"")</x:f>
        <x:v>0</x:v>
      </x:c>
      <x:c r="J1991" s="27" t="n">
        <x:f>IF(AND(ISNUMBER(G1991),F1991&gt;0),G1991/F1991-1,"")</x:f>
        <x:v>-0.01138975932347086</x:v>
      </x:c>
      <x:c r="K1991" s="19" t="str">
        <x:v>Exp_7/EXP061/results/seed159359747_Relative_cutoff_1e-2.json</x:v>
      </x:c>
    </x:row>
    <x:row r="1992" ht="15" hidden="0" customHeight="1">
      <x:c r="A1992" s="3" t="str">
        <x:v>EXP061</x:v>
      </x:c>
      <x:c r="B1992" s="3" t="str">
        <x:v>Exp. 7</x:v>
      </x:c>
      <x:c r="C1992" s="18" t="n">
        <x:v>159359747</x:v>
      </x:c>
      <x:c r="D1992" s="3" t="str">
        <x:v>Relative cutoff 1e-4</x:v>
      </x:c>
      <x:c r="E1992" s="18" t="n">
        <x:v>200</x:v>
      </x:c>
      <x:c r="F1992" s="21" t="n">
        <x:v>470.175326648721</x:v>
      </x:c>
      <x:c r="G1992" s="21" t="n">
        <x:f>F1985</x:f>
        <x:v>470.175326648721</x:v>
      </x:c>
      <x:c r="H1992" s="21" t="n">
        <x:f>F1990</x:f>
        <x:v>470.175326648721</x:v>
      </x:c>
      <x:c r="I1992" s="27" t="n">
        <x:f>IF(AND(ISNUMBER(G1992),ISNUMBER(H1992),H1992&gt;0),G1992/H1992-1,"")</x:f>
        <x:v>0</x:v>
      </x:c>
      <x:c r="J1992" s="27" t="n">
        <x:f>IF(AND(ISNUMBER(G1992),F1992&gt;0),G1992/F1992-1,"")</x:f>
        <x:v>0</x:v>
      </x:c>
      <x:c r="K1992" s="19" t="str">
        <x:v>Exp_7/EXP061/results/seed159359747_Relative_cutoff_1e-4.json</x:v>
      </x:c>
    </x:row>
    <x:row r="1993" ht="15" hidden="0" customHeight="1">
      <x:c r="A1993" s="3" t="str">
        <x:v>EXP061</x:v>
      </x:c>
      <x:c r="B1993" s="3" t="str">
        <x:v>Exp. 7</x:v>
      </x:c>
      <x:c r="C1993" s="18" t="n">
        <x:v>254786210</x:v>
      </x:c>
      <x:c r="D1993" s="3" t="str">
        <x:v>BBP</x:v>
      </x:c>
      <x:c r="E1993" s="18" t="n">
        <x:v>200</x:v>
      </x:c>
      <x:c r="F1993" s="21" t="n">
        <x:v>594.4886187066494</x:v>
      </x:c>
      <x:c r="G1993" s="21" t="n">
        <x:f>F1993</x:f>
        <x:v>594.4886187066494</x:v>
      </x:c>
      <x:c r="H1993" s="21" t="n">
        <x:f>F1998</x:f>
        <x:v>594.4886187066494</x:v>
      </x:c>
      <x:c r="I1993" s="27" t="n">
        <x:f>IF(AND(ISNUMBER(G1993),ISNUMBER(H1993),H1993&gt;0),G1993/H1993-1,"")</x:f>
        <x:v>0</x:v>
      </x:c>
      <x:c r="J1993" s="27" t="n">
        <x:f>IF(AND(ISNUMBER(G1993),F1993&gt;0),G1993/F1993-1,"")</x:f>
        <x:v>0</x:v>
      </x:c>
      <x:c r="K1993" s="19" t="str">
        <x:v>Exp_7/EXP061/results/seed254786210_BBP.json</x:v>
      </x:c>
    </x:row>
    <x:row r="1994" ht="15" hidden="0" customHeight="1">
      <x:c r="A1994" s="3" t="str">
        <x:v>EXP061</x:v>
      </x:c>
      <x:c r="B1994" s="3" t="str">
        <x:v>Exp. 7</x:v>
      </x:c>
      <x:c r="C1994" s="18" t="n">
        <x:v>254786210</x:v>
      </x:c>
      <x:c r="D1994" s="3" t="str">
        <x:v>Relative cutoff 1e-5</x:v>
      </x:c>
      <x:c r="E1994" s="18" t="n">
        <x:v>200</x:v>
      </x:c>
      <x:c r="F1994" s="21" t="n">
        <x:v>594.4886187066494</x:v>
      </x:c>
      <x:c r="G1994" s="21" t="n">
        <x:f>F1993</x:f>
        <x:v>594.4886187066494</x:v>
      </x:c>
      <x:c r="H1994" s="21" t="n">
        <x:f>F1998</x:f>
        <x:v>594.4886187066494</x:v>
      </x:c>
      <x:c r="I1994" s="27" t="n">
        <x:f>IF(AND(ISNUMBER(G1994),ISNUMBER(H1994),H1994&gt;0),G1994/H1994-1,"")</x:f>
        <x:v>0</x:v>
      </x:c>
      <x:c r="J1994" s="27" t="n">
        <x:f>IF(AND(ISNUMBER(G1994),F1994&gt;0),G1994/F1994-1,"")</x:f>
        <x:v>0</x:v>
      </x:c>
      <x:c r="K1994" s="19" t="str">
        <x:v>Exp_7/EXP061/results/seed254786210_Relative_cutoff_1e-5.json</x:v>
      </x:c>
    </x:row>
    <x:row r="1995" ht="15" hidden="0" customHeight="1">
      <x:c r="A1995" s="3" t="str">
        <x:v>EXP061</x:v>
      </x:c>
      <x:c r="B1995" s="3" t="str">
        <x:v>Exp. 7</x:v>
      </x:c>
      <x:c r="C1995" s="18" t="n">
        <x:v>254786210</x:v>
      </x:c>
      <x:c r="D1995" s="3" t="str">
        <x:v>Fixed rank 10</x:v>
      </x:c>
      <x:c r="E1995" s="18" t="n">
        <x:v>200</x:v>
      </x:c>
      <x:c r="F1995" s="21" t="n">
        <x:v>594.4886187066494</x:v>
      </x:c>
      <x:c r="G1995" s="21" t="n">
        <x:f>F1993</x:f>
        <x:v>594.4886187066494</x:v>
      </x:c>
      <x:c r="H1995" s="21" t="n">
        <x:f>F1998</x:f>
        <x:v>594.4886187066494</x:v>
      </x:c>
      <x:c r="I1995" s="27" t="n">
        <x:f>IF(AND(ISNUMBER(G1995),ISNUMBER(H1995),H1995&gt;0),G1995/H1995-1,"")</x:f>
        <x:v>0</x:v>
      </x:c>
      <x:c r="J1995" s="27" t="n">
        <x:f>IF(AND(ISNUMBER(G1995),F1995&gt;0),G1995/F1995-1,"")</x:f>
        <x:v>0</x:v>
      </x:c>
      <x:c r="K1995" s="19" t="str">
        <x:v>Exp_7/EXP061/results/seed254786210_Fixed_rank_10.json</x:v>
      </x:c>
    </x:row>
    <x:row r="1996" ht="15" hidden="0" customHeight="1">
      <x:c r="A1996" s="3" t="str">
        <x:v>EXP061</x:v>
      </x:c>
      <x:c r="B1996" s="3" t="str">
        <x:v>Exp. 7</x:v>
      </x:c>
      <x:c r="C1996" s="18" t="n">
        <x:v>254786210</x:v>
      </x:c>
      <x:c r="D1996" s="3" t="str">
        <x:v>Fixed rank 25</x:v>
      </x:c>
      <x:c r="E1996" s="18" t="n">
        <x:v>200</x:v>
      </x:c>
      <x:c r="F1996" s="21" t="n">
        <x:v>594.4886187066494</x:v>
      </x:c>
      <x:c r="G1996" s="21" t="n">
        <x:f>F1993</x:f>
        <x:v>594.4886187066494</x:v>
      </x:c>
      <x:c r="H1996" s="21" t="n">
        <x:f>F1998</x:f>
        <x:v>594.4886187066494</x:v>
      </x:c>
      <x:c r="I1996" s="27" t="n">
        <x:f>IF(AND(ISNUMBER(G1996),ISNUMBER(H1996),H1996&gt;0),G1996/H1996-1,"")</x:f>
        <x:v>0</x:v>
      </x:c>
      <x:c r="J1996" s="27" t="n">
        <x:f>IF(AND(ISNUMBER(G1996),F1996&gt;0),G1996/F1996-1,"")</x:f>
        <x:v>0</x:v>
      </x:c>
      <x:c r="K1996" s="19" t="str">
        <x:v>Exp_7/EXP061/results/seed254786210_Fixed_rank_25.json</x:v>
      </x:c>
    </x:row>
    <x:row r="1997" ht="15" hidden="0" customHeight="1">
      <x:c r="A1997" s="3" t="str">
        <x:v>EXP061</x:v>
      </x:c>
      <x:c r="B1997" s="3" t="str">
        <x:v>Exp. 7</x:v>
      </x:c>
      <x:c r="C1997" s="18" t="n">
        <x:v>254786210</x:v>
      </x:c>
      <x:c r="D1997" s="3" t="str">
        <x:v>Relative cutoff 1e-6</x:v>
      </x:c>
      <x:c r="E1997" s="18" t="n">
        <x:v>200</x:v>
      </x:c>
      <x:c r="F1997" s="21" t="n">
        <x:v>594.4886187066494</x:v>
      </x:c>
      <x:c r="G1997" s="21" t="n">
        <x:f>F1993</x:f>
        <x:v>594.4886187066494</x:v>
      </x:c>
      <x:c r="H1997" s="21" t="n">
        <x:f>F1998</x:f>
        <x:v>594.4886187066494</x:v>
      </x:c>
      <x:c r="I1997" s="27" t="n">
        <x:f>IF(AND(ISNUMBER(G1997),ISNUMBER(H1997),H1997&gt;0),G1997/H1997-1,"")</x:f>
        <x:v>0</x:v>
      </x:c>
      <x:c r="J1997" s="27" t="n">
        <x:f>IF(AND(ISNUMBER(G1997),F1997&gt;0),G1997/F1997-1,"")</x:f>
        <x:v>0</x:v>
      </x:c>
      <x:c r="K1997" s="19" t="str">
        <x:v>Exp_7/EXP061/results/seed254786210_Relative_cutoff_1e-6.json</x:v>
      </x:c>
    </x:row>
    <x:row r="1998" ht="15" hidden="0" customHeight="1">
      <x:c r="A1998" s="3" t="str">
        <x:v>EXP061</x:v>
      </x:c>
      <x:c r="B1998" s="3" t="str">
        <x:v>Exp. 7</x:v>
      </x:c>
      <x:c r="C1998" s="18" t="n">
        <x:v>254786210</x:v>
      </x:c>
      <x:c r="D1998" s="3" t="str">
        <x:v>Full</x:v>
      </x:c>
      <x:c r="E1998" s="18" t="n">
        <x:v>200</x:v>
      </x:c>
      <x:c r="F1998" s="21" t="n">
        <x:v>594.4886187066494</x:v>
      </x:c>
      <x:c r="G1998" s="21" t="n">
        <x:f>F1993</x:f>
        <x:v>594.4886187066494</x:v>
      </x:c>
      <x:c r="H1998" s="21" t="n">
        <x:f>F1998</x:f>
        <x:v>594.4886187066494</x:v>
      </x:c>
      <x:c r="I1998" s="27" t="n">
        <x:f>IF(AND(ISNUMBER(G1998),ISNUMBER(H1998),H1998&gt;0),G1998/H1998-1,"")</x:f>
        <x:v>0</x:v>
      </x:c>
      <x:c r="J1998" s="27" t="n">
        <x:f>IF(AND(ISNUMBER(G1998),F1998&gt;0),G1998/F1998-1,"")</x:f>
        <x:v>0</x:v>
      </x:c>
      <x:c r="K1998" s="19" t="str">
        <x:v>Exp_7/EXP061/results/seed254786210_Full.json</x:v>
      </x:c>
    </x:row>
    <x:row r="1999" ht="15" hidden="0" customHeight="1">
      <x:c r="A1999" s="3" t="str">
        <x:v>EXP061</x:v>
      </x:c>
      <x:c r="B1999" s="3" t="str">
        <x:v>Exp. 7</x:v>
      </x:c>
      <x:c r="C1999" s="18" t="n">
        <x:v>254786210</x:v>
      </x:c>
      <x:c r="D1999" s="3" t="str">
        <x:v>Relative cutoff 1e-2</x:v>
      </x:c>
      <x:c r="E1999" s="18" t="n">
        <x:v>200</x:v>
      </x:c>
      <x:c r="F1999" s="21" t="n">
        <x:v>606.1735176542245</x:v>
      </x:c>
      <x:c r="G1999" s="21" t="n">
        <x:f>F1993</x:f>
        <x:v>594.4886187066494</x:v>
      </x:c>
      <x:c r="H1999" s="21" t="n">
        <x:f>F1998</x:f>
        <x:v>594.4886187066494</x:v>
      </x:c>
      <x:c r="I1999" s="27" t="n">
        <x:f>IF(AND(ISNUMBER(G1999),ISNUMBER(H1999),H1999&gt;0),G1999/H1999-1,"")</x:f>
        <x:v>0</x:v>
      </x:c>
      <x:c r="J1999" s="27" t="n">
        <x:f>IF(AND(ISNUMBER(G1999),F1999&gt;0),G1999/F1999-1,"")</x:f>
        <x:v>-0.01927649197344261</x:v>
      </x:c>
      <x:c r="K1999" s="19" t="str">
        <x:v>Exp_7/EXP061/results/seed254786210_Relative_cutoff_1e-2.json</x:v>
      </x:c>
    </x:row>
    <x:row r="2000" ht="15" hidden="0" customHeight="1">
      <x:c r="A2000" s="3" t="str">
        <x:v>EXP061</x:v>
      </x:c>
      <x:c r="B2000" s="3" t="str">
        <x:v>Exp. 7</x:v>
      </x:c>
      <x:c r="C2000" s="18" t="n">
        <x:v>254786210</x:v>
      </x:c>
      <x:c r="D2000" s="3" t="str">
        <x:v>Relative cutoff 1e-4</x:v>
      </x:c>
      <x:c r="E2000" s="18" t="n">
        <x:v>200</x:v>
      </x:c>
      <x:c r="F2000" s="21" t="n">
        <x:v>594.4886187066494</x:v>
      </x:c>
      <x:c r="G2000" s="21" t="n">
        <x:f>F1993</x:f>
        <x:v>594.4886187066494</x:v>
      </x:c>
      <x:c r="H2000" s="21" t="n">
        <x:f>F1998</x:f>
        <x:v>594.4886187066494</x:v>
      </x:c>
      <x:c r="I2000" s="27" t="n">
        <x:f>IF(AND(ISNUMBER(G2000),ISNUMBER(H2000),H2000&gt;0),G2000/H2000-1,"")</x:f>
        <x:v>0</x:v>
      </x:c>
      <x:c r="J2000" s="27" t="n">
        <x:f>IF(AND(ISNUMBER(G2000),F2000&gt;0),G2000/F2000-1,"")</x:f>
        <x:v>0</x:v>
      </x:c>
      <x:c r="K2000" s="19" t="str">
        <x:v>Exp_7/EXP061/results/seed254786210_Relative_cutoff_1e-4.json</x:v>
      </x:c>
    </x:row>
    <x:row r="2001" ht="15" hidden="0" customHeight="1">
      <x:c r="A2001" s="3" t="str">
        <x:v>EXP061</x:v>
      </x:c>
      <x:c r="B2001" s="3" t="str">
        <x:v>Exp. 7</x:v>
      </x:c>
      <x:c r="C2001" s="18" t="n">
        <x:v>280737676</x:v>
      </x:c>
      <x:c r="D2001" s="3" t="str">
        <x:v>BBP</x:v>
      </x:c>
      <x:c r="E2001" s="18" t="n">
        <x:v>200</x:v>
      </x:c>
      <x:c r="F2001" s="21" t="n">
        <x:v>475.653676364559</x:v>
      </x:c>
      <x:c r="G2001" s="21" t="n">
        <x:f>F2001</x:f>
        <x:v>475.653676364559</x:v>
      </x:c>
      <x:c r="H2001" s="21" t="n">
        <x:f>F2006</x:f>
        <x:v>484.4960936221297</x:v>
      </x:c>
      <x:c r="I2001" s="27" t="n">
        <x:f>IF(AND(ISNUMBER(G2001),ISNUMBER(H2001),H2001&gt;0),G2001/H2001-1,"")</x:f>
        <x:v>-0.0182507503651147</x:v>
      </x:c>
      <x:c r="J2001" s="27" t="n">
        <x:f>IF(AND(ISNUMBER(G2001),F2001&gt;0),G2001/F2001-1,"")</x:f>
        <x:v>0</x:v>
      </x:c>
      <x:c r="K2001" s="19" t="str">
        <x:v>Exp_7/EXP061/results/seed280737676_BBP.json</x:v>
      </x:c>
    </x:row>
    <x:row r="2002" ht="15" hidden="0" customHeight="1">
      <x:c r="A2002" s="3" t="str">
        <x:v>EXP061</x:v>
      </x:c>
      <x:c r="B2002" s="3" t="str">
        <x:v>Exp. 7</x:v>
      </x:c>
      <x:c r="C2002" s="18" t="n">
        <x:v>280737676</x:v>
      </x:c>
      <x:c r="D2002" s="3" t="str">
        <x:v>Relative cutoff 1e-5</x:v>
      </x:c>
      <x:c r="E2002" s="18" t="n">
        <x:v>200</x:v>
      </x:c>
      <x:c r="F2002" s="21" t="n">
        <x:v>484.4960936221297</x:v>
      </x:c>
      <x:c r="G2002" s="21" t="n">
        <x:f>F2001</x:f>
        <x:v>475.653676364559</x:v>
      </x:c>
      <x:c r="H2002" s="21" t="n">
        <x:f>F2006</x:f>
        <x:v>484.4960936221297</x:v>
      </x:c>
      <x:c r="I2002" s="27" t="n">
        <x:f>IF(AND(ISNUMBER(G2002),ISNUMBER(H2002),H2002&gt;0),G2002/H2002-1,"")</x:f>
        <x:v>-0.0182507503651147</x:v>
      </x:c>
      <x:c r="J2002" s="27" t="n">
        <x:f>IF(AND(ISNUMBER(G2002),F2002&gt;0),G2002/F2002-1,"")</x:f>
        <x:v>-0.0182507503651147</x:v>
      </x:c>
      <x:c r="K2002" s="19" t="str">
        <x:v>Exp_7/EXP061/results/seed280737676_Relative_cutoff_1e-5.json</x:v>
      </x:c>
    </x:row>
    <x:row r="2003" ht="15" hidden="0" customHeight="1">
      <x:c r="A2003" s="3" t="str">
        <x:v>EXP061</x:v>
      </x:c>
      <x:c r="B2003" s="3" t="str">
        <x:v>Exp. 7</x:v>
      </x:c>
      <x:c r="C2003" s="18" t="n">
        <x:v>280737676</x:v>
      </x:c>
      <x:c r="D2003" s="3" t="str">
        <x:v>Fixed rank 10</x:v>
      </x:c>
      <x:c r="E2003" s="18" t="n">
        <x:v>200</x:v>
      </x:c>
      <x:c r="F2003" s="21" t="n">
        <x:v>484.4960936221297</x:v>
      </x:c>
      <x:c r="G2003" s="21" t="n">
        <x:f>F2001</x:f>
        <x:v>475.653676364559</x:v>
      </x:c>
      <x:c r="H2003" s="21" t="n">
        <x:f>F2006</x:f>
        <x:v>484.4960936221297</x:v>
      </x:c>
      <x:c r="I2003" s="27" t="n">
        <x:f>IF(AND(ISNUMBER(G2003),ISNUMBER(H2003),H2003&gt;0),G2003/H2003-1,"")</x:f>
        <x:v>-0.0182507503651147</x:v>
      </x:c>
      <x:c r="J2003" s="27" t="n">
        <x:f>IF(AND(ISNUMBER(G2003),F2003&gt;0),G2003/F2003-1,"")</x:f>
        <x:v>-0.0182507503651147</x:v>
      </x:c>
      <x:c r="K2003" s="19" t="str">
        <x:v>Exp_7/EXP061/results/seed280737676_Fixed_rank_10.json</x:v>
      </x:c>
    </x:row>
    <x:row r="2004" ht="15" hidden="0" customHeight="1">
      <x:c r="A2004" s="3" t="str">
        <x:v>EXP061</x:v>
      </x:c>
      <x:c r="B2004" s="3" t="str">
        <x:v>Exp. 7</x:v>
      </x:c>
      <x:c r="C2004" s="18" t="n">
        <x:v>280737676</x:v>
      </x:c>
      <x:c r="D2004" s="3" t="str">
        <x:v>Fixed rank 25</x:v>
      </x:c>
      <x:c r="E2004" s="18" t="n">
        <x:v>200</x:v>
      </x:c>
      <x:c r="F2004" s="21" t="n">
        <x:v>484.4960936221297</x:v>
      </x:c>
      <x:c r="G2004" s="21" t="n">
        <x:f>F2001</x:f>
        <x:v>475.653676364559</x:v>
      </x:c>
      <x:c r="H2004" s="21" t="n">
        <x:f>F2006</x:f>
        <x:v>484.4960936221297</x:v>
      </x:c>
      <x:c r="I2004" s="27" t="n">
        <x:f>IF(AND(ISNUMBER(G2004),ISNUMBER(H2004),H2004&gt;0),G2004/H2004-1,"")</x:f>
        <x:v>-0.0182507503651147</x:v>
      </x:c>
      <x:c r="J2004" s="27" t="n">
        <x:f>IF(AND(ISNUMBER(G2004),F2004&gt;0),G2004/F2004-1,"")</x:f>
        <x:v>-0.0182507503651147</x:v>
      </x:c>
      <x:c r="K2004" s="19" t="str">
        <x:v>Exp_7/EXP061/results/seed280737676_Fixed_rank_25.json</x:v>
      </x:c>
    </x:row>
    <x:row r="2005" ht="15" hidden="0" customHeight="1">
      <x:c r="A2005" s="3" t="str">
        <x:v>EXP061</x:v>
      </x:c>
      <x:c r="B2005" s="3" t="str">
        <x:v>Exp. 7</x:v>
      </x:c>
      <x:c r="C2005" s="18" t="n">
        <x:v>280737676</x:v>
      </x:c>
      <x:c r="D2005" s="3" t="str">
        <x:v>Relative cutoff 1e-6</x:v>
      </x:c>
      <x:c r="E2005" s="18" t="n">
        <x:v>200</x:v>
      </x:c>
      <x:c r="F2005" s="21" t="n">
        <x:v>484.4960936221297</x:v>
      </x:c>
      <x:c r="G2005" s="21" t="n">
        <x:f>F2001</x:f>
        <x:v>475.653676364559</x:v>
      </x:c>
      <x:c r="H2005" s="21" t="n">
        <x:f>F2006</x:f>
        <x:v>484.4960936221297</x:v>
      </x:c>
      <x:c r="I2005" s="27" t="n">
        <x:f>IF(AND(ISNUMBER(G2005),ISNUMBER(H2005),H2005&gt;0),G2005/H2005-1,"")</x:f>
        <x:v>-0.0182507503651147</x:v>
      </x:c>
      <x:c r="J2005" s="27" t="n">
        <x:f>IF(AND(ISNUMBER(G2005),F2005&gt;0),G2005/F2005-1,"")</x:f>
        <x:v>-0.0182507503651147</x:v>
      </x:c>
      <x:c r="K2005" s="19" t="str">
        <x:v>Exp_7/EXP061/results/seed280737676_Relative_cutoff_1e-6.json</x:v>
      </x:c>
    </x:row>
    <x:row r="2006" ht="15" hidden="0" customHeight="1">
      <x:c r="A2006" s="3" t="str">
        <x:v>EXP061</x:v>
      </x:c>
      <x:c r="B2006" s="3" t="str">
        <x:v>Exp. 7</x:v>
      </x:c>
      <x:c r="C2006" s="18" t="n">
        <x:v>280737676</x:v>
      </x:c>
      <x:c r="D2006" s="3" t="str">
        <x:v>Full</x:v>
      </x:c>
      <x:c r="E2006" s="18" t="n">
        <x:v>200</x:v>
      </x:c>
      <x:c r="F2006" s="21" t="n">
        <x:v>484.4960936221297</x:v>
      </x:c>
      <x:c r="G2006" s="21" t="n">
        <x:f>F2001</x:f>
        <x:v>475.653676364559</x:v>
      </x:c>
      <x:c r="H2006" s="21" t="n">
        <x:f>F2006</x:f>
        <x:v>484.4960936221297</x:v>
      </x:c>
      <x:c r="I2006" s="27" t="n">
        <x:f>IF(AND(ISNUMBER(G2006),ISNUMBER(H2006),H2006&gt;0),G2006/H2006-1,"")</x:f>
        <x:v>-0.0182507503651147</x:v>
      </x:c>
      <x:c r="J2006" s="27" t="n">
        <x:f>IF(AND(ISNUMBER(G2006),F2006&gt;0),G2006/F2006-1,"")</x:f>
        <x:v>-0.0182507503651147</x:v>
      </x:c>
      <x:c r="K2006" s="19" t="str">
        <x:v>Exp_7/EXP061/results/seed280737676_Full.json</x:v>
      </x:c>
    </x:row>
    <x:row r="2007" ht="15" hidden="0" customHeight="1">
      <x:c r="A2007" s="3" t="str">
        <x:v>EXP061</x:v>
      </x:c>
      <x:c r="B2007" s="3" t="str">
        <x:v>Exp. 7</x:v>
      </x:c>
      <x:c r="C2007" s="18" t="n">
        <x:v>280737676</x:v>
      </x:c>
      <x:c r="D2007" s="3" t="str">
        <x:v>Relative cutoff 1e-2</x:v>
      </x:c>
      <x:c r="E2007" s="18" t="n">
        <x:v>200</x:v>
      </x:c>
      <x:c r="F2007" s="21" t="n">
        <x:v>495.6877307653163</x:v>
      </x:c>
      <x:c r="G2007" s="21" t="n">
        <x:f>F2001</x:f>
        <x:v>475.653676364559</x:v>
      </x:c>
      <x:c r="H2007" s="21" t="n">
        <x:f>F2006</x:f>
        <x:v>484.4960936221297</x:v>
      </x:c>
      <x:c r="I2007" s="27" t="n">
        <x:f>IF(AND(ISNUMBER(G2007),ISNUMBER(H2007),H2007&gt;0),G2007/H2007-1,"")</x:f>
        <x:v>-0.0182507503651147</x:v>
      </x:c>
      <x:c r="J2007" s="27" t="n">
        <x:f>IF(AND(ISNUMBER(G2007),F2007&gt;0),G2007/F2007-1,"")</x:f>
        <x:v>-0.040416684047889895</x:v>
      </x:c>
      <x:c r="K2007" s="19" t="str">
        <x:v>Exp_7/EXP061/results/seed280737676_Relative_cutoff_1e-2.json</x:v>
      </x:c>
    </x:row>
    <x:row r="2008" ht="15" hidden="0" customHeight="1">
      <x:c r="A2008" s="3" t="str">
        <x:v>EXP061</x:v>
      </x:c>
      <x:c r="B2008" s="3" t="str">
        <x:v>Exp. 7</x:v>
      </x:c>
      <x:c r="C2008" s="18" t="n">
        <x:v>280737676</x:v>
      </x:c>
      <x:c r="D2008" s="3" t="str">
        <x:v>Relative cutoff 1e-4</x:v>
      </x:c>
      <x:c r="E2008" s="18" t="n">
        <x:v>200</x:v>
      </x:c>
      <x:c r="F2008" s="21" t="n">
        <x:v>484.4960936221297</x:v>
      </x:c>
      <x:c r="G2008" s="21" t="n">
        <x:f>F2001</x:f>
        <x:v>475.653676364559</x:v>
      </x:c>
      <x:c r="H2008" s="21" t="n">
        <x:f>F2006</x:f>
        <x:v>484.4960936221297</x:v>
      </x:c>
      <x:c r="I2008" s="27" t="n">
        <x:f>IF(AND(ISNUMBER(G2008),ISNUMBER(H2008),H2008&gt;0),G2008/H2008-1,"")</x:f>
        <x:v>-0.0182507503651147</x:v>
      </x:c>
      <x:c r="J2008" s="27" t="n">
        <x:f>IF(AND(ISNUMBER(G2008),F2008&gt;0),G2008/F2008-1,"")</x:f>
        <x:v>-0.0182507503651147</x:v>
      </x:c>
      <x:c r="K2008" s="19" t="str">
        <x:v>Exp_7/EXP061/results/seed280737676_Relative_cutoff_1e-4.json</x:v>
      </x:c>
    </x:row>
    <x:row r="2009" ht="15" hidden="0" customHeight="1">
      <x:c r="A2009" s="3" t="str">
        <x:v>EXP061</x:v>
      </x:c>
      <x:c r="B2009" s="3" t="str">
        <x:v>Exp. 7</x:v>
      </x:c>
      <x:c r="C2009" s="18" t="n">
        <x:v>304444453</x:v>
      </x:c>
      <x:c r="D2009" s="3" t="str">
        <x:v>BBP</x:v>
      </x:c>
      <x:c r="E2009" s="18" t="n">
        <x:v>200</x:v>
      </x:c>
      <x:c r="F2009" s="21" t="n">
        <x:v>413.9500482805091</x:v>
      </x:c>
      <x:c r="G2009" s="21" t="n">
        <x:f>F2009</x:f>
        <x:v>413.9500482805091</x:v>
      </x:c>
      <x:c r="H2009" s="21" t="n">
        <x:f>F2014</x:f>
        <x:v>413.9500482805091</x:v>
      </x:c>
      <x:c r="I2009" s="27" t="n">
        <x:f>IF(AND(ISNUMBER(G2009),ISNUMBER(H2009),H2009&gt;0),G2009/H2009-1,"")</x:f>
        <x:v>0</x:v>
      </x:c>
      <x:c r="J2009" s="27" t="n">
        <x:f>IF(AND(ISNUMBER(G2009),F2009&gt;0),G2009/F2009-1,"")</x:f>
        <x:v>0</x:v>
      </x:c>
      <x:c r="K2009" s="19" t="str">
        <x:v>Exp_7/EXP061/results/seed304444453_BBP.json</x:v>
      </x:c>
    </x:row>
    <x:row r="2010" ht="15" hidden="0" customHeight="1">
      <x:c r="A2010" s="3" t="str">
        <x:v>EXP061</x:v>
      </x:c>
      <x:c r="B2010" s="3" t="str">
        <x:v>Exp. 7</x:v>
      </x:c>
      <x:c r="C2010" s="18" t="n">
        <x:v>304444453</x:v>
      </x:c>
      <x:c r="D2010" s="3" t="str">
        <x:v>Relative cutoff 1e-5</x:v>
      </x:c>
      <x:c r="E2010" s="18" t="n">
        <x:v>200</x:v>
      </x:c>
      <x:c r="F2010" s="21" t="n">
        <x:v>413.9500482805091</x:v>
      </x:c>
      <x:c r="G2010" s="21" t="n">
        <x:f>F2009</x:f>
        <x:v>413.9500482805091</x:v>
      </x:c>
      <x:c r="H2010" s="21" t="n">
        <x:f>F2014</x:f>
        <x:v>413.9500482805091</x:v>
      </x:c>
      <x:c r="I2010" s="27" t="n">
        <x:f>IF(AND(ISNUMBER(G2010),ISNUMBER(H2010),H2010&gt;0),G2010/H2010-1,"")</x:f>
        <x:v>0</x:v>
      </x:c>
      <x:c r="J2010" s="27" t="n">
        <x:f>IF(AND(ISNUMBER(G2010),F2010&gt;0),G2010/F2010-1,"")</x:f>
        <x:v>0</x:v>
      </x:c>
      <x:c r="K2010" s="19" t="str">
        <x:v>Exp_7/EXP061/results/seed304444453_Relative_cutoff_1e-5.json</x:v>
      </x:c>
    </x:row>
    <x:row r="2011" ht="15" hidden="0" customHeight="1">
      <x:c r="A2011" s="3" t="str">
        <x:v>EXP061</x:v>
      </x:c>
      <x:c r="B2011" s="3" t="str">
        <x:v>Exp. 7</x:v>
      </x:c>
      <x:c r="C2011" s="18" t="n">
        <x:v>304444453</x:v>
      </x:c>
      <x:c r="D2011" s="3" t="str">
        <x:v>Fixed rank 10</x:v>
      </x:c>
      <x:c r="E2011" s="18" t="n">
        <x:v>200</x:v>
      </x:c>
      <x:c r="F2011" s="21" t="n">
        <x:v>410.55068219684773</x:v>
      </x:c>
      <x:c r="G2011" s="21" t="n">
        <x:f>F2009</x:f>
        <x:v>413.9500482805091</x:v>
      </x:c>
      <x:c r="H2011" s="21" t="n">
        <x:f>F2014</x:f>
        <x:v>413.9500482805091</x:v>
      </x:c>
      <x:c r="I2011" s="27" t="n">
        <x:f>IF(AND(ISNUMBER(G2011),ISNUMBER(H2011),H2011&gt;0),G2011/H2011-1,"")</x:f>
        <x:v>0</x:v>
      </x:c>
      <x:c r="J2011" s="27" t="n">
        <x:f>IF(AND(ISNUMBER(G2011),F2011&gt;0),G2011/F2011-1,"")</x:f>
        <x:v>0.008280015674243746</x:v>
      </x:c>
      <x:c r="K2011" s="19" t="str">
        <x:v>Exp_7/EXP061/results/seed304444453_Fixed_rank_10.json</x:v>
      </x:c>
    </x:row>
    <x:row r="2012" ht="15" hidden="0" customHeight="1">
      <x:c r="A2012" s="3" t="str">
        <x:v>EXP061</x:v>
      </x:c>
      <x:c r="B2012" s="3" t="str">
        <x:v>Exp. 7</x:v>
      </x:c>
      <x:c r="C2012" s="18" t="n">
        <x:v>304444453</x:v>
      </x:c>
      <x:c r="D2012" s="3" t="str">
        <x:v>Fixed rank 25</x:v>
      </x:c>
      <x:c r="E2012" s="18" t="n">
        <x:v>200</x:v>
      </x:c>
      <x:c r="F2012" s="21" t="n">
        <x:v>413.9500482805091</x:v>
      </x:c>
      <x:c r="G2012" s="21" t="n">
        <x:f>F2009</x:f>
        <x:v>413.9500482805091</x:v>
      </x:c>
      <x:c r="H2012" s="21" t="n">
        <x:f>F2014</x:f>
        <x:v>413.9500482805091</x:v>
      </x:c>
      <x:c r="I2012" s="27" t="n">
        <x:f>IF(AND(ISNUMBER(G2012),ISNUMBER(H2012),H2012&gt;0),G2012/H2012-1,"")</x:f>
        <x:v>0</x:v>
      </x:c>
      <x:c r="J2012" s="27" t="n">
        <x:f>IF(AND(ISNUMBER(G2012),F2012&gt;0),G2012/F2012-1,"")</x:f>
        <x:v>0</x:v>
      </x:c>
      <x:c r="K2012" s="19" t="str">
        <x:v>Exp_7/EXP061/results/seed304444453_Fixed_rank_25.json</x:v>
      </x:c>
    </x:row>
    <x:row r="2013" ht="15" hidden="0" customHeight="1">
      <x:c r="A2013" s="3" t="str">
        <x:v>EXP061</x:v>
      </x:c>
      <x:c r="B2013" s="3" t="str">
        <x:v>Exp. 7</x:v>
      </x:c>
      <x:c r="C2013" s="18" t="n">
        <x:v>304444453</x:v>
      </x:c>
      <x:c r="D2013" s="3" t="str">
        <x:v>Relative cutoff 1e-6</x:v>
      </x:c>
      <x:c r="E2013" s="18" t="n">
        <x:v>200</x:v>
      </x:c>
      <x:c r="F2013" s="21" t="n">
        <x:v>413.9500482805091</x:v>
      </x:c>
      <x:c r="G2013" s="21" t="n">
        <x:f>F2009</x:f>
        <x:v>413.9500482805091</x:v>
      </x:c>
      <x:c r="H2013" s="21" t="n">
        <x:f>F2014</x:f>
        <x:v>413.9500482805091</x:v>
      </x:c>
      <x:c r="I2013" s="27" t="n">
        <x:f>IF(AND(ISNUMBER(G2013),ISNUMBER(H2013),H2013&gt;0),G2013/H2013-1,"")</x:f>
        <x:v>0</x:v>
      </x:c>
      <x:c r="J2013" s="27" t="n">
        <x:f>IF(AND(ISNUMBER(G2013),F2013&gt;0),G2013/F2013-1,"")</x:f>
        <x:v>0</x:v>
      </x:c>
      <x:c r="K2013" s="19" t="str">
        <x:v>Exp_7/EXP061/results/seed304444453_Relative_cutoff_1e-6.json</x:v>
      </x:c>
    </x:row>
    <x:row r="2014" ht="15" hidden="0" customHeight="1">
      <x:c r="A2014" s="3" t="str">
        <x:v>EXP061</x:v>
      </x:c>
      <x:c r="B2014" s="3" t="str">
        <x:v>Exp. 7</x:v>
      </x:c>
      <x:c r="C2014" s="18" t="n">
        <x:v>304444453</x:v>
      </x:c>
      <x:c r="D2014" s="3" t="str">
        <x:v>Full</x:v>
      </x:c>
      <x:c r="E2014" s="18" t="n">
        <x:v>200</x:v>
      </x:c>
      <x:c r="F2014" s="21" t="n">
        <x:v>413.9500482805091</x:v>
      </x:c>
      <x:c r="G2014" s="21" t="n">
        <x:f>F2009</x:f>
        <x:v>413.9500482805091</x:v>
      </x:c>
      <x:c r="H2014" s="21" t="n">
        <x:f>F2014</x:f>
        <x:v>413.9500482805091</x:v>
      </x:c>
      <x:c r="I2014" s="27" t="n">
        <x:f>IF(AND(ISNUMBER(G2014),ISNUMBER(H2014),H2014&gt;0),G2014/H2014-1,"")</x:f>
        <x:v>0</x:v>
      </x:c>
      <x:c r="J2014" s="27" t="n">
        <x:f>IF(AND(ISNUMBER(G2014),F2014&gt;0),G2014/F2014-1,"")</x:f>
        <x:v>0</x:v>
      </x:c>
      <x:c r="K2014" s="19" t="str">
        <x:v>Exp_7/EXP061/results/seed304444453_Full.json</x:v>
      </x:c>
    </x:row>
    <x:row r="2015" ht="15" hidden="0" customHeight="1">
      <x:c r="A2015" s="3" t="str">
        <x:v>EXP061</x:v>
      </x:c>
      <x:c r="B2015" s="3" t="str">
        <x:v>Exp. 7</x:v>
      </x:c>
      <x:c r="C2015" s="18" t="n">
        <x:v>304444453</x:v>
      </x:c>
      <x:c r="D2015" s="3" t="str">
        <x:v>Relative cutoff 1e-2</x:v>
      </x:c>
      <x:c r="E2015" s="18" t="n">
        <x:v>200</x:v>
      </x:c>
      <x:c r="F2015" s="21" t="n">
        <x:v>381.90773438663086</x:v>
      </x:c>
      <x:c r="G2015" s="21" t="n">
        <x:f>F2009</x:f>
        <x:v>413.9500482805091</x:v>
      </x:c>
      <x:c r="H2015" s="21" t="n">
        <x:f>F2014</x:f>
        <x:v>413.9500482805091</x:v>
      </x:c>
      <x:c r="I2015" s="27" t="n">
        <x:f>IF(AND(ISNUMBER(G2015),ISNUMBER(H2015),H2015&gt;0),G2015/H2015-1,"")</x:f>
        <x:v>0</x:v>
      </x:c>
      <x:c r="J2015" s="27" t="n">
        <x:f>IF(AND(ISNUMBER(G2015),F2015&gt;0),G2015/F2015-1,"")</x:f>
        <x:v>0.0839006676451326</x:v>
      </x:c>
      <x:c r="K2015" s="19" t="str">
        <x:v>Exp_7/EXP061/results/seed304444453_Relative_cutoff_1e-2.json</x:v>
      </x:c>
    </x:row>
    <x:row r="2016" ht="15" hidden="0" customHeight="1">
      <x:c r="A2016" s="3" t="str">
        <x:v>EXP061</x:v>
      </x:c>
      <x:c r="B2016" s="3" t="str">
        <x:v>Exp. 7</x:v>
      </x:c>
      <x:c r="C2016" s="18" t="n">
        <x:v>304444453</x:v>
      </x:c>
      <x:c r="D2016" s="3" t="str">
        <x:v>Relative cutoff 1e-4</x:v>
      </x:c>
      <x:c r="E2016" s="18" t="n">
        <x:v>200</x:v>
      </x:c>
      <x:c r="F2016" s="21" t="n">
        <x:v>410.55068219684773</x:v>
      </x:c>
      <x:c r="G2016" s="21" t="n">
        <x:f>F2009</x:f>
        <x:v>413.9500482805091</x:v>
      </x:c>
      <x:c r="H2016" s="21" t="n">
        <x:f>F2014</x:f>
        <x:v>413.9500482805091</x:v>
      </x:c>
      <x:c r="I2016" s="27" t="n">
        <x:f>IF(AND(ISNUMBER(G2016),ISNUMBER(H2016),H2016&gt;0),G2016/H2016-1,"")</x:f>
        <x:v>0</x:v>
      </x:c>
      <x:c r="J2016" s="27" t="n">
        <x:f>IF(AND(ISNUMBER(G2016),F2016&gt;0),G2016/F2016-1,"")</x:f>
        <x:v>0.008280015674243746</x:v>
      </x:c>
      <x:c r="K2016" s="19" t="str">
        <x:v>Exp_7/EXP061/results/seed304444453_Relative_cutoff_1e-4.json</x:v>
      </x:c>
    </x:row>
    <x:row r="2017" ht="15" hidden="0" customHeight="1">
      <x:c r="A2017" s="3" t="str">
        <x:v>EXP061</x:v>
      </x:c>
      <x:c r="B2017" s="3" t="str">
        <x:v>Exp. 7</x:v>
      </x:c>
      <x:c r="C2017" s="18" t="n">
        <x:v>319922324</x:v>
      </x:c>
      <x:c r="D2017" s="3" t="str">
        <x:v>BBP</x:v>
      </x:c>
      <x:c r="E2017" s="18" t="n">
        <x:v>200</x:v>
      </x:c>
      <x:c r="F2017" s="21" t="n">
        <x:v>407.70331955410046</x:v>
      </x:c>
      <x:c r="G2017" s="21" t="n">
        <x:f>F2017</x:f>
        <x:v>407.70331955410046</x:v>
      </x:c>
      <x:c r="H2017" s="21" t="n">
        <x:f>F2022</x:f>
        <x:v>419.1066061688683</x:v>
      </x:c>
      <x:c r="I2017" s="27" t="n">
        <x:f>IF(AND(ISNUMBER(G2017),ISNUMBER(H2017),H2017&gt;0),G2017/H2017-1,"")</x:f>
        <x:v>-0.0272085585073627</x:v>
      </x:c>
      <x:c r="J2017" s="27" t="n">
        <x:f>IF(AND(ISNUMBER(G2017),F2017&gt;0),G2017/F2017-1,"")</x:f>
        <x:v>0</x:v>
      </x:c>
      <x:c r="K2017" s="19" t="str">
        <x:v>Exp_7/EXP061/results/seed319922324_BBP.json</x:v>
      </x:c>
    </x:row>
    <x:row r="2018" ht="15" hidden="0" customHeight="1">
      <x:c r="A2018" s="3" t="str">
        <x:v>EXP061</x:v>
      </x:c>
      <x:c r="B2018" s="3" t="str">
        <x:v>Exp. 7</x:v>
      </x:c>
      <x:c r="C2018" s="18" t="n">
        <x:v>319922324</x:v>
      </x:c>
      <x:c r="D2018" s="3" t="str">
        <x:v>Relative cutoff 1e-5</x:v>
      </x:c>
      <x:c r="E2018" s="18" t="n">
        <x:v>200</x:v>
      </x:c>
      <x:c r="F2018" s="21" t="n">
        <x:v>407.70331955410046</x:v>
      </x:c>
      <x:c r="G2018" s="21" t="n">
        <x:f>F2017</x:f>
        <x:v>407.70331955410046</x:v>
      </x:c>
      <x:c r="H2018" s="21" t="n">
        <x:f>F2022</x:f>
        <x:v>419.1066061688683</x:v>
      </x:c>
      <x:c r="I2018" s="27" t="n">
        <x:f>IF(AND(ISNUMBER(G2018),ISNUMBER(H2018),H2018&gt;0),G2018/H2018-1,"")</x:f>
        <x:v>-0.0272085585073627</x:v>
      </x:c>
      <x:c r="J2018" s="27" t="n">
        <x:f>IF(AND(ISNUMBER(G2018),F2018&gt;0),G2018/F2018-1,"")</x:f>
        <x:v>0</x:v>
      </x:c>
      <x:c r="K2018" s="19" t="str">
        <x:v>Exp_7/EXP061/results/seed319922324_Relative_cutoff_1e-5.json</x:v>
      </x:c>
    </x:row>
    <x:row r="2019" ht="15" hidden="0" customHeight="1">
      <x:c r="A2019" s="3" t="str">
        <x:v>EXP061</x:v>
      </x:c>
      <x:c r="B2019" s="3" t="str">
        <x:v>Exp. 7</x:v>
      </x:c>
      <x:c r="C2019" s="18" t="n">
        <x:v>319922324</x:v>
      </x:c>
      <x:c r="D2019" s="3" t="str">
        <x:v>Fixed rank 10</x:v>
      </x:c>
      <x:c r="E2019" s="18" t="n">
        <x:v>200</x:v>
      </x:c>
      <x:c r="F2019" s="21" t="n">
        <x:v>414.645908628763</x:v>
      </x:c>
      <x:c r="G2019" s="21" t="n">
        <x:f>F2017</x:f>
        <x:v>407.70331955410046</x:v>
      </x:c>
      <x:c r="H2019" s="21" t="n">
        <x:f>F2022</x:f>
        <x:v>419.1066061688683</x:v>
      </x:c>
      <x:c r="I2019" s="27" t="n">
        <x:f>IF(AND(ISNUMBER(G2019),ISNUMBER(H2019),H2019&gt;0),G2019/H2019-1,"")</x:f>
        <x:v>-0.0272085585073627</x:v>
      </x:c>
      <x:c r="J2019" s="27" t="n">
        <x:f>IF(AND(ISNUMBER(G2019),F2019&gt;0),G2019/F2019-1,"")</x:f>
        <x:v>-0.016743416322668403</x:v>
      </x:c>
      <x:c r="K2019" s="19" t="str">
        <x:v>Exp_7/EXP061/results/seed319922324_Fixed_rank_10.json</x:v>
      </x:c>
    </x:row>
    <x:row r="2020" ht="15" hidden="0" customHeight="1">
      <x:c r="A2020" s="3" t="str">
        <x:v>EXP061</x:v>
      </x:c>
      <x:c r="B2020" s="3" t="str">
        <x:v>Exp. 7</x:v>
      </x:c>
      <x:c r="C2020" s="18" t="n">
        <x:v>319922324</x:v>
      </x:c>
      <x:c r="D2020" s="3" t="str">
        <x:v>Fixed rank 25</x:v>
      </x:c>
      <x:c r="E2020" s="18" t="n">
        <x:v>200</x:v>
      </x:c>
      <x:c r="F2020" s="21" t="n">
        <x:v>407.70331955410046</x:v>
      </x:c>
      <x:c r="G2020" s="21" t="n">
        <x:f>F2017</x:f>
        <x:v>407.70331955410046</x:v>
      </x:c>
      <x:c r="H2020" s="21" t="n">
        <x:f>F2022</x:f>
        <x:v>419.1066061688683</x:v>
      </x:c>
      <x:c r="I2020" s="27" t="n">
        <x:f>IF(AND(ISNUMBER(G2020),ISNUMBER(H2020),H2020&gt;0),G2020/H2020-1,"")</x:f>
        <x:v>-0.0272085585073627</x:v>
      </x:c>
      <x:c r="J2020" s="27" t="n">
        <x:f>IF(AND(ISNUMBER(G2020),F2020&gt;0),G2020/F2020-1,"")</x:f>
        <x:v>0</x:v>
      </x:c>
      <x:c r="K2020" s="19" t="str">
        <x:v>Exp_7/EXP061/results/seed319922324_Fixed_rank_25.json</x:v>
      </x:c>
    </x:row>
    <x:row r="2021" ht="15" hidden="0" customHeight="1">
      <x:c r="A2021" s="3" t="str">
        <x:v>EXP061</x:v>
      </x:c>
      <x:c r="B2021" s="3" t="str">
        <x:v>Exp. 7</x:v>
      </x:c>
      <x:c r="C2021" s="18" t="n">
        <x:v>319922324</x:v>
      </x:c>
      <x:c r="D2021" s="3" t="str">
        <x:v>Relative cutoff 1e-6</x:v>
      </x:c>
      <x:c r="E2021" s="18" t="n">
        <x:v>200</x:v>
      </x:c>
      <x:c r="F2021" s="21" t="n">
        <x:v>419.1066061688683</x:v>
      </x:c>
      <x:c r="G2021" s="21" t="n">
        <x:f>F2017</x:f>
        <x:v>407.70331955410046</x:v>
      </x:c>
      <x:c r="H2021" s="21" t="n">
        <x:f>F2022</x:f>
        <x:v>419.1066061688683</x:v>
      </x:c>
      <x:c r="I2021" s="27" t="n">
        <x:f>IF(AND(ISNUMBER(G2021),ISNUMBER(H2021),H2021&gt;0),G2021/H2021-1,"")</x:f>
        <x:v>-0.0272085585073627</x:v>
      </x:c>
      <x:c r="J2021" s="27" t="n">
        <x:f>IF(AND(ISNUMBER(G2021),F2021&gt;0),G2021/F2021-1,"")</x:f>
        <x:v>-0.0272085585073627</x:v>
      </x:c>
      <x:c r="K2021" s="19" t="str">
        <x:v>Exp_7/EXP061/results/seed319922324_Relative_cutoff_1e-6.json</x:v>
      </x:c>
    </x:row>
    <x:row r="2022" ht="15" hidden="0" customHeight="1">
      <x:c r="A2022" s="3" t="str">
        <x:v>EXP061</x:v>
      </x:c>
      <x:c r="B2022" s="3" t="str">
        <x:v>Exp. 7</x:v>
      </x:c>
      <x:c r="C2022" s="18" t="n">
        <x:v>319922324</x:v>
      </x:c>
      <x:c r="D2022" s="3" t="str">
        <x:v>Full</x:v>
      </x:c>
      <x:c r="E2022" s="18" t="n">
        <x:v>200</x:v>
      </x:c>
      <x:c r="F2022" s="21" t="n">
        <x:v>419.1066061688683</x:v>
      </x:c>
      <x:c r="G2022" s="21" t="n">
        <x:f>F2017</x:f>
        <x:v>407.70331955410046</x:v>
      </x:c>
      <x:c r="H2022" s="21" t="n">
        <x:f>F2022</x:f>
        <x:v>419.1066061688683</x:v>
      </x:c>
      <x:c r="I2022" s="27" t="n">
        <x:f>IF(AND(ISNUMBER(G2022),ISNUMBER(H2022),H2022&gt;0),G2022/H2022-1,"")</x:f>
        <x:v>-0.0272085585073627</x:v>
      </x:c>
      <x:c r="J2022" s="27" t="n">
        <x:f>IF(AND(ISNUMBER(G2022),F2022&gt;0),G2022/F2022-1,"")</x:f>
        <x:v>-0.0272085585073627</x:v>
      </x:c>
      <x:c r="K2022" s="19" t="str">
        <x:v>Exp_7/EXP061/results/seed319922324_Full.json</x:v>
      </x:c>
    </x:row>
    <x:row r="2023" ht="15" hidden="0" customHeight="1">
      <x:c r="A2023" s="3" t="str">
        <x:v>EXP061</x:v>
      </x:c>
      <x:c r="B2023" s="3" t="str">
        <x:v>Exp. 7</x:v>
      </x:c>
      <x:c r="C2023" s="18" t="n">
        <x:v>319922324</x:v>
      </x:c>
      <x:c r="D2023" s="3" t="str">
        <x:v>Relative cutoff 1e-2</x:v>
      </x:c>
      <x:c r="E2023" s="18" t="n">
        <x:v>200</x:v>
      </x:c>
      <x:c r="F2023" s="21" t="n">
        <x:v>409.60066390607795</x:v>
      </x:c>
      <x:c r="G2023" s="21" t="n">
        <x:f>F2017</x:f>
        <x:v>407.70331955410046</x:v>
      </x:c>
      <x:c r="H2023" s="21" t="n">
        <x:f>F2022</x:f>
        <x:v>419.1066061688683</x:v>
      </x:c>
      <x:c r="I2023" s="27" t="n">
        <x:f>IF(AND(ISNUMBER(G2023),ISNUMBER(H2023),H2023&gt;0),G2023/H2023-1,"")</x:f>
        <x:v>-0.0272085585073627</x:v>
      </x:c>
      <x:c r="J2023" s="27" t="n">
        <x:f>IF(AND(ISNUMBER(G2023),F2023&gt;0),G2023/F2023-1,"")</x:f>
        <x:v>-0.004632180851182777</x:v>
      </x:c>
      <x:c r="K2023" s="19" t="str">
        <x:v>Exp_7/EXP061/results/seed319922324_Relative_cutoff_1e-2.json</x:v>
      </x:c>
    </x:row>
    <x:row r="2024" ht="15" hidden="0" customHeight="1">
      <x:c r="A2024" s="3" t="str">
        <x:v>EXP061</x:v>
      </x:c>
      <x:c r="B2024" s="3" t="str">
        <x:v>Exp. 7</x:v>
      </x:c>
      <x:c r="C2024" s="18" t="n">
        <x:v>319922324</x:v>
      </x:c>
      <x:c r="D2024" s="3" t="str">
        <x:v>Relative cutoff 1e-4</x:v>
      </x:c>
      <x:c r="E2024" s="18" t="n">
        <x:v>200</x:v>
      </x:c>
      <x:c r="F2024" s="21" t="n">
        <x:v>414.645908628763</x:v>
      </x:c>
      <x:c r="G2024" s="21" t="n">
        <x:f>F2017</x:f>
        <x:v>407.70331955410046</x:v>
      </x:c>
      <x:c r="H2024" s="21" t="n">
        <x:f>F2022</x:f>
        <x:v>419.1066061688683</x:v>
      </x:c>
      <x:c r="I2024" s="27" t="n">
        <x:f>IF(AND(ISNUMBER(G2024),ISNUMBER(H2024),H2024&gt;0),G2024/H2024-1,"")</x:f>
        <x:v>-0.0272085585073627</x:v>
      </x:c>
      <x:c r="J2024" s="27" t="n">
        <x:f>IF(AND(ISNUMBER(G2024),F2024&gt;0),G2024/F2024-1,"")</x:f>
        <x:v>-0.016743416322668403</x:v>
      </x:c>
      <x:c r="K2024" s="19" t="str">
        <x:v>Exp_7/EXP061/results/seed319922324_Relative_cutoff_1e-4.json</x:v>
      </x:c>
    </x:row>
    <x:row r="2025" ht="15" hidden="0" customHeight="1">
      <x:c r="A2025" s="3" t="str">
        <x:v>EXP061</x:v>
      </x:c>
      <x:c r="B2025" s="3" t="str">
        <x:v>Exp. 7</x:v>
      </x:c>
      <x:c r="C2025" s="18" t="n">
        <x:v>560889375</x:v>
      </x:c>
      <x:c r="D2025" s="3" t="str">
        <x:v>BBP</x:v>
      </x:c>
      <x:c r="E2025" s="18" t="n">
        <x:v>200</x:v>
      </x:c>
      <x:c r="F2025" s="21" t="n">
        <x:v>565.490876568215</x:v>
      </x:c>
      <x:c r="G2025" s="21" t="n">
        <x:f>F2025</x:f>
        <x:v>565.490876568215</x:v>
      </x:c>
      <x:c r="H2025" s="21" t="n">
        <x:f>F2030</x:f>
        <x:v>565.490876568215</x:v>
      </x:c>
      <x:c r="I2025" s="27" t="n">
        <x:f>IF(AND(ISNUMBER(G2025),ISNUMBER(H2025),H2025&gt;0),G2025/H2025-1,"")</x:f>
        <x:v>0</x:v>
      </x:c>
      <x:c r="J2025" s="27" t="n">
        <x:f>IF(AND(ISNUMBER(G2025),F2025&gt;0),G2025/F2025-1,"")</x:f>
        <x:v>0</x:v>
      </x:c>
      <x:c r="K2025" s="19" t="str">
        <x:v>Exp_7/EXP061/results/seed560889375_BBP.json</x:v>
      </x:c>
    </x:row>
    <x:row r="2026" ht="15" hidden="0" customHeight="1">
      <x:c r="A2026" s="3" t="str">
        <x:v>EXP061</x:v>
      </x:c>
      <x:c r="B2026" s="3" t="str">
        <x:v>Exp. 7</x:v>
      </x:c>
      <x:c r="C2026" s="18" t="n">
        <x:v>560889375</x:v>
      </x:c>
      <x:c r="D2026" s="3" t="str">
        <x:v>Relative cutoff 1e-5</x:v>
      </x:c>
      <x:c r="E2026" s="18" t="n">
        <x:v>200</x:v>
      </x:c>
      <x:c r="F2026" s="21" t="n">
        <x:v>565.490876568215</x:v>
      </x:c>
      <x:c r="G2026" s="21" t="n">
        <x:f>F2025</x:f>
        <x:v>565.490876568215</x:v>
      </x:c>
      <x:c r="H2026" s="21" t="n">
        <x:f>F2030</x:f>
        <x:v>565.490876568215</x:v>
      </x:c>
      <x:c r="I2026" s="27" t="n">
        <x:f>IF(AND(ISNUMBER(G2026),ISNUMBER(H2026),H2026&gt;0),G2026/H2026-1,"")</x:f>
        <x:v>0</x:v>
      </x:c>
      <x:c r="J2026" s="27" t="n">
        <x:f>IF(AND(ISNUMBER(G2026),F2026&gt;0),G2026/F2026-1,"")</x:f>
        <x:v>0</x:v>
      </x:c>
      <x:c r="K2026" s="19" t="str">
        <x:v>Exp_7/EXP061/results/seed560889375_Relative_cutoff_1e-5.json</x:v>
      </x:c>
    </x:row>
    <x:row r="2027" ht="15" hidden="0" customHeight="1">
      <x:c r="A2027" s="3" t="str">
        <x:v>EXP061</x:v>
      </x:c>
      <x:c r="B2027" s="3" t="str">
        <x:v>Exp. 7</x:v>
      </x:c>
      <x:c r="C2027" s="18" t="n">
        <x:v>560889375</x:v>
      </x:c>
      <x:c r="D2027" s="3" t="str">
        <x:v>Fixed rank 10</x:v>
      </x:c>
      <x:c r="E2027" s="18" t="n">
        <x:v>200</x:v>
      </x:c>
      <x:c r="F2027" s="21" t="n">
        <x:v>587.2738420882688</x:v>
      </x:c>
      <x:c r="G2027" s="21" t="n">
        <x:f>F2025</x:f>
        <x:v>565.490876568215</x:v>
      </x:c>
      <x:c r="H2027" s="21" t="n">
        <x:f>F2030</x:f>
        <x:v>565.490876568215</x:v>
      </x:c>
      <x:c r="I2027" s="27" t="n">
        <x:f>IF(AND(ISNUMBER(G2027),ISNUMBER(H2027),H2027&gt;0),G2027/H2027-1,"")</x:f>
        <x:v>0</x:v>
      </x:c>
      <x:c r="J2027" s="27" t="n">
        <x:f>IF(AND(ISNUMBER(G2027),F2027&gt;0),G2027/F2027-1,"")</x:f>
        <x:v>-0.0370916665428116</x:v>
      </x:c>
      <x:c r="K2027" s="19" t="str">
        <x:v>Exp_7/EXP061/results/seed560889375_Fixed_rank_10.json</x:v>
      </x:c>
    </x:row>
    <x:row r="2028" ht="15" hidden="0" customHeight="1">
      <x:c r="A2028" s="3" t="str">
        <x:v>EXP061</x:v>
      </x:c>
      <x:c r="B2028" s="3" t="str">
        <x:v>Exp. 7</x:v>
      </x:c>
      <x:c r="C2028" s="18" t="n">
        <x:v>560889375</x:v>
      </x:c>
      <x:c r="D2028" s="3" t="str">
        <x:v>Fixed rank 25</x:v>
      </x:c>
      <x:c r="E2028" s="18" t="n">
        <x:v>200</x:v>
      </x:c>
      <x:c r="F2028" s="21" t="n">
        <x:v>565.490876568215</x:v>
      </x:c>
      <x:c r="G2028" s="21" t="n">
        <x:f>F2025</x:f>
        <x:v>565.490876568215</x:v>
      </x:c>
      <x:c r="H2028" s="21" t="n">
        <x:f>F2030</x:f>
        <x:v>565.490876568215</x:v>
      </x:c>
      <x:c r="I2028" s="27" t="n">
        <x:f>IF(AND(ISNUMBER(G2028),ISNUMBER(H2028),H2028&gt;0),G2028/H2028-1,"")</x:f>
        <x:v>0</x:v>
      </x:c>
      <x:c r="J2028" s="27" t="n">
        <x:f>IF(AND(ISNUMBER(G2028),F2028&gt;0),G2028/F2028-1,"")</x:f>
        <x:v>0</x:v>
      </x:c>
      <x:c r="K2028" s="19" t="str">
        <x:v>Exp_7/EXP061/results/seed560889375_Fixed_rank_25.json</x:v>
      </x:c>
    </x:row>
    <x:row r="2029" ht="15" hidden="0" customHeight="1">
      <x:c r="A2029" s="3" t="str">
        <x:v>EXP061</x:v>
      </x:c>
      <x:c r="B2029" s="3" t="str">
        <x:v>Exp. 7</x:v>
      </x:c>
      <x:c r="C2029" s="18" t="n">
        <x:v>560889375</x:v>
      </x:c>
      <x:c r="D2029" s="3" t="str">
        <x:v>Relative cutoff 1e-6</x:v>
      </x:c>
      <x:c r="E2029" s="18" t="n">
        <x:v>200</x:v>
      </x:c>
      <x:c r="F2029" s="21" t="n">
        <x:v>565.490876568215</x:v>
      </x:c>
      <x:c r="G2029" s="21" t="n">
        <x:f>F2025</x:f>
        <x:v>565.490876568215</x:v>
      </x:c>
      <x:c r="H2029" s="21" t="n">
        <x:f>F2030</x:f>
        <x:v>565.490876568215</x:v>
      </x:c>
      <x:c r="I2029" s="27" t="n">
        <x:f>IF(AND(ISNUMBER(G2029),ISNUMBER(H2029),H2029&gt;0),G2029/H2029-1,"")</x:f>
        <x:v>0</x:v>
      </x:c>
      <x:c r="J2029" s="27" t="n">
        <x:f>IF(AND(ISNUMBER(G2029),F2029&gt;0),G2029/F2029-1,"")</x:f>
        <x:v>0</x:v>
      </x:c>
      <x:c r="K2029" s="19" t="str">
        <x:v>Exp_7/EXP061/results/seed560889375_Relative_cutoff_1e-6.json</x:v>
      </x:c>
    </x:row>
    <x:row r="2030" ht="15" hidden="0" customHeight="1">
      <x:c r="A2030" s="3" t="str">
        <x:v>EXP061</x:v>
      </x:c>
      <x:c r="B2030" s="3" t="str">
        <x:v>Exp. 7</x:v>
      </x:c>
      <x:c r="C2030" s="18" t="n">
        <x:v>560889375</x:v>
      </x:c>
      <x:c r="D2030" s="3" t="str">
        <x:v>Full</x:v>
      </x:c>
      <x:c r="E2030" s="18" t="n">
        <x:v>200</x:v>
      </x:c>
      <x:c r="F2030" s="21" t="n">
        <x:v>565.490876568215</x:v>
      </x:c>
      <x:c r="G2030" s="21" t="n">
        <x:f>F2025</x:f>
        <x:v>565.490876568215</x:v>
      </x:c>
      <x:c r="H2030" s="21" t="n">
        <x:f>F2030</x:f>
        <x:v>565.490876568215</x:v>
      </x:c>
      <x:c r="I2030" s="27" t="n">
        <x:f>IF(AND(ISNUMBER(G2030),ISNUMBER(H2030),H2030&gt;0),G2030/H2030-1,"")</x:f>
        <x:v>0</x:v>
      </x:c>
      <x:c r="J2030" s="27" t="n">
        <x:f>IF(AND(ISNUMBER(G2030),F2030&gt;0),G2030/F2030-1,"")</x:f>
        <x:v>0</x:v>
      </x:c>
      <x:c r="K2030" s="19" t="str">
        <x:v>Exp_7/EXP061/results/seed560889375_Full.json</x:v>
      </x:c>
    </x:row>
    <x:row r="2031" ht="15" hidden="0" customHeight="1">
      <x:c r="A2031" s="3" t="str">
        <x:v>EXP061</x:v>
      </x:c>
      <x:c r="B2031" s="3" t="str">
        <x:v>Exp. 7</x:v>
      </x:c>
      <x:c r="C2031" s="18" t="n">
        <x:v>560889375</x:v>
      </x:c>
      <x:c r="D2031" s="3" t="str">
        <x:v>Relative cutoff 1e-2</x:v>
      </x:c>
      <x:c r="E2031" s="18" t="n">
        <x:v>200</x:v>
      </x:c>
      <x:c r="F2031" s="21" t="n">
        <x:v>572.4853874521864</x:v>
      </x:c>
      <x:c r="G2031" s="21" t="n">
        <x:f>F2025</x:f>
        <x:v>565.490876568215</x:v>
      </x:c>
      <x:c r="H2031" s="21" t="n">
        <x:f>F2030</x:f>
        <x:v>565.490876568215</x:v>
      </x:c>
      <x:c r="I2031" s="27" t="n">
        <x:f>IF(AND(ISNUMBER(G2031),ISNUMBER(H2031),H2031&gt;0),G2031/H2031-1,"")</x:f>
        <x:v>0</x:v>
      </x:c>
      <x:c r="J2031" s="27" t="n">
        <x:f>IF(AND(ISNUMBER(G2031),F2031&gt;0),G2031/F2031-1,"")</x:f>
        <x:v>-0.012217798108524858</x:v>
      </x:c>
      <x:c r="K2031" s="19" t="str">
        <x:v>Exp_7/EXP061/results/seed560889375_Relative_cutoff_1e-2.json</x:v>
      </x:c>
    </x:row>
    <x:row r="2032" ht="15" hidden="0" customHeight="1">
      <x:c r="A2032" s="3" t="str">
        <x:v>EXP061</x:v>
      </x:c>
      <x:c r="B2032" s="3" t="str">
        <x:v>Exp. 7</x:v>
      </x:c>
      <x:c r="C2032" s="18" t="n">
        <x:v>560889375</x:v>
      </x:c>
      <x:c r="D2032" s="3" t="str">
        <x:v>Relative cutoff 1e-4</x:v>
      </x:c>
      <x:c r="E2032" s="18" t="n">
        <x:v>200</x:v>
      </x:c>
      <x:c r="F2032" s="21" t="n">
        <x:v>587.2738420882688</x:v>
      </x:c>
      <x:c r="G2032" s="21" t="n">
        <x:f>F2025</x:f>
        <x:v>565.490876568215</x:v>
      </x:c>
      <x:c r="H2032" s="21" t="n">
        <x:f>F2030</x:f>
        <x:v>565.490876568215</x:v>
      </x:c>
      <x:c r="I2032" s="27" t="n">
        <x:f>IF(AND(ISNUMBER(G2032),ISNUMBER(H2032),H2032&gt;0),G2032/H2032-1,"")</x:f>
        <x:v>0</x:v>
      </x:c>
      <x:c r="J2032" s="27" t="n">
        <x:f>IF(AND(ISNUMBER(G2032),F2032&gt;0),G2032/F2032-1,"")</x:f>
        <x:v>-0.0370916665428116</x:v>
      </x:c>
      <x:c r="K2032" s="19" t="str">
        <x:v>Exp_7/EXP061/results/seed560889375_Relative_cutoff_1e-4.json</x:v>
      </x:c>
    </x:row>
    <x:row r="2033" ht="15" hidden="0" customHeight="1">
      <x:c r="A2033" s="3" t="str">
        <x:v>EXP061</x:v>
      </x:c>
      <x:c r="B2033" s="3" t="str">
        <x:v>Exp. 7</x:v>
      </x:c>
      <x:c r="C2033" s="18" t="n">
        <x:v>666829030</x:v>
      </x:c>
      <x:c r="D2033" s="3" t="str">
        <x:v>BBP</x:v>
      </x:c>
      <x:c r="E2033" s="18" t="n">
        <x:v>200</x:v>
      </x:c>
      <x:c r="F2033" s="21" t="n">
        <x:v>507.2413511792851</x:v>
      </x:c>
      <x:c r="G2033" s="21" t="n">
        <x:f>F2033</x:f>
        <x:v>507.2413511792851</x:v>
      </x:c>
      <x:c r="H2033" s="21" t="n">
        <x:f>F2038</x:f>
        <x:v>507.2413511792851</x:v>
      </x:c>
      <x:c r="I2033" s="27" t="n">
        <x:f>IF(AND(ISNUMBER(G2033),ISNUMBER(H2033),H2033&gt;0),G2033/H2033-1,"")</x:f>
        <x:v>0</x:v>
      </x:c>
      <x:c r="J2033" s="27" t="n">
        <x:f>IF(AND(ISNUMBER(G2033),F2033&gt;0),G2033/F2033-1,"")</x:f>
        <x:v>0</x:v>
      </x:c>
      <x:c r="K2033" s="19" t="str">
        <x:v>Exp_7/EXP061/results/seed666829030_BBP.json</x:v>
      </x:c>
    </x:row>
    <x:row r="2034" ht="15" hidden="0" customHeight="1">
      <x:c r="A2034" s="3" t="str">
        <x:v>EXP061</x:v>
      </x:c>
      <x:c r="B2034" s="3" t="str">
        <x:v>Exp. 7</x:v>
      </x:c>
      <x:c r="C2034" s="18" t="n">
        <x:v>666829030</x:v>
      </x:c>
      <x:c r="D2034" s="3" t="str">
        <x:v>Relative cutoff 1e-5</x:v>
      </x:c>
      <x:c r="E2034" s="18" t="n">
        <x:v>200</x:v>
      </x:c>
      <x:c r="F2034" s="21" t="n">
        <x:v>507.2413511792851</x:v>
      </x:c>
      <x:c r="G2034" s="21" t="n">
        <x:f>F2033</x:f>
        <x:v>507.2413511792851</x:v>
      </x:c>
      <x:c r="H2034" s="21" t="n">
        <x:f>F2038</x:f>
        <x:v>507.2413511792851</x:v>
      </x:c>
      <x:c r="I2034" s="27" t="n">
        <x:f>IF(AND(ISNUMBER(G2034),ISNUMBER(H2034),H2034&gt;0),G2034/H2034-1,"")</x:f>
        <x:v>0</x:v>
      </x:c>
      <x:c r="J2034" s="27" t="n">
        <x:f>IF(AND(ISNUMBER(G2034),F2034&gt;0),G2034/F2034-1,"")</x:f>
        <x:v>0</x:v>
      </x:c>
      <x:c r="K2034" s="19" t="str">
        <x:v>Exp_7/EXP061/results/seed666829030_Relative_cutoff_1e-5.json</x:v>
      </x:c>
    </x:row>
    <x:row r="2035" ht="15" hidden="0" customHeight="1">
      <x:c r="A2035" s="3" t="str">
        <x:v>EXP061</x:v>
      </x:c>
      <x:c r="B2035" s="3" t="str">
        <x:v>Exp. 7</x:v>
      </x:c>
      <x:c r="C2035" s="18" t="n">
        <x:v>666829030</x:v>
      </x:c>
      <x:c r="D2035" s="3" t="str">
        <x:v>Fixed rank 10</x:v>
      </x:c>
      <x:c r="E2035" s="18" t="n">
        <x:v>200</x:v>
      </x:c>
      <x:c r="F2035" s="21" t="n">
        <x:v>536.9704540318467</x:v>
      </x:c>
      <x:c r="G2035" s="21" t="n">
        <x:f>F2033</x:f>
        <x:v>507.2413511792851</x:v>
      </x:c>
      <x:c r="H2035" s="21" t="n">
        <x:f>F2038</x:f>
        <x:v>507.2413511792851</x:v>
      </x:c>
      <x:c r="I2035" s="27" t="n">
        <x:f>IF(AND(ISNUMBER(G2035),ISNUMBER(H2035),H2035&gt;0),G2035/H2035-1,"")</x:f>
        <x:v>0</x:v>
      </x:c>
      <x:c r="J2035" s="27" t="n">
        <x:f>IF(AND(ISNUMBER(G2035),F2035&gt;0),G2035/F2035-1,"")</x:f>
        <x:v>-0.05536450400453197</x:v>
      </x:c>
      <x:c r="K2035" s="19" t="str">
        <x:v>Exp_7/EXP061/results/seed666829030_Fixed_rank_10.json</x:v>
      </x:c>
    </x:row>
    <x:row r="2036" ht="15" hidden="0" customHeight="1">
      <x:c r="A2036" s="3" t="str">
        <x:v>EXP061</x:v>
      </x:c>
      <x:c r="B2036" s="3" t="str">
        <x:v>Exp. 7</x:v>
      </x:c>
      <x:c r="C2036" s="18" t="n">
        <x:v>666829030</x:v>
      </x:c>
      <x:c r="D2036" s="3" t="str">
        <x:v>Fixed rank 25</x:v>
      </x:c>
      <x:c r="E2036" s="18" t="n">
        <x:v>200</x:v>
      </x:c>
      <x:c r="F2036" s="21" t="n">
        <x:v>507.2413511792851</x:v>
      </x:c>
      <x:c r="G2036" s="21" t="n">
        <x:f>F2033</x:f>
        <x:v>507.2413511792851</x:v>
      </x:c>
      <x:c r="H2036" s="21" t="n">
        <x:f>F2038</x:f>
        <x:v>507.2413511792851</x:v>
      </x:c>
      <x:c r="I2036" s="27" t="n">
        <x:f>IF(AND(ISNUMBER(G2036),ISNUMBER(H2036),H2036&gt;0),G2036/H2036-1,"")</x:f>
        <x:v>0</x:v>
      </x:c>
      <x:c r="J2036" s="27" t="n">
        <x:f>IF(AND(ISNUMBER(G2036),F2036&gt;0),G2036/F2036-1,"")</x:f>
        <x:v>0</x:v>
      </x:c>
      <x:c r="K2036" s="19" t="str">
        <x:v>Exp_7/EXP061/results/seed666829030_Fixed_rank_25.json</x:v>
      </x:c>
    </x:row>
    <x:row r="2037" ht="15" hidden="0" customHeight="1">
      <x:c r="A2037" s="3" t="str">
        <x:v>EXP061</x:v>
      </x:c>
      <x:c r="B2037" s="3" t="str">
        <x:v>Exp. 7</x:v>
      </x:c>
      <x:c r="C2037" s="18" t="n">
        <x:v>666829030</x:v>
      </x:c>
      <x:c r="D2037" s="3" t="str">
        <x:v>Relative cutoff 1e-6</x:v>
      </x:c>
      <x:c r="E2037" s="18" t="n">
        <x:v>200</x:v>
      </x:c>
      <x:c r="F2037" s="21" t="n">
        <x:v>507.2413511792851</x:v>
      </x:c>
      <x:c r="G2037" s="21" t="n">
        <x:f>F2033</x:f>
        <x:v>507.2413511792851</x:v>
      </x:c>
      <x:c r="H2037" s="21" t="n">
        <x:f>F2038</x:f>
        <x:v>507.2413511792851</x:v>
      </x:c>
      <x:c r="I2037" s="27" t="n">
        <x:f>IF(AND(ISNUMBER(G2037),ISNUMBER(H2037),H2037&gt;0),G2037/H2037-1,"")</x:f>
        <x:v>0</x:v>
      </x:c>
      <x:c r="J2037" s="27" t="n">
        <x:f>IF(AND(ISNUMBER(G2037),F2037&gt;0),G2037/F2037-1,"")</x:f>
        <x:v>0</x:v>
      </x:c>
      <x:c r="K2037" s="19" t="str">
        <x:v>Exp_7/EXP061/results/seed666829030_Relative_cutoff_1e-6.json</x:v>
      </x:c>
    </x:row>
    <x:row r="2038" ht="15" hidden="0" customHeight="1">
      <x:c r="A2038" s="3" t="str">
        <x:v>EXP061</x:v>
      </x:c>
      <x:c r="B2038" s="3" t="str">
        <x:v>Exp. 7</x:v>
      </x:c>
      <x:c r="C2038" s="18" t="n">
        <x:v>666829030</x:v>
      </x:c>
      <x:c r="D2038" s="3" t="str">
        <x:v>Full</x:v>
      </x:c>
      <x:c r="E2038" s="18" t="n">
        <x:v>200</x:v>
      </x:c>
      <x:c r="F2038" s="21" t="n">
        <x:v>507.2413511792851</x:v>
      </x:c>
      <x:c r="G2038" s="21" t="n">
        <x:f>F2033</x:f>
        <x:v>507.2413511792851</x:v>
      </x:c>
      <x:c r="H2038" s="21" t="n">
        <x:f>F2038</x:f>
        <x:v>507.2413511792851</x:v>
      </x:c>
      <x:c r="I2038" s="27" t="n">
        <x:f>IF(AND(ISNUMBER(G2038),ISNUMBER(H2038),H2038&gt;0),G2038/H2038-1,"")</x:f>
        <x:v>0</x:v>
      </x:c>
      <x:c r="J2038" s="27" t="n">
        <x:f>IF(AND(ISNUMBER(G2038),F2038&gt;0),G2038/F2038-1,"")</x:f>
        <x:v>0</x:v>
      </x:c>
      <x:c r="K2038" s="19" t="str">
        <x:v>Exp_7/EXP061/results/seed666829030_Full.json</x:v>
      </x:c>
    </x:row>
    <x:row r="2039" ht="15" hidden="0" customHeight="1">
      <x:c r="A2039" s="3" t="str">
        <x:v>EXP061</x:v>
      </x:c>
      <x:c r="B2039" s="3" t="str">
        <x:v>Exp. 7</x:v>
      </x:c>
      <x:c r="C2039" s="18" t="n">
        <x:v>666829030</x:v>
      </x:c>
      <x:c r="D2039" s="3" t="str">
        <x:v>Relative cutoff 1e-2</x:v>
      </x:c>
      <x:c r="E2039" s="18" t="n">
        <x:v>200</x:v>
      </x:c>
      <x:c r="F2039" s="21" t="n">
        <x:v>520.6952091834044</x:v>
      </x:c>
      <x:c r="G2039" s="21" t="n">
        <x:f>F2033</x:f>
        <x:v>507.2413511792851</x:v>
      </x:c>
      <x:c r="H2039" s="21" t="n">
        <x:f>F2038</x:f>
        <x:v>507.2413511792851</x:v>
      </x:c>
      <x:c r="I2039" s="27" t="n">
        <x:f>IF(AND(ISNUMBER(G2039),ISNUMBER(H2039),H2039&gt;0),G2039/H2039-1,"")</x:f>
        <x:v>0</x:v>
      </x:c>
      <x:c r="J2039" s="27" t="n">
        <x:f>IF(AND(ISNUMBER(G2039),F2039&gt;0),G2039/F2039-1,"")</x:f>
        <x:v>-0.025838259632191884</x:v>
      </x:c>
      <x:c r="K2039" s="19" t="str">
        <x:v>Exp_7/EXP061/results/seed666829030_Relative_cutoff_1e-2.json</x:v>
      </x:c>
    </x:row>
    <x:row r="2040" ht="15" hidden="0" customHeight="1">
      <x:c r="A2040" s="3" t="str">
        <x:v>EXP061</x:v>
      </x:c>
      <x:c r="B2040" s="3" t="str">
        <x:v>Exp. 7</x:v>
      </x:c>
      <x:c r="C2040" s="18" t="n">
        <x:v>666829030</x:v>
      </x:c>
      <x:c r="D2040" s="3" t="str">
        <x:v>Relative cutoff 1e-4</x:v>
      </x:c>
      <x:c r="E2040" s="18" t="n">
        <x:v>200</x:v>
      </x:c>
      <x:c r="F2040" s="21" t="n">
        <x:v>510.09843948722903</x:v>
      </x:c>
      <x:c r="G2040" s="21" t="n">
        <x:f>F2033</x:f>
        <x:v>507.2413511792851</x:v>
      </x:c>
      <x:c r="H2040" s="21" t="n">
        <x:f>F2038</x:f>
        <x:v>507.2413511792851</x:v>
      </x:c>
      <x:c r="I2040" s="27" t="n">
        <x:f>IF(AND(ISNUMBER(G2040),ISNUMBER(H2040),H2040&gt;0),G2040/H2040-1,"")</x:f>
        <x:v>0</x:v>
      </x:c>
      <x:c r="J2040" s="27" t="n">
        <x:f>IF(AND(ISNUMBER(G2040),F2040&gt;0),G2040/F2040-1,"")</x:f>
        <x:v>-0.005601052829755648</x:v>
      </x:c>
      <x:c r="K2040" s="19" t="str">
        <x:v>Exp_7/EXP061/results/seed666829030_Relative_cutoff_1e-4.json</x:v>
      </x:c>
    </x:row>
    <x:row r="2041" ht="15" hidden="0" customHeight="1">
      <x:c r="A2041" s="3" t="str">
        <x:v>EXP061</x:v>
      </x:c>
      <x:c r="B2041" s="3" t="str">
        <x:v>Exp. 7</x:v>
      </x:c>
      <x:c r="C2041" s="18" t="n">
        <x:v>806884711</x:v>
      </x:c>
      <x:c r="D2041" s="3" t="str">
        <x:v>BBP</x:v>
      </x:c>
      <x:c r="E2041" s="18" t="n">
        <x:v>200</x:v>
      </x:c>
      <x:c r="F2041" s="21" t="n">
        <x:v>507.14980350900305</x:v>
      </x:c>
      <x:c r="G2041" s="21" t="n">
        <x:f>F2041</x:f>
        <x:v>507.14980350900305</x:v>
      </x:c>
      <x:c r="H2041" s="21" t="n">
        <x:f>F2046</x:f>
        <x:v>507.14980350900305</x:v>
      </x:c>
      <x:c r="I2041" s="27" t="n">
        <x:f>IF(AND(ISNUMBER(G2041),ISNUMBER(H2041),H2041&gt;0),G2041/H2041-1,"")</x:f>
        <x:v>0</x:v>
      </x:c>
      <x:c r="J2041" s="27" t="n">
        <x:f>IF(AND(ISNUMBER(G2041),F2041&gt;0),G2041/F2041-1,"")</x:f>
        <x:v>0</x:v>
      </x:c>
      <x:c r="K2041" s="19" t="str">
        <x:v>Exp_7/EXP061/results/seed806884711_BBP.json</x:v>
      </x:c>
    </x:row>
    <x:row r="2042" ht="15" hidden="0" customHeight="1">
      <x:c r="A2042" s="3" t="str">
        <x:v>EXP061</x:v>
      </x:c>
      <x:c r="B2042" s="3" t="str">
        <x:v>Exp. 7</x:v>
      </x:c>
      <x:c r="C2042" s="18" t="n">
        <x:v>806884711</x:v>
      </x:c>
      <x:c r="D2042" s="3" t="str">
        <x:v>Relative cutoff 1e-5</x:v>
      </x:c>
      <x:c r="E2042" s="18" t="n">
        <x:v>200</x:v>
      </x:c>
      <x:c r="F2042" s="21" t="n">
        <x:v>507.14980350900305</x:v>
      </x:c>
      <x:c r="G2042" s="21" t="n">
        <x:f>F2041</x:f>
        <x:v>507.14980350900305</x:v>
      </x:c>
      <x:c r="H2042" s="21" t="n">
        <x:f>F2046</x:f>
        <x:v>507.14980350900305</x:v>
      </x:c>
      <x:c r="I2042" s="27" t="n">
        <x:f>IF(AND(ISNUMBER(G2042),ISNUMBER(H2042),H2042&gt;0),G2042/H2042-1,"")</x:f>
        <x:v>0</x:v>
      </x:c>
      <x:c r="J2042" s="27" t="n">
        <x:f>IF(AND(ISNUMBER(G2042),F2042&gt;0),G2042/F2042-1,"")</x:f>
        <x:v>0</x:v>
      </x:c>
      <x:c r="K2042" s="19" t="str">
        <x:v>Exp_7/EXP061/results/seed806884711_Relative_cutoff_1e-5.json</x:v>
      </x:c>
    </x:row>
    <x:row r="2043" ht="15" hidden="0" customHeight="1">
      <x:c r="A2043" s="3" t="str">
        <x:v>EXP061</x:v>
      </x:c>
      <x:c r="B2043" s="3" t="str">
        <x:v>Exp. 7</x:v>
      </x:c>
      <x:c r="C2043" s="18" t="n">
        <x:v>806884711</x:v>
      </x:c>
      <x:c r="D2043" s="3" t="str">
        <x:v>Fixed rank 10</x:v>
      </x:c>
      <x:c r="E2043" s="18" t="n">
        <x:v>200</x:v>
      </x:c>
      <x:c r="F2043" s="21" t="n">
        <x:v>502.46124209927376</x:v>
      </x:c>
      <x:c r="G2043" s="21" t="n">
        <x:f>F2041</x:f>
        <x:v>507.14980350900305</x:v>
      </x:c>
      <x:c r="H2043" s="21" t="n">
        <x:f>F2046</x:f>
        <x:v>507.14980350900305</x:v>
      </x:c>
      <x:c r="I2043" s="27" t="n">
        <x:f>IF(AND(ISNUMBER(G2043),ISNUMBER(H2043),H2043&gt;0),G2043/H2043-1,"")</x:f>
        <x:v>0</x:v>
      </x:c>
      <x:c r="J2043" s="27" t="n">
        <x:f>IF(AND(ISNUMBER(G2043),F2043&gt;0),G2043/F2043-1,"")</x:f>
        <x:v>0.009331190183228033</x:v>
      </x:c>
      <x:c r="K2043" s="19" t="str">
        <x:v>Exp_7/EXP061/results/seed806884711_Fixed_rank_10.json</x:v>
      </x:c>
    </x:row>
    <x:row r="2044" ht="15" hidden="0" customHeight="1">
      <x:c r="A2044" s="3" t="str">
        <x:v>EXP061</x:v>
      </x:c>
      <x:c r="B2044" s="3" t="str">
        <x:v>Exp. 7</x:v>
      </x:c>
      <x:c r="C2044" s="18" t="n">
        <x:v>806884711</x:v>
      </x:c>
      <x:c r="D2044" s="3" t="str">
        <x:v>Fixed rank 25</x:v>
      </x:c>
      <x:c r="E2044" s="18" t="n">
        <x:v>200</x:v>
      </x:c>
      <x:c r="F2044" s="21" t="n">
        <x:v>507.14980350900305</x:v>
      </x:c>
      <x:c r="G2044" s="21" t="n">
        <x:f>F2041</x:f>
        <x:v>507.14980350900305</x:v>
      </x:c>
      <x:c r="H2044" s="21" t="n">
        <x:f>F2046</x:f>
        <x:v>507.14980350900305</x:v>
      </x:c>
      <x:c r="I2044" s="27" t="n">
        <x:f>IF(AND(ISNUMBER(G2044),ISNUMBER(H2044),H2044&gt;0),G2044/H2044-1,"")</x:f>
        <x:v>0</x:v>
      </x:c>
      <x:c r="J2044" s="27" t="n">
        <x:f>IF(AND(ISNUMBER(G2044),F2044&gt;0),G2044/F2044-1,"")</x:f>
        <x:v>0</x:v>
      </x:c>
      <x:c r="K2044" s="19" t="str">
        <x:v>Exp_7/EXP061/results/seed806884711_Fixed_rank_25.json</x:v>
      </x:c>
    </x:row>
    <x:row r="2045" ht="15" hidden="0" customHeight="1">
      <x:c r="A2045" s="3" t="str">
        <x:v>EXP061</x:v>
      </x:c>
      <x:c r="B2045" s="3" t="str">
        <x:v>Exp. 7</x:v>
      </x:c>
      <x:c r="C2045" s="18" t="n">
        <x:v>806884711</x:v>
      </x:c>
      <x:c r="D2045" s="3" t="str">
        <x:v>Relative cutoff 1e-6</x:v>
      </x:c>
      <x:c r="E2045" s="18" t="n">
        <x:v>200</x:v>
      </x:c>
      <x:c r="F2045" s="21" t="n">
        <x:v>507.14980350900305</x:v>
      </x:c>
      <x:c r="G2045" s="21" t="n">
        <x:f>F2041</x:f>
        <x:v>507.14980350900305</x:v>
      </x:c>
      <x:c r="H2045" s="21" t="n">
        <x:f>F2046</x:f>
        <x:v>507.14980350900305</x:v>
      </x:c>
      <x:c r="I2045" s="27" t="n">
        <x:f>IF(AND(ISNUMBER(G2045),ISNUMBER(H2045),H2045&gt;0),G2045/H2045-1,"")</x:f>
        <x:v>0</x:v>
      </x:c>
      <x:c r="J2045" s="27" t="n">
        <x:f>IF(AND(ISNUMBER(G2045),F2045&gt;0),G2045/F2045-1,"")</x:f>
        <x:v>0</x:v>
      </x:c>
      <x:c r="K2045" s="19" t="str">
        <x:v>Exp_7/EXP061/results/seed806884711_Relative_cutoff_1e-6.json</x:v>
      </x:c>
    </x:row>
    <x:row r="2046" ht="15" hidden="0" customHeight="1">
      <x:c r="A2046" s="3" t="str">
        <x:v>EXP061</x:v>
      </x:c>
      <x:c r="B2046" s="3" t="str">
        <x:v>Exp. 7</x:v>
      </x:c>
      <x:c r="C2046" s="18" t="n">
        <x:v>806884711</x:v>
      </x:c>
      <x:c r="D2046" s="3" t="str">
        <x:v>Full</x:v>
      </x:c>
      <x:c r="E2046" s="18" t="n">
        <x:v>200</x:v>
      </x:c>
      <x:c r="F2046" s="21" t="n">
        <x:v>507.14980350900305</x:v>
      </x:c>
      <x:c r="G2046" s="21" t="n">
        <x:f>F2041</x:f>
        <x:v>507.14980350900305</x:v>
      </x:c>
      <x:c r="H2046" s="21" t="n">
        <x:f>F2046</x:f>
        <x:v>507.14980350900305</x:v>
      </x:c>
      <x:c r="I2046" s="27" t="n">
        <x:f>IF(AND(ISNUMBER(G2046),ISNUMBER(H2046),H2046&gt;0),G2046/H2046-1,"")</x:f>
        <x:v>0</x:v>
      </x:c>
      <x:c r="J2046" s="27" t="n">
        <x:f>IF(AND(ISNUMBER(G2046),F2046&gt;0),G2046/F2046-1,"")</x:f>
        <x:v>0</x:v>
      </x:c>
      <x:c r="K2046" s="19" t="str">
        <x:v>Exp_7/EXP061/results/seed806884711_Full.json</x:v>
      </x:c>
    </x:row>
    <x:row r="2047" ht="15" hidden="0" customHeight="1">
      <x:c r="A2047" s="3" t="str">
        <x:v>EXP061</x:v>
      </x:c>
      <x:c r="B2047" s="3" t="str">
        <x:v>Exp. 7</x:v>
      </x:c>
      <x:c r="C2047" s="18" t="n">
        <x:v>806884711</x:v>
      </x:c>
      <x:c r="D2047" s="3" t="str">
        <x:v>Relative cutoff 1e-2</x:v>
      </x:c>
      <x:c r="E2047" s="18" t="n">
        <x:v>200</x:v>
      </x:c>
      <x:c r="F2047" s="21" t="n">
        <x:v>505.7115181127784</x:v>
      </x:c>
      <x:c r="G2047" s="21" t="n">
        <x:f>F2041</x:f>
        <x:v>507.14980350900305</x:v>
      </x:c>
      <x:c r="H2047" s="21" t="n">
        <x:f>F2046</x:f>
        <x:v>507.14980350900305</x:v>
      </x:c>
      <x:c r="I2047" s="27" t="n">
        <x:f>IF(AND(ISNUMBER(G2047),ISNUMBER(H2047),H2047&gt;0),G2047/H2047-1,"")</x:f>
        <x:v>0</x:v>
      </x:c>
      <x:c r="J2047" s="27" t="n">
        <x:f>IF(AND(ISNUMBER(G2047),F2047&gt;0),G2047/F2047-1,"")</x:f>
        <x:v>0.0028440827323690243</x:v>
      </x:c>
      <x:c r="K2047" s="19" t="str">
        <x:v>Exp_7/EXP061/results/seed806884711_Relative_cutoff_1e-2.json</x:v>
      </x:c>
    </x:row>
    <x:row r="2048" ht="15" hidden="0" customHeight="1">
      <x:c r="A2048" s="3" t="str">
        <x:v>EXP061</x:v>
      </x:c>
      <x:c r="B2048" s="3" t="str">
        <x:v>Exp. 7</x:v>
      </x:c>
      <x:c r="C2048" s="18" t="n">
        <x:v>806884711</x:v>
      </x:c>
      <x:c r="D2048" s="3" t="str">
        <x:v>Relative cutoff 1e-4</x:v>
      </x:c>
      <x:c r="E2048" s="18" t="n">
        <x:v>200</x:v>
      </x:c>
      <x:c r="F2048" s="21" t="n">
        <x:v>502.46124209927376</x:v>
      </x:c>
      <x:c r="G2048" s="21" t="n">
        <x:f>F2041</x:f>
        <x:v>507.14980350900305</x:v>
      </x:c>
      <x:c r="H2048" s="21" t="n">
        <x:f>F2046</x:f>
        <x:v>507.14980350900305</x:v>
      </x:c>
      <x:c r="I2048" s="27" t="n">
        <x:f>IF(AND(ISNUMBER(G2048),ISNUMBER(H2048),H2048&gt;0),G2048/H2048-1,"")</x:f>
        <x:v>0</x:v>
      </x:c>
      <x:c r="J2048" s="27" t="n">
        <x:f>IF(AND(ISNUMBER(G2048),F2048&gt;0),G2048/F2048-1,"")</x:f>
        <x:v>0.009331190183228033</x:v>
      </x:c>
      <x:c r="K2048" s="19" t="str">
        <x:v>Exp_7/EXP061/results/seed806884711_Relative_cutoff_1e-4.json</x:v>
      </x:c>
    </x:row>
    <x:row r="2049" ht="15" hidden="0" customHeight="1">
      <x:c r="A2049" s="3" t="str">
        <x:v>EXP061</x:v>
      </x:c>
      <x:c r="B2049" s="3" t="str">
        <x:v>Exp. 7</x:v>
      </x:c>
      <x:c r="C2049" s="18" t="n">
        <x:v>954779777</x:v>
      </x:c>
      <x:c r="D2049" s="3" t="str">
        <x:v>BBP</x:v>
      </x:c>
      <x:c r="E2049" s="18" t="n">
        <x:v>200</x:v>
      </x:c>
      <x:c r="F2049" s="21" t="n">
        <x:v>457.0522273146699</x:v>
      </x:c>
      <x:c r="G2049" s="21" t="n">
        <x:f>F2049</x:f>
        <x:v>457.0522273146699</x:v>
      </x:c>
      <x:c r="H2049" s="21" t="n">
        <x:f>F2054</x:f>
        <x:v>457.0522273146699</x:v>
      </x:c>
      <x:c r="I2049" s="27" t="n">
        <x:f>IF(AND(ISNUMBER(G2049),ISNUMBER(H2049),H2049&gt;0),G2049/H2049-1,"")</x:f>
        <x:v>0</x:v>
      </x:c>
      <x:c r="J2049" s="27" t="n">
        <x:f>IF(AND(ISNUMBER(G2049),F2049&gt;0),G2049/F2049-1,"")</x:f>
        <x:v>0</x:v>
      </x:c>
      <x:c r="K2049" s="19" t="str">
        <x:v>Exp_7/EXP061/results/seed954779777_BBP.json</x:v>
      </x:c>
    </x:row>
    <x:row r="2050" ht="15" hidden="0" customHeight="1">
      <x:c r="A2050" s="3" t="str">
        <x:v>EXP061</x:v>
      </x:c>
      <x:c r="B2050" s="3" t="str">
        <x:v>Exp. 7</x:v>
      </x:c>
      <x:c r="C2050" s="18" t="n">
        <x:v>954779777</x:v>
      </x:c>
      <x:c r="D2050" s="3" t="str">
        <x:v>Relative cutoff 1e-5</x:v>
      </x:c>
      <x:c r="E2050" s="18" t="n">
        <x:v>200</x:v>
      </x:c>
      <x:c r="F2050" s="21" t="n">
        <x:v>457.0522273146699</x:v>
      </x:c>
      <x:c r="G2050" s="21" t="n">
        <x:f>F2049</x:f>
        <x:v>457.0522273146699</x:v>
      </x:c>
      <x:c r="H2050" s="21" t="n">
        <x:f>F2054</x:f>
        <x:v>457.0522273146699</x:v>
      </x:c>
      <x:c r="I2050" s="27" t="n">
        <x:f>IF(AND(ISNUMBER(G2050),ISNUMBER(H2050),H2050&gt;0),G2050/H2050-1,"")</x:f>
        <x:v>0</x:v>
      </x:c>
      <x:c r="J2050" s="27" t="n">
        <x:f>IF(AND(ISNUMBER(G2050),F2050&gt;0),G2050/F2050-1,"")</x:f>
        <x:v>0</x:v>
      </x:c>
      <x:c r="K2050" s="19" t="str">
        <x:v>Exp_7/EXP061/results/seed954779777_Relative_cutoff_1e-5.json</x:v>
      </x:c>
    </x:row>
    <x:row r="2051" ht="15" hidden="0" customHeight="1">
      <x:c r="A2051" s="3" t="str">
        <x:v>EXP061</x:v>
      </x:c>
      <x:c r="B2051" s="3" t="str">
        <x:v>Exp. 7</x:v>
      </x:c>
      <x:c r="C2051" s="18" t="n">
        <x:v>954779777</x:v>
      </x:c>
      <x:c r="D2051" s="3" t="str">
        <x:v>Fixed rank 10</x:v>
      </x:c>
      <x:c r="E2051" s="18" t="n">
        <x:v>200</x:v>
      </x:c>
      <x:c r="F2051" s="21" t="n">
        <x:v>472.30788419166686</x:v>
      </x:c>
      <x:c r="G2051" s="21" t="n">
        <x:f>F2049</x:f>
        <x:v>457.0522273146699</x:v>
      </x:c>
      <x:c r="H2051" s="21" t="n">
        <x:f>F2054</x:f>
        <x:v>457.0522273146699</x:v>
      </x:c>
      <x:c r="I2051" s="27" t="n">
        <x:f>IF(AND(ISNUMBER(G2051),ISNUMBER(H2051),H2051&gt;0),G2051/H2051-1,"")</x:f>
        <x:v>0</x:v>
      </x:c>
      <x:c r="J2051" s="27" t="n">
        <x:f>IF(AND(ISNUMBER(G2051),F2051&gt;0),G2051/F2051-1,"")</x:f>
        <x:v>-0.032300237594183545</x:v>
      </x:c>
      <x:c r="K2051" s="19" t="str">
        <x:v>Exp_7/EXP061/results/seed954779777_Fixed_rank_10.json</x:v>
      </x:c>
    </x:row>
    <x:row r="2052" ht="15" hidden="0" customHeight="1">
      <x:c r="A2052" s="3" t="str">
        <x:v>EXP061</x:v>
      </x:c>
      <x:c r="B2052" s="3" t="str">
        <x:v>Exp. 7</x:v>
      </x:c>
      <x:c r="C2052" s="18" t="n">
        <x:v>954779777</x:v>
      </x:c>
      <x:c r="D2052" s="3" t="str">
        <x:v>Fixed rank 25</x:v>
      </x:c>
      <x:c r="E2052" s="18" t="n">
        <x:v>200</x:v>
      </x:c>
      <x:c r="F2052" s="21" t="n">
        <x:v>457.0522273146699</x:v>
      </x:c>
      <x:c r="G2052" s="21" t="n">
        <x:f>F2049</x:f>
        <x:v>457.0522273146699</x:v>
      </x:c>
      <x:c r="H2052" s="21" t="n">
        <x:f>F2054</x:f>
        <x:v>457.0522273146699</x:v>
      </x:c>
      <x:c r="I2052" s="27" t="n">
        <x:f>IF(AND(ISNUMBER(G2052),ISNUMBER(H2052),H2052&gt;0),G2052/H2052-1,"")</x:f>
        <x:v>0</x:v>
      </x:c>
      <x:c r="J2052" s="27" t="n">
        <x:f>IF(AND(ISNUMBER(G2052),F2052&gt;0),G2052/F2052-1,"")</x:f>
        <x:v>0</x:v>
      </x:c>
      <x:c r="K2052" s="19" t="str">
        <x:v>Exp_7/EXP061/results/seed954779777_Fixed_rank_25.json</x:v>
      </x:c>
    </x:row>
    <x:row r="2053" ht="15" hidden="0" customHeight="1">
      <x:c r="A2053" s="3" t="str">
        <x:v>EXP061</x:v>
      </x:c>
      <x:c r="B2053" s="3" t="str">
        <x:v>Exp. 7</x:v>
      </x:c>
      <x:c r="C2053" s="18" t="n">
        <x:v>954779777</x:v>
      </x:c>
      <x:c r="D2053" s="3" t="str">
        <x:v>Relative cutoff 1e-6</x:v>
      </x:c>
      <x:c r="E2053" s="18" t="n">
        <x:v>200</x:v>
      </x:c>
      <x:c r="F2053" s="21" t="n">
        <x:v>457.0522273146699</x:v>
      </x:c>
      <x:c r="G2053" s="21" t="n">
        <x:f>F2049</x:f>
        <x:v>457.0522273146699</x:v>
      </x:c>
      <x:c r="H2053" s="21" t="n">
        <x:f>F2054</x:f>
        <x:v>457.0522273146699</x:v>
      </x:c>
      <x:c r="I2053" s="27" t="n">
        <x:f>IF(AND(ISNUMBER(G2053),ISNUMBER(H2053),H2053&gt;0),G2053/H2053-1,"")</x:f>
        <x:v>0</x:v>
      </x:c>
      <x:c r="J2053" s="27" t="n">
        <x:f>IF(AND(ISNUMBER(G2053),F2053&gt;0),G2053/F2053-1,"")</x:f>
        <x:v>0</x:v>
      </x:c>
      <x:c r="K2053" s="19" t="str">
        <x:v>Exp_7/EXP061/results/seed954779777_Relative_cutoff_1e-6.json</x:v>
      </x:c>
    </x:row>
    <x:row r="2054" ht="15" hidden="0" customHeight="1">
      <x:c r="A2054" s="3" t="str">
        <x:v>EXP061</x:v>
      </x:c>
      <x:c r="B2054" s="3" t="str">
        <x:v>Exp. 7</x:v>
      </x:c>
      <x:c r="C2054" s="18" t="n">
        <x:v>954779777</x:v>
      </x:c>
      <x:c r="D2054" s="3" t="str">
        <x:v>Full</x:v>
      </x:c>
      <x:c r="E2054" s="18" t="n">
        <x:v>200</x:v>
      </x:c>
      <x:c r="F2054" s="21" t="n">
        <x:v>457.0522273146699</x:v>
      </x:c>
      <x:c r="G2054" s="21" t="n">
        <x:f>F2049</x:f>
        <x:v>457.0522273146699</x:v>
      </x:c>
      <x:c r="H2054" s="21" t="n">
        <x:f>F2054</x:f>
        <x:v>457.0522273146699</x:v>
      </x:c>
      <x:c r="I2054" s="27" t="n">
        <x:f>IF(AND(ISNUMBER(G2054),ISNUMBER(H2054),H2054&gt;0),G2054/H2054-1,"")</x:f>
        <x:v>0</x:v>
      </x:c>
      <x:c r="J2054" s="27" t="n">
        <x:f>IF(AND(ISNUMBER(G2054),F2054&gt;0),G2054/F2054-1,"")</x:f>
        <x:v>0</x:v>
      </x:c>
      <x:c r="K2054" s="19" t="str">
        <x:v>Exp_7/EXP061/results/seed954779777_Full.json</x:v>
      </x:c>
    </x:row>
    <x:row r="2055" ht="15" hidden="0" customHeight="1">
      <x:c r="A2055" s="3" t="str">
        <x:v>EXP061</x:v>
      </x:c>
      <x:c r="B2055" s="3" t="str">
        <x:v>Exp. 7</x:v>
      </x:c>
      <x:c r="C2055" s="18" t="n">
        <x:v>954779777</x:v>
      </x:c>
      <x:c r="D2055" s="3" t="str">
        <x:v>Relative cutoff 1e-2</x:v>
      </x:c>
      <x:c r="E2055" s="18" t="n">
        <x:v>200</x:v>
      </x:c>
      <x:c r="F2055" s="21" t="n">
        <x:v>472.304858092219</x:v>
      </x:c>
      <x:c r="G2055" s="21" t="n">
        <x:f>F2049</x:f>
        <x:v>457.0522273146699</x:v>
      </x:c>
      <x:c r="H2055" s="21" t="n">
        <x:f>F2054</x:f>
        <x:v>457.0522273146699</x:v>
      </x:c>
      <x:c r="I2055" s="27" t="n">
        <x:f>IF(AND(ISNUMBER(G2055),ISNUMBER(H2055),H2055&gt;0),G2055/H2055-1,"")</x:f>
        <x:v>0</x:v>
      </x:c>
      <x:c r="J2055" s="27" t="n">
        <x:f>IF(AND(ISNUMBER(G2055),F2055&gt;0),G2055/F2055-1,"")</x:f>
        <x:v>-0.032294037455297464</x:v>
      </x:c>
      <x:c r="K2055" s="19" t="str">
        <x:v>Exp_7/EXP061/results/seed954779777_Relative_cutoff_1e-2.json</x:v>
      </x:c>
    </x:row>
    <x:row r="2056" ht="15" hidden="0" customHeight="1">
      <x:c r="A2056" s="3" t="str">
        <x:v>EXP061</x:v>
      </x:c>
      <x:c r="B2056" s="3" t="str">
        <x:v>Exp. 7</x:v>
      </x:c>
      <x:c r="C2056" s="18" t="n">
        <x:v>954779777</x:v>
      </x:c>
      <x:c r="D2056" s="3" t="str">
        <x:v>Relative cutoff 1e-4</x:v>
      </x:c>
      <x:c r="E2056" s="18" t="n">
        <x:v>200</x:v>
      </x:c>
      <x:c r="F2056" s="21" t="n">
        <x:v>457.0522273146699</x:v>
      </x:c>
      <x:c r="G2056" s="21" t="n">
        <x:f>F2049</x:f>
        <x:v>457.0522273146699</x:v>
      </x:c>
      <x:c r="H2056" s="21" t="n">
        <x:f>F2054</x:f>
        <x:v>457.0522273146699</x:v>
      </x:c>
      <x:c r="I2056" s="27" t="n">
        <x:f>IF(AND(ISNUMBER(G2056),ISNUMBER(H2056),H2056&gt;0),G2056/H2056-1,"")</x:f>
        <x:v>0</x:v>
      </x:c>
      <x:c r="J2056" s="27" t="n">
        <x:f>IF(AND(ISNUMBER(G2056),F2056&gt;0),G2056/F2056-1,"")</x:f>
        <x:v>0</x:v>
      </x:c>
      <x:c r="K2056" s="19" t="str">
        <x:v>Exp_7/EXP061/results/seed954779777_Relative_cutoff_1e-4.json</x:v>
      </x:c>
    </x:row>
    <x:row r="2057" ht="15" hidden="0" customHeight="1">
      <x:c r="A2057" s="3" t="str">
        <x:v>EXP061</x:v>
      </x:c>
      <x:c r="B2057" s="3" t="str">
        <x:v>Exp. 7</x:v>
      </x:c>
      <x:c r="C2057" s="18" t="n">
        <x:v>1390358485</x:v>
      </x:c>
      <x:c r="D2057" s="3" t="str">
        <x:v>BBP</x:v>
      </x:c>
      <x:c r="E2057" s="18" t="n">
        <x:v>200</x:v>
      </x:c>
      <x:c r="F2057" s="21" t="n">
        <x:v>497.463344268885</x:v>
      </x:c>
      <x:c r="G2057" s="21" t="n">
        <x:f>F2057</x:f>
        <x:v>497.463344268885</x:v>
      </x:c>
      <x:c r="H2057" s="21" t="n">
        <x:f>F2062</x:f>
        <x:v>497.463344268885</x:v>
      </x:c>
      <x:c r="I2057" s="27" t="n">
        <x:f>IF(AND(ISNUMBER(G2057),ISNUMBER(H2057),H2057&gt;0),G2057/H2057-1,"")</x:f>
        <x:v>0</x:v>
      </x:c>
      <x:c r="J2057" s="27" t="n">
        <x:f>IF(AND(ISNUMBER(G2057),F2057&gt;0),G2057/F2057-1,"")</x:f>
        <x:v>0</x:v>
      </x:c>
      <x:c r="K2057" s="19" t="str">
        <x:v>Exp_7/EXP061/results/seed1390358485_BBP.json</x:v>
      </x:c>
    </x:row>
    <x:row r="2058" ht="15" hidden="0" customHeight="1">
      <x:c r="A2058" s="3" t="str">
        <x:v>EXP061</x:v>
      </x:c>
      <x:c r="B2058" s="3" t="str">
        <x:v>Exp. 7</x:v>
      </x:c>
      <x:c r="C2058" s="18" t="n">
        <x:v>1390358485</x:v>
      </x:c>
      <x:c r="D2058" s="3" t="str">
        <x:v>Relative cutoff 1e-5</x:v>
      </x:c>
      <x:c r="E2058" s="18" t="n">
        <x:v>200</x:v>
      </x:c>
      <x:c r="F2058" s="21" t="n">
        <x:v>497.463344268885</x:v>
      </x:c>
      <x:c r="G2058" s="21" t="n">
        <x:f>F2057</x:f>
        <x:v>497.463344268885</x:v>
      </x:c>
      <x:c r="H2058" s="21" t="n">
        <x:f>F2062</x:f>
        <x:v>497.463344268885</x:v>
      </x:c>
      <x:c r="I2058" s="27" t="n">
        <x:f>IF(AND(ISNUMBER(G2058),ISNUMBER(H2058),H2058&gt;0),G2058/H2058-1,"")</x:f>
        <x:v>0</x:v>
      </x:c>
      <x:c r="J2058" s="27" t="n">
        <x:f>IF(AND(ISNUMBER(G2058),F2058&gt;0),G2058/F2058-1,"")</x:f>
        <x:v>0</x:v>
      </x:c>
      <x:c r="K2058" s="19" t="str">
        <x:v>Exp_7/EXP061/results/seed1390358485_Relative_cutoff_1e-5.json</x:v>
      </x:c>
    </x:row>
    <x:row r="2059" ht="15" hidden="0" customHeight="1">
      <x:c r="A2059" s="3" t="str">
        <x:v>EXP061</x:v>
      </x:c>
      <x:c r="B2059" s="3" t="str">
        <x:v>Exp. 7</x:v>
      </x:c>
      <x:c r="C2059" s="18" t="n">
        <x:v>1390358485</x:v>
      </x:c>
      <x:c r="D2059" s="3" t="str">
        <x:v>Fixed rank 10</x:v>
      </x:c>
      <x:c r="E2059" s="18" t="n">
        <x:v>200</x:v>
      </x:c>
      <x:c r="F2059" s="21" t="n">
        <x:v>493.11378666727785</x:v>
      </x:c>
      <x:c r="G2059" s="21" t="n">
        <x:f>F2057</x:f>
        <x:v>497.463344268885</x:v>
      </x:c>
      <x:c r="H2059" s="21" t="n">
        <x:f>F2062</x:f>
        <x:v>497.463344268885</x:v>
      </x:c>
      <x:c r="I2059" s="27" t="n">
        <x:f>IF(AND(ISNUMBER(G2059),ISNUMBER(H2059),H2059&gt;0),G2059/H2059-1,"")</x:f>
        <x:v>0</x:v>
      </x:c>
      <x:c r="J2059" s="27" t="n">
        <x:f>IF(AND(ISNUMBER(G2059),F2059&gt;0),G2059/F2059-1,"")</x:f>
        <x:v>0.008820596217768983</x:v>
      </x:c>
      <x:c r="K2059" s="19" t="str">
        <x:v>Exp_7/EXP061/results/seed1390358485_Fixed_rank_10.json</x:v>
      </x:c>
    </x:row>
    <x:row r="2060" ht="15" hidden="0" customHeight="1">
      <x:c r="A2060" s="3" t="str">
        <x:v>EXP061</x:v>
      </x:c>
      <x:c r="B2060" s="3" t="str">
        <x:v>Exp. 7</x:v>
      </x:c>
      <x:c r="C2060" s="18" t="n">
        <x:v>1390358485</x:v>
      </x:c>
      <x:c r="D2060" s="3" t="str">
        <x:v>Fixed rank 25</x:v>
      </x:c>
      <x:c r="E2060" s="18" t="n">
        <x:v>200</x:v>
      </x:c>
      <x:c r="F2060" s="21" t="n">
        <x:v>497.463344268885</x:v>
      </x:c>
      <x:c r="G2060" s="21" t="n">
        <x:f>F2057</x:f>
        <x:v>497.463344268885</x:v>
      </x:c>
      <x:c r="H2060" s="21" t="n">
        <x:f>F2062</x:f>
        <x:v>497.463344268885</x:v>
      </x:c>
      <x:c r="I2060" s="27" t="n">
        <x:f>IF(AND(ISNUMBER(G2060),ISNUMBER(H2060),H2060&gt;0),G2060/H2060-1,"")</x:f>
        <x:v>0</x:v>
      </x:c>
      <x:c r="J2060" s="27" t="n">
        <x:f>IF(AND(ISNUMBER(G2060),F2060&gt;0),G2060/F2060-1,"")</x:f>
        <x:v>0</x:v>
      </x:c>
      <x:c r="K2060" s="19" t="str">
        <x:v>Exp_7/EXP061/results/seed1390358485_Fixed_rank_25.json</x:v>
      </x:c>
    </x:row>
    <x:row r="2061" ht="15" hidden="0" customHeight="1">
      <x:c r="A2061" s="3" t="str">
        <x:v>EXP061</x:v>
      </x:c>
      <x:c r="B2061" s="3" t="str">
        <x:v>Exp. 7</x:v>
      </x:c>
      <x:c r="C2061" s="18" t="n">
        <x:v>1390358485</x:v>
      </x:c>
      <x:c r="D2061" s="3" t="str">
        <x:v>Relative cutoff 1e-6</x:v>
      </x:c>
      <x:c r="E2061" s="18" t="n">
        <x:v>200</x:v>
      </x:c>
      <x:c r="F2061" s="21" t="n">
        <x:v>497.463344268885</x:v>
      </x:c>
      <x:c r="G2061" s="21" t="n">
        <x:f>F2057</x:f>
        <x:v>497.463344268885</x:v>
      </x:c>
      <x:c r="H2061" s="21" t="n">
        <x:f>F2062</x:f>
        <x:v>497.463344268885</x:v>
      </x:c>
      <x:c r="I2061" s="27" t="n">
        <x:f>IF(AND(ISNUMBER(G2061),ISNUMBER(H2061),H2061&gt;0),G2061/H2061-1,"")</x:f>
        <x:v>0</x:v>
      </x:c>
      <x:c r="J2061" s="27" t="n">
        <x:f>IF(AND(ISNUMBER(G2061),F2061&gt;0),G2061/F2061-1,"")</x:f>
        <x:v>0</x:v>
      </x:c>
      <x:c r="K2061" s="19" t="str">
        <x:v>Exp_7/EXP061/results/seed1390358485_Relative_cutoff_1e-6.json</x:v>
      </x:c>
    </x:row>
    <x:row r="2062" ht="15" hidden="0" customHeight="1">
      <x:c r="A2062" s="3" t="str">
        <x:v>EXP061</x:v>
      </x:c>
      <x:c r="B2062" s="3" t="str">
        <x:v>Exp. 7</x:v>
      </x:c>
      <x:c r="C2062" s="18" t="n">
        <x:v>1390358485</x:v>
      </x:c>
      <x:c r="D2062" s="3" t="str">
        <x:v>Full</x:v>
      </x:c>
      <x:c r="E2062" s="18" t="n">
        <x:v>200</x:v>
      </x:c>
      <x:c r="F2062" s="21" t="n">
        <x:v>497.463344268885</x:v>
      </x:c>
      <x:c r="G2062" s="21" t="n">
        <x:f>F2057</x:f>
        <x:v>497.463344268885</x:v>
      </x:c>
      <x:c r="H2062" s="21" t="n">
        <x:f>F2062</x:f>
        <x:v>497.463344268885</x:v>
      </x:c>
      <x:c r="I2062" s="27" t="n">
        <x:f>IF(AND(ISNUMBER(G2062),ISNUMBER(H2062),H2062&gt;0),G2062/H2062-1,"")</x:f>
        <x:v>0</x:v>
      </x:c>
      <x:c r="J2062" s="27" t="n">
        <x:f>IF(AND(ISNUMBER(G2062),F2062&gt;0),G2062/F2062-1,"")</x:f>
        <x:v>0</x:v>
      </x:c>
      <x:c r="K2062" s="19" t="str">
        <x:v>Exp_7/EXP061/results/seed1390358485_Full.json</x:v>
      </x:c>
    </x:row>
    <x:row r="2063" ht="15" hidden="0" customHeight="1">
      <x:c r="A2063" s="3" t="str">
        <x:v>EXP061</x:v>
      </x:c>
      <x:c r="B2063" s="3" t="str">
        <x:v>Exp. 7</x:v>
      </x:c>
      <x:c r="C2063" s="18" t="n">
        <x:v>1390358485</x:v>
      </x:c>
      <x:c r="D2063" s="3" t="str">
        <x:v>Relative cutoff 1e-2</x:v>
      </x:c>
      <x:c r="E2063" s="18" t="n">
        <x:v>200</x:v>
      </x:c>
      <x:c r="F2063" s="21" t="n">
        <x:v>482.84475537252024</x:v>
      </x:c>
      <x:c r="G2063" s="21" t="n">
        <x:f>F2057</x:f>
        <x:v>497.463344268885</x:v>
      </x:c>
      <x:c r="H2063" s="21" t="n">
        <x:f>F2062</x:f>
        <x:v>497.463344268885</x:v>
      </x:c>
      <x:c r="I2063" s="27" t="n">
        <x:f>IF(AND(ISNUMBER(G2063),ISNUMBER(H2063),H2063&gt;0),G2063/H2063-1,"")</x:f>
        <x:v>0</x:v>
      </x:c>
      <x:c r="J2063" s="27" t="n">
        <x:f>IF(AND(ISNUMBER(G2063),F2063&gt;0),G2063/F2063-1,"")</x:f>
        <x:v>0.03027596082116779</x:v>
      </x:c>
      <x:c r="K2063" s="19" t="str">
        <x:v>Exp_7/EXP061/results/seed1390358485_Relative_cutoff_1e-2.json</x:v>
      </x:c>
    </x:row>
    <x:row r="2064" ht="15" hidden="0" customHeight="1">
      <x:c r="A2064" s="3" t="str">
        <x:v>EXP061</x:v>
      </x:c>
      <x:c r="B2064" s="3" t="str">
        <x:v>Exp. 7</x:v>
      </x:c>
      <x:c r="C2064" s="18" t="n">
        <x:v>1390358485</x:v>
      </x:c>
      <x:c r="D2064" s="3" t="str">
        <x:v>Relative cutoff 1e-4</x:v>
      </x:c>
      <x:c r="E2064" s="18" t="n">
        <x:v>200</x:v>
      </x:c>
      <x:c r="F2064" s="21" t="n">
        <x:v>490.74406383465913</x:v>
      </x:c>
      <x:c r="G2064" s="21" t="n">
        <x:f>F2057</x:f>
        <x:v>497.463344268885</x:v>
      </x:c>
      <x:c r="H2064" s="21" t="n">
        <x:f>F2062</x:f>
        <x:v>497.463344268885</x:v>
      </x:c>
      <x:c r="I2064" s="27" t="n">
        <x:f>IF(AND(ISNUMBER(G2064),ISNUMBER(H2064),H2064&gt;0),G2064/H2064-1,"")</x:f>
        <x:v>0</x:v>
      </x:c>
      <x:c r="J2064" s="27" t="n">
        <x:f>IF(AND(ISNUMBER(G2064),F2064&gt;0),G2064/F2064-1,"")</x:f>
        <x:v>0.013692025903933702</x:v>
      </x:c>
      <x:c r="K2064" s="19" t="str">
        <x:v>Exp_7/EXP061/results/seed1390358485_Relative_cutoff_1e-4.json</x:v>
      </x:c>
    </x:row>
    <x:row r="2065" ht="15" hidden="0" customHeight="1">
      <x:c r="A2065" s="3" t="str">
        <x:v>EXP061</x:v>
      </x:c>
      <x:c r="B2065" s="3" t="str">
        <x:v>Exp. 7</x:v>
      </x:c>
      <x:c r="C2065" s="18" t="n">
        <x:v>1711112905</x:v>
      </x:c>
      <x:c r="D2065" s="3" t="str">
        <x:v>BBP</x:v>
      </x:c>
      <x:c r="E2065" s="18" t="n">
        <x:v>200</x:v>
      </x:c>
      <x:c r="F2065" s="21" t="n">
        <x:v>346.77528838447824</x:v>
      </x:c>
      <x:c r="G2065" s="21" t="n">
        <x:f>F2065</x:f>
        <x:v>346.77528838447824</x:v>
      </x:c>
      <x:c r="H2065" s="21" t="n">
        <x:f>F2070</x:f>
        <x:v>346.77528838447824</x:v>
      </x:c>
      <x:c r="I2065" s="27" t="n">
        <x:f>IF(AND(ISNUMBER(G2065),ISNUMBER(H2065),H2065&gt;0),G2065/H2065-1,"")</x:f>
        <x:v>0</x:v>
      </x:c>
      <x:c r="J2065" s="27" t="n">
        <x:f>IF(AND(ISNUMBER(G2065),F2065&gt;0),G2065/F2065-1,"")</x:f>
        <x:v>0</x:v>
      </x:c>
      <x:c r="K2065" s="19" t="str">
        <x:v>Exp_7/EXP061/results/seed1711112905_BBP.json</x:v>
      </x:c>
    </x:row>
    <x:row r="2066" ht="15" hidden="0" customHeight="1">
      <x:c r="A2066" s="3" t="str">
        <x:v>EXP061</x:v>
      </x:c>
      <x:c r="B2066" s="3" t="str">
        <x:v>Exp. 7</x:v>
      </x:c>
      <x:c r="C2066" s="18" t="n">
        <x:v>1711112905</x:v>
      </x:c>
      <x:c r="D2066" s="3" t="str">
        <x:v>Relative cutoff 1e-5</x:v>
      </x:c>
      <x:c r="E2066" s="18" t="n">
        <x:v>200</x:v>
      </x:c>
      <x:c r="F2066" s="21" t="n">
        <x:v>346.77528838447824</x:v>
      </x:c>
      <x:c r="G2066" s="21" t="n">
        <x:f>F2065</x:f>
        <x:v>346.77528838447824</x:v>
      </x:c>
      <x:c r="H2066" s="21" t="n">
        <x:f>F2070</x:f>
        <x:v>346.77528838447824</x:v>
      </x:c>
      <x:c r="I2066" s="27" t="n">
        <x:f>IF(AND(ISNUMBER(G2066),ISNUMBER(H2066),H2066&gt;0),G2066/H2066-1,"")</x:f>
        <x:v>0</x:v>
      </x:c>
      <x:c r="J2066" s="27" t="n">
        <x:f>IF(AND(ISNUMBER(G2066),F2066&gt;0),G2066/F2066-1,"")</x:f>
        <x:v>0</x:v>
      </x:c>
      <x:c r="K2066" s="19" t="str">
        <x:v>Exp_7/EXP061/results/seed1711112905_Relative_cutoff_1e-5.json</x:v>
      </x:c>
    </x:row>
    <x:row r="2067" ht="15" hidden="0" customHeight="1">
      <x:c r="A2067" s="3" t="str">
        <x:v>EXP061</x:v>
      </x:c>
      <x:c r="B2067" s="3" t="str">
        <x:v>Exp. 7</x:v>
      </x:c>
      <x:c r="C2067" s="18" t="n">
        <x:v>1711112905</x:v>
      </x:c>
      <x:c r="D2067" s="3" t="str">
        <x:v>Fixed rank 10</x:v>
      </x:c>
      <x:c r="E2067" s="18" t="n">
        <x:v>200</x:v>
      </x:c>
      <x:c r="F2067" s="21" t="n">
        <x:v>346.77528838447824</x:v>
      </x:c>
      <x:c r="G2067" s="21" t="n">
        <x:f>F2065</x:f>
        <x:v>346.77528838447824</x:v>
      </x:c>
      <x:c r="H2067" s="21" t="n">
        <x:f>F2070</x:f>
        <x:v>346.77528838447824</x:v>
      </x:c>
      <x:c r="I2067" s="27" t="n">
        <x:f>IF(AND(ISNUMBER(G2067),ISNUMBER(H2067),H2067&gt;0),G2067/H2067-1,"")</x:f>
        <x:v>0</x:v>
      </x:c>
      <x:c r="J2067" s="27" t="n">
        <x:f>IF(AND(ISNUMBER(G2067),F2067&gt;0),G2067/F2067-1,"")</x:f>
        <x:v>0</x:v>
      </x:c>
      <x:c r="K2067" s="19" t="str">
        <x:v>Exp_7/EXP061/results/seed1711112905_Fixed_rank_10.json</x:v>
      </x:c>
    </x:row>
    <x:row r="2068" ht="15" hidden="0" customHeight="1">
      <x:c r="A2068" s="3" t="str">
        <x:v>EXP061</x:v>
      </x:c>
      <x:c r="B2068" s="3" t="str">
        <x:v>Exp. 7</x:v>
      </x:c>
      <x:c r="C2068" s="18" t="n">
        <x:v>1711112905</x:v>
      </x:c>
      <x:c r="D2068" s="3" t="str">
        <x:v>Fixed rank 25</x:v>
      </x:c>
      <x:c r="E2068" s="18" t="n">
        <x:v>200</x:v>
      </x:c>
      <x:c r="F2068" s="21" t="n">
        <x:v>346.77528838447824</x:v>
      </x:c>
      <x:c r="G2068" s="21" t="n">
        <x:f>F2065</x:f>
        <x:v>346.77528838447824</x:v>
      </x:c>
      <x:c r="H2068" s="21" t="n">
        <x:f>F2070</x:f>
        <x:v>346.77528838447824</x:v>
      </x:c>
      <x:c r="I2068" s="27" t="n">
        <x:f>IF(AND(ISNUMBER(G2068),ISNUMBER(H2068),H2068&gt;0),G2068/H2068-1,"")</x:f>
        <x:v>0</x:v>
      </x:c>
      <x:c r="J2068" s="27" t="n">
        <x:f>IF(AND(ISNUMBER(G2068),F2068&gt;0),G2068/F2068-1,"")</x:f>
        <x:v>0</x:v>
      </x:c>
      <x:c r="K2068" s="19" t="str">
        <x:v>Exp_7/EXP061/results/seed1711112905_Fixed_rank_25.json</x:v>
      </x:c>
    </x:row>
    <x:row r="2069" ht="15" hidden="0" customHeight="1">
      <x:c r="A2069" s="3" t="str">
        <x:v>EXP061</x:v>
      </x:c>
      <x:c r="B2069" s="3" t="str">
        <x:v>Exp. 7</x:v>
      </x:c>
      <x:c r="C2069" s="18" t="n">
        <x:v>1711112905</x:v>
      </x:c>
      <x:c r="D2069" s="3" t="str">
        <x:v>Relative cutoff 1e-6</x:v>
      </x:c>
      <x:c r="E2069" s="18" t="n">
        <x:v>200</x:v>
      </x:c>
      <x:c r="F2069" s="21" t="n">
        <x:v>346.77528838447824</x:v>
      </x:c>
      <x:c r="G2069" s="21" t="n">
        <x:f>F2065</x:f>
        <x:v>346.77528838447824</x:v>
      </x:c>
      <x:c r="H2069" s="21" t="n">
        <x:f>F2070</x:f>
        <x:v>346.77528838447824</x:v>
      </x:c>
      <x:c r="I2069" s="27" t="n">
        <x:f>IF(AND(ISNUMBER(G2069),ISNUMBER(H2069),H2069&gt;0),G2069/H2069-1,"")</x:f>
        <x:v>0</x:v>
      </x:c>
      <x:c r="J2069" s="27" t="n">
        <x:f>IF(AND(ISNUMBER(G2069),F2069&gt;0),G2069/F2069-1,"")</x:f>
        <x:v>0</x:v>
      </x:c>
      <x:c r="K2069" s="19" t="str">
        <x:v>Exp_7/EXP061/results/seed1711112905_Relative_cutoff_1e-6.json</x:v>
      </x:c>
    </x:row>
    <x:row r="2070" ht="15" hidden="0" customHeight="1">
      <x:c r="A2070" s="3" t="str">
        <x:v>EXP061</x:v>
      </x:c>
      <x:c r="B2070" s="3" t="str">
        <x:v>Exp. 7</x:v>
      </x:c>
      <x:c r="C2070" s="18" t="n">
        <x:v>1711112905</x:v>
      </x:c>
      <x:c r="D2070" s="3" t="str">
        <x:v>Full</x:v>
      </x:c>
      <x:c r="E2070" s="18" t="n">
        <x:v>200</x:v>
      </x:c>
      <x:c r="F2070" s="21" t="n">
        <x:v>346.77528838447824</x:v>
      </x:c>
      <x:c r="G2070" s="21" t="n">
        <x:f>F2065</x:f>
        <x:v>346.77528838447824</x:v>
      </x:c>
      <x:c r="H2070" s="21" t="n">
        <x:f>F2070</x:f>
        <x:v>346.77528838447824</x:v>
      </x:c>
      <x:c r="I2070" s="27" t="n">
        <x:f>IF(AND(ISNUMBER(G2070),ISNUMBER(H2070),H2070&gt;0),G2070/H2070-1,"")</x:f>
        <x:v>0</x:v>
      </x:c>
      <x:c r="J2070" s="27" t="n">
        <x:f>IF(AND(ISNUMBER(G2070),F2070&gt;0),G2070/F2070-1,"")</x:f>
        <x:v>0</x:v>
      </x:c>
      <x:c r="K2070" s="19" t="str">
        <x:v>Exp_7/EXP061/results/seed1711112905_Full.json</x:v>
      </x:c>
    </x:row>
    <x:row r="2071" ht="15" hidden="0" customHeight="1">
      <x:c r="A2071" s="3" t="str">
        <x:v>EXP061</x:v>
      </x:c>
      <x:c r="B2071" s="3" t="str">
        <x:v>Exp. 7</x:v>
      </x:c>
      <x:c r="C2071" s="18" t="n">
        <x:v>1711112905</x:v>
      </x:c>
      <x:c r="D2071" s="3" t="str">
        <x:v>Relative cutoff 1e-2</x:v>
      </x:c>
      <x:c r="E2071" s="18" t="n">
        <x:v>200</x:v>
      </x:c>
      <x:c r="F2071" s="21" t="n">
        <x:v>410.11028015048055</x:v>
      </x:c>
      <x:c r="G2071" s="21" t="n">
        <x:f>F2065</x:f>
        <x:v>346.77528838447824</x:v>
      </x:c>
      <x:c r="H2071" s="21" t="n">
        <x:f>F2070</x:f>
        <x:v>346.77528838447824</x:v>
      </x:c>
      <x:c r="I2071" s="27" t="n">
        <x:f>IF(AND(ISNUMBER(G2071),ISNUMBER(H2071),H2071&gt;0),G2071/H2071-1,"")</x:f>
        <x:v>0</x:v>
      </x:c>
      <x:c r="J2071" s="27" t="n">
        <x:f>IF(AND(ISNUMBER(G2071),F2071&gt;0),G2071/F2071-1,"")</x:f>
        <x:v>-0.15443405062356153</x:v>
      </x:c>
      <x:c r="K2071" s="19" t="str">
        <x:v>Exp_7/EXP061/results/seed1711112905_Relative_cutoff_1e-2.json</x:v>
      </x:c>
    </x:row>
    <x:row r="2072" ht="15" hidden="0" customHeight="1">
      <x:c r="A2072" s="3" t="str">
        <x:v>EXP061</x:v>
      </x:c>
      <x:c r="B2072" s="3" t="str">
        <x:v>Exp. 7</x:v>
      </x:c>
      <x:c r="C2072" s="18" t="n">
        <x:v>1711112905</x:v>
      </x:c>
      <x:c r="D2072" s="3" t="str">
        <x:v>Relative cutoff 1e-4</x:v>
      </x:c>
      <x:c r="E2072" s="18" t="n">
        <x:v>200</x:v>
      </x:c>
      <x:c r="F2072" s="21" t="n">
        <x:v>346.77528838447824</x:v>
      </x:c>
      <x:c r="G2072" s="21" t="n">
        <x:f>F2065</x:f>
        <x:v>346.77528838447824</x:v>
      </x:c>
      <x:c r="H2072" s="21" t="n">
        <x:f>F2070</x:f>
        <x:v>346.77528838447824</x:v>
      </x:c>
      <x:c r="I2072" s="27" t="n">
        <x:f>IF(AND(ISNUMBER(G2072),ISNUMBER(H2072),H2072&gt;0),G2072/H2072-1,"")</x:f>
        <x:v>0</x:v>
      </x:c>
      <x:c r="J2072" s="27" t="n">
        <x:f>IF(AND(ISNUMBER(G2072),F2072&gt;0),G2072/F2072-1,"")</x:f>
        <x:v>0</x:v>
      </x:c>
      <x:c r="K2072" s="19" t="str">
        <x:v>Exp_7/EXP061/results/seed1711112905_Relative_cutoff_1e-4.json</x:v>
      </x:c>
    </x:row>
    <x:row r="2073" ht="15" hidden="0" customHeight="1">
      <x:c r="A2073" s="3" t="str">
        <x:v>EXP064</x:v>
      </x:c>
      <x:c r="B2073" s="3" t="str">
        <x:v>Exp. 7</x:v>
      </x:c>
      <x:c r="C2073" s="18" t="n">
        <x:v>1000</x:v>
      </x:c>
      <x:c r="D2073" s="3" t="str">
        <x:v>Fixed rank 10</x:v>
      </x:c>
      <x:c r="E2073" s="18" t="n">
        <x:v>200</x:v>
      </x:c>
      <x:c r="F2073" s="21" t="n">
        <x:v>446.2373911200492</x:v>
      </x:c>
      <x:c r="G2073" s="21" t="str">
        <x:f>""</x:f>
      </x:c>
      <x:c r="H2073" s="21" t="n">
        <x:f>F2076</x:f>
        <x:v>438.0954624689493</x:v>
      </x:c>
      <x:c r="I2073" s="27" t="str">
        <x:f>IF(AND(ISNUMBER(G2073),ISNUMBER(H2073),H2073&gt;0),G2073/H2073-1,"")</x:f>
      </x:c>
      <x:c r="J2073" s="27" t="str">
        <x:f>IF(AND(ISNUMBER(G2073),F2073&gt;0),G2073/F2073-1,"")</x:f>
      </x:c>
      <x:c r="K2073" s="19" t="str">
        <x:v>Exp_7/EXP064/results/seed1000_Fixed_rank_10.json</x:v>
      </x:c>
    </x:row>
    <x:row r="2074" ht="15" hidden="0" customHeight="1">
      <x:c r="A2074" s="3" t="str">
        <x:v>EXP064</x:v>
      </x:c>
      <x:c r="B2074" s="3" t="str">
        <x:v>Exp. 7</x:v>
      </x:c>
      <x:c r="C2074" s="18" t="n">
        <x:v>1000</x:v>
      </x:c>
      <x:c r="D2074" s="3" t="str">
        <x:v>Fixed rank 3</x:v>
      </x:c>
      <x:c r="E2074" s="18" t="n">
        <x:v>200</x:v>
      </x:c>
      <x:c r="F2074" s="21" t="n">
        <x:v>446.2659511443769</x:v>
      </x:c>
      <x:c r="G2074" s="21" t="str">
        <x:f>""</x:f>
      </x:c>
      <x:c r="H2074" s="21" t="n">
        <x:f>F2076</x:f>
        <x:v>438.0954624689493</x:v>
      </x:c>
      <x:c r="I2074" s="27" t="str">
        <x:f>IF(AND(ISNUMBER(G2074),ISNUMBER(H2074),H2074&gt;0),G2074/H2074-1,"")</x:f>
      </x:c>
      <x:c r="J2074" s="27" t="str">
        <x:f>IF(AND(ISNUMBER(G2074),F2074&gt;0),G2074/F2074-1,"")</x:f>
      </x:c>
      <x:c r="K2074" s="19" t="str">
        <x:v>Exp_7/EXP064/results/seed1000_Fixed_rank_3.json</x:v>
      </x:c>
    </x:row>
    <x:row r="2075" ht="15" hidden="0" customHeight="1">
      <x:c r="A2075" s="3" t="str">
        <x:v>EXP064</x:v>
      </x:c>
      <x:c r="B2075" s="3" t="str">
        <x:v>Exp. 7</x:v>
      </x:c>
      <x:c r="C2075" s="18" t="n">
        <x:v>1000</x:v>
      </x:c>
      <x:c r="D2075" s="3" t="str">
        <x:v>Fixed rank 5</x:v>
      </x:c>
      <x:c r="E2075" s="18" t="n">
        <x:v>200</x:v>
      </x:c>
      <x:c r="F2075" s="21" t="n">
        <x:v>447.0692082797141</x:v>
      </x:c>
      <x:c r="G2075" s="21" t="str">
        <x:f>""</x:f>
      </x:c>
      <x:c r="H2075" s="21" t="n">
        <x:f>F2076</x:f>
        <x:v>438.0954624689493</x:v>
      </x:c>
      <x:c r="I2075" s="27" t="str">
        <x:f>IF(AND(ISNUMBER(G2075),ISNUMBER(H2075),H2075&gt;0),G2075/H2075-1,"")</x:f>
      </x:c>
      <x:c r="J2075" s="27" t="str">
        <x:f>IF(AND(ISNUMBER(G2075),F2075&gt;0),G2075/F2075-1,"")</x:f>
      </x:c>
      <x:c r="K2075" s="19" t="str">
        <x:v>Exp_7/EXP064/results/seed1000_Fixed_rank_5.json</x:v>
      </x:c>
    </x:row>
    <x:row r="2076" ht="15" hidden="0" customHeight="1">
      <x:c r="A2076" s="3" t="str">
        <x:v>EXP064</x:v>
      </x:c>
      <x:c r="B2076" s="3" t="str">
        <x:v>Exp. 7</x:v>
      </x:c>
      <x:c r="C2076" s="18" t="n">
        <x:v>1000</x:v>
      </x:c>
      <x:c r="D2076" s="3" t="str">
        <x:v>Full</x:v>
      </x:c>
      <x:c r="E2076" s="18" t="n">
        <x:v>200</x:v>
      </x:c>
      <x:c r="F2076" s="21" t="n">
        <x:v>438.0954624689493</x:v>
      </x:c>
      <x:c r="G2076" s="21" t="str">
        <x:f>""</x:f>
      </x:c>
      <x:c r="H2076" s="21" t="n">
        <x:f>F2076</x:f>
        <x:v>438.0954624689493</x:v>
      </x:c>
      <x:c r="I2076" s="27" t="str">
        <x:f>IF(AND(ISNUMBER(G2076),ISNUMBER(H2076),H2076&gt;0),G2076/H2076-1,"")</x:f>
      </x:c>
      <x:c r="J2076" s="27" t="str">
        <x:f>IF(AND(ISNUMBER(G2076),F2076&gt;0),G2076/F2076-1,"")</x:f>
      </x:c>
      <x:c r="K2076" s="19" t="str">
        <x:v>Exp_7/EXP064/results/seed1000_Full.json</x:v>
      </x:c>
    </x:row>
    <x:row r="2077" ht="15" hidden="0" customHeight="1">
      <x:c r="A2077" s="3" t="str">
        <x:v>EXP064</x:v>
      </x:c>
      <x:c r="B2077" s="3" t="str">
        <x:v>Exp. 7</x:v>
      </x:c>
      <x:c r="C2077" s="18" t="n">
        <x:v>1000</x:v>
      </x:c>
      <x:c r="D2077" s="3" t="str">
        <x:v>Relative cutoff 1e-2</x:v>
      </x:c>
      <x:c r="E2077" s="18" t="n">
        <x:v>200</x:v>
      </x:c>
      <x:c r="F2077" s="21" t="n">
        <x:v>429.82102834442196</x:v>
      </x:c>
      <x:c r="G2077" s="21" t="str">
        <x:f>""</x:f>
      </x:c>
      <x:c r="H2077" s="21" t="n">
        <x:f>F2076</x:f>
        <x:v>438.0954624689493</x:v>
      </x:c>
      <x:c r="I2077" s="27" t="str">
        <x:f>IF(AND(ISNUMBER(G2077),ISNUMBER(H2077),H2077&gt;0),G2077/H2077-1,"")</x:f>
      </x:c>
      <x:c r="J2077" s="27" t="str">
        <x:f>IF(AND(ISNUMBER(G2077),F2077&gt;0),G2077/F2077-1,"")</x:f>
      </x:c>
      <x:c r="K2077" s="19" t="str">
        <x:v>Exp_7/EXP064/results/seed1000_Relative_cutoff_1e-2.json</x:v>
      </x:c>
    </x:row>
    <x:row r="2078" ht="15" hidden="0" customHeight="1">
      <x:c r="A2078" s="3" t="str">
        <x:v>EXP064</x:v>
      </x:c>
      <x:c r="B2078" s="3" t="str">
        <x:v>Exp. 7</x:v>
      </x:c>
      <x:c r="C2078" s="18" t="n">
        <x:v>1001</x:v>
      </x:c>
      <x:c r="D2078" s="3" t="str">
        <x:v>Fixed rank 10</x:v>
      </x:c>
      <x:c r="E2078" s="18" t="n">
        <x:v>200</x:v>
      </x:c>
      <x:c r="F2078" s="21" t="n">
        <x:v>520.5376278666922</x:v>
      </x:c>
      <x:c r="G2078" s="21" t="str">
        <x:f>""</x:f>
      </x:c>
      <x:c r="H2078" s="21" t="n">
        <x:f>F2081</x:f>
        <x:v>524.818361929014</x:v>
      </x:c>
      <x:c r="I2078" s="27" t="str">
        <x:f>IF(AND(ISNUMBER(G2078),ISNUMBER(H2078),H2078&gt;0),G2078/H2078-1,"")</x:f>
      </x:c>
      <x:c r="J2078" s="27" t="str">
        <x:f>IF(AND(ISNUMBER(G2078),F2078&gt;0),G2078/F2078-1,"")</x:f>
      </x:c>
      <x:c r="K2078" s="19" t="str">
        <x:v>Exp_7/EXP064/results/seed1001_Fixed_rank_10.json</x:v>
      </x:c>
    </x:row>
    <x:row r="2079" ht="15" hidden="0" customHeight="1">
      <x:c r="A2079" s="3" t="str">
        <x:v>EXP064</x:v>
      </x:c>
      <x:c r="B2079" s="3" t="str">
        <x:v>Exp. 7</x:v>
      </x:c>
      <x:c r="C2079" s="18" t="n">
        <x:v>1001</x:v>
      </x:c>
      <x:c r="D2079" s="3" t="str">
        <x:v>Fixed rank 3</x:v>
      </x:c>
      <x:c r="E2079" s="18" t="n">
        <x:v>200</x:v>
      </x:c>
      <x:c r="F2079" s="21" t="n">
        <x:v>524.818361929014</x:v>
      </x:c>
      <x:c r="G2079" s="21" t="str">
        <x:f>""</x:f>
      </x:c>
      <x:c r="H2079" s="21" t="n">
        <x:f>F2081</x:f>
        <x:v>524.818361929014</x:v>
      </x:c>
      <x:c r="I2079" s="27" t="str">
        <x:f>IF(AND(ISNUMBER(G2079),ISNUMBER(H2079),H2079&gt;0),G2079/H2079-1,"")</x:f>
      </x:c>
      <x:c r="J2079" s="27" t="str">
        <x:f>IF(AND(ISNUMBER(G2079),F2079&gt;0),G2079/F2079-1,"")</x:f>
      </x:c>
      <x:c r="K2079" s="19" t="str">
        <x:v>Exp_7/EXP064/results/seed1001_Fixed_rank_3.json</x:v>
      </x:c>
    </x:row>
    <x:row r="2080" ht="15" hidden="0" customHeight="1">
      <x:c r="A2080" s="3" t="str">
        <x:v>EXP064</x:v>
      </x:c>
      <x:c r="B2080" s="3" t="str">
        <x:v>Exp. 7</x:v>
      </x:c>
      <x:c r="C2080" s="18" t="n">
        <x:v>1001</x:v>
      </x:c>
      <x:c r="D2080" s="3" t="str">
        <x:v>Fixed rank 5</x:v>
      </x:c>
      <x:c r="E2080" s="18" t="n">
        <x:v>200</x:v>
      </x:c>
      <x:c r="F2080" s="21" t="n">
        <x:v>524.818361929014</x:v>
      </x:c>
      <x:c r="G2080" s="21" t="str">
        <x:f>""</x:f>
      </x:c>
      <x:c r="H2080" s="21" t="n">
        <x:f>F2081</x:f>
        <x:v>524.818361929014</x:v>
      </x:c>
      <x:c r="I2080" s="27" t="str">
        <x:f>IF(AND(ISNUMBER(G2080),ISNUMBER(H2080),H2080&gt;0),G2080/H2080-1,"")</x:f>
      </x:c>
      <x:c r="J2080" s="27" t="str">
        <x:f>IF(AND(ISNUMBER(G2080),F2080&gt;0),G2080/F2080-1,"")</x:f>
      </x:c>
      <x:c r="K2080" s="19" t="str">
        <x:v>Exp_7/EXP064/results/seed1001_Fixed_rank_5.json</x:v>
      </x:c>
    </x:row>
    <x:row r="2081" ht="15" hidden="0" customHeight="1">
      <x:c r="A2081" s="3" t="str">
        <x:v>EXP064</x:v>
      </x:c>
      <x:c r="B2081" s="3" t="str">
        <x:v>Exp. 7</x:v>
      </x:c>
      <x:c r="C2081" s="18" t="n">
        <x:v>1001</x:v>
      </x:c>
      <x:c r="D2081" s="3" t="str">
        <x:v>Full</x:v>
      </x:c>
      <x:c r="E2081" s="18" t="n">
        <x:v>200</x:v>
      </x:c>
      <x:c r="F2081" s="21" t="n">
        <x:v>524.818361929014</x:v>
      </x:c>
      <x:c r="G2081" s="21" t="str">
        <x:f>""</x:f>
      </x:c>
      <x:c r="H2081" s="21" t="n">
        <x:f>F2081</x:f>
        <x:v>524.818361929014</x:v>
      </x:c>
      <x:c r="I2081" s="27" t="str">
        <x:f>IF(AND(ISNUMBER(G2081),ISNUMBER(H2081),H2081&gt;0),G2081/H2081-1,"")</x:f>
      </x:c>
      <x:c r="J2081" s="27" t="str">
        <x:f>IF(AND(ISNUMBER(G2081),F2081&gt;0),G2081/F2081-1,"")</x:f>
      </x:c>
      <x:c r="K2081" s="19" t="str">
        <x:v>Exp_7/EXP064/results/seed1001_Full.json</x:v>
      </x:c>
    </x:row>
    <x:row r="2082" ht="15" hidden="0" customHeight="1">
      <x:c r="A2082" s="3" t="str">
        <x:v>EXP064</x:v>
      </x:c>
      <x:c r="B2082" s="3" t="str">
        <x:v>Exp. 7</x:v>
      </x:c>
      <x:c r="C2082" s="18" t="n">
        <x:v>1001</x:v>
      </x:c>
      <x:c r="D2082" s="3" t="str">
        <x:v>Relative cutoff 1e-2</x:v>
      </x:c>
      <x:c r="E2082" s="18" t="n">
        <x:v>200</x:v>
      </x:c>
      <x:c r="F2082" s="21" t="n">
        <x:v>522.5517182467967</x:v>
      </x:c>
      <x:c r="G2082" s="21" t="str">
        <x:f>""</x:f>
      </x:c>
      <x:c r="H2082" s="21" t="n">
        <x:f>F2081</x:f>
        <x:v>524.818361929014</x:v>
      </x:c>
      <x:c r="I2082" s="27" t="str">
        <x:f>IF(AND(ISNUMBER(G2082),ISNUMBER(H2082),H2082&gt;0),G2082/H2082-1,"")</x:f>
      </x:c>
      <x:c r="J2082" s="27" t="str">
        <x:f>IF(AND(ISNUMBER(G2082),F2082&gt;0),G2082/F2082-1,"")</x:f>
      </x:c>
      <x:c r="K2082" s="19" t="str">
        <x:v>Exp_7/EXP064/results/seed1001_Relative_cutoff_1e-2.json</x:v>
      </x:c>
    </x:row>
    <x:row r="2083" ht="15" hidden="0" customHeight="1">
      <x:c r="A2083" s="3" t="str">
        <x:v>EXP064</x:v>
      </x:c>
      <x:c r="B2083" s="3" t="str">
        <x:v>Exp. 7</x:v>
      </x:c>
      <x:c r="C2083" s="18" t="n">
        <x:v>1002</x:v>
      </x:c>
      <x:c r="D2083" s="3" t="str">
        <x:v>Fixed rank 10</x:v>
      </x:c>
      <x:c r="E2083" s="18" t="n">
        <x:v>200</x:v>
      </x:c>
      <x:c r="F2083" s="21" t="n">
        <x:v>432.1780278158912</x:v>
      </x:c>
      <x:c r="G2083" s="21" t="str">
        <x:f>""</x:f>
      </x:c>
      <x:c r="H2083" s="21" t="n">
        <x:f>F2086</x:f>
        <x:v>430.47752653676264</x:v>
      </x:c>
      <x:c r="I2083" s="27" t="str">
        <x:f>IF(AND(ISNUMBER(G2083),ISNUMBER(H2083),H2083&gt;0),G2083/H2083-1,"")</x:f>
      </x:c>
      <x:c r="J2083" s="27" t="str">
        <x:f>IF(AND(ISNUMBER(G2083),F2083&gt;0),G2083/F2083-1,"")</x:f>
      </x:c>
      <x:c r="K2083" s="19" t="str">
        <x:v>Exp_7/EXP064/results/seed1002_Fixed_rank_10.json</x:v>
      </x:c>
    </x:row>
    <x:row r="2084" ht="15" hidden="0" customHeight="1">
      <x:c r="A2084" s="3" t="str">
        <x:v>EXP064</x:v>
      </x:c>
      <x:c r="B2084" s="3" t="str">
        <x:v>Exp. 7</x:v>
      </x:c>
      <x:c r="C2084" s="18" t="n">
        <x:v>1002</x:v>
      </x:c>
      <x:c r="D2084" s="3" t="str">
        <x:v>Fixed rank 3</x:v>
      </x:c>
      <x:c r="E2084" s="18" t="n">
        <x:v>200</x:v>
      </x:c>
      <x:c r="F2084" s="21" t="n">
        <x:v>429.10343841826096</x:v>
      </x:c>
      <x:c r="G2084" s="21" t="str">
        <x:f>""</x:f>
      </x:c>
      <x:c r="H2084" s="21" t="n">
        <x:f>F2086</x:f>
        <x:v>430.47752653676264</x:v>
      </x:c>
      <x:c r="I2084" s="27" t="str">
        <x:f>IF(AND(ISNUMBER(G2084),ISNUMBER(H2084),H2084&gt;0),G2084/H2084-1,"")</x:f>
      </x:c>
      <x:c r="J2084" s="27" t="str">
        <x:f>IF(AND(ISNUMBER(G2084),F2084&gt;0),G2084/F2084-1,"")</x:f>
      </x:c>
      <x:c r="K2084" s="19" t="str">
        <x:v>Exp_7/EXP064/results/seed1002_Fixed_rank_3.json</x:v>
      </x:c>
    </x:row>
    <x:row r="2085" ht="15" hidden="0" customHeight="1">
      <x:c r="A2085" s="3" t="str">
        <x:v>EXP064</x:v>
      </x:c>
      <x:c r="B2085" s="3" t="str">
        <x:v>Exp. 7</x:v>
      </x:c>
      <x:c r="C2085" s="18" t="n">
        <x:v>1002</x:v>
      </x:c>
      <x:c r="D2085" s="3" t="str">
        <x:v>Fixed rank 5</x:v>
      </x:c>
      <x:c r="E2085" s="18" t="n">
        <x:v>200</x:v>
      </x:c>
      <x:c r="F2085" s="21" t="n">
        <x:v>432.1780278158912</x:v>
      </x:c>
      <x:c r="G2085" s="21" t="str">
        <x:f>""</x:f>
      </x:c>
      <x:c r="H2085" s="21" t="n">
        <x:f>F2086</x:f>
        <x:v>430.47752653676264</x:v>
      </x:c>
      <x:c r="I2085" s="27" t="str">
        <x:f>IF(AND(ISNUMBER(G2085),ISNUMBER(H2085),H2085&gt;0),G2085/H2085-1,"")</x:f>
      </x:c>
      <x:c r="J2085" s="27" t="str">
        <x:f>IF(AND(ISNUMBER(G2085),F2085&gt;0),G2085/F2085-1,"")</x:f>
      </x:c>
      <x:c r="K2085" s="19" t="str">
        <x:v>Exp_7/EXP064/results/seed1002_Fixed_rank_5.json</x:v>
      </x:c>
    </x:row>
    <x:row r="2086" ht="15" hidden="0" customHeight="1">
      <x:c r="A2086" s="3" t="str">
        <x:v>EXP064</x:v>
      </x:c>
      <x:c r="B2086" s="3" t="str">
        <x:v>Exp. 7</x:v>
      </x:c>
      <x:c r="C2086" s="18" t="n">
        <x:v>1002</x:v>
      </x:c>
      <x:c r="D2086" s="3" t="str">
        <x:v>Full</x:v>
      </x:c>
      <x:c r="E2086" s="18" t="n">
        <x:v>200</x:v>
      </x:c>
      <x:c r="F2086" s="21" t="n">
        <x:v>430.47752653676264</x:v>
      </x:c>
      <x:c r="G2086" s="21" t="str">
        <x:f>""</x:f>
      </x:c>
      <x:c r="H2086" s="21" t="n">
        <x:f>F2086</x:f>
        <x:v>430.47752653676264</x:v>
      </x:c>
      <x:c r="I2086" s="27" t="str">
        <x:f>IF(AND(ISNUMBER(G2086),ISNUMBER(H2086),H2086&gt;0),G2086/H2086-1,"")</x:f>
      </x:c>
      <x:c r="J2086" s="27" t="str">
        <x:f>IF(AND(ISNUMBER(G2086),F2086&gt;0),G2086/F2086-1,"")</x:f>
      </x:c>
      <x:c r="K2086" s="19" t="str">
        <x:v>Exp_7/EXP064/results/seed1002_Full.json</x:v>
      </x:c>
    </x:row>
    <x:row r="2087" ht="15" hidden="0" customHeight="1">
      <x:c r="A2087" s="3" t="str">
        <x:v>EXP064</x:v>
      </x:c>
      <x:c r="B2087" s="3" t="str">
        <x:v>Exp. 7</x:v>
      </x:c>
      <x:c r="C2087" s="18" t="n">
        <x:v>1002</x:v>
      </x:c>
      <x:c r="D2087" s="3" t="str">
        <x:v>Relative cutoff 1e-2</x:v>
      </x:c>
      <x:c r="E2087" s="18" t="n">
        <x:v>200</x:v>
      </x:c>
      <x:c r="F2087" s="21" t="n">
        <x:v>429.10343841826096</x:v>
      </x:c>
      <x:c r="G2087" s="21" t="str">
        <x:f>""</x:f>
      </x:c>
      <x:c r="H2087" s="21" t="n">
        <x:f>F2086</x:f>
        <x:v>430.47752653676264</x:v>
      </x:c>
      <x:c r="I2087" s="27" t="str">
        <x:f>IF(AND(ISNUMBER(G2087),ISNUMBER(H2087),H2087&gt;0),G2087/H2087-1,"")</x:f>
      </x:c>
      <x:c r="J2087" s="27" t="str">
        <x:f>IF(AND(ISNUMBER(G2087),F2087&gt;0),G2087/F2087-1,"")</x:f>
      </x:c>
      <x:c r="K2087" s="19" t="str">
        <x:v>Exp_7/EXP064/results/seed1002_Relative_cutoff_1e-2.json</x:v>
      </x:c>
    </x:row>
    <x:row r="2088" ht="15" hidden="0" customHeight="1">
      <x:c r="A2088" s="3" t="str">
        <x:v>EXP064</x:v>
      </x:c>
      <x:c r="B2088" s="3" t="str">
        <x:v>Exp. 7</x:v>
      </x:c>
      <x:c r="C2088" s="18" t="n">
        <x:v>1003</x:v>
      </x:c>
      <x:c r="D2088" s="3" t="str">
        <x:v>Fixed rank 10</x:v>
      </x:c>
      <x:c r="E2088" s="18" t="n">
        <x:v>200</x:v>
      </x:c>
      <x:c r="F2088" s="21" t="n">
        <x:v>498.78914376215994</x:v>
      </x:c>
      <x:c r="G2088" s="21" t="str">
        <x:f>""</x:f>
      </x:c>
      <x:c r="H2088" s="21" t="n">
        <x:f>F2091</x:f>
        <x:v>512.0641810976268</x:v>
      </x:c>
      <x:c r="I2088" s="27" t="str">
        <x:f>IF(AND(ISNUMBER(G2088),ISNUMBER(H2088),H2088&gt;0),G2088/H2088-1,"")</x:f>
      </x:c>
      <x:c r="J2088" s="27" t="str">
        <x:f>IF(AND(ISNUMBER(G2088),F2088&gt;0),G2088/F2088-1,"")</x:f>
      </x:c>
      <x:c r="K2088" s="19" t="str">
        <x:v>Exp_7/EXP064/results/seed1003_Fixed_rank_10.json</x:v>
      </x:c>
    </x:row>
    <x:row r="2089" ht="15" hidden="0" customHeight="1">
      <x:c r="A2089" s="3" t="str">
        <x:v>EXP064</x:v>
      </x:c>
      <x:c r="B2089" s="3" t="str">
        <x:v>Exp. 7</x:v>
      </x:c>
      <x:c r="C2089" s="18" t="n">
        <x:v>1003</x:v>
      </x:c>
      <x:c r="D2089" s="3" t="str">
        <x:v>Fixed rank 3</x:v>
      </x:c>
      <x:c r="E2089" s="18" t="n">
        <x:v>200</x:v>
      </x:c>
      <x:c r="F2089" s="21" t="n">
        <x:v>496.7011999938465</x:v>
      </x:c>
      <x:c r="G2089" s="21" t="str">
        <x:f>""</x:f>
      </x:c>
      <x:c r="H2089" s="21" t="n">
        <x:f>F2091</x:f>
        <x:v>512.0641810976268</x:v>
      </x:c>
      <x:c r="I2089" s="27" t="str">
        <x:f>IF(AND(ISNUMBER(G2089),ISNUMBER(H2089),H2089&gt;0),G2089/H2089-1,"")</x:f>
      </x:c>
      <x:c r="J2089" s="27" t="str">
        <x:f>IF(AND(ISNUMBER(G2089),F2089&gt;0),G2089/F2089-1,"")</x:f>
      </x:c>
      <x:c r="K2089" s="19" t="str">
        <x:v>Exp_7/EXP064/results/seed1003_Fixed_rank_3.json</x:v>
      </x:c>
    </x:row>
    <x:row r="2090" ht="15" hidden="0" customHeight="1">
      <x:c r="A2090" s="3" t="str">
        <x:v>EXP064</x:v>
      </x:c>
      <x:c r="B2090" s="3" t="str">
        <x:v>Exp. 7</x:v>
      </x:c>
      <x:c r="C2090" s="18" t="n">
        <x:v>1003</x:v>
      </x:c>
      <x:c r="D2090" s="3" t="str">
        <x:v>Fixed rank 5</x:v>
      </x:c>
      <x:c r="E2090" s="18" t="n">
        <x:v>200</x:v>
      </x:c>
      <x:c r="F2090" s="21" t="n">
        <x:v>487.18046889591176</x:v>
      </x:c>
      <x:c r="G2090" s="21" t="str">
        <x:f>""</x:f>
      </x:c>
      <x:c r="H2090" s="21" t="n">
        <x:f>F2091</x:f>
        <x:v>512.0641810976268</x:v>
      </x:c>
      <x:c r="I2090" s="27" t="str">
        <x:f>IF(AND(ISNUMBER(G2090),ISNUMBER(H2090),H2090&gt;0),G2090/H2090-1,"")</x:f>
      </x:c>
      <x:c r="J2090" s="27" t="str">
        <x:f>IF(AND(ISNUMBER(G2090),F2090&gt;0),G2090/F2090-1,"")</x:f>
      </x:c>
      <x:c r="K2090" s="19" t="str">
        <x:v>Exp_7/EXP064/results/seed1003_Fixed_rank_5.json</x:v>
      </x:c>
    </x:row>
    <x:row r="2091" ht="15" hidden="0" customHeight="1">
      <x:c r="A2091" s="3" t="str">
        <x:v>EXP064</x:v>
      </x:c>
      <x:c r="B2091" s="3" t="str">
        <x:v>Exp. 7</x:v>
      </x:c>
      <x:c r="C2091" s="18" t="n">
        <x:v>1003</x:v>
      </x:c>
      <x:c r="D2091" s="3" t="str">
        <x:v>Full</x:v>
      </x:c>
      <x:c r="E2091" s="18" t="n">
        <x:v>200</x:v>
      </x:c>
      <x:c r="F2091" s="21" t="n">
        <x:v>512.0641810976268</x:v>
      </x:c>
      <x:c r="G2091" s="21" t="str">
        <x:f>""</x:f>
      </x:c>
      <x:c r="H2091" s="21" t="n">
        <x:f>F2091</x:f>
        <x:v>512.0641810976268</x:v>
      </x:c>
      <x:c r="I2091" s="27" t="str">
        <x:f>IF(AND(ISNUMBER(G2091),ISNUMBER(H2091),H2091&gt;0),G2091/H2091-1,"")</x:f>
      </x:c>
      <x:c r="J2091" s="27" t="str">
        <x:f>IF(AND(ISNUMBER(G2091),F2091&gt;0),G2091/F2091-1,"")</x:f>
      </x:c>
      <x:c r="K2091" s="19" t="str">
        <x:v>Exp_7/EXP064/results/seed1003_Full.json</x:v>
      </x:c>
    </x:row>
    <x:row r="2092" ht="15" hidden="0" customHeight="1">
      <x:c r="A2092" s="3" t="str">
        <x:v>EXP064</x:v>
      </x:c>
      <x:c r="B2092" s="3" t="str">
        <x:v>Exp. 7</x:v>
      </x:c>
      <x:c r="C2092" s="18" t="n">
        <x:v>1003</x:v>
      </x:c>
      <x:c r="D2092" s="3" t="str">
        <x:v>Relative cutoff 1e-2</x:v>
      </x:c>
      <x:c r="E2092" s="18" t="n">
        <x:v>200</x:v>
      </x:c>
      <x:c r="F2092" s="21" t="n">
        <x:v>486.1776232253628</x:v>
      </x:c>
      <x:c r="G2092" s="21" t="str">
        <x:f>""</x:f>
      </x:c>
      <x:c r="H2092" s="21" t="n">
        <x:f>F2091</x:f>
        <x:v>512.0641810976268</x:v>
      </x:c>
      <x:c r="I2092" s="27" t="str">
        <x:f>IF(AND(ISNUMBER(G2092),ISNUMBER(H2092),H2092&gt;0),G2092/H2092-1,"")</x:f>
      </x:c>
      <x:c r="J2092" s="27" t="str">
        <x:f>IF(AND(ISNUMBER(G2092),F2092&gt;0),G2092/F2092-1,"")</x:f>
      </x:c>
      <x:c r="K2092" s="19" t="str">
        <x:v>Exp_7/EXP064/results/seed1003_Relative_cutoff_1e-2.json</x:v>
      </x:c>
    </x:row>
    <x:row r="2093" ht="15" hidden="0" customHeight="1">
      <x:c r="A2093" s="3" t="str">
        <x:v>EXP064</x:v>
      </x:c>
      <x:c r="B2093" s="3" t="str">
        <x:v>Exp. 7</x:v>
      </x:c>
      <x:c r="C2093" s="18" t="n">
        <x:v>1004</x:v>
      </x:c>
      <x:c r="D2093" s="3" t="str">
        <x:v>Fixed rank 10</x:v>
      </x:c>
      <x:c r="E2093" s="18" t="n">
        <x:v>200</x:v>
      </x:c>
      <x:c r="F2093" s="21" t="n">
        <x:v>496.96314747189814</x:v>
      </x:c>
      <x:c r="G2093" s="21" t="str">
        <x:f>""</x:f>
      </x:c>
      <x:c r="H2093" s="21" t="n">
        <x:f>F2096</x:f>
        <x:v>496.96314747189814</x:v>
      </x:c>
      <x:c r="I2093" s="27" t="str">
        <x:f>IF(AND(ISNUMBER(G2093),ISNUMBER(H2093),H2093&gt;0),G2093/H2093-1,"")</x:f>
      </x:c>
      <x:c r="J2093" s="27" t="str">
        <x:f>IF(AND(ISNUMBER(G2093),F2093&gt;0),G2093/F2093-1,"")</x:f>
      </x:c>
      <x:c r="K2093" s="19" t="str">
        <x:v>Exp_7/EXP064/results/seed1004_Fixed_rank_10.json</x:v>
      </x:c>
    </x:row>
    <x:row r="2094" ht="15" hidden="0" customHeight="1">
      <x:c r="A2094" s="3" t="str">
        <x:v>EXP064</x:v>
      </x:c>
      <x:c r="B2094" s="3" t="str">
        <x:v>Exp. 7</x:v>
      </x:c>
      <x:c r="C2094" s="18" t="n">
        <x:v>1004</x:v>
      </x:c>
      <x:c r="D2094" s="3" t="str">
        <x:v>Fixed rank 3</x:v>
      </x:c>
      <x:c r="E2094" s="18" t="n">
        <x:v>200</x:v>
      </x:c>
      <x:c r="F2094" s="21" t="n">
        <x:v>501.51235306974166</x:v>
      </x:c>
      <x:c r="G2094" s="21" t="str">
        <x:f>""</x:f>
      </x:c>
      <x:c r="H2094" s="21" t="n">
        <x:f>F2096</x:f>
        <x:v>496.96314747189814</x:v>
      </x:c>
      <x:c r="I2094" s="27" t="str">
        <x:f>IF(AND(ISNUMBER(G2094),ISNUMBER(H2094),H2094&gt;0),G2094/H2094-1,"")</x:f>
      </x:c>
      <x:c r="J2094" s="27" t="str">
        <x:f>IF(AND(ISNUMBER(G2094),F2094&gt;0),G2094/F2094-1,"")</x:f>
      </x:c>
      <x:c r="K2094" s="19" t="str">
        <x:v>Exp_7/EXP064/results/seed1004_Fixed_rank_3.json</x:v>
      </x:c>
    </x:row>
    <x:row r="2095" ht="15" hidden="0" customHeight="1">
      <x:c r="A2095" s="3" t="str">
        <x:v>EXP064</x:v>
      </x:c>
      <x:c r="B2095" s="3" t="str">
        <x:v>Exp. 7</x:v>
      </x:c>
      <x:c r="C2095" s="18" t="n">
        <x:v>1004</x:v>
      </x:c>
      <x:c r="D2095" s="3" t="str">
        <x:v>Fixed rank 5</x:v>
      </x:c>
      <x:c r="E2095" s="18" t="n">
        <x:v>200</x:v>
      </x:c>
      <x:c r="F2095" s="21" t="n">
        <x:v>520.5393165808194</x:v>
      </x:c>
      <x:c r="G2095" s="21" t="str">
        <x:f>""</x:f>
      </x:c>
      <x:c r="H2095" s="21" t="n">
        <x:f>F2096</x:f>
        <x:v>496.96314747189814</x:v>
      </x:c>
      <x:c r="I2095" s="27" t="str">
        <x:f>IF(AND(ISNUMBER(G2095),ISNUMBER(H2095),H2095&gt;0),G2095/H2095-1,"")</x:f>
      </x:c>
      <x:c r="J2095" s="27" t="str">
        <x:f>IF(AND(ISNUMBER(G2095),F2095&gt;0),G2095/F2095-1,"")</x:f>
      </x:c>
      <x:c r="K2095" s="19" t="str">
        <x:v>Exp_7/EXP064/results/seed1004_Fixed_rank_5.json</x:v>
      </x:c>
    </x:row>
    <x:row r="2096" ht="15" hidden="0" customHeight="1">
      <x:c r="A2096" s="3" t="str">
        <x:v>EXP064</x:v>
      </x:c>
      <x:c r="B2096" s="3" t="str">
        <x:v>Exp. 7</x:v>
      </x:c>
      <x:c r="C2096" s="18" t="n">
        <x:v>1004</x:v>
      </x:c>
      <x:c r="D2096" s="3" t="str">
        <x:v>Full</x:v>
      </x:c>
      <x:c r="E2096" s="18" t="n">
        <x:v>200</x:v>
      </x:c>
      <x:c r="F2096" s="21" t="n">
        <x:v>496.96314747189814</x:v>
      </x:c>
      <x:c r="G2096" s="21" t="str">
        <x:f>""</x:f>
      </x:c>
      <x:c r="H2096" s="21" t="n">
        <x:f>F2096</x:f>
        <x:v>496.96314747189814</x:v>
      </x:c>
      <x:c r="I2096" s="27" t="str">
        <x:f>IF(AND(ISNUMBER(G2096),ISNUMBER(H2096),H2096&gt;0),G2096/H2096-1,"")</x:f>
      </x:c>
      <x:c r="J2096" s="27" t="str">
        <x:f>IF(AND(ISNUMBER(G2096),F2096&gt;0),G2096/F2096-1,"")</x:f>
      </x:c>
      <x:c r="K2096" s="19" t="str">
        <x:v>Exp_7/EXP064/results/seed1004_Full.json</x:v>
      </x:c>
    </x:row>
    <x:row r="2097" ht="15" hidden="0" customHeight="1">
      <x:c r="A2097" s="3" t="str">
        <x:v>EXP064</x:v>
      </x:c>
      <x:c r="B2097" s="3" t="str">
        <x:v>Exp. 7</x:v>
      </x:c>
      <x:c r="C2097" s="18" t="n">
        <x:v>1004</x:v>
      </x:c>
      <x:c r="D2097" s="3" t="str">
        <x:v>Relative cutoff 1e-2</x:v>
      </x:c>
      <x:c r="E2097" s="18" t="n">
        <x:v>200</x:v>
      </x:c>
      <x:c r="F2097" s="21" t="n">
        <x:v>492.907909126328</x:v>
      </x:c>
      <x:c r="G2097" s="21" t="str">
        <x:f>""</x:f>
      </x:c>
      <x:c r="H2097" s="21" t="n">
        <x:f>F2096</x:f>
        <x:v>496.96314747189814</x:v>
      </x:c>
      <x:c r="I2097" s="27" t="str">
        <x:f>IF(AND(ISNUMBER(G2097),ISNUMBER(H2097),H2097&gt;0),G2097/H2097-1,"")</x:f>
      </x:c>
      <x:c r="J2097" s="27" t="str">
        <x:f>IF(AND(ISNUMBER(G2097),F2097&gt;0),G2097/F2097-1,"")</x:f>
      </x:c>
      <x:c r="K2097" s="19" t="str">
        <x:v>Exp_7/EXP064/results/seed1004_Relative_cutoff_1e-2.json</x:v>
      </x:c>
    </x:row>
    <x:row r="2098" ht="15" hidden="0" customHeight="1">
      <x:c r="A2098" s="3" t="str">
        <x:v>EXP064</x:v>
      </x:c>
      <x:c r="B2098" s="3" t="str">
        <x:v>Exp. 7</x:v>
      </x:c>
      <x:c r="C2098" s="18" t="n">
        <x:v>1005</x:v>
      </x:c>
      <x:c r="D2098" s="3" t="str">
        <x:v>Fixed rank 10</x:v>
      </x:c>
      <x:c r="E2098" s="18" t="n">
        <x:v>200</x:v>
      </x:c>
      <x:c r="F2098" s="21" t="n">
        <x:v>605.368802284213</x:v>
      </x:c>
      <x:c r="G2098" s="21" t="str">
        <x:f>""</x:f>
      </x:c>
      <x:c r="H2098" s="21" t="n">
        <x:f>F2101</x:f>
        <x:v>577.6404356066961</x:v>
      </x:c>
      <x:c r="I2098" s="27" t="str">
        <x:f>IF(AND(ISNUMBER(G2098),ISNUMBER(H2098),H2098&gt;0),G2098/H2098-1,"")</x:f>
      </x:c>
      <x:c r="J2098" s="27" t="str">
        <x:f>IF(AND(ISNUMBER(G2098),F2098&gt;0),G2098/F2098-1,"")</x:f>
      </x:c>
      <x:c r="K2098" s="19" t="str">
        <x:v>Exp_7/EXP064/results/seed1005_Fixed_rank_10.json</x:v>
      </x:c>
    </x:row>
    <x:row r="2099" ht="15" hidden="0" customHeight="1">
      <x:c r="A2099" s="3" t="str">
        <x:v>EXP064</x:v>
      </x:c>
      <x:c r="B2099" s="3" t="str">
        <x:v>Exp. 7</x:v>
      </x:c>
      <x:c r="C2099" s="18" t="n">
        <x:v>1005</x:v>
      </x:c>
      <x:c r="D2099" s="3" t="str">
        <x:v>Fixed rank 3</x:v>
      </x:c>
      <x:c r="E2099" s="18" t="n">
        <x:v>200</x:v>
      </x:c>
      <x:c r="F2099" s="21" t="n">
        <x:v>606.8624411843978</x:v>
      </x:c>
      <x:c r="G2099" s="21" t="str">
        <x:f>""</x:f>
      </x:c>
      <x:c r="H2099" s="21" t="n">
        <x:f>F2101</x:f>
        <x:v>577.6404356066961</x:v>
      </x:c>
      <x:c r="I2099" s="27" t="str">
        <x:f>IF(AND(ISNUMBER(G2099),ISNUMBER(H2099),H2099&gt;0),G2099/H2099-1,"")</x:f>
      </x:c>
      <x:c r="J2099" s="27" t="str">
        <x:f>IF(AND(ISNUMBER(G2099),F2099&gt;0),G2099/F2099-1,"")</x:f>
      </x:c>
      <x:c r="K2099" s="19" t="str">
        <x:v>Exp_7/EXP064/results/seed1005_Fixed_rank_3.json</x:v>
      </x:c>
    </x:row>
    <x:row r="2100" ht="15" hidden="0" customHeight="1">
      <x:c r="A2100" s="3" t="str">
        <x:v>EXP064</x:v>
      </x:c>
      <x:c r="B2100" s="3" t="str">
        <x:v>Exp. 7</x:v>
      </x:c>
      <x:c r="C2100" s="18" t="n">
        <x:v>1005</x:v>
      </x:c>
      <x:c r="D2100" s="3" t="str">
        <x:v>Fixed rank 5</x:v>
      </x:c>
      <x:c r="E2100" s="18" t="n">
        <x:v>200</x:v>
      </x:c>
      <x:c r="F2100" s="21" t="n">
        <x:v>607.7023781191276</x:v>
      </x:c>
      <x:c r="G2100" s="21" t="str">
        <x:f>""</x:f>
      </x:c>
      <x:c r="H2100" s="21" t="n">
        <x:f>F2101</x:f>
        <x:v>577.6404356066961</x:v>
      </x:c>
      <x:c r="I2100" s="27" t="str">
        <x:f>IF(AND(ISNUMBER(G2100),ISNUMBER(H2100),H2100&gt;0),G2100/H2100-1,"")</x:f>
      </x:c>
      <x:c r="J2100" s="27" t="str">
        <x:f>IF(AND(ISNUMBER(G2100),F2100&gt;0),G2100/F2100-1,"")</x:f>
      </x:c>
      <x:c r="K2100" s="19" t="str">
        <x:v>Exp_7/EXP064/results/seed1005_Fixed_rank_5.json</x:v>
      </x:c>
    </x:row>
    <x:row r="2101" ht="15" hidden="0" customHeight="1">
      <x:c r="A2101" s="3" t="str">
        <x:v>EXP064</x:v>
      </x:c>
      <x:c r="B2101" s="3" t="str">
        <x:v>Exp. 7</x:v>
      </x:c>
      <x:c r="C2101" s="18" t="n">
        <x:v>1005</x:v>
      </x:c>
      <x:c r="D2101" s="3" t="str">
        <x:v>Full</x:v>
      </x:c>
      <x:c r="E2101" s="18" t="n">
        <x:v>200</x:v>
      </x:c>
      <x:c r="F2101" s="21" t="n">
        <x:v>577.6404356066961</x:v>
      </x:c>
      <x:c r="G2101" s="21" t="str">
        <x:f>""</x:f>
      </x:c>
      <x:c r="H2101" s="21" t="n">
        <x:f>F2101</x:f>
        <x:v>577.6404356066961</x:v>
      </x:c>
      <x:c r="I2101" s="27" t="str">
        <x:f>IF(AND(ISNUMBER(G2101),ISNUMBER(H2101),H2101&gt;0),G2101/H2101-1,"")</x:f>
      </x:c>
      <x:c r="J2101" s="27" t="str">
        <x:f>IF(AND(ISNUMBER(G2101),F2101&gt;0),G2101/F2101-1,"")</x:f>
      </x:c>
      <x:c r="K2101" s="19" t="str">
        <x:v>Exp_7/EXP064/results/seed1005_Full.json</x:v>
      </x:c>
    </x:row>
    <x:row r="2102" ht="15" hidden="0" customHeight="1">
      <x:c r="A2102" s="3" t="str">
        <x:v>EXP064</x:v>
      </x:c>
      <x:c r="B2102" s="3" t="str">
        <x:v>Exp. 7</x:v>
      </x:c>
      <x:c r="C2102" s="18" t="n">
        <x:v>1005</x:v>
      </x:c>
      <x:c r="D2102" s="3" t="str">
        <x:v>Relative cutoff 1e-2</x:v>
      </x:c>
      <x:c r="E2102" s="18" t="n">
        <x:v>200</x:v>
      </x:c>
      <x:c r="F2102" s="21" t="n">
        <x:v>623.9376079755207</x:v>
      </x:c>
      <x:c r="G2102" s="21" t="str">
        <x:f>""</x:f>
      </x:c>
      <x:c r="H2102" s="21" t="n">
        <x:f>F2101</x:f>
        <x:v>577.6404356066961</x:v>
      </x:c>
      <x:c r="I2102" s="27" t="str">
        <x:f>IF(AND(ISNUMBER(G2102),ISNUMBER(H2102),H2102&gt;0),G2102/H2102-1,"")</x:f>
      </x:c>
      <x:c r="J2102" s="27" t="str">
        <x:f>IF(AND(ISNUMBER(G2102),F2102&gt;0),G2102/F2102-1,"")</x:f>
      </x:c>
      <x:c r="K2102" s="19" t="str">
        <x:v>Exp_7/EXP064/results/seed1005_Relative_cutoff_1e-2.json</x:v>
      </x:c>
    </x:row>
    <x:row r="2103" ht="15" hidden="0" customHeight="1">
      <x:c r="A2103" s="3" t="str">
        <x:v>EXP064</x:v>
      </x:c>
      <x:c r="B2103" s="3" t="str">
        <x:v>Exp. 7</x:v>
      </x:c>
      <x:c r="C2103" s="18" t="n">
        <x:v>1006</x:v>
      </x:c>
      <x:c r="D2103" s="3" t="str">
        <x:v>Fixed rank 10</x:v>
      </x:c>
      <x:c r="E2103" s="18" t="n">
        <x:v>200</x:v>
      </x:c>
      <x:c r="F2103" s="21" t="n">
        <x:v>409.11658619991465</x:v>
      </x:c>
      <x:c r="G2103" s="21" t="str">
        <x:f>""</x:f>
      </x:c>
      <x:c r="H2103" s="21" t="n">
        <x:f>F2106</x:f>
        <x:v>420.1409880855895</x:v>
      </x:c>
      <x:c r="I2103" s="27" t="str">
        <x:f>IF(AND(ISNUMBER(G2103),ISNUMBER(H2103),H2103&gt;0),G2103/H2103-1,"")</x:f>
      </x:c>
      <x:c r="J2103" s="27" t="str">
        <x:f>IF(AND(ISNUMBER(G2103),F2103&gt;0),G2103/F2103-1,"")</x:f>
      </x:c>
      <x:c r="K2103" s="19" t="str">
        <x:v>Exp_7/EXP064/results/seed1006_Fixed_rank_10.json</x:v>
      </x:c>
    </x:row>
    <x:row r="2104" ht="15" hidden="0" customHeight="1">
      <x:c r="A2104" s="3" t="str">
        <x:v>EXP064</x:v>
      </x:c>
      <x:c r="B2104" s="3" t="str">
        <x:v>Exp. 7</x:v>
      </x:c>
      <x:c r="C2104" s="18" t="n">
        <x:v>1006</x:v>
      </x:c>
      <x:c r="D2104" s="3" t="str">
        <x:v>Fixed rank 3</x:v>
      </x:c>
      <x:c r="E2104" s="18" t="n">
        <x:v>200</x:v>
      </x:c>
      <x:c r="F2104" s="21" t="n">
        <x:v>394.96807727971486</x:v>
      </x:c>
      <x:c r="G2104" s="21" t="str">
        <x:f>""</x:f>
      </x:c>
      <x:c r="H2104" s="21" t="n">
        <x:f>F2106</x:f>
        <x:v>420.1409880855895</x:v>
      </x:c>
      <x:c r="I2104" s="27" t="str">
        <x:f>IF(AND(ISNUMBER(G2104),ISNUMBER(H2104),H2104&gt;0),G2104/H2104-1,"")</x:f>
      </x:c>
      <x:c r="J2104" s="27" t="str">
        <x:f>IF(AND(ISNUMBER(G2104),F2104&gt;0),G2104/F2104-1,"")</x:f>
      </x:c>
      <x:c r="K2104" s="19" t="str">
        <x:v>Exp_7/EXP064/results/seed1006_Fixed_rank_3.json</x:v>
      </x:c>
    </x:row>
    <x:row r="2105" ht="15" hidden="0" customHeight="1">
      <x:c r="A2105" s="3" t="str">
        <x:v>EXP064</x:v>
      </x:c>
      <x:c r="B2105" s="3" t="str">
        <x:v>Exp. 7</x:v>
      </x:c>
      <x:c r="C2105" s="18" t="n">
        <x:v>1006</x:v>
      </x:c>
      <x:c r="D2105" s="3" t="str">
        <x:v>Fixed rank 5</x:v>
      </x:c>
      <x:c r="E2105" s="18" t="n">
        <x:v>200</x:v>
      </x:c>
      <x:c r="F2105" s="21" t="n">
        <x:v>409.11658619991465</x:v>
      </x:c>
      <x:c r="G2105" s="21" t="str">
        <x:f>""</x:f>
      </x:c>
      <x:c r="H2105" s="21" t="n">
        <x:f>F2106</x:f>
        <x:v>420.1409880855895</x:v>
      </x:c>
      <x:c r="I2105" s="27" t="str">
        <x:f>IF(AND(ISNUMBER(G2105),ISNUMBER(H2105),H2105&gt;0),G2105/H2105-1,"")</x:f>
      </x:c>
      <x:c r="J2105" s="27" t="str">
        <x:f>IF(AND(ISNUMBER(G2105),F2105&gt;0),G2105/F2105-1,"")</x:f>
      </x:c>
      <x:c r="K2105" s="19" t="str">
        <x:v>Exp_7/EXP064/results/seed1006_Fixed_rank_5.json</x:v>
      </x:c>
    </x:row>
    <x:row r="2106" ht="15" hidden="0" customHeight="1">
      <x:c r="A2106" s="3" t="str">
        <x:v>EXP064</x:v>
      </x:c>
      <x:c r="B2106" s="3" t="str">
        <x:v>Exp. 7</x:v>
      </x:c>
      <x:c r="C2106" s="18" t="n">
        <x:v>1006</x:v>
      </x:c>
      <x:c r="D2106" s="3" t="str">
        <x:v>Full</x:v>
      </x:c>
      <x:c r="E2106" s="18" t="n">
        <x:v>200</x:v>
      </x:c>
      <x:c r="F2106" s="21" t="n">
        <x:v>420.1409880855895</x:v>
      </x:c>
      <x:c r="G2106" s="21" t="str">
        <x:f>""</x:f>
      </x:c>
      <x:c r="H2106" s="21" t="n">
        <x:f>F2106</x:f>
        <x:v>420.1409880855895</x:v>
      </x:c>
      <x:c r="I2106" s="27" t="str">
        <x:f>IF(AND(ISNUMBER(G2106),ISNUMBER(H2106),H2106&gt;0),G2106/H2106-1,"")</x:f>
      </x:c>
      <x:c r="J2106" s="27" t="str">
        <x:f>IF(AND(ISNUMBER(G2106),F2106&gt;0),G2106/F2106-1,"")</x:f>
      </x:c>
      <x:c r="K2106" s="19" t="str">
        <x:v>Exp_7/EXP064/results/seed1006_Full.json</x:v>
      </x:c>
    </x:row>
    <x:row r="2107" ht="15" hidden="0" customHeight="1">
      <x:c r="A2107" s="3" t="str">
        <x:v>EXP064</x:v>
      </x:c>
      <x:c r="B2107" s="3" t="str">
        <x:v>Exp. 7</x:v>
      </x:c>
      <x:c r="C2107" s="18" t="n">
        <x:v>1006</x:v>
      </x:c>
      <x:c r="D2107" s="3" t="str">
        <x:v>Relative cutoff 1e-2</x:v>
      </x:c>
      <x:c r="E2107" s="18" t="n">
        <x:v>200</x:v>
      </x:c>
      <x:c r="F2107" s="21" t="n">
        <x:v>397.1655186935171</x:v>
      </x:c>
      <x:c r="G2107" s="21" t="str">
        <x:f>""</x:f>
      </x:c>
      <x:c r="H2107" s="21" t="n">
        <x:f>F2106</x:f>
        <x:v>420.1409880855895</x:v>
      </x:c>
      <x:c r="I2107" s="27" t="str">
        <x:f>IF(AND(ISNUMBER(G2107),ISNUMBER(H2107),H2107&gt;0),G2107/H2107-1,"")</x:f>
      </x:c>
      <x:c r="J2107" s="27" t="str">
        <x:f>IF(AND(ISNUMBER(G2107),F2107&gt;0),G2107/F2107-1,"")</x:f>
      </x:c>
      <x:c r="K2107" s="19" t="str">
        <x:v>Exp_7/EXP064/results/seed1006_Relative_cutoff_1e-2.json</x:v>
      </x:c>
    </x:row>
    <x:row r="2108" ht="15" hidden="0" customHeight="1">
      <x:c r="A2108" s="3" t="str">
        <x:v>EXP064</x:v>
      </x:c>
      <x:c r="B2108" s="3" t="str">
        <x:v>Exp. 7</x:v>
      </x:c>
      <x:c r="C2108" s="18" t="n">
        <x:v>1007</x:v>
      </x:c>
      <x:c r="D2108" s="3" t="str">
        <x:v>Fixed rank 10</x:v>
      </x:c>
      <x:c r="E2108" s="18" t="n">
        <x:v>200</x:v>
      </x:c>
      <x:c r="F2108" s="21" t="n">
        <x:v>429.6973491056734</x:v>
      </x:c>
      <x:c r="G2108" s="21" t="str">
        <x:f>""</x:f>
      </x:c>
      <x:c r="H2108" s="21" t="n">
        <x:f>F2111</x:f>
        <x:v>420.45713246187836</x:v>
      </x:c>
      <x:c r="I2108" s="27" t="str">
        <x:f>IF(AND(ISNUMBER(G2108),ISNUMBER(H2108),H2108&gt;0),G2108/H2108-1,"")</x:f>
      </x:c>
      <x:c r="J2108" s="27" t="str">
        <x:f>IF(AND(ISNUMBER(G2108),F2108&gt;0),G2108/F2108-1,"")</x:f>
      </x:c>
      <x:c r="K2108" s="19" t="str">
        <x:v>Exp_7/EXP064/results/seed1007_Fixed_rank_10.json</x:v>
      </x:c>
    </x:row>
    <x:row r="2109" ht="15" hidden="0" customHeight="1">
      <x:c r="A2109" s="3" t="str">
        <x:v>EXP064</x:v>
      </x:c>
      <x:c r="B2109" s="3" t="str">
        <x:v>Exp. 7</x:v>
      </x:c>
      <x:c r="C2109" s="18" t="n">
        <x:v>1007</x:v>
      </x:c>
      <x:c r="D2109" s="3" t="str">
        <x:v>Fixed rank 3</x:v>
      </x:c>
      <x:c r="E2109" s="18" t="n">
        <x:v>200</x:v>
      </x:c>
      <x:c r="F2109" s="21" t="n">
        <x:v>413.77227730137304</x:v>
      </x:c>
      <x:c r="G2109" s="21" t="str">
        <x:f>""</x:f>
      </x:c>
      <x:c r="H2109" s="21" t="n">
        <x:f>F2111</x:f>
        <x:v>420.45713246187836</x:v>
      </x:c>
      <x:c r="I2109" s="27" t="str">
        <x:f>IF(AND(ISNUMBER(G2109),ISNUMBER(H2109),H2109&gt;0),G2109/H2109-1,"")</x:f>
      </x:c>
      <x:c r="J2109" s="27" t="str">
        <x:f>IF(AND(ISNUMBER(G2109),F2109&gt;0),G2109/F2109-1,"")</x:f>
      </x:c>
      <x:c r="K2109" s="19" t="str">
        <x:v>Exp_7/EXP064/results/seed1007_Fixed_rank_3.json</x:v>
      </x:c>
    </x:row>
    <x:row r="2110" ht="15" hidden="0" customHeight="1">
      <x:c r="A2110" s="3" t="str">
        <x:v>EXP064</x:v>
      </x:c>
      <x:c r="B2110" s="3" t="str">
        <x:v>Exp. 7</x:v>
      </x:c>
      <x:c r="C2110" s="18" t="n">
        <x:v>1007</x:v>
      </x:c>
      <x:c r="D2110" s="3" t="str">
        <x:v>Fixed rank 5</x:v>
      </x:c>
      <x:c r="E2110" s="18" t="n">
        <x:v>200</x:v>
      </x:c>
      <x:c r="F2110" s="21" t="n">
        <x:v>413.0766034794601</x:v>
      </x:c>
      <x:c r="G2110" s="21" t="str">
        <x:f>""</x:f>
      </x:c>
      <x:c r="H2110" s="21" t="n">
        <x:f>F2111</x:f>
        <x:v>420.45713246187836</x:v>
      </x:c>
      <x:c r="I2110" s="27" t="str">
        <x:f>IF(AND(ISNUMBER(G2110),ISNUMBER(H2110),H2110&gt;0),G2110/H2110-1,"")</x:f>
      </x:c>
      <x:c r="J2110" s="27" t="str">
        <x:f>IF(AND(ISNUMBER(G2110),F2110&gt;0),G2110/F2110-1,"")</x:f>
      </x:c>
      <x:c r="K2110" s="19" t="str">
        <x:v>Exp_7/EXP064/results/seed1007_Fixed_rank_5.json</x:v>
      </x:c>
    </x:row>
    <x:row r="2111" ht="15" hidden="0" customHeight="1">
      <x:c r="A2111" s="3" t="str">
        <x:v>EXP064</x:v>
      </x:c>
      <x:c r="B2111" s="3" t="str">
        <x:v>Exp. 7</x:v>
      </x:c>
      <x:c r="C2111" s="18" t="n">
        <x:v>1007</x:v>
      </x:c>
      <x:c r="D2111" s="3" t="str">
        <x:v>Full</x:v>
      </x:c>
      <x:c r="E2111" s="18" t="n">
        <x:v>200</x:v>
      </x:c>
      <x:c r="F2111" s="21" t="n">
        <x:v>420.45713246187836</x:v>
      </x:c>
      <x:c r="G2111" s="21" t="str">
        <x:f>""</x:f>
      </x:c>
      <x:c r="H2111" s="21" t="n">
        <x:f>F2111</x:f>
        <x:v>420.45713246187836</x:v>
      </x:c>
      <x:c r="I2111" s="27" t="str">
        <x:f>IF(AND(ISNUMBER(G2111),ISNUMBER(H2111),H2111&gt;0),G2111/H2111-1,"")</x:f>
      </x:c>
      <x:c r="J2111" s="27" t="str">
        <x:f>IF(AND(ISNUMBER(G2111),F2111&gt;0),G2111/F2111-1,"")</x:f>
      </x:c>
      <x:c r="K2111" s="19" t="str">
        <x:v>Exp_7/EXP064/results/seed1007_Full.json</x:v>
      </x:c>
    </x:row>
    <x:row r="2112" ht="15" hidden="0" customHeight="1">
      <x:c r="A2112" s="3" t="str">
        <x:v>EXP064</x:v>
      </x:c>
      <x:c r="B2112" s="3" t="str">
        <x:v>Exp. 7</x:v>
      </x:c>
      <x:c r="C2112" s="18" t="n">
        <x:v>1007</x:v>
      </x:c>
      <x:c r="D2112" s="3" t="str">
        <x:v>Relative cutoff 1e-2</x:v>
      </x:c>
      <x:c r="E2112" s="18" t="n">
        <x:v>200</x:v>
      </x:c>
      <x:c r="F2112" s="21" t="n">
        <x:v>418.81374919872263</x:v>
      </x:c>
      <x:c r="G2112" s="21" t="str">
        <x:f>""</x:f>
      </x:c>
      <x:c r="H2112" s="21" t="n">
        <x:f>F2111</x:f>
        <x:v>420.45713246187836</x:v>
      </x:c>
      <x:c r="I2112" s="27" t="str">
        <x:f>IF(AND(ISNUMBER(G2112),ISNUMBER(H2112),H2112&gt;0),G2112/H2112-1,"")</x:f>
      </x:c>
      <x:c r="J2112" s="27" t="str">
        <x:f>IF(AND(ISNUMBER(G2112),F2112&gt;0),G2112/F2112-1,"")</x:f>
      </x:c>
      <x:c r="K2112" s="19" t="str">
        <x:v>Exp_7/EXP064/results/seed1007_Relative_cutoff_1e-2.json</x:v>
      </x:c>
    </x:row>
    <x:row r="2113" ht="15" hidden="0" customHeight="1">
      <x:c r="A2113" s="3" t="str">
        <x:v>EXP064</x:v>
      </x:c>
      <x:c r="B2113" s="3" t="str">
        <x:v>Exp. 7</x:v>
      </x:c>
      <x:c r="C2113" s="18" t="n">
        <x:v>1008</x:v>
      </x:c>
      <x:c r="D2113" s="3" t="str">
        <x:v>Fixed rank 10</x:v>
      </x:c>
      <x:c r="E2113" s="18" t="n">
        <x:v>200</x:v>
      </x:c>
      <x:c r="F2113" s="21" t="n">
        <x:v>436.06236874674255</x:v>
      </x:c>
      <x:c r="G2113" s="21" t="str">
        <x:f>""</x:f>
      </x:c>
      <x:c r="H2113" s="21" t="n">
        <x:f>F2116</x:f>
        <x:v>406.5753524970366</x:v>
      </x:c>
      <x:c r="I2113" s="27" t="str">
        <x:f>IF(AND(ISNUMBER(G2113),ISNUMBER(H2113),H2113&gt;0),G2113/H2113-1,"")</x:f>
      </x:c>
      <x:c r="J2113" s="27" t="str">
        <x:f>IF(AND(ISNUMBER(G2113),F2113&gt;0),G2113/F2113-1,"")</x:f>
      </x:c>
      <x:c r="K2113" s="19" t="str">
        <x:v>Exp_7/EXP064/results/seed1008_Fixed_rank_10.json</x:v>
      </x:c>
    </x:row>
    <x:row r="2114" ht="15" hidden="0" customHeight="1">
      <x:c r="A2114" s="3" t="str">
        <x:v>EXP064</x:v>
      </x:c>
      <x:c r="B2114" s="3" t="str">
        <x:v>Exp. 7</x:v>
      </x:c>
      <x:c r="C2114" s="18" t="n">
        <x:v>1008</x:v>
      </x:c>
      <x:c r="D2114" s="3" t="str">
        <x:v>Fixed rank 3</x:v>
      </x:c>
      <x:c r="E2114" s="18" t="n">
        <x:v>200</x:v>
      </x:c>
      <x:c r="F2114" s="21" t="n">
        <x:v>401.0822451408297</x:v>
      </x:c>
      <x:c r="G2114" s="21" t="str">
        <x:f>""</x:f>
      </x:c>
      <x:c r="H2114" s="21" t="n">
        <x:f>F2116</x:f>
        <x:v>406.5753524970366</x:v>
      </x:c>
      <x:c r="I2114" s="27" t="str">
        <x:f>IF(AND(ISNUMBER(G2114),ISNUMBER(H2114),H2114&gt;0),G2114/H2114-1,"")</x:f>
      </x:c>
      <x:c r="J2114" s="27" t="str">
        <x:f>IF(AND(ISNUMBER(G2114),F2114&gt;0),G2114/F2114-1,"")</x:f>
      </x:c>
      <x:c r="K2114" s="19" t="str">
        <x:v>Exp_7/EXP064/results/seed1008_Fixed_rank_3.json</x:v>
      </x:c>
    </x:row>
    <x:row r="2115" ht="15" hidden="0" customHeight="1">
      <x:c r="A2115" s="3" t="str">
        <x:v>EXP064</x:v>
      </x:c>
      <x:c r="B2115" s="3" t="str">
        <x:v>Exp. 7</x:v>
      </x:c>
      <x:c r="C2115" s="18" t="n">
        <x:v>1008</x:v>
      </x:c>
      <x:c r="D2115" s="3" t="str">
        <x:v>Fixed rank 5</x:v>
      </x:c>
      <x:c r="E2115" s="18" t="n">
        <x:v>200</x:v>
      </x:c>
      <x:c r="F2115" s="21" t="n">
        <x:v>435.4828915896256</x:v>
      </x:c>
      <x:c r="G2115" s="21" t="str">
        <x:f>""</x:f>
      </x:c>
      <x:c r="H2115" s="21" t="n">
        <x:f>F2116</x:f>
        <x:v>406.5753524970366</x:v>
      </x:c>
      <x:c r="I2115" s="27" t="str">
        <x:f>IF(AND(ISNUMBER(G2115),ISNUMBER(H2115),H2115&gt;0),G2115/H2115-1,"")</x:f>
      </x:c>
      <x:c r="J2115" s="27" t="str">
        <x:f>IF(AND(ISNUMBER(G2115),F2115&gt;0),G2115/F2115-1,"")</x:f>
      </x:c>
      <x:c r="K2115" s="19" t="str">
        <x:v>Exp_7/EXP064/results/seed1008_Fixed_rank_5.json</x:v>
      </x:c>
    </x:row>
    <x:row r="2116" ht="15" hidden="0" customHeight="1">
      <x:c r="A2116" s="3" t="str">
        <x:v>EXP064</x:v>
      </x:c>
      <x:c r="B2116" s="3" t="str">
        <x:v>Exp. 7</x:v>
      </x:c>
      <x:c r="C2116" s="18" t="n">
        <x:v>1008</x:v>
      </x:c>
      <x:c r="D2116" s="3" t="str">
        <x:v>Full</x:v>
      </x:c>
      <x:c r="E2116" s="18" t="n">
        <x:v>200</x:v>
      </x:c>
      <x:c r="F2116" s="21" t="n">
        <x:v>406.5753524970366</x:v>
      </x:c>
      <x:c r="G2116" s="21" t="str">
        <x:f>""</x:f>
      </x:c>
      <x:c r="H2116" s="21" t="n">
        <x:f>F2116</x:f>
        <x:v>406.5753524970366</x:v>
      </x:c>
      <x:c r="I2116" s="27" t="str">
        <x:f>IF(AND(ISNUMBER(G2116),ISNUMBER(H2116),H2116&gt;0),G2116/H2116-1,"")</x:f>
      </x:c>
      <x:c r="J2116" s="27" t="str">
        <x:f>IF(AND(ISNUMBER(G2116),F2116&gt;0),G2116/F2116-1,"")</x:f>
      </x:c>
      <x:c r="K2116" s="19" t="str">
        <x:v>Exp_7/EXP064/results/seed1008_Full.json</x:v>
      </x:c>
    </x:row>
    <x:row r="2117" ht="15" hidden="0" customHeight="1">
      <x:c r="A2117" s="3" t="str">
        <x:v>EXP064</x:v>
      </x:c>
      <x:c r="B2117" s="3" t="str">
        <x:v>Exp. 7</x:v>
      </x:c>
      <x:c r="C2117" s="18" t="n">
        <x:v>1008</x:v>
      </x:c>
      <x:c r="D2117" s="3" t="str">
        <x:v>Relative cutoff 1e-2</x:v>
      </x:c>
      <x:c r="E2117" s="18" t="n">
        <x:v>200</x:v>
      </x:c>
      <x:c r="F2117" s="21" t="n">
        <x:v>431.23530201116387</x:v>
      </x:c>
      <x:c r="G2117" s="21" t="str">
        <x:f>""</x:f>
      </x:c>
      <x:c r="H2117" s="21" t="n">
        <x:f>F2116</x:f>
        <x:v>406.5753524970366</x:v>
      </x:c>
      <x:c r="I2117" s="27" t="str">
        <x:f>IF(AND(ISNUMBER(G2117),ISNUMBER(H2117),H2117&gt;0),G2117/H2117-1,"")</x:f>
      </x:c>
      <x:c r="J2117" s="27" t="str">
        <x:f>IF(AND(ISNUMBER(G2117),F2117&gt;0),G2117/F2117-1,"")</x:f>
      </x:c>
      <x:c r="K2117" s="19" t="str">
        <x:v>Exp_7/EXP064/results/seed1008_Relative_cutoff_1e-2.json</x:v>
      </x:c>
    </x:row>
    <x:row r="2118" ht="15" hidden="0" customHeight="1">
      <x:c r="A2118" s="3" t="str">
        <x:v>EXP064</x:v>
      </x:c>
      <x:c r="B2118" s="3" t="str">
        <x:v>Exp. 7</x:v>
      </x:c>
      <x:c r="C2118" s="18" t="n">
        <x:v>1009</x:v>
      </x:c>
      <x:c r="D2118" s="3" t="str">
        <x:v>Fixed rank 10</x:v>
      </x:c>
      <x:c r="E2118" s="18" t="n">
        <x:v>200</x:v>
      </x:c>
      <x:c r="F2118" s="21" t="n">
        <x:v>410.3977427687619</x:v>
      </x:c>
      <x:c r="G2118" s="21" t="str">
        <x:f>""</x:f>
      </x:c>
      <x:c r="H2118" s="21" t="n">
        <x:f>F2121</x:f>
        <x:v>404.8072136951275</x:v>
      </x:c>
      <x:c r="I2118" s="27" t="str">
        <x:f>IF(AND(ISNUMBER(G2118),ISNUMBER(H2118),H2118&gt;0),G2118/H2118-1,"")</x:f>
      </x:c>
      <x:c r="J2118" s="27" t="str">
        <x:f>IF(AND(ISNUMBER(G2118),F2118&gt;0),G2118/F2118-1,"")</x:f>
      </x:c>
      <x:c r="K2118" s="19" t="str">
        <x:v>Exp_7/EXP064/results/seed1009_Fixed_rank_10.json</x:v>
      </x:c>
    </x:row>
    <x:row r="2119" ht="15" hidden="0" customHeight="1">
      <x:c r="A2119" s="3" t="str">
        <x:v>EXP064</x:v>
      </x:c>
      <x:c r="B2119" s="3" t="str">
        <x:v>Exp. 7</x:v>
      </x:c>
      <x:c r="C2119" s="18" t="n">
        <x:v>1009</x:v>
      </x:c>
      <x:c r="D2119" s="3" t="str">
        <x:v>Fixed rank 3</x:v>
      </x:c>
      <x:c r="E2119" s="18" t="n">
        <x:v>200</x:v>
      </x:c>
      <x:c r="F2119" s="21" t="n">
        <x:v>438.2009469411587</x:v>
      </x:c>
      <x:c r="G2119" s="21" t="str">
        <x:f>""</x:f>
      </x:c>
      <x:c r="H2119" s="21" t="n">
        <x:f>F2121</x:f>
        <x:v>404.8072136951275</x:v>
      </x:c>
      <x:c r="I2119" s="27" t="str">
        <x:f>IF(AND(ISNUMBER(G2119),ISNUMBER(H2119),H2119&gt;0),G2119/H2119-1,"")</x:f>
      </x:c>
      <x:c r="J2119" s="27" t="str">
        <x:f>IF(AND(ISNUMBER(G2119),F2119&gt;0),G2119/F2119-1,"")</x:f>
      </x:c>
      <x:c r="K2119" s="19" t="str">
        <x:v>Exp_7/EXP064/results/seed1009_Fixed_rank_3.json</x:v>
      </x:c>
    </x:row>
    <x:row r="2120" ht="15" hidden="0" customHeight="1">
      <x:c r="A2120" s="3" t="str">
        <x:v>EXP064</x:v>
      </x:c>
      <x:c r="B2120" s="3" t="str">
        <x:v>Exp. 7</x:v>
      </x:c>
      <x:c r="C2120" s="18" t="n">
        <x:v>1009</x:v>
      </x:c>
      <x:c r="D2120" s="3" t="str">
        <x:v>Fixed rank 5</x:v>
      </x:c>
      <x:c r="E2120" s="18" t="n">
        <x:v>200</x:v>
      </x:c>
      <x:c r="F2120" s="21" t="n">
        <x:v>407.3522993684824</x:v>
      </x:c>
      <x:c r="G2120" s="21" t="str">
        <x:f>""</x:f>
      </x:c>
      <x:c r="H2120" s="21" t="n">
        <x:f>F2121</x:f>
        <x:v>404.8072136951275</x:v>
      </x:c>
      <x:c r="I2120" s="27" t="str">
        <x:f>IF(AND(ISNUMBER(G2120),ISNUMBER(H2120),H2120&gt;0),G2120/H2120-1,"")</x:f>
      </x:c>
      <x:c r="J2120" s="27" t="str">
        <x:f>IF(AND(ISNUMBER(G2120),F2120&gt;0),G2120/F2120-1,"")</x:f>
      </x:c>
      <x:c r="K2120" s="19" t="str">
        <x:v>Exp_7/EXP064/results/seed1009_Fixed_rank_5.json</x:v>
      </x:c>
    </x:row>
    <x:row r="2121" ht="15" hidden="0" customHeight="1">
      <x:c r="A2121" s="3" t="str">
        <x:v>EXP064</x:v>
      </x:c>
      <x:c r="B2121" s="3" t="str">
        <x:v>Exp. 7</x:v>
      </x:c>
      <x:c r="C2121" s="18" t="n">
        <x:v>1009</x:v>
      </x:c>
      <x:c r="D2121" s="3" t="str">
        <x:v>Full</x:v>
      </x:c>
      <x:c r="E2121" s="18" t="n">
        <x:v>200</x:v>
      </x:c>
      <x:c r="F2121" s="21" t="n">
        <x:v>404.8072136951275</x:v>
      </x:c>
      <x:c r="G2121" s="21" t="str">
        <x:f>""</x:f>
      </x:c>
      <x:c r="H2121" s="21" t="n">
        <x:f>F2121</x:f>
        <x:v>404.8072136951275</x:v>
      </x:c>
      <x:c r="I2121" s="27" t="str">
        <x:f>IF(AND(ISNUMBER(G2121),ISNUMBER(H2121),H2121&gt;0),G2121/H2121-1,"")</x:f>
      </x:c>
      <x:c r="J2121" s="27" t="str">
        <x:f>IF(AND(ISNUMBER(G2121),F2121&gt;0),G2121/F2121-1,"")</x:f>
      </x:c>
      <x:c r="K2121" s="19" t="str">
        <x:v>Exp_7/EXP064/results/seed1009_Full.json</x:v>
      </x:c>
    </x:row>
    <x:row r="2122" ht="15" hidden="0" customHeight="1">
      <x:c r="A2122" s="3" t="str">
        <x:v>EXP064</x:v>
      </x:c>
      <x:c r="B2122" s="3" t="str">
        <x:v>Exp. 7</x:v>
      </x:c>
      <x:c r="C2122" s="18" t="n">
        <x:v>1009</x:v>
      </x:c>
      <x:c r="D2122" s="3" t="str">
        <x:v>Relative cutoff 1e-2</x:v>
      </x:c>
      <x:c r="E2122" s="18" t="n">
        <x:v>200</x:v>
      </x:c>
      <x:c r="F2122" s="21" t="n">
        <x:v>406.40590954800143</x:v>
      </x:c>
      <x:c r="G2122" s="21" t="str">
        <x:f>""</x:f>
      </x:c>
      <x:c r="H2122" s="21" t="n">
        <x:f>F2121</x:f>
        <x:v>404.8072136951275</x:v>
      </x:c>
      <x:c r="I2122" s="27" t="str">
        <x:f>IF(AND(ISNUMBER(G2122),ISNUMBER(H2122),H2122&gt;0),G2122/H2122-1,"")</x:f>
      </x:c>
      <x:c r="J2122" s="27" t="str">
        <x:f>IF(AND(ISNUMBER(G2122),F2122&gt;0),G2122/F2122-1,"")</x:f>
      </x:c>
      <x:c r="K2122" s="19" t="str">
        <x:v>Exp_7/EXP064/results/seed1009_Relative_cutoff_1e-2.json</x:v>
      </x:c>
    </x:row>
    <x:row r="2123" ht="15" hidden="0" customHeight="1">
      <x:c r="A2123" s="3" t="str">
        <x:v>EXP064</x:v>
      </x:c>
      <x:c r="B2123" s="3" t="str">
        <x:v>Exp. 7</x:v>
      </x:c>
      <x:c r="C2123" s="18" t="n">
        <x:v>1010</x:v>
      </x:c>
      <x:c r="D2123" s="3" t="str">
        <x:v>Fixed rank 10</x:v>
      </x:c>
      <x:c r="E2123" s="18" t="n">
        <x:v>200</x:v>
      </x:c>
      <x:c r="F2123" s="21" t="n">
        <x:v>407.5260874358226</x:v>
      </x:c>
      <x:c r="G2123" s="21" t="str">
        <x:f>""</x:f>
      </x:c>
      <x:c r="H2123" s="21" t="n">
        <x:f>F2126</x:f>
        <x:v>407.5260874358226</x:v>
      </x:c>
      <x:c r="I2123" s="27" t="str">
        <x:f>IF(AND(ISNUMBER(G2123),ISNUMBER(H2123),H2123&gt;0),G2123/H2123-1,"")</x:f>
      </x:c>
      <x:c r="J2123" s="27" t="str">
        <x:f>IF(AND(ISNUMBER(G2123),F2123&gt;0),G2123/F2123-1,"")</x:f>
      </x:c>
      <x:c r="K2123" s="19" t="str">
        <x:v>Exp_7/EXP064/results/seed1010_Fixed_rank_10.json</x:v>
      </x:c>
    </x:row>
    <x:row r="2124" ht="15" hidden="0" customHeight="1">
      <x:c r="A2124" s="3" t="str">
        <x:v>EXP064</x:v>
      </x:c>
      <x:c r="B2124" s="3" t="str">
        <x:v>Exp. 7</x:v>
      </x:c>
      <x:c r="C2124" s="18" t="n">
        <x:v>1010</x:v>
      </x:c>
      <x:c r="D2124" s="3" t="str">
        <x:v>Fixed rank 3</x:v>
      </x:c>
      <x:c r="E2124" s="18" t="n">
        <x:v>200</x:v>
      </x:c>
      <x:c r="F2124" s="21" t="n">
        <x:v>410.3106128358129</x:v>
      </x:c>
      <x:c r="G2124" s="21" t="str">
        <x:f>""</x:f>
      </x:c>
      <x:c r="H2124" s="21" t="n">
        <x:f>F2126</x:f>
        <x:v>407.5260874358226</x:v>
      </x:c>
      <x:c r="I2124" s="27" t="str">
        <x:f>IF(AND(ISNUMBER(G2124),ISNUMBER(H2124),H2124&gt;0),G2124/H2124-1,"")</x:f>
      </x:c>
      <x:c r="J2124" s="27" t="str">
        <x:f>IF(AND(ISNUMBER(G2124),F2124&gt;0),G2124/F2124-1,"")</x:f>
      </x:c>
      <x:c r="K2124" s="19" t="str">
        <x:v>Exp_7/EXP064/results/seed1010_Fixed_rank_3.json</x:v>
      </x:c>
    </x:row>
    <x:row r="2125" ht="15" hidden="0" customHeight="1">
      <x:c r="A2125" s="3" t="str">
        <x:v>EXP064</x:v>
      </x:c>
      <x:c r="B2125" s="3" t="str">
        <x:v>Exp. 7</x:v>
      </x:c>
      <x:c r="C2125" s="18" t="n">
        <x:v>1010</x:v>
      </x:c>
      <x:c r="D2125" s="3" t="str">
        <x:v>Fixed rank 5</x:v>
      </x:c>
      <x:c r="E2125" s="18" t="n">
        <x:v>200</x:v>
      </x:c>
      <x:c r="F2125" s="21" t="n">
        <x:v>402.8347761896835</x:v>
      </x:c>
      <x:c r="G2125" s="21" t="str">
        <x:f>""</x:f>
      </x:c>
      <x:c r="H2125" s="21" t="n">
        <x:f>F2126</x:f>
        <x:v>407.5260874358226</x:v>
      </x:c>
      <x:c r="I2125" s="27" t="str">
        <x:f>IF(AND(ISNUMBER(G2125),ISNUMBER(H2125),H2125&gt;0),G2125/H2125-1,"")</x:f>
      </x:c>
      <x:c r="J2125" s="27" t="str">
        <x:f>IF(AND(ISNUMBER(G2125),F2125&gt;0),G2125/F2125-1,"")</x:f>
      </x:c>
      <x:c r="K2125" s="19" t="str">
        <x:v>Exp_7/EXP064/results/seed1010_Fixed_rank_5.json</x:v>
      </x:c>
    </x:row>
    <x:row r="2126" ht="15" hidden="0" customHeight="1">
      <x:c r="A2126" s="3" t="str">
        <x:v>EXP064</x:v>
      </x:c>
      <x:c r="B2126" s="3" t="str">
        <x:v>Exp. 7</x:v>
      </x:c>
      <x:c r="C2126" s="18" t="n">
        <x:v>1010</x:v>
      </x:c>
      <x:c r="D2126" s="3" t="str">
        <x:v>Full</x:v>
      </x:c>
      <x:c r="E2126" s="18" t="n">
        <x:v>200</x:v>
      </x:c>
      <x:c r="F2126" s="21" t="n">
        <x:v>407.5260874358226</x:v>
      </x:c>
      <x:c r="G2126" s="21" t="str">
        <x:f>""</x:f>
      </x:c>
      <x:c r="H2126" s="21" t="n">
        <x:f>F2126</x:f>
        <x:v>407.5260874358226</x:v>
      </x:c>
      <x:c r="I2126" s="27" t="str">
        <x:f>IF(AND(ISNUMBER(G2126),ISNUMBER(H2126),H2126&gt;0),G2126/H2126-1,"")</x:f>
      </x:c>
      <x:c r="J2126" s="27" t="str">
        <x:f>IF(AND(ISNUMBER(G2126),F2126&gt;0),G2126/F2126-1,"")</x:f>
      </x:c>
      <x:c r="K2126" s="19" t="str">
        <x:v>Exp_7/EXP064/results/seed1010_Full.json</x:v>
      </x:c>
    </x:row>
    <x:row r="2127" ht="15" hidden="0" customHeight="1">
      <x:c r="A2127" s="3" t="str">
        <x:v>EXP064</x:v>
      </x:c>
      <x:c r="B2127" s="3" t="str">
        <x:v>Exp. 7</x:v>
      </x:c>
      <x:c r="C2127" s="18" t="n">
        <x:v>1010</x:v>
      </x:c>
      <x:c r="D2127" s="3" t="str">
        <x:v>Relative cutoff 1e-2</x:v>
      </x:c>
      <x:c r="E2127" s="18" t="n">
        <x:v>200</x:v>
      </x:c>
      <x:c r="F2127" s="21" t="n">
        <x:v>391.2053307047514</x:v>
      </x:c>
      <x:c r="G2127" s="21" t="str">
        <x:f>""</x:f>
      </x:c>
      <x:c r="H2127" s="21" t="n">
        <x:f>F2126</x:f>
        <x:v>407.5260874358226</x:v>
      </x:c>
      <x:c r="I2127" s="27" t="str">
        <x:f>IF(AND(ISNUMBER(G2127),ISNUMBER(H2127),H2127&gt;0),G2127/H2127-1,"")</x:f>
      </x:c>
      <x:c r="J2127" s="27" t="str">
        <x:f>IF(AND(ISNUMBER(G2127),F2127&gt;0),G2127/F2127-1,"")</x:f>
      </x:c>
      <x:c r="K2127" s="19" t="str">
        <x:v>Exp_7/EXP064/results/seed1010_Relative_cutoff_1e-2.json</x:v>
      </x:c>
    </x:row>
    <x:row r="2128" ht="15" hidden="0" customHeight="1">
      <x:c r="A2128" s="3" t="str">
        <x:v>EXP064</x:v>
      </x:c>
      <x:c r="B2128" s="3" t="str">
        <x:v>Exp. 7</x:v>
      </x:c>
      <x:c r="C2128" s="18" t="n">
        <x:v>1011</x:v>
      </x:c>
      <x:c r="D2128" s="3" t="str">
        <x:v>Fixed rank 10</x:v>
      </x:c>
      <x:c r="E2128" s="18" t="n">
        <x:v>200</x:v>
      </x:c>
      <x:c r="F2128" s="21" t="n">
        <x:v>568.9189111405469</x:v>
      </x:c>
      <x:c r="G2128" s="21" t="str">
        <x:f>""</x:f>
      </x:c>
      <x:c r="H2128" s="21" t="n">
        <x:f>F2131</x:f>
        <x:v>567.8069491266923</x:v>
      </x:c>
      <x:c r="I2128" s="27" t="str">
        <x:f>IF(AND(ISNUMBER(G2128),ISNUMBER(H2128),H2128&gt;0),G2128/H2128-1,"")</x:f>
      </x:c>
      <x:c r="J2128" s="27" t="str">
        <x:f>IF(AND(ISNUMBER(G2128),F2128&gt;0),G2128/F2128-1,"")</x:f>
      </x:c>
      <x:c r="K2128" s="19" t="str">
        <x:v>Exp_7/EXP064/results/seed1011_Fixed_rank_10.json</x:v>
      </x:c>
    </x:row>
    <x:row r="2129" ht="15" hidden="0" customHeight="1">
      <x:c r="A2129" s="3" t="str">
        <x:v>EXP064</x:v>
      </x:c>
      <x:c r="B2129" s="3" t="str">
        <x:v>Exp. 7</x:v>
      </x:c>
      <x:c r="C2129" s="18" t="n">
        <x:v>1011</x:v>
      </x:c>
      <x:c r="D2129" s="3" t="str">
        <x:v>Fixed rank 3</x:v>
      </x:c>
      <x:c r="E2129" s="18" t="n">
        <x:v>200</x:v>
      </x:c>
      <x:c r="F2129" s="21" t="n">
        <x:v>556.5185224499251</x:v>
      </x:c>
      <x:c r="G2129" s="21" t="str">
        <x:f>""</x:f>
      </x:c>
      <x:c r="H2129" s="21" t="n">
        <x:f>F2131</x:f>
        <x:v>567.8069491266923</x:v>
      </x:c>
      <x:c r="I2129" s="27" t="str">
        <x:f>IF(AND(ISNUMBER(G2129),ISNUMBER(H2129),H2129&gt;0),G2129/H2129-1,"")</x:f>
      </x:c>
      <x:c r="J2129" s="27" t="str">
        <x:f>IF(AND(ISNUMBER(G2129),F2129&gt;0),G2129/F2129-1,"")</x:f>
      </x:c>
      <x:c r="K2129" s="19" t="str">
        <x:v>Exp_7/EXP064/results/seed1011_Fixed_rank_3.json</x:v>
      </x:c>
    </x:row>
    <x:row r="2130" ht="15" hidden="0" customHeight="1">
      <x:c r="A2130" s="3" t="str">
        <x:v>EXP064</x:v>
      </x:c>
      <x:c r="B2130" s="3" t="str">
        <x:v>Exp. 7</x:v>
      </x:c>
      <x:c r="C2130" s="18" t="n">
        <x:v>1011</x:v>
      </x:c>
      <x:c r="D2130" s="3" t="str">
        <x:v>Fixed rank 5</x:v>
      </x:c>
      <x:c r="E2130" s="18" t="n">
        <x:v>200</x:v>
      </x:c>
      <x:c r="F2130" s="21" t="n">
        <x:v>556.7162189922689</x:v>
      </x:c>
      <x:c r="G2130" s="21" t="str">
        <x:f>""</x:f>
      </x:c>
      <x:c r="H2130" s="21" t="n">
        <x:f>F2131</x:f>
        <x:v>567.8069491266923</x:v>
      </x:c>
      <x:c r="I2130" s="27" t="str">
        <x:f>IF(AND(ISNUMBER(G2130),ISNUMBER(H2130),H2130&gt;0),G2130/H2130-1,"")</x:f>
      </x:c>
      <x:c r="J2130" s="27" t="str">
        <x:f>IF(AND(ISNUMBER(G2130),F2130&gt;0),G2130/F2130-1,"")</x:f>
      </x:c>
      <x:c r="K2130" s="19" t="str">
        <x:v>Exp_7/EXP064/results/seed1011_Fixed_rank_5.json</x:v>
      </x:c>
    </x:row>
    <x:row r="2131" ht="15" hidden="0" customHeight="1">
      <x:c r="A2131" s="3" t="str">
        <x:v>EXP064</x:v>
      </x:c>
      <x:c r="B2131" s="3" t="str">
        <x:v>Exp. 7</x:v>
      </x:c>
      <x:c r="C2131" s="18" t="n">
        <x:v>1011</x:v>
      </x:c>
      <x:c r="D2131" s="3" t="str">
        <x:v>Full</x:v>
      </x:c>
      <x:c r="E2131" s="18" t="n">
        <x:v>200</x:v>
      </x:c>
      <x:c r="F2131" s="21" t="n">
        <x:v>567.8069491266923</x:v>
      </x:c>
      <x:c r="G2131" s="21" t="str">
        <x:f>""</x:f>
      </x:c>
      <x:c r="H2131" s="21" t="n">
        <x:f>F2131</x:f>
        <x:v>567.8069491266923</x:v>
      </x:c>
      <x:c r="I2131" s="27" t="str">
        <x:f>IF(AND(ISNUMBER(G2131),ISNUMBER(H2131),H2131&gt;0),G2131/H2131-1,"")</x:f>
      </x:c>
      <x:c r="J2131" s="27" t="str">
        <x:f>IF(AND(ISNUMBER(G2131),F2131&gt;0),G2131/F2131-1,"")</x:f>
      </x:c>
      <x:c r="K2131" s="19" t="str">
        <x:v>Exp_7/EXP064/results/seed1011_Full.json</x:v>
      </x:c>
    </x:row>
    <x:row r="2132" ht="15" hidden="0" customHeight="1">
      <x:c r="A2132" s="3" t="str">
        <x:v>EXP064</x:v>
      </x:c>
      <x:c r="B2132" s="3" t="str">
        <x:v>Exp. 7</x:v>
      </x:c>
      <x:c r="C2132" s="18" t="n">
        <x:v>1011</x:v>
      </x:c>
      <x:c r="D2132" s="3" t="str">
        <x:v>Relative cutoff 1e-2</x:v>
      </x:c>
      <x:c r="E2132" s="18" t="n">
        <x:v>200</x:v>
      </x:c>
      <x:c r="F2132" s="21" t="n">
        <x:v>571.460928283501</x:v>
      </x:c>
      <x:c r="G2132" s="21" t="str">
        <x:f>""</x:f>
      </x:c>
      <x:c r="H2132" s="21" t="n">
        <x:f>F2131</x:f>
        <x:v>567.8069491266923</x:v>
      </x:c>
      <x:c r="I2132" s="27" t="str">
        <x:f>IF(AND(ISNUMBER(G2132),ISNUMBER(H2132),H2132&gt;0),G2132/H2132-1,"")</x:f>
      </x:c>
      <x:c r="J2132" s="27" t="str">
        <x:f>IF(AND(ISNUMBER(G2132),F2132&gt;0),G2132/F2132-1,"")</x:f>
      </x:c>
      <x:c r="K2132" s="19" t="str">
        <x:v>Exp_7/EXP064/results/seed1011_Relative_cutoff_1e-2.json</x:v>
      </x:c>
    </x:row>
    <x:row r="2133" ht="15" hidden="0" customHeight="1">
      <x:c r="A2133" s="3" t="str">
        <x:v>EXP064</x:v>
      </x:c>
      <x:c r="B2133" s="3" t="str">
        <x:v>Exp. 7</x:v>
      </x:c>
      <x:c r="C2133" s="18" t="n">
        <x:v>1012</x:v>
      </x:c>
      <x:c r="D2133" s="3" t="str">
        <x:v>Fixed rank 10</x:v>
      </x:c>
      <x:c r="E2133" s="18" t="n">
        <x:v>200</x:v>
      </x:c>
      <x:c r="F2133" s="21" t="n">
        <x:v>464.5914295960678</x:v>
      </x:c>
      <x:c r="G2133" s="21" t="str">
        <x:f>""</x:f>
      </x:c>
      <x:c r="H2133" s="21" t="n">
        <x:f>F2136</x:f>
        <x:v>465.6965221100281</x:v>
      </x:c>
      <x:c r="I2133" s="27" t="str">
        <x:f>IF(AND(ISNUMBER(G2133),ISNUMBER(H2133),H2133&gt;0),G2133/H2133-1,"")</x:f>
      </x:c>
      <x:c r="J2133" s="27" t="str">
        <x:f>IF(AND(ISNUMBER(G2133),F2133&gt;0),G2133/F2133-1,"")</x:f>
      </x:c>
      <x:c r="K2133" s="19" t="str">
        <x:v>Exp_7/EXP064/results/seed1012_Fixed_rank_10.json</x:v>
      </x:c>
    </x:row>
    <x:row r="2134" ht="15" hidden="0" customHeight="1">
      <x:c r="A2134" s="3" t="str">
        <x:v>EXP064</x:v>
      </x:c>
      <x:c r="B2134" s="3" t="str">
        <x:v>Exp. 7</x:v>
      </x:c>
      <x:c r="C2134" s="18" t="n">
        <x:v>1012</x:v>
      </x:c>
      <x:c r="D2134" s="3" t="str">
        <x:v>Fixed rank 3</x:v>
      </x:c>
      <x:c r="E2134" s="18" t="n">
        <x:v>200</x:v>
      </x:c>
      <x:c r="F2134" s="21" t="n">
        <x:v>471.66439988946564</x:v>
      </x:c>
      <x:c r="G2134" s="21" t="str">
        <x:f>""</x:f>
      </x:c>
      <x:c r="H2134" s="21" t="n">
        <x:f>F2136</x:f>
        <x:v>465.6965221100281</x:v>
      </x:c>
      <x:c r="I2134" s="27" t="str">
        <x:f>IF(AND(ISNUMBER(G2134),ISNUMBER(H2134),H2134&gt;0),G2134/H2134-1,"")</x:f>
      </x:c>
      <x:c r="J2134" s="27" t="str">
        <x:f>IF(AND(ISNUMBER(G2134),F2134&gt;0),G2134/F2134-1,"")</x:f>
      </x:c>
      <x:c r="K2134" s="19" t="str">
        <x:v>Exp_7/EXP064/results/seed1012_Fixed_rank_3.json</x:v>
      </x:c>
    </x:row>
    <x:row r="2135" ht="15" hidden="0" customHeight="1">
      <x:c r="A2135" s="3" t="str">
        <x:v>EXP064</x:v>
      </x:c>
      <x:c r="B2135" s="3" t="str">
        <x:v>Exp. 7</x:v>
      </x:c>
      <x:c r="C2135" s="18" t="n">
        <x:v>1012</x:v>
      </x:c>
      <x:c r="D2135" s="3" t="str">
        <x:v>Fixed rank 5</x:v>
      </x:c>
      <x:c r="E2135" s="18" t="n">
        <x:v>200</x:v>
      </x:c>
      <x:c r="F2135" s="21" t="n">
        <x:v>499.22756805494856</x:v>
      </x:c>
      <x:c r="G2135" s="21" t="str">
        <x:f>""</x:f>
      </x:c>
      <x:c r="H2135" s="21" t="n">
        <x:f>F2136</x:f>
        <x:v>465.6965221100281</x:v>
      </x:c>
      <x:c r="I2135" s="27" t="str">
        <x:f>IF(AND(ISNUMBER(G2135),ISNUMBER(H2135),H2135&gt;0),G2135/H2135-1,"")</x:f>
      </x:c>
      <x:c r="J2135" s="27" t="str">
        <x:f>IF(AND(ISNUMBER(G2135),F2135&gt;0),G2135/F2135-1,"")</x:f>
      </x:c>
      <x:c r="K2135" s="19" t="str">
        <x:v>Exp_7/EXP064/results/seed1012_Fixed_rank_5.json</x:v>
      </x:c>
    </x:row>
    <x:row r="2136" ht="15" hidden="0" customHeight="1">
      <x:c r="A2136" s="3" t="str">
        <x:v>EXP064</x:v>
      </x:c>
      <x:c r="B2136" s="3" t="str">
        <x:v>Exp. 7</x:v>
      </x:c>
      <x:c r="C2136" s="18" t="n">
        <x:v>1012</x:v>
      </x:c>
      <x:c r="D2136" s="3" t="str">
        <x:v>Full</x:v>
      </x:c>
      <x:c r="E2136" s="18" t="n">
        <x:v>200</x:v>
      </x:c>
      <x:c r="F2136" s="21" t="n">
        <x:v>465.6965221100281</x:v>
      </x:c>
      <x:c r="G2136" s="21" t="str">
        <x:f>""</x:f>
      </x:c>
      <x:c r="H2136" s="21" t="n">
        <x:f>F2136</x:f>
        <x:v>465.6965221100281</x:v>
      </x:c>
      <x:c r="I2136" s="27" t="str">
        <x:f>IF(AND(ISNUMBER(G2136),ISNUMBER(H2136),H2136&gt;0),G2136/H2136-1,"")</x:f>
      </x:c>
      <x:c r="J2136" s="27" t="str">
        <x:f>IF(AND(ISNUMBER(G2136),F2136&gt;0),G2136/F2136-1,"")</x:f>
      </x:c>
      <x:c r="K2136" s="19" t="str">
        <x:v>Exp_7/EXP064/results/seed1012_Full.json</x:v>
      </x:c>
    </x:row>
    <x:row r="2137" ht="15" hidden="0" customHeight="1">
      <x:c r="A2137" s="3" t="str">
        <x:v>EXP064</x:v>
      </x:c>
      <x:c r="B2137" s="3" t="str">
        <x:v>Exp. 7</x:v>
      </x:c>
      <x:c r="C2137" s="18" t="n">
        <x:v>1012</x:v>
      </x:c>
      <x:c r="D2137" s="3" t="str">
        <x:v>Relative cutoff 1e-2</x:v>
      </x:c>
      <x:c r="E2137" s="18" t="n">
        <x:v>200</x:v>
      </x:c>
      <x:c r="F2137" s="21" t="n">
        <x:v>491.293263528326</x:v>
      </x:c>
      <x:c r="G2137" s="21" t="str">
        <x:f>""</x:f>
      </x:c>
      <x:c r="H2137" s="21" t="n">
        <x:f>F2136</x:f>
        <x:v>465.6965221100281</x:v>
      </x:c>
      <x:c r="I2137" s="27" t="str">
        <x:f>IF(AND(ISNUMBER(G2137),ISNUMBER(H2137),H2137&gt;0),G2137/H2137-1,"")</x:f>
      </x:c>
      <x:c r="J2137" s="27" t="str">
        <x:f>IF(AND(ISNUMBER(G2137),F2137&gt;0),G2137/F2137-1,"")</x:f>
      </x:c>
      <x:c r="K2137" s="19" t="str">
        <x:v>Exp_7/EXP064/results/seed1012_Relative_cutoff_1e-2.json</x:v>
      </x:c>
    </x:row>
    <x:row r="2138" ht="15" hidden="0" customHeight="1">
      <x:c r="A2138" s="3" t="str">
        <x:v>EXP064</x:v>
      </x:c>
      <x:c r="B2138" s="3" t="str">
        <x:v>Exp. 7</x:v>
      </x:c>
      <x:c r="C2138" s="18" t="n">
        <x:v>1013</x:v>
      </x:c>
      <x:c r="D2138" s="3" t="str">
        <x:v>Fixed rank 10</x:v>
      </x:c>
      <x:c r="E2138" s="18" t="n">
        <x:v>200</x:v>
      </x:c>
      <x:c r="F2138" s="21" t="n">
        <x:v>499.01569438153416</x:v>
      </x:c>
      <x:c r="G2138" s="21" t="str">
        <x:f>""</x:f>
      </x:c>
      <x:c r="H2138" s="21" t="n">
        <x:f>F2141</x:f>
        <x:v>499.01569438153416</x:v>
      </x:c>
      <x:c r="I2138" s="27" t="str">
        <x:f>IF(AND(ISNUMBER(G2138),ISNUMBER(H2138),H2138&gt;0),G2138/H2138-1,"")</x:f>
      </x:c>
      <x:c r="J2138" s="27" t="str">
        <x:f>IF(AND(ISNUMBER(G2138),F2138&gt;0),G2138/F2138-1,"")</x:f>
      </x:c>
      <x:c r="K2138" s="19" t="str">
        <x:v>Exp_7/EXP064/results/seed1013_Fixed_rank_10.json</x:v>
      </x:c>
    </x:row>
    <x:row r="2139" ht="15" hidden="0" customHeight="1">
      <x:c r="A2139" s="3" t="str">
        <x:v>EXP064</x:v>
      </x:c>
      <x:c r="B2139" s="3" t="str">
        <x:v>Exp. 7</x:v>
      </x:c>
      <x:c r="C2139" s="18" t="n">
        <x:v>1013</x:v>
      </x:c>
      <x:c r="D2139" s="3" t="str">
        <x:v>Fixed rank 3</x:v>
      </x:c>
      <x:c r="E2139" s="18" t="n">
        <x:v>200</x:v>
      </x:c>
      <x:c r="F2139" s="21" t="n">
        <x:v>468.93916179633226</x:v>
      </x:c>
      <x:c r="G2139" s="21" t="str">
        <x:f>""</x:f>
      </x:c>
      <x:c r="H2139" s="21" t="n">
        <x:f>F2141</x:f>
        <x:v>499.01569438153416</x:v>
      </x:c>
      <x:c r="I2139" s="27" t="str">
        <x:f>IF(AND(ISNUMBER(G2139),ISNUMBER(H2139),H2139&gt;0),G2139/H2139-1,"")</x:f>
      </x:c>
      <x:c r="J2139" s="27" t="str">
        <x:f>IF(AND(ISNUMBER(G2139),F2139&gt;0),G2139/F2139-1,"")</x:f>
      </x:c>
      <x:c r="K2139" s="19" t="str">
        <x:v>Exp_7/EXP064/results/seed1013_Fixed_rank_3.json</x:v>
      </x:c>
    </x:row>
    <x:row r="2140" ht="15" hidden="0" customHeight="1">
      <x:c r="A2140" s="3" t="str">
        <x:v>EXP064</x:v>
      </x:c>
      <x:c r="B2140" s="3" t="str">
        <x:v>Exp. 7</x:v>
      </x:c>
      <x:c r="C2140" s="18" t="n">
        <x:v>1013</x:v>
      </x:c>
      <x:c r="D2140" s="3" t="str">
        <x:v>Fixed rank 5</x:v>
      </x:c>
      <x:c r="E2140" s="18" t="n">
        <x:v>200</x:v>
      </x:c>
      <x:c r="F2140" s="21" t="n">
        <x:v>499.01569438153416</x:v>
      </x:c>
      <x:c r="G2140" s="21" t="str">
        <x:f>""</x:f>
      </x:c>
      <x:c r="H2140" s="21" t="n">
        <x:f>F2141</x:f>
        <x:v>499.01569438153416</x:v>
      </x:c>
      <x:c r="I2140" s="27" t="str">
        <x:f>IF(AND(ISNUMBER(G2140),ISNUMBER(H2140),H2140&gt;0),G2140/H2140-1,"")</x:f>
      </x:c>
      <x:c r="J2140" s="27" t="str">
        <x:f>IF(AND(ISNUMBER(G2140),F2140&gt;0),G2140/F2140-1,"")</x:f>
      </x:c>
      <x:c r="K2140" s="19" t="str">
        <x:v>Exp_7/EXP064/results/seed1013_Fixed_rank_5.json</x:v>
      </x:c>
    </x:row>
    <x:row r="2141" ht="15" hidden="0" customHeight="1">
      <x:c r="A2141" s="3" t="str">
        <x:v>EXP064</x:v>
      </x:c>
      <x:c r="B2141" s="3" t="str">
        <x:v>Exp. 7</x:v>
      </x:c>
      <x:c r="C2141" s="18" t="n">
        <x:v>1013</x:v>
      </x:c>
      <x:c r="D2141" s="3" t="str">
        <x:v>Full</x:v>
      </x:c>
      <x:c r="E2141" s="18" t="n">
        <x:v>200</x:v>
      </x:c>
      <x:c r="F2141" s="21" t="n">
        <x:v>499.01569438153416</x:v>
      </x:c>
      <x:c r="G2141" s="21" t="str">
        <x:f>""</x:f>
      </x:c>
      <x:c r="H2141" s="21" t="n">
        <x:f>F2141</x:f>
        <x:v>499.01569438153416</x:v>
      </x:c>
      <x:c r="I2141" s="27" t="str">
        <x:f>IF(AND(ISNUMBER(G2141),ISNUMBER(H2141),H2141&gt;0),G2141/H2141-1,"")</x:f>
      </x:c>
      <x:c r="J2141" s="27" t="str">
        <x:f>IF(AND(ISNUMBER(G2141),F2141&gt;0),G2141/F2141-1,"")</x:f>
      </x:c>
      <x:c r="K2141" s="19" t="str">
        <x:v>Exp_7/EXP064/results/seed1013_Full.json</x:v>
      </x:c>
    </x:row>
    <x:row r="2142" ht="15" hidden="0" customHeight="1">
      <x:c r="A2142" s="3" t="str">
        <x:v>EXP064</x:v>
      </x:c>
      <x:c r="B2142" s="3" t="str">
        <x:v>Exp. 7</x:v>
      </x:c>
      <x:c r="C2142" s="18" t="n">
        <x:v>1013</x:v>
      </x:c>
      <x:c r="D2142" s="3" t="str">
        <x:v>Relative cutoff 1e-2</x:v>
      </x:c>
      <x:c r="E2142" s="18" t="n">
        <x:v>200</x:v>
      </x:c>
      <x:c r="F2142" s="21" t="n">
        <x:v>487.88002911042213</x:v>
      </x:c>
      <x:c r="G2142" s="21" t="str">
        <x:f>""</x:f>
      </x:c>
      <x:c r="H2142" s="21" t="n">
        <x:f>F2141</x:f>
        <x:v>499.01569438153416</x:v>
      </x:c>
      <x:c r="I2142" s="27" t="str">
        <x:f>IF(AND(ISNUMBER(G2142),ISNUMBER(H2142),H2142&gt;0),G2142/H2142-1,"")</x:f>
      </x:c>
      <x:c r="J2142" s="27" t="str">
        <x:f>IF(AND(ISNUMBER(G2142),F2142&gt;0),G2142/F2142-1,"")</x:f>
      </x:c>
      <x:c r="K2142" s="19" t="str">
        <x:v>Exp_7/EXP064/results/seed1013_Relative_cutoff_1e-2.json</x:v>
      </x:c>
    </x:row>
    <x:row r="2143" ht="15" hidden="0" customHeight="1">
      <x:c r="A2143" s="3" t="str">
        <x:v>EXP064</x:v>
      </x:c>
      <x:c r="B2143" s="3" t="str">
        <x:v>Exp. 7</x:v>
      </x:c>
      <x:c r="C2143" s="18" t="n">
        <x:v>1014</x:v>
      </x:c>
      <x:c r="D2143" s="3" t="str">
        <x:v>Fixed rank 10</x:v>
      </x:c>
      <x:c r="E2143" s="18" t="n">
        <x:v>200</x:v>
      </x:c>
      <x:c r="F2143" s="21" t="n">
        <x:v>519.9745236044922</x:v>
      </x:c>
      <x:c r="G2143" s="21" t="str">
        <x:f>""</x:f>
      </x:c>
      <x:c r="H2143" s="21" t="n">
        <x:f>F2146</x:f>
        <x:v>509.9486187148867</x:v>
      </x:c>
      <x:c r="I2143" s="27" t="str">
        <x:f>IF(AND(ISNUMBER(G2143),ISNUMBER(H2143),H2143&gt;0),G2143/H2143-1,"")</x:f>
      </x:c>
      <x:c r="J2143" s="27" t="str">
        <x:f>IF(AND(ISNUMBER(G2143),F2143&gt;0),G2143/F2143-1,"")</x:f>
      </x:c>
      <x:c r="K2143" s="19" t="str">
        <x:v>Exp_7/EXP064/results/seed1014_Fixed_rank_10.json</x:v>
      </x:c>
    </x:row>
    <x:row r="2144" ht="15" hidden="0" customHeight="1">
      <x:c r="A2144" s="3" t="str">
        <x:v>EXP064</x:v>
      </x:c>
      <x:c r="B2144" s="3" t="str">
        <x:v>Exp. 7</x:v>
      </x:c>
      <x:c r="C2144" s="18" t="n">
        <x:v>1014</x:v>
      </x:c>
      <x:c r="D2144" s="3" t="str">
        <x:v>Fixed rank 3</x:v>
      </x:c>
      <x:c r="E2144" s="18" t="n">
        <x:v>200</x:v>
      </x:c>
      <x:c r="F2144" s="21" t="n">
        <x:v>533.7661001644633</x:v>
      </x:c>
      <x:c r="G2144" s="21" t="str">
        <x:f>""</x:f>
      </x:c>
      <x:c r="H2144" s="21" t="n">
        <x:f>F2146</x:f>
        <x:v>509.9486187148867</x:v>
      </x:c>
      <x:c r="I2144" s="27" t="str">
        <x:f>IF(AND(ISNUMBER(G2144),ISNUMBER(H2144),H2144&gt;0),G2144/H2144-1,"")</x:f>
      </x:c>
      <x:c r="J2144" s="27" t="str">
        <x:f>IF(AND(ISNUMBER(G2144),F2144&gt;0),G2144/F2144-1,"")</x:f>
      </x:c>
      <x:c r="K2144" s="19" t="str">
        <x:v>Exp_7/EXP064/results/seed1014_Fixed_rank_3.json</x:v>
      </x:c>
    </x:row>
    <x:row r="2145" ht="15" hidden="0" customHeight="1">
      <x:c r="A2145" s="3" t="str">
        <x:v>EXP064</x:v>
      </x:c>
      <x:c r="B2145" s="3" t="str">
        <x:v>Exp. 7</x:v>
      </x:c>
      <x:c r="C2145" s="18" t="n">
        <x:v>1014</x:v>
      </x:c>
      <x:c r="D2145" s="3" t="str">
        <x:v>Fixed rank 5</x:v>
      </x:c>
      <x:c r="E2145" s="18" t="n">
        <x:v>200</x:v>
      </x:c>
      <x:c r="F2145" s="21" t="n">
        <x:v>520.9356507953013</x:v>
      </x:c>
      <x:c r="G2145" s="21" t="str">
        <x:f>""</x:f>
      </x:c>
      <x:c r="H2145" s="21" t="n">
        <x:f>F2146</x:f>
        <x:v>509.9486187148867</x:v>
      </x:c>
      <x:c r="I2145" s="27" t="str">
        <x:f>IF(AND(ISNUMBER(G2145),ISNUMBER(H2145),H2145&gt;0),G2145/H2145-1,"")</x:f>
      </x:c>
      <x:c r="J2145" s="27" t="str">
        <x:f>IF(AND(ISNUMBER(G2145),F2145&gt;0),G2145/F2145-1,"")</x:f>
      </x:c>
      <x:c r="K2145" s="19" t="str">
        <x:v>Exp_7/EXP064/results/seed1014_Fixed_rank_5.json</x:v>
      </x:c>
    </x:row>
    <x:row r="2146" ht="15" hidden="0" customHeight="1">
      <x:c r="A2146" s="3" t="str">
        <x:v>EXP064</x:v>
      </x:c>
      <x:c r="B2146" s="3" t="str">
        <x:v>Exp. 7</x:v>
      </x:c>
      <x:c r="C2146" s="18" t="n">
        <x:v>1014</x:v>
      </x:c>
      <x:c r="D2146" s="3" t="str">
        <x:v>Full</x:v>
      </x:c>
      <x:c r="E2146" s="18" t="n">
        <x:v>200</x:v>
      </x:c>
      <x:c r="F2146" s="21" t="n">
        <x:v>509.9486187148867</x:v>
      </x:c>
      <x:c r="G2146" s="21" t="str">
        <x:f>""</x:f>
      </x:c>
      <x:c r="H2146" s="21" t="n">
        <x:f>F2146</x:f>
        <x:v>509.9486187148867</x:v>
      </x:c>
      <x:c r="I2146" s="27" t="str">
        <x:f>IF(AND(ISNUMBER(G2146),ISNUMBER(H2146),H2146&gt;0),G2146/H2146-1,"")</x:f>
      </x:c>
      <x:c r="J2146" s="27" t="str">
        <x:f>IF(AND(ISNUMBER(G2146),F2146&gt;0),G2146/F2146-1,"")</x:f>
      </x:c>
      <x:c r="K2146" s="19" t="str">
        <x:v>Exp_7/EXP064/results/seed1014_Full.json</x:v>
      </x:c>
    </x:row>
    <x:row r="2147" ht="15" hidden="0" customHeight="1">
      <x:c r="A2147" s="3" t="str">
        <x:v>EXP064</x:v>
      </x:c>
      <x:c r="B2147" s="3" t="str">
        <x:v>Exp. 7</x:v>
      </x:c>
      <x:c r="C2147" s="18" t="n">
        <x:v>1014</x:v>
      </x:c>
      <x:c r="D2147" s="3" t="str">
        <x:v>Relative cutoff 1e-2</x:v>
      </x:c>
      <x:c r="E2147" s="18" t="n">
        <x:v>200</x:v>
      </x:c>
      <x:c r="F2147" s="21" t="n">
        <x:v>517.7696603431946</x:v>
      </x:c>
      <x:c r="G2147" s="21" t="str">
        <x:f>""</x:f>
      </x:c>
      <x:c r="H2147" s="21" t="n">
        <x:f>F2146</x:f>
        <x:v>509.9486187148867</x:v>
      </x:c>
      <x:c r="I2147" s="27" t="str">
        <x:f>IF(AND(ISNUMBER(G2147),ISNUMBER(H2147),H2147&gt;0),G2147/H2147-1,"")</x:f>
      </x:c>
      <x:c r="J2147" s="27" t="str">
        <x:f>IF(AND(ISNUMBER(G2147),F2147&gt;0),G2147/F2147-1,"")</x:f>
      </x:c>
      <x:c r="K2147" s="19" t="str">
        <x:v>Exp_7/EXP064/results/seed1014_Relative_cutoff_1e-2.json</x:v>
      </x:c>
    </x:row>
    <x:row r="2148" ht="15" hidden="0" customHeight="1">
      <x:c r="A2148" s="3" t="str">
        <x:v>EXP064</x:v>
      </x:c>
      <x:c r="B2148" s="3" t="str">
        <x:v>Exp. 7</x:v>
      </x:c>
      <x:c r="C2148" s="18" t="n">
        <x:v>1015</x:v>
      </x:c>
      <x:c r="D2148" s="3" t="str">
        <x:v>Fixed rank 10</x:v>
      </x:c>
      <x:c r="E2148" s="18" t="n">
        <x:v>200</x:v>
      </x:c>
      <x:c r="F2148" s="21" t="n">
        <x:v>439.2631882493298</x:v>
      </x:c>
      <x:c r="G2148" s="21" t="str">
        <x:f>""</x:f>
      </x:c>
      <x:c r="H2148" s="21" t="n">
        <x:f>F2151</x:f>
        <x:v>403.57300220680844</x:v>
      </x:c>
      <x:c r="I2148" s="27" t="str">
        <x:f>IF(AND(ISNUMBER(G2148),ISNUMBER(H2148),H2148&gt;0),G2148/H2148-1,"")</x:f>
      </x:c>
      <x:c r="J2148" s="27" t="str">
        <x:f>IF(AND(ISNUMBER(G2148),F2148&gt;0),G2148/F2148-1,"")</x:f>
      </x:c>
      <x:c r="K2148" s="19" t="str">
        <x:v>Exp_7/EXP064/results/seed1015_Fixed_rank_10.json</x:v>
      </x:c>
    </x:row>
    <x:row r="2149" ht="15" hidden="0" customHeight="1">
      <x:c r="A2149" s="3" t="str">
        <x:v>EXP064</x:v>
      </x:c>
      <x:c r="B2149" s="3" t="str">
        <x:v>Exp. 7</x:v>
      </x:c>
      <x:c r="C2149" s="18" t="n">
        <x:v>1015</x:v>
      </x:c>
      <x:c r="D2149" s="3" t="str">
        <x:v>Fixed rank 3</x:v>
      </x:c>
      <x:c r="E2149" s="18" t="n">
        <x:v>200</x:v>
      </x:c>
      <x:c r="F2149" s="21" t="n">
        <x:v>465.5265573249836</x:v>
      </x:c>
      <x:c r="G2149" s="21" t="str">
        <x:f>""</x:f>
      </x:c>
      <x:c r="H2149" s="21" t="n">
        <x:f>F2151</x:f>
        <x:v>403.57300220680844</x:v>
      </x:c>
      <x:c r="I2149" s="27" t="str">
        <x:f>IF(AND(ISNUMBER(G2149),ISNUMBER(H2149),H2149&gt;0),G2149/H2149-1,"")</x:f>
      </x:c>
      <x:c r="J2149" s="27" t="str">
        <x:f>IF(AND(ISNUMBER(G2149),F2149&gt;0),G2149/F2149-1,"")</x:f>
      </x:c>
      <x:c r="K2149" s="19" t="str">
        <x:v>Exp_7/EXP064/results/seed1015_Fixed_rank_3.json</x:v>
      </x:c>
    </x:row>
    <x:row r="2150" ht="15" hidden="0" customHeight="1">
      <x:c r="A2150" s="3" t="str">
        <x:v>EXP064</x:v>
      </x:c>
      <x:c r="B2150" s="3" t="str">
        <x:v>Exp. 7</x:v>
      </x:c>
      <x:c r="C2150" s="18" t="n">
        <x:v>1015</x:v>
      </x:c>
      <x:c r="D2150" s="3" t="str">
        <x:v>Fixed rank 5</x:v>
      </x:c>
      <x:c r="E2150" s="18" t="n">
        <x:v>200</x:v>
      </x:c>
      <x:c r="F2150" s="21" t="n">
        <x:v>439.2631882493298</x:v>
      </x:c>
      <x:c r="G2150" s="21" t="str">
        <x:f>""</x:f>
      </x:c>
      <x:c r="H2150" s="21" t="n">
        <x:f>F2151</x:f>
        <x:v>403.57300220680844</x:v>
      </x:c>
      <x:c r="I2150" s="27" t="str">
        <x:f>IF(AND(ISNUMBER(G2150),ISNUMBER(H2150),H2150&gt;0),G2150/H2150-1,"")</x:f>
      </x:c>
      <x:c r="J2150" s="27" t="str">
        <x:f>IF(AND(ISNUMBER(G2150),F2150&gt;0),G2150/F2150-1,"")</x:f>
      </x:c>
      <x:c r="K2150" s="19" t="str">
        <x:v>Exp_7/EXP064/results/seed1015_Fixed_rank_5.json</x:v>
      </x:c>
    </x:row>
    <x:row r="2151" ht="15" hidden="0" customHeight="1">
      <x:c r="A2151" s="3" t="str">
        <x:v>EXP064</x:v>
      </x:c>
      <x:c r="B2151" s="3" t="str">
        <x:v>Exp. 7</x:v>
      </x:c>
      <x:c r="C2151" s="18" t="n">
        <x:v>1015</x:v>
      </x:c>
      <x:c r="D2151" s="3" t="str">
        <x:v>Full</x:v>
      </x:c>
      <x:c r="E2151" s="18" t="n">
        <x:v>200</x:v>
      </x:c>
      <x:c r="F2151" s="21" t="n">
        <x:v>403.57300220680844</x:v>
      </x:c>
      <x:c r="G2151" s="21" t="str">
        <x:f>""</x:f>
      </x:c>
      <x:c r="H2151" s="21" t="n">
        <x:f>F2151</x:f>
        <x:v>403.57300220680844</x:v>
      </x:c>
      <x:c r="I2151" s="27" t="str">
        <x:f>IF(AND(ISNUMBER(G2151),ISNUMBER(H2151),H2151&gt;0),G2151/H2151-1,"")</x:f>
      </x:c>
      <x:c r="J2151" s="27" t="str">
        <x:f>IF(AND(ISNUMBER(G2151),F2151&gt;0),G2151/F2151-1,"")</x:f>
      </x:c>
      <x:c r="K2151" s="19" t="str">
        <x:v>Exp_7/EXP064/results/seed1015_Full.json</x:v>
      </x:c>
    </x:row>
    <x:row r="2152" ht="15" hidden="0" customHeight="1">
      <x:c r="A2152" s="3" t="str">
        <x:v>EXP064</x:v>
      </x:c>
      <x:c r="B2152" s="3" t="str">
        <x:v>Exp. 7</x:v>
      </x:c>
      <x:c r="C2152" s="18" t="n">
        <x:v>1015</x:v>
      </x:c>
      <x:c r="D2152" s="3" t="str">
        <x:v>Relative cutoff 1e-2</x:v>
      </x:c>
      <x:c r="E2152" s="18" t="n">
        <x:v>200</x:v>
      </x:c>
      <x:c r="F2152" s="21" t="n">
        <x:v>449.1362223727797</x:v>
      </x:c>
      <x:c r="G2152" s="21" t="str">
        <x:f>""</x:f>
      </x:c>
      <x:c r="H2152" s="21" t="n">
        <x:f>F2151</x:f>
        <x:v>403.57300220680844</x:v>
      </x:c>
      <x:c r="I2152" s="27" t="str">
        <x:f>IF(AND(ISNUMBER(G2152),ISNUMBER(H2152),H2152&gt;0),G2152/H2152-1,"")</x:f>
      </x:c>
      <x:c r="J2152" s="27" t="str">
        <x:f>IF(AND(ISNUMBER(G2152),F2152&gt;0),G2152/F2152-1,"")</x:f>
      </x:c>
      <x:c r="K2152" s="19" t="str">
        <x:v>Exp_7/EXP064/results/seed1015_Relative_cutoff_1e-2.json</x:v>
      </x:c>
    </x:row>
    <x:row r="2153" ht="15" hidden="0" customHeight="1">
      <x:c r="A2153" s="3" t="str">
        <x:v>EXP064</x:v>
      </x:c>
      <x:c r="B2153" s="3" t="str">
        <x:v>Exp. 7</x:v>
      </x:c>
      <x:c r="C2153" s="18" t="n">
        <x:v>1016</x:v>
      </x:c>
      <x:c r="D2153" s="3" t="str">
        <x:v>Fixed rank 10</x:v>
      </x:c>
      <x:c r="E2153" s="18" t="n">
        <x:v>200</x:v>
      </x:c>
      <x:c r="F2153" s="21" t="n">
        <x:v>498.54445917588555</x:v>
      </x:c>
      <x:c r="G2153" s="21" t="str">
        <x:f>""</x:f>
      </x:c>
      <x:c r="H2153" s="21" t="n">
        <x:f>F2156</x:f>
        <x:v>498.54445917588555</x:v>
      </x:c>
      <x:c r="I2153" s="27" t="str">
        <x:f>IF(AND(ISNUMBER(G2153),ISNUMBER(H2153),H2153&gt;0),G2153/H2153-1,"")</x:f>
      </x:c>
      <x:c r="J2153" s="27" t="str">
        <x:f>IF(AND(ISNUMBER(G2153),F2153&gt;0),G2153/F2153-1,"")</x:f>
      </x:c>
      <x:c r="K2153" s="19" t="str">
        <x:v>Exp_7/EXP064/results/seed1016_Fixed_rank_10.json</x:v>
      </x:c>
    </x:row>
    <x:row r="2154" ht="15" hidden="0" customHeight="1">
      <x:c r="A2154" s="3" t="str">
        <x:v>EXP064</x:v>
      </x:c>
      <x:c r="B2154" s="3" t="str">
        <x:v>Exp. 7</x:v>
      </x:c>
      <x:c r="C2154" s="18" t="n">
        <x:v>1016</x:v>
      </x:c>
      <x:c r="D2154" s="3" t="str">
        <x:v>Fixed rank 3</x:v>
      </x:c>
      <x:c r="E2154" s="18" t="n">
        <x:v>200</x:v>
      </x:c>
      <x:c r="F2154" s="21" t="n">
        <x:v>471.04221727931514</x:v>
      </x:c>
      <x:c r="G2154" s="21" t="str">
        <x:f>""</x:f>
      </x:c>
      <x:c r="H2154" s="21" t="n">
        <x:f>F2156</x:f>
        <x:v>498.54445917588555</x:v>
      </x:c>
      <x:c r="I2154" s="27" t="str">
        <x:f>IF(AND(ISNUMBER(G2154),ISNUMBER(H2154),H2154&gt;0),G2154/H2154-1,"")</x:f>
      </x:c>
      <x:c r="J2154" s="27" t="str">
        <x:f>IF(AND(ISNUMBER(G2154),F2154&gt;0),G2154/F2154-1,"")</x:f>
      </x:c>
      <x:c r="K2154" s="19" t="str">
        <x:v>Exp_7/EXP064/results/seed1016_Fixed_rank_3.json</x:v>
      </x:c>
    </x:row>
    <x:row r="2155" ht="15" hidden="0" customHeight="1">
      <x:c r="A2155" s="3" t="str">
        <x:v>EXP064</x:v>
      </x:c>
      <x:c r="B2155" s="3" t="str">
        <x:v>Exp. 7</x:v>
      </x:c>
      <x:c r="C2155" s="18" t="n">
        <x:v>1016</x:v>
      </x:c>
      <x:c r="D2155" s="3" t="str">
        <x:v>Fixed rank 5</x:v>
      </x:c>
      <x:c r="E2155" s="18" t="n">
        <x:v>200</x:v>
      </x:c>
      <x:c r="F2155" s="21" t="n">
        <x:v>478.61117824531374</x:v>
      </x:c>
      <x:c r="G2155" s="21" t="str">
        <x:f>""</x:f>
      </x:c>
      <x:c r="H2155" s="21" t="n">
        <x:f>F2156</x:f>
        <x:v>498.54445917588555</x:v>
      </x:c>
      <x:c r="I2155" s="27" t="str">
        <x:f>IF(AND(ISNUMBER(G2155),ISNUMBER(H2155),H2155&gt;0),G2155/H2155-1,"")</x:f>
      </x:c>
      <x:c r="J2155" s="27" t="str">
        <x:f>IF(AND(ISNUMBER(G2155),F2155&gt;0),G2155/F2155-1,"")</x:f>
      </x:c>
      <x:c r="K2155" s="19" t="str">
        <x:v>Exp_7/EXP064/results/seed1016_Fixed_rank_5.json</x:v>
      </x:c>
    </x:row>
    <x:row r="2156" ht="15" hidden="0" customHeight="1">
      <x:c r="A2156" s="3" t="str">
        <x:v>EXP064</x:v>
      </x:c>
      <x:c r="B2156" s="3" t="str">
        <x:v>Exp. 7</x:v>
      </x:c>
      <x:c r="C2156" s="18" t="n">
        <x:v>1016</x:v>
      </x:c>
      <x:c r="D2156" s="3" t="str">
        <x:v>Full</x:v>
      </x:c>
      <x:c r="E2156" s="18" t="n">
        <x:v>200</x:v>
      </x:c>
      <x:c r="F2156" s="21" t="n">
        <x:v>498.54445917588555</x:v>
      </x:c>
      <x:c r="G2156" s="21" t="str">
        <x:f>""</x:f>
      </x:c>
      <x:c r="H2156" s="21" t="n">
        <x:f>F2156</x:f>
        <x:v>498.54445917588555</x:v>
      </x:c>
      <x:c r="I2156" s="27" t="str">
        <x:f>IF(AND(ISNUMBER(G2156),ISNUMBER(H2156),H2156&gt;0),G2156/H2156-1,"")</x:f>
      </x:c>
      <x:c r="J2156" s="27" t="str">
        <x:f>IF(AND(ISNUMBER(G2156),F2156&gt;0),G2156/F2156-1,"")</x:f>
      </x:c>
      <x:c r="K2156" s="19" t="str">
        <x:v>Exp_7/EXP064/results/seed1016_Full.json</x:v>
      </x:c>
    </x:row>
    <x:row r="2157" ht="15" hidden="0" customHeight="1">
      <x:c r="A2157" s="3" t="str">
        <x:v>EXP064</x:v>
      </x:c>
      <x:c r="B2157" s="3" t="str">
        <x:v>Exp. 7</x:v>
      </x:c>
      <x:c r="C2157" s="18" t="n">
        <x:v>1016</x:v>
      </x:c>
      <x:c r="D2157" s="3" t="str">
        <x:v>Relative cutoff 1e-2</x:v>
      </x:c>
      <x:c r="E2157" s="18" t="n">
        <x:v>200</x:v>
      </x:c>
      <x:c r="F2157" s="21" t="n">
        <x:v>477.09920621447543</x:v>
      </x:c>
      <x:c r="G2157" s="21" t="str">
        <x:f>""</x:f>
      </x:c>
      <x:c r="H2157" s="21" t="n">
        <x:f>F2156</x:f>
        <x:v>498.54445917588555</x:v>
      </x:c>
      <x:c r="I2157" s="27" t="str">
        <x:f>IF(AND(ISNUMBER(G2157),ISNUMBER(H2157),H2157&gt;0),G2157/H2157-1,"")</x:f>
      </x:c>
      <x:c r="J2157" s="27" t="str">
        <x:f>IF(AND(ISNUMBER(G2157),F2157&gt;0),G2157/F2157-1,"")</x:f>
      </x:c>
      <x:c r="K2157" s="19" t="str">
        <x:v>Exp_7/EXP064/results/seed1016_Relative_cutoff_1e-2.json</x:v>
      </x:c>
    </x:row>
    <x:row r="2158" ht="15" hidden="0" customHeight="1">
      <x:c r="A2158" s="3" t="str">
        <x:v>EXP064</x:v>
      </x:c>
      <x:c r="B2158" s="3" t="str">
        <x:v>Exp. 7</x:v>
      </x:c>
      <x:c r="C2158" s="18" t="n">
        <x:v>1017</x:v>
      </x:c>
      <x:c r="D2158" s="3" t="str">
        <x:v>Fixed rank 10</x:v>
      </x:c>
      <x:c r="E2158" s="18" t="n">
        <x:v>200</x:v>
      </x:c>
      <x:c r="F2158" s="21" t="n">
        <x:v>568.24009612179</x:v>
      </x:c>
      <x:c r="G2158" s="21" t="str">
        <x:f>""</x:f>
      </x:c>
      <x:c r="H2158" s="21" t="n">
        <x:f>F2161</x:f>
        <x:v>568.24009612179</x:v>
      </x:c>
      <x:c r="I2158" s="27" t="str">
        <x:f>IF(AND(ISNUMBER(G2158),ISNUMBER(H2158),H2158&gt;0),G2158/H2158-1,"")</x:f>
      </x:c>
      <x:c r="J2158" s="27" t="str">
        <x:f>IF(AND(ISNUMBER(G2158),F2158&gt;0),G2158/F2158-1,"")</x:f>
      </x:c>
      <x:c r="K2158" s="19" t="str">
        <x:v>Exp_7/EXP064/results/seed1017_Fixed_rank_10.json</x:v>
      </x:c>
    </x:row>
    <x:row r="2159" ht="15" hidden="0" customHeight="1">
      <x:c r="A2159" s="3" t="str">
        <x:v>EXP064</x:v>
      </x:c>
      <x:c r="B2159" s="3" t="str">
        <x:v>Exp. 7</x:v>
      </x:c>
      <x:c r="C2159" s="18" t="n">
        <x:v>1017</x:v>
      </x:c>
      <x:c r="D2159" s="3" t="str">
        <x:v>Fixed rank 3</x:v>
      </x:c>
      <x:c r="E2159" s="18" t="n">
        <x:v>200</x:v>
      </x:c>
      <x:c r="F2159" s="21" t="n">
        <x:v>566.1903231899079</x:v>
      </x:c>
      <x:c r="G2159" s="21" t="str">
        <x:f>""</x:f>
      </x:c>
      <x:c r="H2159" s="21" t="n">
        <x:f>F2161</x:f>
        <x:v>568.24009612179</x:v>
      </x:c>
      <x:c r="I2159" s="27" t="str">
        <x:f>IF(AND(ISNUMBER(G2159),ISNUMBER(H2159),H2159&gt;0),G2159/H2159-1,"")</x:f>
      </x:c>
      <x:c r="J2159" s="27" t="str">
        <x:f>IF(AND(ISNUMBER(G2159),F2159&gt;0),G2159/F2159-1,"")</x:f>
      </x:c>
      <x:c r="K2159" s="19" t="str">
        <x:v>Exp_7/EXP064/results/seed1017_Fixed_rank_3.json</x:v>
      </x:c>
    </x:row>
    <x:row r="2160" ht="15" hidden="0" customHeight="1">
      <x:c r="A2160" s="3" t="str">
        <x:v>EXP064</x:v>
      </x:c>
      <x:c r="B2160" s="3" t="str">
        <x:v>Exp. 7</x:v>
      </x:c>
      <x:c r="C2160" s="18" t="n">
        <x:v>1017</x:v>
      </x:c>
      <x:c r="D2160" s="3" t="str">
        <x:v>Fixed rank 5</x:v>
      </x:c>
      <x:c r="E2160" s="18" t="n">
        <x:v>200</x:v>
      </x:c>
      <x:c r="F2160" s="21" t="n">
        <x:v>577.3244222627964</x:v>
      </x:c>
      <x:c r="G2160" s="21" t="str">
        <x:f>""</x:f>
      </x:c>
      <x:c r="H2160" s="21" t="n">
        <x:f>F2161</x:f>
        <x:v>568.24009612179</x:v>
      </x:c>
      <x:c r="I2160" s="27" t="str">
        <x:f>IF(AND(ISNUMBER(G2160),ISNUMBER(H2160),H2160&gt;0),G2160/H2160-1,"")</x:f>
      </x:c>
      <x:c r="J2160" s="27" t="str">
        <x:f>IF(AND(ISNUMBER(G2160),F2160&gt;0),G2160/F2160-1,"")</x:f>
      </x:c>
      <x:c r="K2160" s="19" t="str">
        <x:v>Exp_7/EXP064/results/seed1017_Fixed_rank_5.json</x:v>
      </x:c>
    </x:row>
    <x:row r="2161" ht="15" hidden="0" customHeight="1">
      <x:c r="A2161" s="3" t="str">
        <x:v>EXP064</x:v>
      </x:c>
      <x:c r="B2161" s="3" t="str">
        <x:v>Exp. 7</x:v>
      </x:c>
      <x:c r="C2161" s="18" t="n">
        <x:v>1017</x:v>
      </x:c>
      <x:c r="D2161" s="3" t="str">
        <x:v>Full</x:v>
      </x:c>
      <x:c r="E2161" s="18" t="n">
        <x:v>200</x:v>
      </x:c>
      <x:c r="F2161" s="21" t="n">
        <x:v>568.24009612179</x:v>
      </x:c>
      <x:c r="G2161" s="21" t="str">
        <x:f>""</x:f>
      </x:c>
      <x:c r="H2161" s="21" t="n">
        <x:f>F2161</x:f>
        <x:v>568.24009612179</x:v>
      </x:c>
      <x:c r="I2161" s="27" t="str">
        <x:f>IF(AND(ISNUMBER(G2161),ISNUMBER(H2161),H2161&gt;0),G2161/H2161-1,"")</x:f>
      </x:c>
      <x:c r="J2161" s="27" t="str">
        <x:f>IF(AND(ISNUMBER(G2161),F2161&gt;0),G2161/F2161-1,"")</x:f>
      </x:c>
      <x:c r="K2161" s="19" t="str">
        <x:v>Exp_7/EXP064/results/seed1017_Full.json</x:v>
      </x:c>
    </x:row>
    <x:row r="2162" ht="15" hidden="0" customHeight="1">
      <x:c r="A2162" s="3" t="str">
        <x:v>EXP064</x:v>
      </x:c>
      <x:c r="B2162" s="3" t="str">
        <x:v>Exp. 7</x:v>
      </x:c>
      <x:c r="C2162" s="18" t="n">
        <x:v>1017</x:v>
      </x:c>
      <x:c r="D2162" s="3" t="str">
        <x:v>Relative cutoff 1e-2</x:v>
      </x:c>
      <x:c r="E2162" s="18" t="n">
        <x:v>200</x:v>
      </x:c>
      <x:c r="F2162" s="21" t="n">
        <x:v>579.7272558058759</x:v>
      </x:c>
      <x:c r="G2162" s="21" t="str">
        <x:f>""</x:f>
      </x:c>
      <x:c r="H2162" s="21" t="n">
        <x:f>F2161</x:f>
        <x:v>568.24009612179</x:v>
      </x:c>
      <x:c r="I2162" s="27" t="str">
        <x:f>IF(AND(ISNUMBER(G2162),ISNUMBER(H2162),H2162&gt;0),G2162/H2162-1,"")</x:f>
      </x:c>
      <x:c r="J2162" s="27" t="str">
        <x:f>IF(AND(ISNUMBER(G2162),F2162&gt;0),G2162/F2162-1,"")</x:f>
      </x:c>
      <x:c r="K2162" s="19" t="str">
        <x:v>Exp_7/EXP064/results/seed1017_Relative_cutoff_1e-2.json</x:v>
      </x:c>
    </x:row>
    <x:row r="2163" ht="15" hidden="0" customHeight="1">
      <x:c r="A2163" s="3" t="str">
        <x:v>EXP064</x:v>
      </x:c>
      <x:c r="B2163" s="3" t="str">
        <x:v>Exp. 7</x:v>
      </x:c>
      <x:c r="C2163" s="18" t="n">
        <x:v>1018</x:v>
      </x:c>
      <x:c r="D2163" s="3" t="str">
        <x:v>Fixed rank 10</x:v>
      </x:c>
      <x:c r="E2163" s="18" t="n">
        <x:v>200</x:v>
      </x:c>
      <x:c r="F2163" s="21" t="n">
        <x:v>454.48757363547577</x:v>
      </x:c>
      <x:c r="G2163" s="21" t="str">
        <x:f>""</x:f>
      </x:c>
      <x:c r="H2163" s="21" t="n">
        <x:f>F2166</x:f>
        <x:v>454.48757363547577</x:v>
      </x:c>
      <x:c r="I2163" s="27" t="str">
        <x:f>IF(AND(ISNUMBER(G2163),ISNUMBER(H2163),H2163&gt;0),G2163/H2163-1,"")</x:f>
      </x:c>
      <x:c r="J2163" s="27" t="str">
        <x:f>IF(AND(ISNUMBER(G2163),F2163&gt;0),G2163/F2163-1,"")</x:f>
      </x:c>
      <x:c r="K2163" s="19" t="str">
        <x:v>Exp_7/EXP064/results/seed1018_Fixed_rank_10.json</x:v>
      </x:c>
    </x:row>
    <x:row r="2164" ht="15" hidden="0" customHeight="1">
      <x:c r="A2164" s="3" t="str">
        <x:v>EXP064</x:v>
      </x:c>
      <x:c r="B2164" s="3" t="str">
        <x:v>Exp. 7</x:v>
      </x:c>
      <x:c r="C2164" s="18" t="n">
        <x:v>1018</x:v>
      </x:c>
      <x:c r="D2164" s="3" t="str">
        <x:v>Fixed rank 3</x:v>
      </x:c>
      <x:c r="E2164" s="18" t="n">
        <x:v>200</x:v>
      </x:c>
      <x:c r="F2164" s="21" t="n">
        <x:v>467.83012775903364</x:v>
      </x:c>
      <x:c r="G2164" s="21" t="str">
        <x:f>""</x:f>
      </x:c>
      <x:c r="H2164" s="21" t="n">
        <x:f>F2166</x:f>
        <x:v>454.48757363547577</x:v>
      </x:c>
      <x:c r="I2164" s="27" t="str">
        <x:f>IF(AND(ISNUMBER(G2164),ISNUMBER(H2164),H2164&gt;0),G2164/H2164-1,"")</x:f>
      </x:c>
      <x:c r="J2164" s="27" t="str">
        <x:f>IF(AND(ISNUMBER(G2164),F2164&gt;0),G2164/F2164-1,"")</x:f>
      </x:c>
      <x:c r="K2164" s="19" t="str">
        <x:v>Exp_7/EXP064/results/seed1018_Fixed_rank_3.json</x:v>
      </x:c>
    </x:row>
    <x:row r="2165" ht="15" hidden="0" customHeight="1">
      <x:c r="A2165" s="3" t="str">
        <x:v>EXP064</x:v>
      </x:c>
      <x:c r="B2165" s="3" t="str">
        <x:v>Exp. 7</x:v>
      </x:c>
      <x:c r="C2165" s="18" t="n">
        <x:v>1018</x:v>
      </x:c>
      <x:c r="D2165" s="3" t="str">
        <x:v>Fixed rank 5</x:v>
      </x:c>
      <x:c r="E2165" s="18" t="n">
        <x:v>200</x:v>
      </x:c>
      <x:c r="F2165" s="21" t="n">
        <x:v>457.7709734383635</x:v>
      </x:c>
      <x:c r="G2165" s="21" t="str">
        <x:f>""</x:f>
      </x:c>
      <x:c r="H2165" s="21" t="n">
        <x:f>F2166</x:f>
        <x:v>454.48757363547577</x:v>
      </x:c>
      <x:c r="I2165" s="27" t="str">
        <x:f>IF(AND(ISNUMBER(G2165),ISNUMBER(H2165),H2165&gt;0),G2165/H2165-1,"")</x:f>
      </x:c>
      <x:c r="J2165" s="27" t="str">
        <x:f>IF(AND(ISNUMBER(G2165),F2165&gt;0),G2165/F2165-1,"")</x:f>
      </x:c>
      <x:c r="K2165" s="19" t="str">
        <x:v>Exp_7/EXP064/results/seed1018_Fixed_rank_5.json</x:v>
      </x:c>
    </x:row>
    <x:row r="2166" ht="15" hidden="0" customHeight="1">
      <x:c r="A2166" s="3" t="str">
        <x:v>EXP064</x:v>
      </x:c>
      <x:c r="B2166" s="3" t="str">
        <x:v>Exp. 7</x:v>
      </x:c>
      <x:c r="C2166" s="18" t="n">
        <x:v>1018</x:v>
      </x:c>
      <x:c r="D2166" s="3" t="str">
        <x:v>Full</x:v>
      </x:c>
      <x:c r="E2166" s="18" t="n">
        <x:v>200</x:v>
      </x:c>
      <x:c r="F2166" s="21" t="n">
        <x:v>454.48757363547577</x:v>
      </x:c>
      <x:c r="G2166" s="21" t="str">
        <x:f>""</x:f>
      </x:c>
      <x:c r="H2166" s="21" t="n">
        <x:f>F2166</x:f>
        <x:v>454.48757363547577</x:v>
      </x:c>
      <x:c r="I2166" s="27" t="str">
        <x:f>IF(AND(ISNUMBER(G2166),ISNUMBER(H2166),H2166&gt;0),G2166/H2166-1,"")</x:f>
      </x:c>
      <x:c r="J2166" s="27" t="str">
        <x:f>IF(AND(ISNUMBER(G2166),F2166&gt;0),G2166/F2166-1,"")</x:f>
      </x:c>
      <x:c r="K2166" s="19" t="str">
        <x:v>Exp_7/EXP064/results/seed1018_Full.json</x:v>
      </x:c>
    </x:row>
    <x:row r="2167" ht="15" hidden="0" customHeight="1">
      <x:c r="A2167" s="3" t="str">
        <x:v>EXP064</x:v>
      </x:c>
      <x:c r="B2167" s="3" t="str">
        <x:v>Exp. 7</x:v>
      </x:c>
      <x:c r="C2167" s="18" t="n">
        <x:v>1018</x:v>
      </x:c>
      <x:c r="D2167" s="3" t="str">
        <x:v>Relative cutoff 1e-2</x:v>
      </x:c>
      <x:c r="E2167" s="18" t="n">
        <x:v>200</x:v>
      </x:c>
      <x:c r="F2167" s="21" t="n">
        <x:v>464.7584317430611</x:v>
      </x:c>
      <x:c r="G2167" s="21" t="str">
        <x:f>""</x:f>
      </x:c>
      <x:c r="H2167" s="21" t="n">
        <x:f>F2166</x:f>
        <x:v>454.48757363547577</x:v>
      </x:c>
      <x:c r="I2167" s="27" t="str">
        <x:f>IF(AND(ISNUMBER(G2167),ISNUMBER(H2167),H2167&gt;0),G2167/H2167-1,"")</x:f>
      </x:c>
      <x:c r="J2167" s="27" t="str">
        <x:f>IF(AND(ISNUMBER(G2167),F2167&gt;0),G2167/F2167-1,"")</x:f>
      </x:c>
      <x:c r="K2167" s="19" t="str">
        <x:v>Exp_7/EXP064/results/seed1018_Relative_cutoff_1e-2.json</x:v>
      </x:c>
    </x:row>
    <x:row r="2168" ht="15" hidden="0" customHeight="1">
      <x:c r="A2168" s="3" t="str">
        <x:v>EXP064</x:v>
      </x:c>
      <x:c r="B2168" s="3" t="str">
        <x:v>Exp. 7</x:v>
      </x:c>
      <x:c r="C2168" s="18" t="n">
        <x:v>1019</x:v>
      </x:c>
      <x:c r="D2168" s="3" t="str">
        <x:v>Fixed rank 10</x:v>
      </x:c>
      <x:c r="E2168" s="18" t="n">
        <x:v>200</x:v>
      </x:c>
      <x:c r="F2168" s="21" t="n">
        <x:v>473.3603004293009</x:v>
      </x:c>
      <x:c r="G2168" s="21" t="str">
        <x:f>""</x:f>
      </x:c>
      <x:c r="H2168" s="21" t="n">
        <x:f>F2171</x:f>
        <x:v>473.3603004293009</x:v>
      </x:c>
      <x:c r="I2168" s="27" t="str">
        <x:f>IF(AND(ISNUMBER(G2168),ISNUMBER(H2168),H2168&gt;0),G2168/H2168-1,"")</x:f>
      </x:c>
      <x:c r="J2168" s="27" t="str">
        <x:f>IF(AND(ISNUMBER(G2168),F2168&gt;0),G2168/F2168-1,"")</x:f>
      </x:c>
      <x:c r="K2168" s="19" t="str">
        <x:v>Exp_7/EXP064/results/seed1019_Fixed_rank_10.json</x:v>
      </x:c>
    </x:row>
    <x:row r="2169" ht="15" hidden="0" customHeight="1">
      <x:c r="A2169" s="3" t="str">
        <x:v>EXP064</x:v>
      </x:c>
      <x:c r="B2169" s="3" t="str">
        <x:v>Exp. 7</x:v>
      </x:c>
      <x:c r="C2169" s="18" t="n">
        <x:v>1019</x:v>
      </x:c>
      <x:c r="D2169" s="3" t="str">
        <x:v>Fixed rank 3</x:v>
      </x:c>
      <x:c r="E2169" s="18" t="n">
        <x:v>200</x:v>
      </x:c>
      <x:c r="F2169" s="21" t="n">
        <x:v>476.4140250803248</x:v>
      </x:c>
      <x:c r="G2169" s="21" t="str">
        <x:f>""</x:f>
      </x:c>
      <x:c r="H2169" s="21" t="n">
        <x:f>F2171</x:f>
        <x:v>473.3603004293009</x:v>
      </x:c>
      <x:c r="I2169" s="27" t="str">
        <x:f>IF(AND(ISNUMBER(G2169),ISNUMBER(H2169),H2169&gt;0),G2169/H2169-1,"")</x:f>
      </x:c>
      <x:c r="J2169" s="27" t="str">
        <x:f>IF(AND(ISNUMBER(G2169),F2169&gt;0),G2169/F2169-1,"")</x:f>
      </x:c>
      <x:c r="K2169" s="19" t="str">
        <x:v>Exp_7/EXP064/results/seed1019_Fixed_rank_3.json</x:v>
      </x:c>
    </x:row>
    <x:row r="2170" ht="15" hidden="0" customHeight="1">
      <x:c r="A2170" s="3" t="str">
        <x:v>EXP064</x:v>
      </x:c>
      <x:c r="B2170" s="3" t="str">
        <x:v>Exp. 7</x:v>
      </x:c>
      <x:c r="C2170" s="18" t="n">
        <x:v>1019</x:v>
      </x:c>
      <x:c r="D2170" s="3" t="str">
        <x:v>Fixed rank 5</x:v>
      </x:c>
      <x:c r="E2170" s="18" t="n">
        <x:v>200</x:v>
      </x:c>
      <x:c r="F2170" s="21" t="n">
        <x:v>468.29743547794965</x:v>
      </x:c>
      <x:c r="G2170" s="21" t="str">
        <x:f>""</x:f>
      </x:c>
      <x:c r="H2170" s="21" t="n">
        <x:f>F2171</x:f>
        <x:v>473.3603004293009</x:v>
      </x:c>
      <x:c r="I2170" s="27" t="str">
        <x:f>IF(AND(ISNUMBER(G2170),ISNUMBER(H2170),H2170&gt;0),G2170/H2170-1,"")</x:f>
      </x:c>
      <x:c r="J2170" s="27" t="str">
        <x:f>IF(AND(ISNUMBER(G2170),F2170&gt;0),G2170/F2170-1,"")</x:f>
      </x:c>
      <x:c r="K2170" s="19" t="str">
        <x:v>Exp_7/EXP064/results/seed1019_Fixed_rank_5.json</x:v>
      </x:c>
    </x:row>
    <x:row r="2171" ht="15" hidden="0" customHeight="1">
      <x:c r="A2171" s="3" t="str">
        <x:v>EXP064</x:v>
      </x:c>
      <x:c r="B2171" s="3" t="str">
        <x:v>Exp. 7</x:v>
      </x:c>
      <x:c r="C2171" s="18" t="n">
        <x:v>1019</x:v>
      </x:c>
      <x:c r="D2171" s="3" t="str">
        <x:v>Full</x:v>
      </x:c>
      <x:c r="E2171" s="18" t="n">
        <x:v>200</x:v>
      </x:c>
      <x:c r="F2171" s="21" t="n">
        <x:v>473.3603004293009</x:v>
      </x:c>
      <x:c r="G2171" s="21" t="str">
        <x:f>""</x:f>
      </x:c>
      <x:c r="H2171" s="21" t="n">
        <x:f>F2171</x:f>
        <x:v>473.3603004293009</x:v>
      </x:c>
      <x:c r="I2171" s="27" t="str">
        <x:f>IF(AND(ISNUMBER(G2171),ISNUMBER(H2171),H2171&gt;0),G2171/H2171-1,"")</x:f>
      </x:c>
      <x:c r="J2171" s="27" t="str">
        <x:f>IF(AND(ISNUMBER(G2171),F2171&gt;0),G2171/F2171-1,"")</x:f>
      </x:c>
      <x:c r="K2171" s="19" t="str">
        <x:v>Exp_7/EXP064/results/seed1019_Full.json</x:v>
      </x:c>
    </x:row>
    <x:row r="2172" ht="15" hidden="0" customHeight="1">
      <x:c r="A2172" s="3" t="str">
        <x:v>EXP064</x:v>
      </x:c>
      <x:c r="B2172" s="3" t="str">
        <x:v>Exp. 7</x:v>
      </x:c>
      <x:c r="C2172" s="18" t="n">
        <x:v>1019</x:v>
      </x:c>
      <x:c r="D2172" s="3" t="str">
        <x:v>Relative cutoff 1e-2</x:v>
      </x:c>
      <x:c r="E2172" s="18" t="n">
        <x:v>200</x:v>
      </x:c>
      <x:c r="F2172" s="21" t="n">
        <x:v>472.5740418718056</x:v>
      </x:c>
      <x:c r="G2172" s="21" t="str">
        <x:f>""</x:f>
      </x:c>
      <x:c r="H2172" s="21" t="n">
        <x:f>F2171</x:f>
        <x:v>473.3603004293009</x:v>
      </x:c>
      <x:c r="I2172" s="27" t="str">
        <x:f>IF(AND(ISNUMBER(G2172),ISNUMBER(H2172),H2172&gt;0),G2172/H2172-1,"")</x:f>
      </x:c>
      <x:c r="J2172" s="27" t="str">
        <x:f>IF(AND(ISNUMBER(G2172),F2172&gt;0),G2172/F2172-1,"")</x:f>
      </x:c>
      <x:c r="K2172" s="19" t="str">
        <x:v>Exp_7/EXP064/results/seed1019_Relative_cutoff_1e-2.json</x:v>
      </x:c>
    </x:row>
    <x:row r="2173" ht="15" hidden="0" customHeight="1">
      <x:c r="A2173" s="3" t="str">
        <x:v>EXP068</x:v>
      </x:c>
      <x:c r="B2173" s="3" t="str">
        <x:v>Exp. 8</x:v>
      </x:c>
      <x:c r="C2173" s="18" t="n">
        <x:v>20284363</x:v>
      </x:c>
      <x:c r="D2173" s="3" t="str">
        <x:v>BBP</x:v>
      </x:c>
      <x:c r="E2173" s="18" t="n">
        <x:v>200</x:v>
      </x:c>
      <x:c r="F2173" s="21" t="n">
        <x:v>514.6595622763592</x:v>
      </x:c>
      <x:c r="G2173" s="21" t="n">
        <x:f>F2173</x:f>
        <x:v>514.6595622763592</x:v>
      </x:c>
      <x:c r="H2173" s="21" t="n">
        <x:f>F2178</x:f>
        <x:v>514.6595622763592</x:v>
      </x:c>
      <x:c r="I2173" s="27" t="n">
        <x:f>IF(AND(ISNUMBER(G2173),ISNUMBER(H2173),H2173&gt;0),G2173/H2173-1,"")</x:f>
        <x:v>0</x:v>
      </x:c>
      <x:c r="J2173" s="27" t="n">
        <x:f>IF(AND(ISNUMBER(G2173),F2173&gt;0),G2173/F2173-1,"")</x:f>
        <x:v>0</x:v>
      </x:c>
      <x:c r="K2173" s="19" t="str">
        <x:v>Exp_8/EXP068/results/seed20284363_BBP.json</x:v>
      </x:c>
    </x:row>
    <x:row r="2174" ht="15" hidden="0" customHeight="1">
      <x:c r="A2174" s="3" t="str">
        <x:v>EXP068</x:v>
      </x:c>
      <x:c r="B2174" s="3" t="str">
        <x:v>Exp. 8</x:v>
      </x:c>
      <x:c r="C2174" s="18" t="n">
        <x:v>20284363</x:v>
      </x:c>
      <x:c r="D2174" s="3" t="str">
        <x:v>Relative cutoff 1e-5</x:v>
      </x:c>
      <x:c r="E2174" s="18" t="n">
        <x:v>200</x:v>
      </x:c>
      <x:c r="F2174" s="21" t="n">
        <x:v>514.6595622763592</x:v>
      </x:c>
      <x:c r="G2174" s="21" t="n">
        <x:f>F2173</x:f>
        <x:v>514.6595622763592</x:v>
      </x:c>
      <x:c r="H2174" s="21" t="n">
        <x:f>F2178</x:f>
        <x:v>514.6595622763592</x:v>
      </x:c>
      <x:c r="I2174" s="27" t="n">
        <x:f>IF(AND(ISNUMBER(G2174),ISNUMBER(H2174),H2174&gt;0),G2174/H2174-1,"")</x:f>
        <x:v>0</x:v>
      </x:c>
      <x:c r="J2174" s="27" t="n">
        <x:f>IF(AND(ISNUMBER(G2174),F2174&gt;0),G2174/F2174-1,"")</x:f>
        <x:v>0</x:v>
      </x:c>
      <x:c r="K2174" s="19" t="str">
        <x:v>Exp_8/EXP068/results/seed20284363_Relative_cutoff_1e-5.json</x:v>
      </x:c>
    </x:row>
    <x:row r="2175" ht="15" hidden="0" customHeight="1">
      <x:c r="A2175" s="3" t="str">
        <x:v>EXP068</x:v>
      </x:c>
      <x:c r="B2175" s="3" t="str">
        <x:v>Exp. 8</x:v>
      </x:c>
      <x:c r="C2175" s="18" t="n">
        <x:v>20284363</x:v>
      </x:c>
      <x:c r="D2175" s="3" t="str">
        <x:v>Fixed rank 10</x:v>
      </x:c>
      <x:c r="E2175" s="18" t="n">
        <x:v>200</x:v>
      </x:c>
      <x:c r="F2175" s="21" t="n">
        <x:v>514.6595622763592</x:v>
      </x:c>
      <x:c r="G2175" s="21" t="n">
        <x:f>F2173</x:f>
        <x:v>514.6595622763592</x:v>
      </x:c>
      <x:c r="H2175" s="21" t="n">
        <x:f>F2178</x:f>
        <x:v>514.6595622763592</x:v>
      </x:c>
      <x:c r="I2175" s="27" t="n">
        <x:f>IF(AND(ISNUMBER(G2175),ISNUMBER(H2175),H2175&gt;0),G2175/H2175-1,"")</x:f>
        <x:v>0</x:v>
      </x:c>
      <x:c r="J2175" s="27" t="n">
        <x:f>IF(AND(ISNUMBER(G2175),F2175&gt;0),G2175/F2175-1,"")</x:f>
        <x:v>0</x:v>
      </x:c>
      <x:c r="K2175" s="19" t="str">
        <x:v>Exp_8/EXP068/results/seed20284363_Fixed_rank_10.json</x:v>
      </x:c>
    </x:row>
    <x:row r="2176" ht="15" hidden="0" customHeight="1">
      <x:c r="A2176" s="3" t="str">
        <x:v>EXP068</x:v>
      </x:c>
      <x:c r="B2176" s="3" t="str">
        <x:v>Exp. 8</x:v>
      </x:c>
      <x:c r="C2176" s="18" t="n">
        <x:v>20284363</x:v>
      </x:c>
      <x:c r="D2176" s="3" t="str">
        <x:v>Fixed rank 25</x:v>
      </x:c>
      <x:c r="E2176" s="18" t="n">
        <x:v>200</x:v>
      </x:c>
      <x:c r="F2176" s="21" t="n">
        <x:v>514.6595622763592</x:v>
      </x:c>
      <x:c r="G2176" s="21" t="n">
        <x:f>F2173</x:f>
        <x:v>514.6595622763592</x:v>
      </x:c>
      <x:c r="H2176" s="21" t="n">
        <x:f>F2178</x:f>
        <x:v>514.6595622763592</x:v>
      </x:c>
      <x:c r="I2176" s="27" t="n">
        <x:f>IF(AND(ISNUMBER(G2176),ISNUMBER(H2176),H2176&gt;0),G2176/H2176-1,"")</x:f>
        <x:v>0</x:v>
      </x:c>
      <x:c r="J2176" s="27" t="n">
        <x:f>IF(AND(ISNUMBER(G2176),F2176&gt;0),G2176/F2176-1,"")</x:f>
        <x:v>0</x:v>
      </x:c>
      <x:c r="K2176" s="19" t="str">
        <x:v>Exp_8/EXP068/results/seed20284363_Fixed_rank_25.json</x:v>
      </x:c>
    </x:row>
    <x:row r="2177" ht="15" hidden="0" customHeight="1">
      <x:c r="A2177" s="3" t="str">
        <x:v>EXP068</x:v>
      </x:c>
      <x:c r="B2177" s="3" t="str">
        <x:v>Exp. 8</x:v>
      </x:c>
      <x:c r="C2177" s="18" t="n">
        <x:v>20284363</x:v>
      </x:c>
      <x:c r="D2177" s="3" t="str">
        <x:v>Relative cutoff 1e-6</x:v>
      </x:c>
      <x:c r="E2177" s="18" t="n">
        <x:v>200</x:v>
      </x:c>
      <x:c r="F2177" s="21" t="n">
        <x:v>514.6595622763592</x:v>
      </x:c>
      <x:c r="G2177" s="21" t="n">
        <x:f>F2173</x:f>
        <x:v>514.6595622763592</x:v>
      </x:c>
      <x:c r="H2177" s="21" t="n">
        <x:f>F2178</x:f>
        <x:v>514.6595622763592</x:v>
      </x:c>
      <x:c r="I2177" s="27" t="n">
        <x:f>IF(AND(ISNUMBER(G2177),ISNUMBER(H2177),H2177&gt;0),G2177/H2177-1,"")</x:f>
        <x:v>0</x:v>
      </x:c>
      <x:c r="J2177" s="27" t="n">
        <x:f>IF(AND(ISNUMBER(G2177),F2177&gt;0),G2177/F2177-1,"")</x:f>
        <x:v>0</x:v>
      </x:c>
      <x:c r="K2177" s="19" t="str">
        <x:v>Exp_8/EXP068/results/seed20284363_Relative_cutoff_1e-6.json</x:v>
      </x:c>
    </x:row>
    <x:row r="2178" ht="15" hidden="0" customHeight="1">
      <x:c r="A2178" s="3" t="str">
        <x:v>EXP068</x:v>
      </x:c>
      <x:c r="B2178" s="3" t="str">
        <x:v>Exp. 8</x:v>
      </x:c>
      <x:c r="C2178" s="18" t="n">
        <x:v>20284363</x:v>
      </x:c>
      <x:c r="D2178" s="3" t="str">
        <x:v>Full</x:v>
      </x:c>
      <x:c r="E2178" s="18" t="n">
        <x:v>200</x:v>
      </x:c>
      <x:c r="F2178" s="21" t="n">
        <x:v>514.6595622763592</x:v>
      </x:c>
      <x:c r="G2178" s="21" t="n">
        <x:f>F2173</x:f>
        <x:v>514.6595622763592</x:v>
      </x:c>
      <x:c r="H2178" s="21" t="n">
        <x:f>F2178</x:f>
        <x:v>514.6595622763592</x:v>
      </x:c>
      <x:c r="I2178" s="27" t="n">
        <x:f>IF(AND(ISNUMBER(G2178),ISNUMBER(H2178),H2178&gt;0),G2178/H2178-1,"")</x:f>
        <x:v>0</x:v>
      </x:c>
      <x:c r="J2178" s="27" t="n">
        <x:f>IF(AND(ISNUMBER(G2178),F2178&gt;0),G2178/F2178-1,"")</x:f>
        <x:v>0</x:v>
      </x:c>
      <x:c r="K2178" s="19" t="str">
        <x:v>Exp_8/EXP068/results/seed20284363_Full.json</x:v>
      </x:c>
    </x:row>
    <x:row r="2179" ht="15" hidden="0" customHeight="1">
      <x:c r="A2179" s="3" t="str">
        <x:v>EXP068</x:v>
      </x:c>
      <x:c r="B2179" s="3" t="str">
        <x:v>Exp. 8</x:v>
      </x:c>
      <x:c r="C2179" s="18" t="n">
        <x:v>20284363</x:v>
      </x:c>
      <x:c r="D2179" s="3" t="str">
        <x:v>Relative cutoff 1e-2</x:v>
      </x:c>
      <x:c r="E2179" s="18" t="n">
        <x:v>200</x:v>
      </x:c>
      <x:c r="F2179" s="21" t="n">
        <x:v>503.1073420464016</x:v>
      </x:c>
      <x:c r="G2179" s="21" t="n">
        <x:f>F2173</x:f>
        <x:v>514.6595622763592</x:v>
      </x:c>
      <x:c r="H2179" s="21" t="n">
        <x:f>F2178</x:f>
        <x:v>514.6595622763592</x:v>
      </x:c>
      <x:c r="I2179" s="27" t="n">
        <x:f>IF(AND(ISNUMBER(G2179),ISNUMBER(H2179),H2179&gt;0),G2179/H2179-1,"")</x:f>
        <x:v>0</x:v>
      </x:c>
      <x:c r="J2179" s="27" t="n">
        <x:f>IF(AND(ISNUMBER(G2179),F2179&gt;0),G2179/F2179-1,"")</x:f>
        <x:v>0.022961740496508565</x:v>
      </x:c>
      <x:c r="K2179" s="19" t="str">
        <x:v>Exp_8/EXP068/results/seed20284363_Relative_cutoff_1e-2.json</x:v>
      </x:c>
    </x:row>
    <x:row r="2180" ht="15" hidden="0" customHeight="1">
      <x:c r="A2180" s="3" t="str">
        <x:v>EXP068</x:v>
      </x:c>
      <x:c r="B2180" s="3" t="str">
        <x:v>Exp. 8</x:v>
      </x:c>
      <x:c r="C2180" s="18" t="n">
        <x:v>20284363</x:v>
      </x:c>
      <x:c r="D2180" s="3" t="str">
        <x:v>Relative cutoff 1e-4</x:v>
      </x:c>
      <x:c r="E2180" s="18" t="n">
        <x:v>200</x:v>
      </x:c>
      <x:c r="F2180" s="21" t="n">
        <x:v>511.42441722694605</x:v>
      </x:c>
      <x:c r="G2180" s="21" t="n">
        <x:f>F2173</x:f>
        <x:v>514.6595622763592</x:v>
      </x:c>
      <x:c r="H2180" s="21" t="n">
        <x:f>F2178</x:f>
        <x:v>514.6595622763592</x:v>
      </x:c>
      <x:c r="I2180" s="27" t="n">
        <x:f>IF(AND(ISNUMBER(G2180),ISNUMBER(H2180),H2180&gt;0),G2180/H2180-1,"")</x:f>
        <x:v>0</x:v>
      </x:c>
      <x:c r="J2180" s="27" t="n">
        <x:f>IF(AND(ISNUMBER(G2180),F2180&gt;0),G2180/F2180-1,"")</x:f>
        <x:v>0.006325753993043248</x:v>
      </x:c>
      <x:c r="K2180" s="19" t="str">
        <x:v>Exp_8/EXP068/results/seed20284363_Relative_cutoff_1e-4.json</x:v>
      </x:c>
    </x:row>
    <x:row r="2181" ht="15" hidden="0" customHeight="1">
      <x:c r="A2181" s="3" t="str">
        <x:v>EXP068</x:v>
      </x:c>
      <x:c r="B2181" s="3" t="str">
        <x:v>Exp. 8</x:v>
      </x:c>
      <x:c r="C2181" s="18" t="n">
        <x:v>151801615</x:v>
      </x:c>
      <x:c r="D2181" s="3" t="str">
        <x:v>BBP</x:v>
      </x:c>
      <x:c r="E2181" s="18" t="n">
        <x:v>200</x:v>
      </x:c>
      <x:c r="F2181" s="21" t="n">
        <x:v>732.9059331485113</x:v>
      </x:c>
      <x:c r="G2181" s="21" t="n">
        <x:f>F2181</x:f>
        <x:v>732.9059331485113</x:v>
      </x:c>
      <x:c r="H2181" s="21" t="n">
        <x:f>F2186</x:f>
        <x:v>732.9059331485113</x:v>
      </x:c>
      <x:c r="I2181" s="27" t="n">
        <x:f>IF(AND(ISNUMBER(G2181),ISNUMBER(H2181),H2181&gt;0),G2181/H2181-1,"")</x:f>
        <x:v>0</x:v>
      </x:c>
      <x:c r="J2181" s="27" t="n">
        <x:f>IF(AND(ISNUMBER(G2181),F2181&gt;0),G2181/F2181-1,"")</x:f>
        <x:v>0</x:v>
      </x:c>
      <x:c r="K2181" s="19" t="str">
        <x:v>Exp_8/EXP068/results/seed151801615_BBP.json</x:v>
      </x:c>
    </x:row>
    <x:row r="2182" ht="15" hidden="0" customHeight="1">
      <x:c r="A2182" s="3" t="str">
        <x:v>EXP068</x:v>
      </x:c>
      <x:c r="B2182" s="3" t="str">
        <x:v>Exp. 8</x:v>
      </x:c>
      <x:c r="C2182" s="18" t="n">
        <x:v>151801615</x:v>
      </x:c>
      <x:c r="D2182" s="3" t="str">
        <x:v>Relative cutoff 1e-5</x:v>
      </x:c>
      <x:c r="E2182" s="18" t="n">
        <x:v>200</x:v>
      </x:c>
      <x:c r="F2182" s="21" t="n">
        <x:v>733.90286119354</x:v>
      </x:c>
      <x:c r="G2182" s="21" t="n">
        <x:f>F2181</x:f>
        <x:v>732.9059331485113</x:v>
      </x:c>
      <x:c r="H2182" s="21" t="n">
        <x:f>F2186</x:f>
        <x:v>732.9059331485113</x:v>
      </x:c>
      <x:c r="I2182" s="27" t="n">
        <x:f>IF(AND(ISNUMBER(G2182),ISNUMBER(H2182),H2182&gt;0),G2182/H2182-1,"")</x:f>
        <x:v>0</x:v>
      </x:c>
      <x:c r="J2182" s="27" t="n">
        <x:f>IF(AND(ISNUMBER(G2182),F2182&gt;0),G2182/F2182-1,"")</x:f>
        <x:v>-0.0013583923673596843</x:v>
      </x:c>
      <x:c r="K2182" s="19" t="str">
        <x:v>Exp_8/EXP068/results/seed151801615_Relative_cutoff_1e-5.json</x:v>
      </x:c>
    </x:row>
    <x:row r="2183" ht="15" hidden="0" customHeight="1">
      <x:c r="A2183" s="3" t="str">
        <x:v>EXP068</x:v>
      </x:c>
      <x:c r="B2183" s="3" t="str">
        <x:v>Exp. 8</x:v>
      </x:c>
      <x:c r="C2183" s="18" t="n">
        <x:v>151801615</x:v>
      </x:c>
      <x:c r="D2183" s="3" t="str">
        <x:v>Fixed rank 10</x:v>
      </x:c>
      <x:c r="E2183" s="18" t="n">
        <x:v>200</x:v>
      </x:c>
      <x:c r="F2183" s="21" t="n">
        <x:v>730.5224798455365</x:v>
      </x:c>
      <x:c r="G2183" s="21" t="n">
        <x:f>F2181</x:f>
        <x:v>732.9059331485113</x:v>
      </x:c>
      <x:c r="H2183" s="21" t="n">
        <x:f>F2186</x:f>
        <x:v>732.9059331485113</x:v>
      </x:c>
      <x:c r="I2183" s="27" t="n">
        <x:f>IF(AND(ISNUMBER(G2183),ISNUMBER(H2183),H2183&gt;0),G2183/H2183-1,"")</x:f>
        <x:v>0</x:v>
      </x:c>
      <x:c r="J2183" s="27" t="n">
        <x:f>IF(AND(ISNUMBER(G2183),F2183&gt;0),G2183/F2183-1,"")</x:f>
        <x:v>0.003262669347942282</x:v>
      </x:c>
      <x:c r="K2183" s="19" t="str">
        <x:v>Exp_8/EXP068/results/seed151801615_Fixed_rank_10.json</x:v>
      </x:c>
    </x:row>
    <x:row r="2184" ht="15" hidden="0" customHeight="1">
      <x:c r="A2184" s="3" t="str">
        <x:v>EXP068</x:v>
      </x:c>
      <x:c r="B2184" s="3" t="str">
        <x:v>Exp. 8</x:v>
      </x:c>
      <x:c r="C2184" s="18" t="n">
        <x:v>151801615</x:v>
      </x:c>
      <x:c r="D2184" s="3" t="str">
        <x:v>Fixed rank 25</x:v>
      </x:c>
      <x:c r="E2184" s="18" t="n">
        <x:v>200</x:v>
      </x:c>
      <x:c r="F2184" s="21" t="n">
        <x:v>732.9059331485113</x:v>
      </x:c>
      <x:c r="G2184" s="21" t="n">
        <x:f>F2181</x:f>
        <x:v>732.9059331485113</x:v>
      </x:c>
      <x:c r="H2184" s="21" t="n">
        <x:f>F2186</x:f>
        <x:v>732.9059331485113</x:v>
      </x:c>
      <x:c r="I2184" s="27" t="n">
        <x:f>IF(AND(ISNUMBER(G2184),ISNUMBER(H2184),H2184&gt;0),G2184/H2184-1,"")</x:f>
        <x:v>0</x:v>
      </x:c>
      <x:c r="J2184" s="27" t="n">
        <x:f>IF(AND(ISNUMBER(G2184),F2184&gt;0),G2184/F2184-1,"")</x:f>
        <x:v>0</x:v>
      </x:c>
      <x:c r="K2184" s="19" t="str">
        <x:v>Exp_8/EXP068/results/seed151801615_Fixed_rank_25.json</x:v>
      </x:c>
    </x:row>
    <x:row r="2185" ht="15" hidden="0" customHeight="1">
      <x:c r="A2185" s="3" t="str">
        <x:v>EXP068</x:v>
      </x:c>
      <x:c r="B2185" s="3" t="str">
        <x:v>Exp. 8</x:v>
      </x:c>
      <x:c r="C2185" s="18" t="n">
        <x:v>151801615</x:v>
      </x:c>
      <x:c r="D2185" s="3" t="str">
        <x:v>Relative cutoff 1e-6</x:v>
      </x:c>
      <x:c r="E2185" s="18" t="n">
        <x:v>200</x:v>
      </x:c>
      <x:c r="F2185" s="21" t="n">
        <x:v>732.9059331485113</x:v>
      </x:c>
      <x:c r="G2185" s="21" t="n">
        <x:f>F2181</x:f>
        <x:v>732.9059331485113</x:v>
      </x:c>
      <x:c r="H2185" s="21" t="n">
        <x:f>F2186</x:f>
        <x:v>732.9059331485113</x:v>
      </x:c>
      <x:c r="I2185" s="27" t="n">
        <x:f>IF(AND(ISNUMBER(G2185),ISNUMBER(H2185),H2185&gt;0),G2185/H2185-1,"")</x:f>
        <x:v>0</x:v>
      </x:c>
      <x:c r="J2185" s="27" t="n">
        <x:f>IF(AND(ISNUMBER(G2185),F2185&gt;0),G2185/F2185-1,"")</x:f>
        <x:v>0</x:v>
      </x:c>
      <x:c r="K2185" s="19" t="str">
        <x:v>Exp_8/EXP068/results/seed151801615_Relative_cutoff_1e-6.json</x:v>
      </x:c>
    </x:row>
    <x:row r="2186" ht="15" hidden="0" customHeight="1">
      <x:c r="A2186" s="3" t="str">
        <x:v>EXP068</x:v>
      </x:c>
      <x:c r="B2186" s="3" t="str">
        <x:v>Exp. 8</x:v>
      </x:c>
      <x:c r="C2186" s="18" t="n">
        <x:v>151801615</x:v>
      </x:c>
      <x:c r="D2186" s="3" t="str">
        <x:v>Full</x:v>
      </x:c>
      <x:c r="E2186" s="18" t="n">
        <x:v>200</x:v>
      </x:c>
      <x:c r="F2186" s="21" t="n">
        <x:v>732.9059331485113</x:v>
      </x:c>
      <x:c r="G2186" s="21" t="n">
        <x:f>F2181</x:f>
        <x:v>732.9059331485113</x:v>
      </x:c>
      <x:c r="H2186" s="21" t="n">
        <x:f>F2186</x:f>
        <x:v>732.9059331485113</x:v>
      </x:c>
      <x:c r="I2186" s="27" t="n">
        <x:f>IF(AND(ISNUMBER(G2186),ISNUMBER(H2186),H2186&gt;0),G2186/H2186-1,"")</x:f>
        <x:v>0</x:v>
      </x:c>
      <x:c r="J2186" s="27" t="n">
        <x:f>IF(AND(ISNUMBER(G2186),F2186&gt;0),G2186/F2186-1,"")</x:f>
        <x:v>0</x:v>
      </x:c>
      <x:c r="K2186" s="19" t="str">
        <x:v>Exp_8/EXP068/results/seed151801615_Full.json</x:v>
      </x:c>
    </x:row>
    <x:row r="2187" ht="15" hidden="0" customHeight="1">
      <x:c r="A2187" s="3" t="str">
        <x:v>EXP068</x:v>
      </x:c>
      <x:c r="B2187" s="3" t="str">
        <x:v>Exp. 8</x:v>
      </x:c>
      <x:c r="C2187" s="18" t="n">
        <x:v>151801615</x:v>
      </x:c>
      <x:c r="D2187" s="3" t="str">
        <x:v>Relative cutoff 1e-2</x:v>
      </x:c>
      <x:c r="E2187" s="18" t="n">
        <x:v>200</x:v>
      </x:c>
      <x:c r="F2187" s="21" t="n">
        <x:v>772.7376455293934</x:v>
      </x:c>
      <x:c r="G2187" s="21" t="n">
        <x:f>F2181</x:f>
        <x:v>732.9059331485113</x:v>
      </x:c>
      <x:c r="H2187" s="21" t="n">
        <x:f>F2186</x:f>
        <x:v>732.9059331485113</x:v>
      </x:c>
      <x:c r="I2187" s="27" t="n">
        <x:f>IF(AND(ISNUMBER(G2187),ISNUMBER(H2187),H2187&gt;0),G2187/H2187-1,"")</x:f>
        <x:v>0</x:v>
      </x:c>
      <x:c r="J2187" s="27" t="n">
        <x:f>IF(AND(ISNUMBER(G2187),F2187&gt;0),G2187/F2187-1,"")</x:f>
        <x:v>-0.05154622996734404</x:v>
      </x:c>
      <x:c r="K2187" s="19" t="str">
        <x:v>Exp_8/EXP068/results/seed151801615_Relative_cutoff_1e-2.json</x:v>
      </x:c>
    </x:row>
    <x:row r="2188" ht="15" hidden="0" customHeight="1">
      <x:c r="A2188" s="3" t="str">
        <x:v>EXP068</x:v>
      </x:c>
      <x:c r="B2188" s="3" t="str">
        <x:v>Exp. 8</x:v>
      </x:c>
      <x:c r="C2188" s="18" t="n">
        <x:v>151801615</x:v>
      </x:c>
      <x:c r="D2188" s="3" t="str">
        <x:v>Relative cutoff 1e-4</x:v>
      </x:c>
      <x:c r="E2188" s="18" t="n">
        <x:v>200</x:v>
      </x:c>
      <x:c r="F2188" s="21" t="n">
        <x:v>733.90286119354</x:v>
      </x:c>
      <x:c r="G2188" s="21" t="n">
        <x:f>F2181</x:f>
        <x:v>732.9059331485113</x:v>
      </x:c>
      <x:c r="H2188" s="21" t="n">
        <x:f>F2186</x:f>
        <x:v>732.9059331485113</x:v>
      </x:c>
      <x:c r="I2188" s="27" t="n">
        <x:f>IF(AND(ISNUMBER(G2188),ISNUMBER(H2188),H2188&gt;0),G2188/H2188-1,"")</x:f>
        <x:v>0</x:v>
      </x:c>
      <x:c r="J2188" s="27" t="n">
        <x:f>IF(AND(ISNUMBER(G2188),F2188&gt;0),G2188/F2188-1,"")</x:f>
        <x:v>-0.0013583923673596843</x:v>
      </x:c>
      <x:c r="K2188" s="19" t="str">
        <x:v>Exp_8/EXP068/results/seed151801615_Relative_cutoff_1e-4.json</x:v>
      </x:c>
    </x:row>
    <x:row r="2189" ht="15" hidden="0" customHeight="1">
      <x:c r="A2189" s="3" t="str">
        <x:v>EXP068</x:v>
      </x:c>
      <x:c r="B2189" s="3" t="str">
        <x:v>Exp. 8</x:v>
      </x:c>
      <x:c r="C2189" s="18" t="n">
        <x:v>159359747</x:v>
      </x:c>
      <x:c r="D2189" s="3" t="str">
        <x:v>BBP</x:v>
      </x:c>
      <x:c r="E2189" s="18" t="n">
        <x:v>200</x:v>
      </x:c>
      <x:c r="F2189" s="21" t="n">
        <x:v>758.7385026611344</x:v>
      </x:c>
      <x:c r="G2189" s="21" t="n">
        <x:f>F2189</x:f>
        <x:v>758.7385026611344</x:v>
      </x:c>
      <x:c r="H2189" s="21" t="n">
        <x:f>F2194</x:f>
        <x:v>770.7751657529351</x:v>
      </x:c>
      <x:c r="I2189" s="27" t="n">
        <x:f>IF(AND(ISNUMBER(G2189),ISNUMBER(H2189),H2189&gt;0),G2189/H2189-1,"")</x:f>
        <x:v>-0.015616308914211952</x:v>
      </x:c>
      <x:c r="J2189" s="27" t="n">
        <x:f>IF(AND(ISNUMBER(G2189),F2189&gt;0),G2189/F2189-1,"")</x:f>
        <x:v>0</x:v>
      </x:c>
      <x:c r="K2189" s="19" t="str">
        <x:v>Exp_8/EXP068/results/seed159359747_BBP.json</x:v>
      </x:c>
    </x:row>
    <x:row r="2190" ht="15" hidden="0" customHeight="1">
      <x:c r="A2190" s="3" t="str">
        <x:v>EXP068</x:v>
      </x:c>
      <x:c r="B2190" s="3" t="str">
        <x:v>Exp. 8</x:v>
      </x:c>
      <x:c r="C2190" s="18" t="n">
        <x:v>159359747</x:v>
      </x:c>
      <x:c r="D2190" s="3" t="str">
        <x:v>Relative cutoff 1e-5</x:v>
      </x:c>
      <x:c r="E2190" s="18" t="n">
        <x:v>200</x:v>
      </x:c>
      <x:c r="F2190" s="21" t="n">
        <x:v>770.7751657529351</x:v>
      </x:c>
      <x:c r="G2190" s="21" t="n">
        <x:f>F2189</x:f>
        <x:v>758.7385026611344</x:v>
      </x:c>
      <x:c r="H2190" s="21" t="n">
        <x:f>F2194</x:f>
        <x:v>770.7751657529351</x:v>
      </x:c>
      <x:c r="I2190" s="27" t="n">
        <x:f>IF(AND(ISNUMBER(G2190),ISNUMBER(H2190),H2190&gt;0),G2190/H2190-1,"")</x:f>
        <x:v>-0.015616308914211952</x:v>
      </x:c>
      <x:c r="J2190" s="27" t="n">
        <x:f>IF(AND(ISNUMBER(G2190),F2190&gt;0),G2190/F2190-1,"")</x:f>
        <x:v>-0.015616308914211952</x:v>
      </x:c>
      <x:c r="K2190" s="19" t="str">
        <x:v>Exp_8/EXP068/results/seed159359747_Relative_cutoff_1e-5.json</x:v>
      </x:c>
    </x:row>
    <x:row r="2191" ht="15" hidden="0" customHeight="1">
      <x:c r="A2191" s="3" t="str">
        <x:v>EXP068</x:v>
      </x:c>
      <x:c r="B2191" s="3" t="str">
        <x:v>Exp. 8</x:v>
      </x:c>
      <x:c r="C2191" s="18" t="n">
        <x:v>159359747</x:v>
      </x:c>
      <x:c r="D2191" s="3" t="str">
        <x:v>Fixed rank 10</x:v>
      </x:c>
      <x:c r="E2191" s="18" t="n">
        <x:v>200</x:v>
      </x:c>
      <x:c r="F2191" s="21" t="n">
        <x:v>774.9145884832809</x:v>
      </x:c>
      <x:c r="G2191" s="21" t="n">
        <x:f>F2189</x:f>
        <x:v>758.7385026611344</x:v>
      </x:c>
      <x:c r="H2191" s="21" t="n">
        <x:f>F2194</x:f>
        <x:v>770.7751657529351</x:v>
      </x:c>
      <x:c r="I2191" s="27" t="n">
        <x:f>IF(AND(ISNUMBER(G2191),ISNUMBER(H2191),H2191&gt;0),G2191/H2191-1,"")</x:f>
        <x:v>-0.015616308914211952</x:v>
      </x:c>
      <x:c r="J2191" s="27" t="n">
        <x:f>IF(AND(ISNUMBER(G2191),F2191&gt;0),G2191/F2191-1,"")</x:f>
        <x:v>-0.02087466936686222</x:v>
      </x:c>
      <x:c r="K2191" s="19" t="str">
        <x:v>Exp_8/EXP068/results/seed159359747_Fixed_rank_10.json</x:v>
      </x:c>
    </x:row>
    <x:row r="2192" ht="15" hidden="0" customHeight="1">
      <x:c r="A2192" s="3" t="str">
        <x:v>EXP068</x:v>
      </x:c>
      <x:c r="B2192" s="3" t="str">
        <x:v>Exp. 8</x:v>
      </x:c>
      <x:c r="C2192" s="18" t="n">
        <x:v>159359747</x:v>
      </x:c>
      <x:c r="D2192" s="3" t="str">
        <x:v>Fixed rank 25</x:v>
      </x:c>
      <x:c r="E2192" s="18" t="n">
        <x:v>200</x:v>
      </x:c>
      <x:c r="F2192" s="21" t="n">
        <x:v>758.7385026611344</x:v>
      </x:c>
      <x:c r="G2192" s="21" t="n">
        <x:f>F2189</x:f>
        <x:v>758.7385026611344</x:v>
      </x:c>
      <x:c r="H2192" s="21" t="n">
        <x:f>F2194</x:f>
        <x:v>770.7751657529351</x:v>
      </x:c>
      <x:c r="I2192" s="27" t="n">
        <x:f>IF(AND(ISNUMBER(G2192),ISNUMBER(H2192),H2192&gt;0),G2192/H2192-1,"")</x:f>
        <x:v>-0.015616308914211952</x:v>
      </x:c>
      <x:c r="J2192" s="27" t="n">
        <x:f>IF(AND(ISNUMBER(G2192),F2192&gt;0),G2192/F2192-1,"")</x:f>
        <x:v>0</x:v>
      </x:c>
      <x:c r="K2192" s="19" t="str">
        <x:v>Exp_8/EXP068/results/seed159359747_Fixed_rank_25.json</x:v>
      </x:c>
    </x:row>
    <x:row r="2193" ht="15" hidden="0" customHeight="1">
      <x:c r="A2193" s="3" t="str">
        <x:v>EXP068</x:v>
      </x:c>
      <x:c r="B2193" s="3" t="str">
        <x:v>Exp. 8</x:v>
      </x:c>
      <x:c r="C2193" s="18" t="n">
        <x:v>159359747</x:v>
      </x:c>
      <x:c r="D2193" s="3" t="str">
        <x:v>Relative cutoff 1e-6</x:v>
      </x:c>
      <x:c r="E2193" s="18" t="n">
        <x:v>200</x:v>
      </x:c>
      <x:c r="F2193" s="21" t="n">
        <x:v>770.7751657529351</x:v>
      </x:c>
      <x:c r="G2193" s="21" t="n">
        <x:f>F2189</x:f>
        <x:v>758.7385026611344</x:v>
      </x:c>
      <x:c r="H2193" s="21" t="n">
        <x:f>F2194</x:f>
        <x:v>770.7751657529351</x:v>
      </x:c>
      <x:c r="I2193" s="27" t="n">
        <x:f>IF(AND(ISNUMBER(G2193),ISNUMBER(H2193),H2193&gt;0),G2193/H2193-1,"")</x:f>
        <x:v>-0.015616308914211952</x:v>
      </x:c>
      <x:c r="J2193" s="27" t="n">
        <x:f>IF(AND(ISNUMBER(G2193),F2193&gt;0),G2193/F2193-1,"")</x:f>
        <x:v>-0.015616308914211952</x:v>
      </x:c>
      <x:c r="K2193" s="19" t="str">
        <x:v>Exp_8/EXP068/results/seed159359747_Relative_cutoff_1e-6.json</x:v>
      </x:c>
    </x:row>
    <x:row r="2194" ht="15" hidden="0" customHeight="1">
      <x:c r="A2194" s="3" t="str">
        <x:v>EXP068</x:v>
      </x:c>
      <x:c r="B2194" s="3" t="str">
        <x:v>Exp. 8</x:v>
      </x:c>
      <x:c r="C2194" s="18" t="n">
        <x:v>159359747</x:v>
      </x:c>
      <x:c r="D2194" s="3" t="str">
        <x:v>Full</x:v>
      </x:c>
      <x:c r="E2194" s="18" t="n">
        <x:v>200</x:v>
      </x:c>
      <x:c r="F2194" s="21" t="n">
        <x:v>770.7751657529351</x:v>
      </x:c>
      <x:c r="G2194" s="21" t="n">
        <x:f>F2189</x:f>
        <x:v>758.7385026611344</x:v>
      </x:c>
      <x:c r="H2194" s="21" t="n">
        <x:f>F2194</x:f>
        <x:v>770.7751657529351</x:v>
      </x:c>
      <x:c r="I2194" s="27" t="n">
        <x:f>IF(AND(ISNUMBER(G2194),ISNUMBER(H2194),H2194&gt;0),G2194/H2194-1,"")</x:f>
        <x:v>-0.015616308914211952</x:v>
      </x:c>
      <x:c r="J2194" s="27" t="n">
        <x:f>IF(AND(ISNUMBER(G2194),F2194&gt;0),G2194/F2194-1,"")</x:f>
        <x:v>-0.015616308914211952</x:v>
      </x:c>
      <x:c r="K2194" s="19" t="str">
        <x:v>Exp_8/EXP068/results/seed159359747_Full.json</x:v>
      </x:c>
    </x:row>
    <x:row r="2195" ht="15" hidden="0" customHeight="1">
      <x:c r="A2195" s="3" t="str">
        <x:v>EXP068</x:v>
      </x:c>
      <x:c r="B2195" s="3" t="str">
        <x:v>Exp. 8</x:v>
      </x:c>
      <x:c r="C2195" s="18" t="n">
        <x:v>159359747</x:v>
      </x:c>
      <x:c r="D2195" s="3" t="str">
        <x:v>Relative cutoff 1e-2</x:v>
      </x:c>
      <x:c r="E2195" s="18" t="n">
        <x:v>200</x:v>
      </x:c>
      <x:c r="F2195" s="21" t="n">
        <x:v>764.0474224314922</x:v>
      </x:c>
      <x:c r="G2195" s="21" t="n">
        <x:f>F2189</x:f>
        <x:v>758.7385026611344</x:v>
      </x:c>
      <x:c r="H2195" s="21" t="n">
        <x:f>F2194</x:f>
        <x:v>770.7751657529351</x:v>
      </x:c>
      <x:c r="I2195" s="27" t="n">
        <x:f>IF(AND(ISNUMBER(G2195),ISNUMBER(H2195),H2195&gt;0),G2195/H2195-1,"")</x:f>
        <x:v>-0.015616308914211952</x:v>
      </x:c>
      <x:c r="J2195" s="27" t="n">
        <x:f>IF(AND(ISNUMBER(G2195),F2195&gt;0),G2195/F2195-1,"")</x:f>
        <x:v>-0.006948416570090488</x:v>
      </x:c>
      <x:c r="K2195" s="19" t="str">
        <x:v>Exp_8/EXP068/results/seed159359747_Relative_cutoff_1e-2.json</x:v>
      </x:c>
    </x:row>
    <x:row r="2196" ht="15" hidden="0" customHeight="1">
      <x:c r="A2196" s="3" t="str">
        <x:v>EXP068</x:v>
      </x:c>
      <x:c r="B2196" s="3" t="str">
        <x:v>Exp. 8</x:v>
      </x:c>
      <x:c r="C2196" s="18" t="n">
        <x:v>159359747</x:v>
      </x:c>
      <x:c r="D2196" s="3" t="str">
        <x:v>Relative cutoff 1e-4</x:v>
      </x:c>
      <x:c r="E2196" s="18" t="n">
        <x:v>200</x:v>
      </x:c>
      <x:c r="F2196" s="21" t="n">
        <x:v>774.9145884832809</x:v>
      </x:c>
      <x:c r="G2196" s="21" t="n">
        <x:f>F2189</x:f>
        <x:v>758.7385026611344</x:v>
      </x:c>
      <x:c r="H2196" s="21" t="n">
        <x:f>F2194</x:f>
        <x:v>770.7751657529351</x:v>
      </x:c>
      <x:c r="I2196" s="27" t="n">
        <x:f>IF(AND(ISNUMBER(G2196),ISNUMBER(H2196),H2196&gt;0),G2196/H2196-1,"")</x:f>
        <x:v>-0.015616308914211952</x:v>
      </x:c>
      <x:c r="J2196" s="27" t="n">
        <x:f>IF(AND(ISNUMBER(G2196),F2196&gt;0),G2196/F2196-1,"")</x:f>
        <x:v>-0.02087466936686222</x:v>
      </x:c>
      <x:c r="K2196" s="19" t="str">
        <x:v>Exp_8/EXP068/results/seed159359747_Relative_cutoff_1e-4.json</x:v>
      </x:c>
    </x:row>
    <x:row r="2197" ht="15" hidden="0" customHeight="1">
      <x:c r="A2197" s="3" t="str">
        <x:v>EXP068</x:v>
      </x:c>
      <x:c r="B2197" s="3" t="str">
        <x:v>Exp. 8</x:v>
      </x:c>
      <x:c r="C2197" s="18" t="n">
        <x:v>254786210</x:v>
      </x:c>
      <x:c r="D2197" s="3" t="str">
        <x:v>BBP</x:v>
      </x:c>
      <x:c r="E2197" s="18" t="n">
        <x:v>200</x:v>
      </x:c>
      <x:c r="F2197" s="21" t="n">
        <x:v>605.2428940079949</x:v>
      </x:c>
      <x:c r="G2197" s="21" t="n">
        <x:f>F2197</x:f>
        <x:v>605.2428940079949</x:v>
      </x:c>
      <x:c r="H2197" s="21" t="n">
        <x:f>F2202</x:f>
        <x:v>618.8387780187494</x:v>
      </x:c>
      <x:c r="I2197" s="27" t="n">
        <x:f>IF(AND(ISNUMBER(G2197),ISNUMBER(H2197),H2197&gt;0),G2197/H2197-1,"")</x:f>
        <x:v>-0.021969993629491924</x:v>
      </x:c>
      <x:c r="J2197" s="27" t="n">
        <x:f>IF(AND(ISNUMBER(G2197),F2197&gt;0),G2197/F2197-1,"")</x:f>
        <x:v>0</x:v>
      </x:c>
      <x:c r="K2197" s="19" t="str">
        <x:v>Exp_8/EXP068/results/seed254786210_BBP.json</x:v>
      </x:c>
    </x:row>
    <x:row r="2198" ht="15" hidden="0" customHeight="1">
      <x:c r="A2198" s="3" t="str">
        <x:v>EXP068</x:v>
      </x:c>
      <x:c r="B2198" s="3" t="str">
        <x:v>Exp. 8</x:v>
      </x:c>
      <x:c r="C2198" s="18" t="n">
        <x:v>254786210</x:v>
      </x:c>
      <x:c r="D2198" s="3" t="str">
        <x:v>Relative cutoff 1e-5</x:v>
      </x:c>
      <x:c r="E2198" s="18" t="n">
        <x:v>200</x:v>
      </x:c>
      <x:c r="F2198" s="21" t="n">
        <x:v>605.2428940079949</x:v>
      </x:c>
      <x:c r="G2198" s="21" t="n">
        <x:f>F2197</x:f>
        <x:v>605.2428940079949</x:v>
      </x:c>
      <x:c r="H2198" s="21" t="n">
        <x:f>F2202</x:f>
        <x:v>618.8387780187494</x:v>
      </x:c>
      <x:c r="I2198" s="27" t="n">
        <x:f>IF(AND(ISNUMBER(G2198),ISNUMBER(H2198),H2198&gt;0),G2198/H2198-1,"")</x:f>
        <x:v>-0.021969993629491924</x:v>
      </x:c>
      <x:c r="J2198" s="27" t="n">
        <x:f>IF(AND(ISNUMBER(G2198),F2198&gt;0),G2198/F2198-1,"")</x:f>
        <x:v>0</x:v>
      </x:c>
      <x:c r="K2198" s="19" t="str">
        <x:v>Exp_8/EXP068/results/seed254786210_Relative_cutoff_1e-5.json</x:v>
      </x:c>
    </x:row>
    <x:row r="2199" ht="15" hidden="0" customHeight="1">
      <x:c r="A2199" s="3" t="str">
        <x:v>EXP068</x:v>
      </x:c>
      <x:c r="B2199" s="3" t="str">
        <x:v>Exp. 8</x:v>
      </x:c>
      <x:c r="C2199" s="18" t="n">
        <x:v>254786210</x:v>
      </x:c>
      <x:c r="D2199" s="3" t="str">
        <x:v>Fixed rank 10</x:v>
      </x:c>
      <x:c r="E2199" s="18" t="n">
        <x:v>200</x:v>
      </x:c>
      <x:c r="F2199" s="21" t="n">
        <x:v>570.193819493043</x:v>
      </x:c>
      <x:c r="G2199" s="21" t="n">
        <x:f>F2197</x:f>
        <x:v>605.2428940079949</x:v>
      </x:c>
      <x:c r="H2199" s="21" t="n">
        <x:f>F2202</x:f>
        <x:v>618.8387780187494</x:v>
      </x:c>
      <x:c r="I2199" s="27" t="n">
        <x:f>IF(AND(ISNUMBER(G2199),ISNUMBER(H2199),H2199&gt;0),G2199/H2199-1,"")</x:f>
        <x:v>-0.021969993629491924</x:v>
      </x:c>
      <x:c r="J2199" s="27" t="n">
        <x:f>IF(AND(ISNUMBER(G2199),F2199&gt;0),G2199/F2199-1,"")</x:f>
        <x:v>0.061468702951066545</x:v>
      </x:c>
      <x:c r="K2199" s="19" t="str">
        <x:v>Exp_8/EXP068/results/seed254786210_Fixed_rank_10.json</x:v>
      </x:c>
    </x:row>
    <x:row r="2200" ht="15" hidden="0" customHeight="1">
      <x:c r="A2200" s="3" t="str">
        <x:v>EXP068</x:v>
      </x:c>
      <x:c r="B2200" s="3" t="str">
        <x:v>Exp. 8</x:v>
      </x:c>
      <x:c r="C2200" s="18" t="n">
        <x:v>254786210</x:v>
      </x:c>
      <x:c r="D2200" s="3" t="str">
        <x:v>Fixed rank 25</x:v>
      </x:c>
      <x:c r="E2200" s="18" t="n">
        <x:v>200</x:v>
      </x:c>
      <x:c r="F2200" s="21" t="n">
        <x:v>605.2428940079949</x:v>
      </x:c>
      <x:c r="G2200" s="21" t="n">
        <x:f>F2197</x:f>
        <x:v>605.2428940079949</x:v>
      </x:c>
      <x:c r="H2200" s="21" t="n">
        <x:f>F2202</x:f>
        <x:v>618.8387780187494</x:v>
      </x:c>
      <x:c r="I2200" s="27" t="n">
        <x:f>IF(AND(ISNUMBER(G2200),ISNUMBER(H2200),H2200&gt;0),G2200/H2200-1,"")</x:f>
        <x:v>-0.021969993629491924</x:v>
      </x:c>
      <x:c r="J2200" s="27" t="n">
        <x:f>IF(AND(ISNUMBER(G2200),F2200&gt;0),G2200/F2200-1,"")</x:f>
        <x:v>0</x:v>
      </x:c>
      <x:c r="K2200" s="19" t="str">
        <x:v>Exp_8/EXP068/results/seed254786210_Fixed_rank_25.json</x:v>
      </x:c>
    </x:row>
    <x:row r="2201" ht="15" hidden="0" customHeight="1">
      <x:c r="A2201" s="3" t="str">
        <x:v>EXP068</x:v>
      </x:c>
      <x:c r="B2201" s="3" t="str">
        <x:v>Exp. 8</x:v>
      </x:c>
      <x:c r="C2201" s="18" t="n">
        <x:v>254786210</x:v>
      </x:c>
      <x:c r="D2201" s="3" t="str">
        <x:v>Relative cutoff 1e-6</x:v>
      </x:c>
      <x:c r="E2201" s="18" t="n">
        <x:v>200</x:v>
      </x:c>
      <x:c r="F2201" s="21" t="n">
        <x:v>605.2428940079949</x:v>
      </x:c>
      <x:c r="G2201" s="21" t="n">
        <x:f>F2197</x:f>
        <x:v>605.2428940079949</x:v>
      </x:c>
      <x:c r="H2201" s="21" t="n">
        <x:f>F2202</x:f>
        <x:v>618.8387780187494</x:v>
      </x:c>
      <x:c r="I2201" s="27" t="n">
        <x:f>IF(AND(ISNUMBER(G2201),ISNUMBER(H2201),H2201&gt;0),G2201/H2201-1,"")</x:f>
        <x:v>-0.021969993629491924</x:v>
      </x:c>
      <x:c r="J2201" s="27" t="n">
        <x:f>IF(AND(ISNUMBER(G2201),F2201&gt;0),G2201/F2201-1,"")</x:f>
        <x:v>0</x:v>
      </x:c>
      <x:c r="K2201" s="19" t="str">
        <x:v>Exp_8/EXP068/results/seed254786210_Relative_cutoff_1e-6.json</x:v>
      </x:c>
    </x:row>
    <x:row r="2202" ht="15" hidden="0" customHeight="1">
      <x:c r="A2202" s="3" t="str">
        <x:v>EXP068</x:v>
      </x:c>
      <x:c r="B2202" s="3" t="str">
        <x:v>Exp. 8</x:v>
      </x:c>
      <x:c r="C2202" s="18" t="n">
        <x:v>254786210</x:v>
      </x:c>
      <x:c r="D2202" s="3" t="str">
        <x:v>Full</x:v>
      </x:c>
      <x:c r="E2202" s="18" t="n">
        <x:v>200</x:v>
      </x:c>
      <x:c r="F2202" s="21" t="n">
        <x:v>618.8387780187494</x:v>
      </x:c>
      <x:c r="G2202" s="21" t="n">
        <x:f>F2197</x:f>
        <x:v>605.2428940079949</x:v>
      </x:c>
      <x:c r="H2202" s="21" t="n">
        <x:f>F2202</x:f>
        <x:v>618.8387780187494</x:v>
      </x:c>
      <x:c r="I2202" s="27" t="n">
        <x:f>IF(AND(ISNUMBER(G2202),ISNUMBER(H2202),H2202&gt;0),G2202/H2202-1,"")</x:f>
        <x:v>-0.021969993629491924</x:v>
      </x:c>
      <x:c r="J2202" s="27" t="n">
        <x:f>IF(AND(ISNUMBER(G2202),F2202&gt;0),G2202/F2202-1,"")</x:f>
        <x:v>-0.021969993629491924</x:v>
      </x:c>
      <x:c r="K2202" s="19" t="str">
        <x:v>Exp_8/EXP068/results/seed254786210_Full.json</x:v>
      </x:c>
    </x:row>
    <x:row r="2203" ht="15" hidden="0" customHeight="1">
      <x:c r="A2203" s="3" t="str">
        <x:v>EXP068</x:v>
      </x:c>
      <x:c r="B2203" s="3" t="str">
        <x:v>Exp. 8</x:v>
      </x:c>
      <x:c r="C2203" s="18" t="n">
        <x:v>254786210</x:v>
      </x:c>
      <x:c r="D2203" s="3" t="str">
        <x:v>Relative cutoff 1e-2</x:v>
      </x:c>
      <x:c r="E2203" s="18" t="n">
        <x:v>200</x:v>
      </x:c>
      <x:c r="F2203" s="21" t="n">
        <x:v>591.9109594775099</x:v>
      </x:c>
      <x:c r="G2203" s="21" t="n">
        <x:f>F2197</x:f>
        <x:v>605.2428940079949</x:v>
      </x:c>
      <x:c r="H2203" s="21" t="n">
        <x:f>F2202</x:f>
        <x:v>618.8387780187494</x:v>
      </x:c>
      <x:c r="I2203" s="27" t="n">
        <x:f>IF(AND(ISNUMBER(G2203),ISNUMBER(H2203),H2203&gt;0),G2203/H2203-1,"")</x:f>
        <x:v>-0.021969993629491924</x:v>
      </x:c>
      <x:c r="J2203" s="27" t="n">
        <x:f>IF(AND(ISNUMBER(G2203),F2203&gt;0),G2203/F2203-1,"")</x:f>
        <x:v>0.022523547363024532</x:v>
      </x:c>
      <x:c r="K2203" s="19" t="str">
        <x:v>Exp_8/EXP068/results/seed254786210_Relative_cutoff_1e-2.json</x:v>
      </x:c>
    </x:row>
    <x:row r="2204" ht="15" hidden="0" customHeight="1">
      <x:c r="A2204" s="3" t="str">
        <x:v>EXP068</x:v>
      </x:c>
      <x:c r="B2204" s="3" t="str">
        <x:v>Exp. 8</x:v>
      </x:c>
      <x:c r="C2204" s="18" t="n">
        <x:v>254786210</x:v>
      </x:c>
      <x:c r="D2204" s="3" t="str">
        <x:v>Relative cutoff 1e-4</x:v>
      </x:c>
      <x:c r="E2204" s="18" t="n">
        <x:v>200</x:v>
      </x:c>
      <x:c r="F2204" s="21" t="n">
        <x:v>570.193819493043</x:v>
      </x:c>
      <x:c r="G2204" s="21" t="n">
        <x:f>F2197</x:f>
        <x:v>605.2428940079949</x:v>
      </x:c>
      <x:c r="H2204" s="21" t="n">
        <x:f>F2202</x:f>
        <x:v>618.8387780187494</x:v>
      </x:c>
      <x:c r="I2204" s="27" t="n">
        <x:f>IF(AND(ISNUMBER(G2204),ISNUMBER(H2204),H2204&gt;0),G2204/H2204-1,"")</x:f>
        <x:v>-0.021969993629491924</x:v>
      </x:c>
      <x:c r="J2204" s="27" t="n">
        <x:f>IF(AND(ISNUMBER(G2204),F2204&gt;0),G2204/F2204-1,"")</x:f>
        <x:v>0.061468702951066545</x:v>
      </x:c>
      <x:c r="K2204" s="19" t="str">
        <x:v>Exp_8/EXP068/results/seed254786210_Relative_cutoff_1e-4.json</x:v>
      </x:c>
    </x:row>
    <x:row r="2205" ht="15" hidden="0" customHeight="1">
      <x:c r="A2205" s="3" t="str">
        <x:v>EXP068</x:v>
      </x:c>
      <x:c r="B2205" s="3" t="str">
        <x:v>Exp. 8</x:v>
      </x:c>
      <x:c r="C2205" s="18" t="n">
        <x:v>280737676</x:v>
      </x:c>
      <x:c r="D2205" s="3" t="str">
        <x:v>BBP</x:v>
      </x:c>
      <x:c r="E2205" s="18" t="n">
        <x:v>200</x:v>
      </x:c>
      <x:c r="F2205" s="21" t="n">
        <x:v>717.2106646216704</x:v>
      </x:c>
      <x:c r="G2205" s="21" t="n">
        <x:f>F2205</x:f>
        <x:v>717.2106646216704</x:v>
      </x:c>
      <x:c r="H2205" s="21" t="n">
        <x:f>F2210</x:f>
        <x:v>717.2106646216704</x:v>
      </x:c>
      <x:c r="I2205" s="27" t="n">
        <x:f>IF(AND(ISNUMBER(G2205),ISNUMBER(H2205),H2205&gt;0),G2205/H2205-1,"")</x:f>
        <x:v>0</x:v>
      </x:c>
      <x:c r="J2205" s="27" t="n">
        <x:f>IF(AND(ISNUMBER(G2205),F2205&gt;0),G2205/F2205-1,"")</x:f>
        <x:v>0</x:v>
      </x:c>
      <x:c r="K2205" s="19" t="str">
        <x:v>Exp_8/EXP068/results/seed280737676_BBP.json</x:v>
      </x:c>
    </x:row>
    <x:row r="2206" ht="15" hidden="0" customHeight="1">
      <x:c r="A2206" s="3" t="str">
        <x:v>EXP068</x:v>
      </x:c>
      <x:c r="B2206" s="3" t="str">
        <x:v>Exp. 8</x:v>
      </x:c>
      <x:c r="C2206" s="18" t="n">
        <x:v>280737676</x:v>
      </x:c>
      <x:c r="D2206" s="3" t="str">
        <x:v>Relative cutoff 1e-5</x:v>
      </x:c>
      <x:c r="E2206" s="18" t="n">
        <x:v>200</x:v>
      </x:c>
      <x:c r="F2206" s="21" t="n">
        <x:v>717.2106646216704</x:v>
      </x:c>
      <x:c r="G2206" s="21" t="n">
        <x:f>F2205</x:f>
        <x:v>717.2106646216704</x:v>
      </x:c>
      <x:c r="H2206" s="21" t="n">
        <x:f>F2210</x:f>
        <x:v>717.2106646216704</x:v>
      </x:c>
      <x:c r="I2206" s="27" t="n">
        <x:f>IF(AND(ISNUMBER(G2206),ISNUMBER(H2206),H2206&gt;0),G2206/H2206-1,"")</x:f>
        <x:v>0</x:v>
      </x:c>
      <x:c r="J2206" s="27" t="n">
        <x:f>IF(AND(ISNUMBER(G2206),F2206&gt;0),G2206/F2206-1,"")</x:f>
        <x:v>0</x:v>
      </x:c>
      <x:c r="K2206" s="19" t="str">
        <x:v>Exp_8/EXP068/results/seed280737676_Relative_cutoff_1e-5.json</x:v>
      </x:c>
    </x:row>
    <x:row r="2207" ht="15" hidden="0" customHeight="1">
      <x:c r="A2207" s="3" t="str">
        <x:v>EXP068</x:v>
      </x:c>
      <x:c r="B2207" s="3" t="str">
        <x:v>Exp. 8</x:v>
      </x:c>
      <x:c r="C2207" s="18" t="n">
        <x:v>280737676</x:v>
      </x:c>
      <x:c r="D2207" s="3" t="str">
        <x:v>Fixed rank 10</x:v>
      </x:c>
      <x:c r="E2207" s="18" t="n">
        <x:v>200</x:v>
      </x:c>
      <x:c r="F2207" s="21" t="n">
        <x:v>728.9485338915358</x:v>
      </x:c>
      <x:c r="G2207" s="21" t="n">
        <x:f>F2205</x:f>
        <x:v>717.2106646216704</x:v>
      </x:c>
      <x:c r="H2207" s="21" t="n">
        <x:f>F2210</x:f>
        <x:v>717.2106646216704</x:v>
      </x:c>
      <x:c r="I2207" s="27" t="n">
        <x:f>IF(AND(ISNUMBER(G2207),ISNUMBER(H2207),H2207&gt;0),G2207/H2207-1,"")</x:f>
        <x:v>0</x:v>
      </x:c>
      <x:c r="J2207" s="27" t="n">
        <x:f>IF(AND(ISNUMBER(G2207),F2207&gt;0),G2207/F2207-1,"")</x:f>
        <x:v>-0.016102466393892123</x:v>
      </x:c>
      <x:c r="K2207" s="19" t="str">
        <x:v>Exp_8/EXP068/results/seed280737676_Fixed_rank_10.json</x:v>
      </x:c>
    </x:row>
    <x:row r="2208" ht="15" hidden="0" customHeight="1">
      <x:c r="A2208" s="3" t="str">
        <x:v>EXP068</x:v>
      </x:c>
      <x:c r="B2208" s="3" t="str">
        <x:v>Exp. 8</x:v>
      </x:c>
      <x:c r="C2208" s="18" t="n">
        <x:v>280737676</x:v>
      </x:c>
      <x:c r="D2208" s="3" t="str">
        <x:v>Fixed rank 25</x:v>
      </x:c>
      <x:c r="E2208" s="18" t="n">
        <x:v>200</x:v>
      </x:c>
      <x:c r="F2208" s="21" t="n">
        <x:v>717.2106646216704</x:v>
      </x:c>
      <x:c r="G2208" s="21" t="n">
        <x:f>F2205</x:f>
        <x:v>717.2106646216704</x:v>
      </x:c>
      <x:c r="H2208" s="21" t="n">
        <x:f>F2210</x:f>
        <x:v>717.2106646216704</x:v>
      </x:c>
      <x:c r="I2208" s="27" t="n">
        <x:f>IF(AND(ISNUMBER(G2208),ISNUMBER(H2208),H2208&gt;0),G2208/H2208-1,"")</x:f>
        <x:v>0</x:v>
      </x:c>
      <x:c r="J2208" s="27" t="n">
        <x:f>IF(AND(ISNUMBER(G2208),F2208&gt;0),G2208/F2208-1,"")</x:f>
        <x:v>0</x:v>
      </x:c>
      <x:c r="K2208" s="19" t="str">
        <x:v>Exp_8/EXP068/results/seed280737676_Fixed_rank_25.json</x:v>
      </x:c>
    </x:row>
    <x:row r="2209" ht="15" hidden="0" customHeight="1">
      <x:c r="A2209" s="3" t="str">
        <x:v>EXP068</x:v>
      </x:c>
      <x:c r="B2209" s="3" t="str">
        <x:v>Exp. 8</x:v>
      </x:c>
      <x:c r="C2209" s="18" t="n">
        <x:v>280737676</x:v>
      </x:c>
      <x:c r="D2209" s="3" t="str">
        <x:v>Relative cutoff 1e-6</x:v>
      </x:c>
      <x:c r="E2209" s="18" t="n">
        <x:v>200</x:v>
      </x:c>
      <x:c r="F2209" s="21" t="n">
        <x:v>717.2106646216704</x:v>
      </x:c>
      <x:c r="G2209" s="21" t="n">
        <x:f>F2205</x:f>
        <x:v>717.2106646216704</x:v>
      </x:c>
      <x:c r="H2209" s="21" t="n">
        <x:f>F2210</x:f>
        <x:v>717.2106646216704</x:v>
      </x:c>
      <x:c r="I2209" s="27" t="n">
        <x:f>IF(AND(ISNUMBER(G2209),ISNUMBER(H2209),H2209&gt;0),G2209/H2209-1,"")</x:f>
        <x:v>0</x:v>
      </x:c>
      <x:c r="J2209" s="27" t="n">
        <x:f>IF(AND(ISNUMBER(G2209),F2209&gt;0),G2209/F2209-1,"")</x:f>
        <x:v>0</x:v>
      </x:c>
      <x:c r="K2209" s="19" t="str">
        <x:v>Exp_8/EXP068/results/seed280737676_Relative_cutoff_1e-6.json</x:v>
      </x:c>
    </x:row>
    <x:row r="2210" ht="15" hidden="0" customHeight="1">
      <x:c r="A2210" s="3" t="str">
        <x:v>EXP068</x:v>
      </x:c>
      <x:c r="B2210" s="3" t="str">
        <x:v>Exp. 8</x:v>
      </x:c>
      <x:c r="C2210" s="18" t="n">
        <x:v>280737676</x:v>
      </x:c>
      <x:c r="D2210" s="3" t="str">
        <x:v>Full</x:v>
      </x:c>
      <x:c r="E2210" s="18" t="n">
        <x:v>200</x:v>
      </x:c>
      <x:c r="F2210" s="21" t="n">
        <x:v>717.2106646216704</x:v>
      </x:c>
      <x:c r="G2210" s="21" t="n">
        <x:f>F2205</x:f>
        <x:v>717.2106646216704</x:v>
      </x:c>
      <x:c r="H2210" s="21" t="n">
        <x:f>F2210</x:f>
        <x:v>717.2106646216704</x:v>
      </x:c>
      <x:c r="I2210" s="27" t="n">
        <x:f>IF(AND(ISNUMBER(G2210),ISNUMBER(H2210),H2210&gt;0),G2210/H2210-1,"")</x:f>
        <x:v>0</x:v>
      </x:c>
      <x:c r="J2210" s="27" t="n">
        <x:f>IF(AND(ISNUMBER(G2210),F2210&gt;0),G2210/F2210-1,"")</x:f>
        <x:v>0</x:v>
      </x:c>
      <x:c r="K2210" s="19" t="str">
        <x:v>Exp_8/EXP068/results/seed280737676_Full.json</x:v>
      </x:c>
    </x:row>
    <x:row r="2211" ht="15" hidden="0" customHeight="1">
      <x:c r="A2211" s="3" t="str">
        <x:v>EXP068</x:v>
      </x:c>
      <x:c r="B2211" s="3" t="str">
        <x:v>Exp. 8</x:v>
      </x:c>
      <x:c r="C2211" s="18" t="n">
        <x:v>280737676</x:v>
      </x:c>
      <x:c r="D2211" s="3" t="str">
        <x:v>Relative cutoff 1e-2</x:v>
      </x:c>
      <x:c r="E2211" s="18" t="n">
        <x:v>200</x:v>
      </x:c>
      <x:c r="F2211" s="21" t="n">
        <x:v>719.72960003818</x:v>
      </x:c>
      <x:c r="G2211" s="21" t="n">
        <x:f>F2205</x:f>
        <x:v>717.2106646216704</x:v>
      </x:c>
      <x:c r="H2211" s="21" t="n">
        <x:f>F2210</x:f>
        <x:v>717.2106646216704</x:v>
      </x:c>
      <x:c r="I2211" s="27" t="n">
        <x:f>IF(AND(ISNUMBER(G2211),ISNUMBER(H2211),H2211&gt;0),G2211/H2211-1,"")</x:f>
        <x:v>0</x:v>
      </x:c>
      <x:c r="J2211" s="27" t="n">
        <x:f>IF(AND(ISNUMBER(G2211),F2211&gt;0),G2211/F2211-1,"")</x:f>
        <x:v>-0.0034998357944094893</x:v>
      </x:c>
      <x:c r="K2211" s="19" t="str">
        <x:v>Exp_8/EXP068/results/seed280737676_Relative_cutoff_1e-2.json</x:v>
      </x:c>
    </x:row>
    <x:row r="2212" ht="15" hidden="0" customHeight="1">
      <x:c r="A2212" s="3" t="str">
        <x:v>EXP068</x:v>
      </x:c>
      <x:c r="B2212" s="3" t="str">
        <x:v>Exp. 8</x:v>
      </x:c>
      <x:c r="C2212" s="18" t="n">
        <x:v>280737676</x:v>
      </x:c>
      <x:c r="D2212" s="3" t="str">
        <x:v>Relative cutoff 1e-4</x:v>
      </x:c>
      <x:c r="E2212" s="18" t="n">
        <x:v>200</x:v>
      </x:c>
      <x:c r="F2212" s="21" t="n">
        <x:v>718.2443268545555</x:v>
      </x:c>
      <x:c r="G2212" s="21" t="n">
        <x:f>F2205</x:f>
        <x:v>717.2106646216704</x:v>
      </x:c>
      <x:c r="H2212" s="21" t="n">
        <x:f>F2210</x:f>
        <x:v>717.2106646216704</x:v>
      </x:c>
      <x:c r="I2212" s="27" t="n">
        <x:f>IF(AND(ISNUMBER(G2212),ISNUMBER(H2212),H2212&gt;0),G2212/H2212-1,"")</x:f>
        <x:v>0</x:v>
      </x:c>
      <x:c r="J2212" s="27" t="n">
        <x:f>IF(AND(ISNUMBER(G2212),F2212&gt;0),G2212/F2212-1,"")</x:f>
        <x:v>-0.0014391512668285866</x:v>
      </x:c>
      <x:c r="K2212" s="19" t="str">
        <x:v>Exp_8/EXP068/results/seed280737676_Relative_cutoff_1e-4.json</x:v>
      </x:c>
    </x:row>
    <x:row r="2213" ht="15" hidden="0" customHeight="1">
      <x:c r="A2213" s="3" t="str">
        <x:v>EXP068</x:v>
      </x:c>
      <x:c r="B2213" s="3" t="str">
        <x:v>Exp. 8</x:v>
      </x:c>
      <x:c r="C2213" s="18" t="n">
        <x:v>304444453</x:v>
      </x:c>
      <x:c r="D2213" s="3" t="str">
        <x:v>BBP</x:v>
      </x:c>
      <x:c r="E2213" s="18" t="n">
        <x:v>200</x:v>
      </x:c>
      <x:c r="F2213" s="21" t="n">
        <x:v>614.1529566780171</x:v>
      </x:c>
      <x:c r="G2213" s="21" t="n">
        <x:f>F2213</x:f>
        <x:v>614.1529566780171</x:v>
      </x:c>
      <x:c r="H2213" s="21" t="n">
        <x:f>F2218</x:f>
        <x:v>612.5889914048827</x:v>
      </x:c>
      <x:c r="I2213" s="27" t="n">
        <x:f>IF(AND(ISNUMBER(G2213),ISNUMBER(H2213),H2213&gt;0),G2213/H2213-1,"")</x:f>
        <x:v>0.002553041754060459</x:v>
      </x:c>
      <x:c r="J2213" s="27" t="n">
        <x:f>IF(AND(ISNUMBER(G2213),F2213&gt;0),G2213/F2213-1,"")</x:f>
        <x:v>0</x:v>
      </x:c>
      <x:c r="K2213" s="19" t="str">
        <x:v>Exp_8/EXP068/results/seed304444453_BBP.json</x:v>
      </x:c>
    </x:row>
    <x:row r="2214" ht="15" hidden="0" customHeight="1">
      <x:c r="A2214" s="3" t="str">
        <x:v>EXP068</x:v>
      </x:c>
      <x:c r="B2214" s="3" t="str">
        <x:v>Exp. 8</x:v>
      </x:c>
      <x:c r="C2214" s="18" t="n">
        <x:v>304444453</x:v>
      </x:c>
      <x:c r="D2214" s="3" t="str">
        <x:v>Relative cutoff 1e-5</x:v>
      </x:c>
      <x:c r="E2214" s="18" t="n">
        <x:v>200</x:v>
      </x:c>
      <x:c r="F2214" s="21" t="n">
        <x:v>614.1529566780171</x:v>
      </x:c>
      <x:c r="G2214" s="21" t="n">
        <x:f>F2213</x:f>
        <x:v>614.1529566780171</x:v>
      </x:c>
      <x:c r="H2214" s="21" t="n">
        <x:f>F2218</x:f>
        <x:v>612.5889914048827</x:v>
      </x:c>
      <x:c r="I2214" s="27" t="n">
        <x:f>IF(AND(ISNUMBER(G2214),ISNUMBER(H2214),H2214&gt;0),G2214/H2214-1,"")</x:f>
        <x:v>0.002553041754060459</x:v>
      </x:c>
      <x:c r="J2214" s="27" t="n">
        <x:f>IF(AND(ISNUMBER(G2214),F2214&gt;0),G2214/F2214-1,"")</x:f>
        <x:v>0</x:v>
      </x:c>
      <x:c r="K2214" s="19" t="str">
        <x:v>Exp_8/EXP068/results/seed304444453_Relative_cutoff_1e-5.json</x:v>
      </x:c>
    </x:row>
    <x:row r="2215" ht="15" hidden="0" customHeight="1">
      <x:c r="A2215" s="3" t="str">
        <x:v>EXP068</x:v>
      </x:c>
      <x:c r="B2215" s="3" t="str">
        <x:v>Exp. 8</x:v>
      </x:c>
      <x:c r="C2215" s="18" t="n">
        <x:v>304444453</x:v>
      </x:c>
      <x:c r="D2215" s="3" t="str">
        <x:v>Fixed rank 10</x:v>
      </x:c>
      <x:c r="E2215" s="18" t="n">
        <x:v>200</x:v>
      </x:c>
      <x:c r="F2215" s="21" t="n">
        <x:v>608.0336330383348</x:v>
      </x:c>
      <x:c r="G2215" s="21" t="n">
        <x:f>F2213</x:f>
        <x:v>614.1529566780171</x:v>
      </x:c>
      <x:c r="H2215" s="21" t="n">
        <x:f>F2218</x:f>
        <x:v>612.5889914048827</x:v>
      </x:c>
      <x:c r="I2215" s="27" t="n">
        <x:f>IF(AND(ISNUMBER(G2215),ISNUMBER(H2215),H2215&gt;0),G2215/H2215-1,"")</x:f>
        <x:v>0.002553041754060459</x:v>
      </x:c>
      <x:c r="J2215" s="27" t="n">
        <x:f>IF(AND(ISNUMBER(G2215),F2215&gt;0),G2215/F2215-1,"")</x:f>
        <x:v>0.0100641203170031</x:v>
      </x:c>
      <x:c r="K2215" s="19" t="str">
        <x:v>Exp_8/EXP068/results/seed304444453_Fixed_rank_10.json</x:v>
      </x:c>
    </x:row>
    <x:row r="2216" ht="15" hidden="0" customHeight="1">
      <x:c r="A2216" s="3" t="str">
        <x:v>EXP068</x:v>
      </x:c>
      <x:c r="B2216" s="3" t="str">
        <x:v>Exp. 8</x:v>
      </x:c>
      <x:c r="C2216" s="18" t="n">
        <x:v>304444453</x:v>
      </x:c>
      <x:c r="D2216" s="3" t="str">
        <x:v>Fixed rank 25</x:v>
      </x:c>
      <x:c r="E2216" s="18" t="n">
        <x:v>200</x:v>
      </x:c>
      <x:c r="F2216" s="21" t="n">
        <x:v>614.1529566780171</x:v>
      </x:c>
      <x:c r="G2216" s="21" t="n">
        <x:f>F2213</x:f>
        <x:v>614.1529566780171</x:v>
      </x:c>
      <x:c r="H2216" s="21" t="n">
        <x:f>F2218</x:f>
        <x:v>612.5889914048827</x:v>
      </x:c>
      <x:c r="I2216" s="27" t="n">
        <x:f>IF(AND(ISNUMBER(G2216),ISNUMBER(H2216),H2216&gt;0),G2216/H2216-1,"")</x:f>
        <x:v>0.002553041754060459</x:v>
      </x:c>
      <x:c r="J2216" s="27" t="n">
        <x:f>IF(AND(ISNUMBER(G2216),F2216&gt;0),G2216/F2216-1,"")</x:f>
        <x:v>0</x:v>
      </x:c>
      <x:c r="K2216" s="19" t="str">
        <x:v>Exp_8/EXP068/results/seed304444453_Fixed_rank_25.json</x:v>
      </x:c>
    </x:row>
    <x:row r="2217" ht="15" hidden="0" customHeight="1">
      <x:c r="A2217" s="3" t="str">
        <x:v>EXP068</x:v>
      </x:c>
      <x:c r="B2217" s="3" t="str">
        <x:v>Exp. 8</x:v>
      </x:c>
      <x:c r="C2217" s="18" t="n">
        <x:v>304444453</x:v>
      </x:c>
      <x:c r="D2217" s="3" t="str">
        <x:v>Relative cutoff 1e-6</x:v>
      </x:c>
      <x:c r="E2217" s="18" t="n">
        <x:v>200</x:v>
      </x:c>
      <x:c r="F2217" s="21" t="n">
        <x:v>614.1529566780171</x:v>
      </x:c>
      <x:c r="G2217" s="21" t="n">
        <x:f>F2213</x:f>
        <x:v>614.1529566780171</x:v>
      </x:c>
      <x:c r="H2217" s="21" t="n">
        <x:f>F2218</x:f>
        <x:v>612.5889914048827</x:v>
      </x:c>
      <x:c r="I2217" s="27" t="n">
        <x:f>IF(AND(ISNUMBER(G2217),ISNUMBER(H2217),H2217&gt;0),G2217/H2217-1,"")</x:f>
        <x:v>0.002553041754060459</x:v>
      </x:c>
      <x:c r="J2217" s="27" t="n">
        <x:f>IF(AND(ISNUMBER(G2217),F2217&gt;0),G2217/F2217-1,"")</x:f>
        <x:v>0</x:v>
      </x:c>
      <x:c r="K2217" s="19" t="str">
        <x:v>Exp_8/EXP068/results/seed304444453_Relative_cutoff_1e-6.json</x:v>
      </x:c>
    </x:row>
    <x:row r="2218" ht="15" hidden="0" customHeight="1">
      <x:c r="A2218" s="3" t="str">
        <x:v>EXP068</x:v>
      </x:c>
      <x:c r="B2218" s="3" t="str">
        <x:v>Exp. 8</x:v>
      </x:c>
      <x:c r="C2218" s="18" t="n">
        <x:v>304444453</x:v>
      </x:c>
      <x:c r="D2218" s="3" t="str">
        <x:v>Full</x:v>
      </x:c>
      <x:c r="E2218" s="18" t="n">
        <x:v>200</x:v>
      </x:c>
      <x:c r="F2218" s="21" t="n">
        <x:v>612.5889914048827</x:v>
      </x:c>
      <x:c r="G2218" s="21" t="n">
        <x:f>F2213</x:f>
        <x:v>614.1529566780171</x:v>
      </x:c>
      <x:c r="H2218" s="21" t="n">
        <x:f>F2218</x:f>
        <x:v>612.5889914048827</x:v>
      </x:c>
      <x:c r="I2218" s="27" t="n">
        <x:f>IF(AND(ISNUMBER(G2218),ISNUMBER(H2218),H2218&gt;0),G2218/H2218-1,"")</x:f>
        <x:v>0.002553041754060459</x:v>
      </x:c>
      <x:c r="J2218" s="27" t="n">
        <x:f>IF(AND(ISNUMBER(G2218),F2218&gt;0),G2218/F2218-1,"")</x:f>
        <x:v>0.002553041754060459</x:v>
      </x:c>
      <x:c r="K2218" s="19" t="str">
        <x:v>Exp_8/EXP068/results/seed304444453_Full.json</x:v>
      </x:c>
    </x:row>
    <x:row r="2219" ht="15" hidden="0" customHeight="1">
      <x:c r="A2219" s="3" t="str">
        <x:v>EXP068</x:v>
      </x:c>
      <x:c r="B2219" s="3" t="str">
        <x:v>Exp. 8</x:v>
      </x:c>
      <x:c r="C2219" s="18" t="n">
        <x:v>304444453</x:v>
      </x:c>
      <x:c r="D2219" s="3" t="str">
        <x:v>Relative cutoff 1e-2</x:v>
      </x:c>
      <x:c r="E2219" s="18" t="n">
        <x:v>200</x:v>
      </x:c>
      <x:c r="F2219" s="21" t="n">
        <x:v>589.6260620408186</x:v>
      </x:c>
      <x:c r="G2219" s="21" t="n">
        <x:f>F2213</x:f>
        <x:v>614.1529566780171</x:v>
      </x:c>
      <x:c r="H2219" s="21" t="n">
        <x:f>F2218</x:f>
        <x:v>612.5889914048827</x:v>
      </x:c>
      <x:c r="I2219" s="27" t="n">
        <x:f>IF(AND(ISNUMBER(G2219),ISNUMBER(H2219),H2219&gt;0),G2219/H2219-1,"")</x:f>
        <x:v>0.002553041754060459</x:v>
      </x:c>
      <x:c r="J2219" s="27" t="n">
        <x:f>IF(AND(ISNUMBER(G2219),F2219&gt;0),G2219/F2219-1,"")</x:f>
        <x:v>0.04159737198913116</x:v>
      </x:c>
      <x:c r="K2219" s="19" t="str">
        <x:v>Exp_8/EXP068/results/seed304444453_Relative_cutoff_1e-2.json</x:v>
      </x:c>
    </x:row>
    <x:row r="2220" ht="15" hidden="0" customHeight="1">
      <x:c r="A2220" s="3" t="str">
        <x:v>EXP068</x:v>
      </x:c>
      <x:c r="B2220" s="3" t="str">
        <x:v>Exp. 8</x:v>
      </x:c>
      <x:c r="C2220" s="18" t="n">
        <x:v>304444453</x:v>
      </x:c>
      <x:c r="D2220" s="3" t="str">
        <x:v>Relative cutoff 1e-4</x:v>
      </x:c>
      <x:c r="E2220" s="18" t="n">
        <x:v>200</x:v>
      </x:c>
      <x:c r="F2220" s="21" t="n">
        <x:v>608.0336330383348</x:v>
      </x:c>
      <x:c r="G2220" s="21" t="n">
        <x:f>F2213</x:f>
        <x:v>614.1529566780171</x:v>
      </x:c>
      <x:c r="H2220" s="21" t="n">
        <x:f>F2218</x:f>
        <x:v>612.5889914048827</x:v>
      </x:c>
      <x:c r="I2220" s="27" t="n">
        <x:f>IF(AND(ISNUMBER(G2220),ISNUMBER(H2220),H2220&gt;0),G2220/H2220-1,"")</x:f>
        <x:v>0.002553041754060459</x:v>
      </x:c>
      <x:c r="J2220" s="27" t="n">
        <x:f>IF(AND(ISNUMBER(G2220),F2220&gt;0),G2220/F2220-1,"")</x:f>
        <x:v>0.0100641203170031</x:v>
      </x:c>
      <x:c r="K2220" s="19" t="str">
        <x:v>Exp_8/EXP068/results/seed304444453_Relative_cutoff_1e-4.json</x:v>
      </x:c>
    </x:row>
    <x:row r="2221" ht="15" hidden="0" customHeight="1">
      <x:c r="A2221" s="3" t="str">
        <x:v>EXP068</x:v>
      </x:c>
      <x:c r="B2221" s="3" t="str">
        <x:v>Exp. 8</x:v>
      </x:c>
      <x:c r="C2221" s="18" t="n">
        <x:v>319922324</x:v>
      </x:c>
      <x:c r="D2221" s="3" t="str">
        <x:v>BBP</x:v>
      </x:c>
      <x:c r="E2221" s="18" t="n">
        <x:v>200</x:v>
      </x:c>
      <x:c r="F2221" s="21" t="n">
        <x:v>585.7716332532054</x:v>
      </x:c>
      <x:c r="G2221" s="21" t="n">
        <x:f>F2221</x:f>
        <x:v>585.7716332532054</x:v>
      </x:c>
      <x:c r="H2221" s="21" t="n">
        <x:f>F2226</x:f>
        <x:v>585.7716332532054</x:v>
      </x:c>
      <x:c r="I2221" s="27" t="n">
        <x:f>IF(AND(ISNUMBER(G2221),ISNUMBER(H2221),H2221&gt;0),G2221/H2221-1,"")</x:f>
        <x:v>0</x:v>
      </x:c>
      <x:c r="J2221" s="27" t="n">
        <x:f>IF(AND(ISNUMBER(G2221),F2221&gt;0),G2221/F2221-1,"")</x:f>
        <x:v>0</x:v>
      </x:c>
      <x:c r="K2221" s="19" t="str">
        <x:v>Exp_8/EXP068/results/seed319922324_BBP.json</x:v>
      </x:c>
    </x:row>
    <x:row r="2222" ht="15" hidden="0" customHeight="1">
      <x:c r="A2222" s="3" t="str">
        <x:v>EXP068</x:v>
      </x:c>
      <x:c r="B2222" s="3" t="str">
        <x:v>Exp. 8</x:v>
      </x:c>
      <x:c r="C2222" s="18" t="n">
        <x:v>319922324</x:v>
      </x:c>
      <x:c r="D2222" s="3" t="str">
        <x:v>Relative cutoff 1e-5</x:v>
      </x:c>
      <x:c r="E2222" s="18" t="n">
        <x:v>200</x:v>
      </x:c>
      <x:c r="F2222" s="21" t="n">
        <x:v>585.7716332532054</x:v>
      </x:c>
      <x:c r="G2222" s="21" t="n">
        <x:f>F2221</x:f>
        <x:v>585.7716332532054</x:v>
      </x:c>
      <x:c r="H2222" s="21" t="n">
        <x:f>F2226</x:f>
        <x:v>585.7716332532054</x:v>
      </x:c>
      <x:c r="I2222" s="27" t="n">
        <x:f>IF(AND(ISNUMBER(G2222),ISNUMBER(H2222),H2222&gt;0),G2222/H2222-1,"")</x:f>
        <x:v>0</x:v>
      </x:c>
      <x:c r="J2222" s="27" t="n">
        <x:f>IF(AND(ISNUMBER(G2222),F2222&gt;0),G2222/F2222-1,"")</x:f>
        <x:v>0</x:v>
      </x:c>
      <x:c r="K2222" s="19" t="str">
        <x:v>Exp_8/EXP068/results/seed319922324_Relative_cutoff_1e-5.json</x:v>
      </x:c>
    </x:row>
    <x:row r="2223" ht="15" hidden="0" customHeight="1">
      <x:c r="A2223" s="3" t="str">
        <x:v>EXP068</x:v>
      </x:c>
      <x:c r="B2223" s="3" t="str">
        <x:v>Exp. 8</x:v>
      </x:c>
      <x:c r="C2223" s="18" t="n">
        <x:v>319922324</x:v>
      </x:c>
      <x:c r="D2223" s="3" t="str">
        <x:v>Fixed rank 10</x:v>
      </x:c>
      <x:c r="E2223" s="18" t="n">
        <x:v>200</x:v>
      </x:c>
      <x:c r="F2223" s="21" t="n">
        <x:v>583.9002114880668</x:v>
      </x:c>
      <x:c r="G2223" s="21" t="n">
        <x:f>F2221</x:f>
        <x:v>585.7716332532054</x:v>
      </x:c>
      <x:c r="H2223" s="21" t="n">
        <x:f>F2226</x:f>
        <x:v>585.7716332532054</x:v>
      </x:c>
      <x:c r="I2223" s="27" t="n">
        <x:f>IF(AND(ISNUMBER(G2223),ISNUMBER(H2223),H2223&gt;0),G2223/H2223-1,"")</x:f>
        <x:v>0</x:v>
      </x:c>
      <x:c r="J2223" s="27" t="n">
        <x:f>IF(AND(ISNUMBER(G2223),F2223&gt;0),G2223/F2223-1,"")</x:f>
        <x:v>0.0032050369709051285</x:v>
      </x:c>
      <x:c r="K2223" s="19" t="str">
        <x:v>Exp_8/EXP068/results/seed319922324_Fixed_rank_10.json</x:v>
      </x:c>
    </x:row>
    <x:row r="2224" ht="15" hidden="0" customHeight="1">
      <x:c r="A2224" s="3" t="str">
        <x:v>EXP068</x:v>
      </x:c>
      <x:c r="B2224" s="3" t="str">
        <x:v>Exp. 8</x:v>
      </x:c>
      <x:c r="C2224" s="18" t="n">
        <x:v>319922324</x:v>
      </x:c>
      <x:c r="D2224" s="3" t="str">
        <x:v>Fixed rank 25</x:v>
      </x:c>
      <x:c r="E2224" s="18" t="n">
        <x:v>200</x:v>
      </x:c>
      <x:c r="F2224" s="21" t="n">
        <x:v>585.7716332532054</x:v>
      </x:c>
      <x:c r="G2224" s="21" t="n">
        <x:f>F2221</x:f>
        <x:v>585.7716332532054</x:v>
      </x:c>
      <x:c r="H2224" s="21" t="n">
        <x:f>F2226</x:f>
        <x:v>585.7716332532054</x:v>
      </x:c>
      <x:c r="I2224" s="27" t="n">
        <x:f>IF(AND(ISNUMBER(G2224),ISNUMBER(H2224),H2224&gt;0),G2224/H2224-1,"")</x:f>
        <x:v>0</x:v>
      </x:c>
      <x:c r="J2224" s="27" t="n">
        <x:f>IF(AND(ISNUMBER(G2224),F2224&gt;0),G2224/F2224-1,"")</x:f>
        <x:v>0</x:v>
      </x:c>
      <x:c r="K2224" s="19" t="str">
        <x:v>Exp_8/EXP068/results/seed319922324_Fixed_rank_25.json</x:v>
      </x:c>
    </x:row>
    <x:row r="2225" ht="15" hidden="0" customHeight="1">
      <x:c r="A2225" s="3" t="str">
        <x:v>EXP068</x:v>
      </x:c>
      <x:c r="B2225" s="3" t="str">
        <x:v>Exp. 8</x:v>
      </x:c>
      <x:c r="C2225" s="18" t="n">
        <x:v>319922324</x:v>
      </x:c>
      <x:c r="D2225" s="3" t="str">
        <x:v>Relative cutoff 1e-6</x:v>
      </x:c>
      <x:c r="E2225" s="18" t="n">
        <x:v>200</x:v>
      </x:c>
      <x:c r="F2225" s="21" t="n">
        <x:v>585.7716332532054</x:v>
      </x:c>
      <x:c r="G2225" s="21" t="n">
        <x:f>F2221</x:f>
        <x:v>585.7716332532054</x:v>
      </x:c>
      <x:c r="H2225" s="21" t="n">
        <x:f>F2226</x:f>
        <x:v>585.7716332532054</x:v>
      </x:c>
      <x:c r="I2225" s="27" t="n">
        <x:f>IF(AND(ISNUMBER(G2225),ISNUMBER(H2225),H2225&gt;0),G2225/H2225-1,"")</x:f>
        <x:v>0</x:v>
      </x:c>
      <x:c r="J2225" s="27" t="n">
        <x:f>IF(AND(ISNUMBER(G2225),F2225&gt;0),G2225/F2225-1,"")</x:f>
        <x:v>0</x:v>
      </x:c>
      <x:c r="K2225" s="19" t="str">
        <x:v>Exp_8/EXP068/results/seed319922324_Relative_cutoff_1e-6.json</x:v>
      </x:c>
    </x:row>
    <x:row r="2226" ht="15" hidden="0" customHeight="1">
      <x:c r="A2226" s="3" t="str">
        <x:v>EXP068</x:v>
      </x:c>
      <x:c r="B2226" s="3" t="str">
        <x:v>Exp. 8</x:v>
      </x:c>
      <x:c r="C2226" s="18" t="n">
        <x:v>319922324</x:v>
      </x:c>
      <x:c r="D2226" s="3" t="str">
        <x:v>Full</x:v>
      </x:c>
      <x:c r="E2226" s="18" t="n">
        <x:v>200</x:v>
      </x:c>
      <x:c r="F2226" s="21" t="n">
        <x:v>585.7716332532054</x:v>
      </x:c>
      <x:c r="G2226" s="21" t="n">
        <x:f>F2221</x:f>
        <x:v>585.7716332532054</x:v>
      </x:c>
      <x:c r="H2226" s="21" t="n">
        <x:f>F2226</x:f>
        <x:v>585.7716332532054</x:v>
      </x:c>
      <x:c r="I2226" s="27" t="n">
        <x:f>IF(AND(ISNUMBER(G2226),ISNUMBER(H2226),H2226&gt;0),G2226/H2226-1,"")</x:f>
        <x:v>0</x:v>
      </x:c>
      <x:c r="J2226" s="27" t="n">
        <x:f>IF(AND(ISNUMBER(G2226),F2226&gt;0),G2226/F2226-1,"")</x:f>
        <x:v>0</x:v>
      </x:c>
      <x:c r="K2226" s="19" t="str">
        <x:v>Exp_8/EXP068/results/seed319922324_Full.json</x:v>
      </x:c>
    </x:row>
    <x:row r="2227" ht="15" hidden="0" customHeight="1">
      <x:c r="A2227" s="3" t="str">
        <x:v>EXP068</x:v>
      </x:c>
      <x:c r="B2227" s="3" t="str">
        <x:v>Exp. 8</x:v>
      </x:c>
      <x:c r="C2227" s="18" t="n">
        <x:v>319922324</x:v>
      </x:c>
      <x:c r="D2227" s="3" t="str">
        <x:v>Relative cutoff 1e-2</x:v>
      </x:c>
      <x:c r="E2227" s="18" t="n">
        <x:v>200</x:v>
      </x:c>
      <x:c r="F2227" s="21" t="n">
        <x:v>578.8346686554319</x:v>
      </x:c>
      <x:c r="G2227" s="21" t="n">
        <x:f>F2221</x:f>
        <x:v>585.7716332532054</x:v>
      </x:c>
      <x:c r="H2227" s="21" t="n">
        <x:f>F2226</x:f>
        <x:v>585.7716332532054</x:v>
      </x:c>
      <x:c r="I2227" s="27" t="n">
        <x:f>IF(AND(ISNUMBER(G2227),ISNUMBER(H2227),H2227&gt;0),G2227/H2227-1,"")</x:f>
        <x:v>0</x:v>
      </x:c>
      <x:c r="J2227" s="27" t="n">
        <x:f>IF(AND(ISNUMBER(G2227),F2227&gt;0),G2227/F2227-1,"")</x:f>
        <x:v>0.011984362674556825</x:v>
      </x:c>
      <x:c r="K2227" s="19" t="str">
        <x:v>Exp_8/EXP068/results/seed319922324_Relative_cutoff_1e-2.json</x:v>
      </x:c>
    </x:row>
    <x:row r="2228" ht="15" hidden="0" customHeight="1">
      <x:c r="A2228" s="3" t="str">
        <x:v>EXP068</x:v>
      </x:c>
      <x:c r="B2228" s="3" t="str">
        <x:v>Exp. 8</x:v>
      </x:c>
      <x:c r="C2228" s="18" t="n">
        <x:v>319922324</x:v>
      </x:c>
      <x:c r="D2228" s="3" t="str">
        <x:v>Relative cutoff 1e-4</x:v>
      </x:c>
      <x:c r="E2228" s="18" t="n">
        <x:v>200</x:v>
      </x:c>
      <x:c r="F2228" s="21" t="n">
        <x:v>583.9002114880668</x:v>
      </x:c>
      <x:c r="G2228" s="21" t="n">
        <x:f>F2221</x:f>
        <x:v>585.7716332532054</x:v>
      </x:c>
      <x:c r="H2228" s="21" t="n">
        <x:f>F2226</x:f>
        <x:v>585.7716332532054</x:v>
      </x:c>
      <x:c r="I2228" s="27" t="n">
        <x:f>IF(AND(ISNUMBER(G2228),ISNUMBER(H2228),H2228&gt;0),G2228/H2228-1,"")</x:f>
        <x:v>0</x:v>
      </x:c>
      <x:c r="J2228" s="27" t="n">
        <x:f>IF(AND(ISNUMBER(G2228),F2228&gt;0),G2228/F2228-1,"")</x:f>
        <x:v>0.0032050369709051285</x:v>
      </x:c>
      <x:c r="K2228" s="19" t="str">
        <x:v>Exp_8/EXP068/results/seed319922324_Relative_cutoff_1e-4.json</x:v>
      </x:c>
    </x:row>
    <x:row r="2229" ht="15" hidden="0" customHeight="1">
      <x:c r="A2229" s="3" t="str">
        <x:v>EXP068</x:v>
      </x:c>
      <x:c r="B2229" s="3" t="str">
        <x:v>Exp. 8</x:v>
      </x:c>
      <x:c r="C2229" s="18" t="n">
        <x:v>560889375</x:v>
      </x:c>
      <x:c r="D2229" s="3" t="str">
        <x:v>BBP</x:v>
      </x:c>
      <x:c r="E2229" s="18" t="n">
        <x:v>200</x:v>
      </x:c>
      <x:c r="F2229" s="21" t="n">
        <x:v>756.1916028308779</x:v>
      </x:c>
      <x:c r="G2229" s="21" t="n">
        <x:f>F2229</x:f>
        <x:v>756.1916028308779</x:v>
      </x:c>
      <x:c r="H2229" s="21" t="n">
        <x:f>F2234</x:f>
        <x:v>756.1916028308779</x:v>
      </x:c>
      <x:c r="I2229" s="27" t="n">
        <x:f>IF(AND(ISNUMBER(G2229),ISNUMBER(H2229),H2229&gt;0),G2229/H2229-1,"")</x:f>
        <x:v>0</x:v>
      </x:c>
      <x:c r="J2229" s="27" t="n">
        <x:f>IF(AND(ISNUMBER(G2229),F2229&gt;0),G2229/F2229-1,"")</x:f>
        <x:v>0</x:v>
      </x:c>
      <x:c r="K2229" s="19" t="str">
        <x:v>Exp_8/EXP068/results/seed560889375_BBP.json</x:v>
      </x:c>
    </x:row>
    <x:row r="2230" ht="15" hidden="0" customHeight="1">
      <x:c r="A2230" s="3" t="str">
        <x:v>EXP068</x:v>
      </x:c>
      <x:c r="B2230" s="3" t="str">
        <x:v>Exp. 8</x:v>
      </x:c>
      <x:c r="C2230" s="18" t="n">
        <x:v>560889375</x:v>
      </x:c>
      <x:c r="D2230" s="3" t="str">
        <x:v>Relative cutoff 1e-5</x:v>
      </x:c>
      <x:c r="E2230" s="18" t="n">
        <x:v>200</x:v>
      </x:c>
      <x:c r="F2230" s="21" t="n">
        <x:v>756.1916028308779</x:v>
      </x:c>
      <x:c r="G2230" s="21" t="n">
        <x:f>F2229</x:f>
        <x:v>756.1916028308779</x:v>
      </x:c>
      <x:c r="H2230" s="21" t="n">
        <x:f>F2234</x:f>
        <x:v>756.1916028308779</x:v>
      </x:c>
      <x:c r="I2230" s="27" t="n">
        <x:f>IF(AND(ISNUMBER(G2230),ISNUMBER(H2230),H2230&gt;0),G2230/H2230-1,"")</x:f>
        <x:v>0</x:v>
      </x:c>
      <x:c r="J2230" s="27" t="n">
        <x:f>IF(AND(ISNUMBER(G2230),F2230&gt;0),G2230/F2230-1,"")</x:f>
        <x:v>0</x:v>
      </x:c>
      <x:c r="K2230" s="19" t="str">
        <x:v>Exp_8/EXP068/results/seed560889375_Relative_cutoff_1e-5.json</x:v>
      </x:c>
    </x:row>
    <x:row r="2231" ht="15" hidden="0" customHeight="1">
      <x:c r="A2231" s="3" t="str">
        <x:v>EXP068</x:v>
      </x:c>
      <x:c r="B2231" s="3" t="str">
        <x:v>Exp. 8</x:v>
      </x:c>
      <x:c r="C2231" s="18" t="n">
        <x:v>560889375</x:v>
      </x:c>
      <x:c r="D2231" s="3" t="str">
        <x:v>Fixed rank 10</x:v>
      </x:c>
      <x:c r="E2231" s="18" t="n">
        <x:v>200</x:v>
      </x:c>
      <x:c r="F2231" s="21" t="n">
        <x:v>764.42239564202</x:v>
      </x:c>
      <x:c r="G2231" s="21" t="n">
        <x:f>F2229</x:f>
        <x:v>756.1916028308779</x:v>
      </x:c>
      <x:c r="H2231" s="21" t="n">
        <x:f>F2234</x:f>
        <x:v>756.1916028308779</x:v>
      </x:c>
      <x:c r="I2231" s="27" t="n">
        <x:f>IF(AND(ISNUMBER(G2231),ISNUMBER(H2231),H2231&gt;0),G2231/H2231-1,"")</x:f>
        <x:v>0</x:v>
      </x:c>
      <x:c r="J2231" s="27" t="n">
        <x:f>IF(AND(ISNUMBER(G2231),F2231&gt;0),G2231/F2231-1,"")</x:f>
        <x:v>-0.010767336040997666</x:v>
      </x:c>
      <x:c r="K2231" s="19" t="str">
        <x:v>Exp_8/EXP068/results/seed560889375_Fixed_rank_10.json</x:v>
      </x:c>
    </x:row>
    <x:row r="2232" ht="15" hidden="0" customHeight="1">
      <x:c r="A2232" s="3" t="str">
        <x:v>EXP068</x:v>
      </x:c>
      <x:c r="B2232" s="3" t="str">
        <x:v>Exp. 8</x:v>
      </x:c>
      <x:c r="C2232" s="18" t="n">
        <x:v>560889375</x:v>
      </x:c>
      <x:c r="D2232" s="3" t="str">
        <x:v>Fixed rank 25</x:v>
      </x:c>
      <x:c r="E2232" s="18" t="n">
        <x:v>200</x:v>
      </x:c>
      <x:c r="F2232" s="21" t="n">
        <x:v>756.1916028308779</x:v>
      </x:c>
      <x:c r="G2232" s="21" t="n">
        <x:f>F2229</x:f>
        <x:v>756.1916028308779</x:v>
      </x:c>
      <x:c r="H2232" s="21" t="n">
        <x:f>F2234</x:f>
        <x:v>756.1916028308779</x:v>
      </x:c>
      <x:c r="I2232" s="27" t="n">
        <x:f>IF(AND(ISNUMBER(G2232),ISNUMBER(H2232),H2232&gt;0),G2232/H2232-1,"")</x:f>
        <x:v>0</x:v>
      </x:c>
      <x:c r="J2232" s="27" t="n">
        <x:f>IF(AND(ISNUMBER(G2232),F2232&gt;0),G2232/F2232-1,"")</x:f>
        <x:v>0</x:v>
      </x:c>
      <x:c r="K2232" s="19" t="str">
        <x:v>Exp_8/EXP068/results/seed560889375_Fixed_rank_25.json</x:v>
      </x:c>
    </x:row>
    <x:row r="2233" ht="15" hidden="0" customHeight="1">
      <x:c r="A2233" s="3" t="str">
        <x:v>EXP068</x:v>
      </x:c>
      <x:c r="B2233" s="3" t="str">
        <x:v>Exp. 8</x:v>
      </x:c>
      <x:c r="C2233" s="18" t="n">
        <x:v>560889375</x:v>
      </x:c>
      <x:c r="D2233" s="3" t="str">
        <x:v>Relative cutoff 1e-6</x:v>
      </x:c>
      <x:c r="E2233" s="18" t="n">
        <x:v>200</x:v>
      </x:c>
      <x:c r="F2233" s="21" t="n">
        <x:v>756.1916028308779</x:v>
      </x:c>
      <x:c r="G2233" s="21" t="n">
        <x:f>F2229</x:f>
        <x:v>756.1916028308779</x:v>
      </x:c>
      <x:c r="H2233" s="21" t="n">
        <x:f>F2234</x:f>
        <x:v>756.1916028308779</x:v>
      </x:c>
      <x:c r="I2233" s="27" t="n">
        <x:f>IF(AND(ISNUMBER(G2233),ISNUMBER(H2233),H2233&gt;0),G2233/H2233-1,"")</x:f>
        <x:v>0</x:v>
      </x:c>
      <x:c r="J2233" s="27" t="n">
        <x:f>IF(AND(ISNUMBER(G2233),F2233&gt;0),G2233/F2233-1,"")</x:f>
        <x:v>0</x:v>
      </x:c>
      <x:c r="K2233" s="19" t="str">
        <x:v>Exp_8/EXP068/results/seed560889375_Relative_cutoff_1e-6.json</x:v>
      </x:c>
    </x:row>
    <x:row r="2234" ht="15" hidden="0" customHeight="1">
      <x:c r="A2234" s="3" t="str">
        <x:v>EXP068</x:v>
      </x:c>
      <x:c r="B2234" s="3" t="str">
        <x:v>Exp. 8</x:v>
      </x:c>
      <x:c r="C2234" s="18" t="n">
        <x:v>560889375</x:v>
      </x:c>
      <x:c r="D2234" s="3" t="str">
        <x:v>Full</x:v>
      </x:c>
      <x:c r="E2234" s="18" t="n">
        <x:v>200</x:v>
      </x:c>
      <x:c r="F2234" s="21" t="n">
        <x:v>756.1916028308779</x:v>
      </x:c>
      <x:c r="G2234" s="21" t="n">
        <x:f>F2229</x:f>
        <x:v>756.1916028308779</x:v>
      </x:c>
      <x:c r="H2234" s="21" t="n">
        <x:f>F2234</x:f>
        <x:v>756.1916028308779</x:v>
      </x:c>
      <x:c r="I2234" s="27" t="n">
        <x:f>IF(AND(ISNUMBER(G2234),ISNUMBER(H2234),H2234&gt;0),G2234/H2234-1,"")</x:f>
        <x:v>0</x:v>
      </x:c>
      <x:c r="J2234" s="27" t="n">
        <x:f>IF(AND(ISNUMBER(G2234),F2234&gt;0),G2234/F2234-1,"")</x:f>
        <x:v>0</x:v>
      </x:c>
      <x:c r="K2234" s="19" t="str">
        <x:v>Exp_8/EXP068/results/seed560889375_Full.json</x:v>
      </x:c>
    </x:row>
    <x:row r="2235" ht="15" hidden="0" customHeight="1">
      <x:c r="A2235" s="3" t="str">
        <x:v>EXP068</x:v>
      </x:c>
      <x:c r="B2235" s="3" t="str">
        <x:v>Exp. 8</x:v>
      </x:c>
      <x:c r="C2235" s="18" t="n">
        <x:v>560889375</x:v>
      </x:c>
      <x:c r="D2235" s="3" t="str">
        <x:v>Relative cutoff 1e-2</x:v>
      </x:c>
      <x:c r="E2235" s="18" t="n">
        <x:v>200</x:v>
      </x:c>
      <x:c r="F2235" s="21" t="n">
        <x:v>740.9331438737447</x:v>
      </x:c>
      <x:c r="G2235" s="21" t="n">
        <x:f>F2229</x:f>
        <x:v>756.1916028308779</x:v>
      </x:c>
      <x:c r="H2235" s="21" t="n">
        <x:f>F2234</x:f>
        <x:v>756.1916028308779</x:v>
      </x:c>
      <x:c r="I2235" s="27" t="n">
        <x:f>IF(AND(ISNUMBER(G2235),ISNUMBER(H2235),H2235&gt;0),G2235/H2235-1,"")</x:f>
        <x:v>0</x:v>
      </x:c>
      <x:c r="J2235" s="27" t="n">
        <x:f>IF(AND(ISNUMBER(G2235),F2235&gt;0),G2235/F2235-1,"")</x:f>
        <x:v>0.02059357053101829</x:v>
      </x:c>
      <x:c r="K2235" s="19" t="str">
        <x:v>Exp_8/EXP068/results/seed560889375_Relative_cutoff_1e-2.json</x:v>
      </x:c>
    </x:row>
    <x:row r="2236" ht="15" hidden="0" customHeight="1">
      <x:c r="A2236" s="3" t="str">
        <x:v>EXP068</x:v>
      </x:c>
      <x:c r="B2236" s="3" t="str">
        <x:v>Exp. 8</x:v>
      </x:c>
      <x:c r="C2236" s="18" t="n">
        <x:v>560889375</x:v>
      </x:c>
      <x:c r="D2236" s="3" t="str">
        <x:v>Relative cutoff 1e-4</x:v>
      </x:c>
      <x:c r="E2236" s="18" t="n">
        <x:v>200</x:v>
      </x:c>
      <x:c r="F2236" s="21" t="n">
        <x:v>764.42239564202</x:v>
      </x:c>
      <x:c r="G2236" s="21" t="n">
        <x:f>F2229</x:f>
        <x:v>756.1916028308779</x:v>
      </x:c>
      <x:c r="H2236" s="21" t="n">
        <x:f>F2234</x:f>
        <x:v>756.1916028308779</x:v>
      </x:c>
      <x:c r="I2236" s="27" t="n">
        <x:f>IF(AND(ISNUMBER(G2236),ISNUMBER(H2236),H2236&gt;0),G2236/H2236-1,"")</x:f>
        <x:v>0</x:v>
      </x:c>
      <x:c r="J2236" s="27" t="n">
        <x:f>IF(AND(ISNUMBER(G2236),F2236&gt;0),G2236/F2236-1,"")</x:f>
        <x:v>-0.010767336040997666</x:v>
      </x:c>
      <x:c r="K2236" s="19" t="str">
        <x:v>Exp_8/EXP068/results/seed560889375_Relative_cutoff_1e-4.json</x:v>
      </x:c>
    </x:row>
    <x:row r="2237" ht="15" hidden="0" customHeight="1">
      <x:c r="A2237" s="3" t="str">
        <x:v>EXP068</x:v>
      </x:c>
      <x:c r="B2237" s="3" t="str">
        <x:v>Exp. 8</x:v>
      </x:c>
      <x:c r="C2237" s="18" t="n">
        <x:v>666829030</x:v>
      </x:c>
      <x:c r="D2237" s="3" t="str">
        <x:v>BBP</x:v>
      </x:c>
      <x:c r="E2237" s="18" t="n">
        <x:v>200</x:v>
      </x:c>
      <x:c r="F2237" s="21" t="n">
        <x:v>544.3039336669156</x:v>
      </x:c>
      <x:c r="G2237" s="21" t="n">
        <x:f>F2237</x:f>
        <x:v>544.3039336669156</x:v>
      </x:c>
      <x:c r="H2237" s="21" t="n">
        <x:f>F2242</x:f>
        <x:v>544.3039336669156</x:v>
      </x:c>
      <x:c r="I2237" s="27" t="n">
        <x:f>IF(AND(ISNUMBER(G2237),ISNUMBER(H2237),H2237&gt;0),G2237/H2237-1,"")</x:f>
        <x:v>0</x:v>
      </x:c>
      <x:c r="J2237" s="27" t="n">
        <x:f>IF(AND(ISNUMBER(G2237),F2237&gt;0),G2237/F2237-1,"")</x:f>
        <x:v>0</x:v>
      </x:c>
      <x:c r="K2237" s="19" t="str">
        <x:v>Exp_8/EXP068/results/seed666829030_BBP.json</x:v>
      </x:c>
    </x:row>
    <x:row r="2238" ht="15" hidden="0" customHeight="1">
      <x:c r="A2238" s="3" t="str">
        <x:v>EXP068</x:v>
      </x:c>
      <x:c r="B2238" s="3" t="str">
        <x:v>Exp. 8</x:v>
      </x:c>
      <x:c r="C2238" s="18" t="n">
        <x:v>666829030</x:v>
      </x:c>
      <x:c r="D2238" s="3" t="str">
        <x:v>Relative cutoff 1e-5</x:v>
      </x:c>
      <x:c r="E2238" s="18" t="n">
        <x:v>200</x:v>
      </x:c>
      <x:c r="F2238" s="21" t="n">
        <x:v>544.3039336669156</x:v>
      </x:c>
      <x:c r="G2238" s="21" t="n">
        <x:f>F2237</x:f>
        <x:v>544.3039336669156</x:v>
      </x:c>
      <x:c r="H2238" s="21" t="n">
        <x:f>F2242</x:f>
        <x:v>544.3039336669156</x:v>
      </x:c>
      <x:c r="I2238" s="27" t="n">
        <x:f>IF(AND(ISNUMBER(G2238),ISNUMBER(H2238),H2238&gt;0),G2238/H2238-1,"")</x:f>
        <x:v>0</x:v>
      </x:c>
      <x:c r="J2238" s="27" t="n">
        <x:f>IF(AND(ISNUMBER(G2238),F2238&gt;0),G2238/F2238-1,"")</x:f>
        <x:v>0</x:v>
      </x:c>
      <x:c r="K2238" s="19" t="str">
        <x:v>Exp_8/EXP068/results/seed666829030_Relative_cutoff_1e-5.json</x:v>
      </x:c>
    </x:row>
    <x:row r="2239" ht="15" hidden="0" customHeight="1">
      <x:c r="A2239" s="3" t="str">
        <x:v>EXP068</x:v>
      </x:c>
      <x:c r="B2239" s="3" t="str">
        <x:v>Exp. 8</x:v>
      </x:c>
      <x:c r="C2239" s="18" t="n">
        <x:v>666829030</x:v>
      </x:c>
      <x:c r="D2239" s="3" t="str">
        <x:v>Fixed rank 10</x:v>
      </x:c>
      <x:c r="E2239" s="18" t="n">
        <x:v>200</x:v>
      </x:c>
      <x:c r="F2239" s="21" t="n">
        <x:v>595.0056770226249</x:v>
      </x:c>
      <x:c r="G2239" s="21" t="n">
        <x:f>F2237</x:f>
        <x:v>544.3039336669156</x:v>
      </x:c>
      <x:c r="H2239" s="21" t="n">
        <x:f>F2242</x:f>
        <x:v>544.3039336669156</x:v>
      </x:c>
      <x:c r="I2239" s="27" t="n">
        <x:f>IF(AND(ISNUMBER(G2239),ISNUMBER(H2239),H2239&gt;0),G2239/H2239-1,"")</x:f>
        <x:v>0</x:v>
      </x:c>
      <x:c r="J2239" s="27" t="n">
        <x:f>IF(AND(ISNUMBER(G2239),F2239&gt;0),G2239/F2239-1,"")</x:f>
        <x:v>-0.08521220101532145</x:v>
      </x:c>
      <x:c r="K2239" s="19" t="str">
        <x:v>Exp_8/EXP068/results/seed666829030_Fixed_rank_10.json</x:v>
      </x:c>
    </x:row>
    <x:row r="2240" ht="15" hidden="0" customHeight="1">
      <x:c r="A2240" s="3" t="str">
        <x:v>EXP068</x:v>
      </x:c>
      <x:c r="B2240" s="3" t="str">
        <x:v>Exp. 8</x:v>
      </x:c>
      <x:c r="C2240" s="18" t="n">
        <x:v>666829030</x:v>
      </x:c>
      <x:c r="D2240" s="3" t="str">
        <x:v>Fixed rank 25</x:v>
      </x:c>
      <x:c r="E2240" s="18" t="n">
        <x:v>200</x:v>
      </x:c>
      <x:c r="F2240" s="21" t="n">
        <x:v>544.3039336669156</x:v>
      </x:c>
      <x:c r="G2240" s="21" t="n">
        <x:f>F2237</x:f>
        <x:v>544.3039336669156</x:v>
      </x:c>
      <x:c r="H2240" s="21" t="n">
        <x:f>F2242</x:f>
        <x:v>544.3039336669156</x:v>
      </x:c>
      <x:c r="I2240" s="27" t="n">
        <x:f>IF(AND(ISNUMBER(G2240),ISNUMBER(H2240),H2240&gt;0),G2240/H2240-1,"")</x:f>
        <x:v>0</x:v>
      </x:c>
      <x:c r="J2240" s="27" t="n">
        <x:f>IF(AND(ISNUMBER(G2240),F2240&gt;0),G2240/F2240-1,"")</x:f>
        <x:v>0</x:v>
      </x:c>
      <x:c r="K2240" s="19" t="str">
        <x:v>Exp_8/EXP068/results/seed666829030_Fixed_rank_25.json</x:v>
      </x:c>
    </x:row>
    <x:row r="2241" ht="15" hidden="0" customHeight="1">
      <x:c r="A2241" s="3" t="str">
        <x:v>EXP068</x:v>
      </x:c>
      <x:c r="B2241" s="3" t="str">
        <x:v>Exp. 8</x:v>
      </x:c>
      <x:c r="C2241" s="18" t="n">
        <x:v>666829030</x:v>
      </x:c>
      <x:c r="D2241" s="3" t="str">
        <x:v>Relative cutoff 1e-6</x:v>
      </x:c>
      <x:c r="E2241" s="18" t="n">
        <x:v>200</x:v>
      </x:c>
      <x:c r="F2241" s="21" t="n">
        <x:v>544.3039336669156</x:v>
      </x:c>
      <x:c r="G2241" s="21" t="n">
        <x:f>F2237</x:f>
        <x:v>544.3039336669156</x:v>
      </x:c>
      <x:c r="H2241" s="21" t="n">
        <x:f>F2242</x:f>
        <x:v>544.3039336669156</x:v>
      </x:c>
      <x:c r="I2241" s="27" t="n">
        <x:f>IF(AND(ISNUMBER(G2241),ISNUMBER(H2241),H2241&gt;0),G2241/H2241-1,"")</x:f>
        <x:v>0</x:v>
      </x:c>
      <x:c r="J2241" s="27" t="n">
        <x:f>IF(AND(ISNUMBER(G2241),F2241&gt;0),G2241/F2241-1,"")</x:f>
        <x:v>0</x:v>
      </x:c>
      <x:c r="K2241" s="19" t="str">
        <x:v>Exp_8/EXP068/results/seed666829030_Relative_cutoff_1e-6.json</x:v>
      </x:c>
    </x:row>
    <x:row r="2242" ht="15" hidden="0" customHeight="1">
      <x:c r="A2242" s="3" t="str">
        <x:v>EXP068</x:v>
      </x:c>
      <x:c r="B2242" s="3" t="str">
        <x:v>Exp. 8</x:v>
      </x:c>
      <x:c r="C2242" s="18" t="n">
        <x:v>666829030</x:v>
      </x:c>
      <x:c r="D2242" s="3" t="str">
        <x:v>Full</x:v>
      </x:c>
      <x:c r="E2242" s="18" t="n">
        <x:v>200</x:v>
      </x:c>
      <x:c r="F2242" s="21" t="n">
        <x:v>544.3039336669156</x:v>
      </x:c>
      <x:c r="G2242" s="21" t="n">
        <x:f>F2237</x:f>
        <x:v>544.3039336669156</x:v>
      </x:c>
      <x:c r="H2242" s="21" t="n">
        <x:f>F2242</x:f>
        <x:v>544.3039336669156</x:v>
      </x:c>
      <x:c r="I2242" s="27" t="n">
        <x:f>IF(AND(ISNUMBER(G2242),ISNUMBER(H2242),H2242&gt;0),G2242/H2242-1,"")</x:f>
        <x:v>0</x:v>
      </x:c>
      <x:c r="J2242" s="27" t="n">
        <x:f>IF(AND(ISNUMBER(G2242),F2242&gt;0),G2242/F2242-1,"")</x:f>
        <x:v>0</x:v>
      </x:c>
      <x:c r="K2242" s="19" t="str">
        <x:v>Exp_8/EXP068/results/seed666829030_Full.json</x:v>
      </x:c>
    </x:row>
    <x:row r="2243" ht="15" hidden="0" customHeight="1">
      <x:c r="A2243" s="3" t="str">
        <x:v>EXP068</x:v>
      </x:c>
      <x:c r="B2243" s="3" t="str">
        <x:v>Exp. 8</x:v>
      </x:c>
      <x:c r="C2243" s="18" t="n">
        <x:v>666829030</x:v>
      </x:c>
      <x:c r="D2243" s="3" t="str">
        <x:v>Relative cutoff 1e-2</x:v>
      </x:c>
      <x:c r="E2243" s="18" t="n">
        <x:v>200</x:v>
      </x:c>
      <x:c r="F2243" s="21" t="n">
        <x:v>548.6294814884471</x:v>
      </x:c>
      <x:c r="G2243" s="21" t="n">
        <x:f>F2237</x:f>
        <x:v>544.3039336669156</x:v>
      </x:c>
      <x:c r="H2243" s="21" t="n">
        <x:f>F2242</x:f>
        <x:v>544.3039336669156</x:v>
      </x:c>
      <x:c r="I2243" s="27" t="n">
        <x:f>IF(AND(ISNUMBER(G2243),ISNUMBER(H2243),H2243&gt;0),G2243/H2243-1,"")</x:f>
        <x:v>0</x:v>
      </x:c>
      <x:c r="J2243" s="27" t="n">
        <x:f>IF(AND(ISNUMBER(G2243),F2243&gt;0),G2243/F2243-1,"")</x:f>
        <x:v>-0.007884278857556604</x:v>
      </x:c>
      <x:c r="K2243" s="19" t="str">
        <x:v>Exp_8/EXP068/results/seed666829030_Relative_cutoff_1e-2.json</x:v>
      </x:c>
    </x:row>
    <x:row r="2244" ht="15" hidden="0" customHeight="1">
      <x:c r="A2244" s="3" t="str">
        <x:v>EXP068</x:v>
      </x:c>
      <x:c r="B2244" s="3" t="str">
        <x:v>Exp. 8</x:v>
      </x:c>
      <x:c r="C2244" s="18" t="n">
        <x:v>666829030</x:v>
      </x:c>
      <x:c r="D2244" s="3" t="str">
        <x:v>Relative cutoff 1e-4</x:v>
      </x:c>
      <x:c r="E2244" s="18" t="n">
        <x:v>200</x:v>
      </x:c>
      <x:c r="F2244" s="21" t="n">
        <x:v>559.677277587552</x:v>
      </x:c>
      <x:c r="G2244" s="21" t="n">
        <x:f>F2237</x:f>
        <x:v>544.3039336669156</x:v>
      </x:c>
      <x:c r="H2244" s="21" t="n">
        <x:f>F2242</x:f>
        <x:v>544.3039336669156</x:v>
      </x:c>
      <x:c r="I2244" s="27" t="n">
        <x:f>IF(AND(ISNUMBER(G2244),ISNUMBER(H2244),H2244&gt;0),G2244/H2244-1,"")</x:f>
        <x:v>0</x:v>
      </x:c>
      <x:c r="J2244" s="27" t="n">
        <x:f>IF(AND(ISNUMBER(G2244),F2244&gt;0),G2244/F2244-1,"")</x:f>
        <x:v>-0.027468229524882815</x:v>
      </x:c>
      <x:c r="K2244" s="19" t="str">
        <x:v>Exp_8/EXP068/results/seed666829030_Relative_cutoff_1e-4.json</x:v>
      </x:c>
    </x:row>
    <x:row r="2245" ht="15" hidden="0" customHeight="1">
      <x:c r="A2245" s="3" t="str">
        <x:v>EXP068</x:v>
      </x:c>
      <x:c r="B2245" s="3" t="str">
        <x:v>Exp. 8</x:v>
      </x:c>
      <x:c r="C2245" s="18" t="n">
        <x:v>748076223</x:v>
      </x:c>
      <x:c r="D2245" s="3" t="str">
        <x:v>BBP</x:v>
      </x:c>
      <x:c r="E2245" s="18" t="n">
        <x:v>200</x:v>
      </x:c>
      <x:c r="F2245" s="21" t="n">
        <x:v>749.5783814348873</x:v>
      </x:c>
      <x:c r="G2245" s="21" t="n">
        <x:f>F2245</x:f>
        <x:v>749.5783814348873</x:v>
      </x:c>
      <x:c r="H2245" s="21" t="n">
        <x:f>F2250</x:f>
        <x:v>799.9174988264833</x:v>
      </x:c>
      <x:c r="I2245" s="27" t="n">
        <x:f>IF(AND(ISNUMBER(G2245),ISNUMBER(H2245),H2245&gt;0),G2245/H2245-1,"")</x:f>
        <x:v>-0.06293038652791805</x:v>
      </x:c>
      <x:c r="J2245" s="27" t="n">
        <x:f>IF(AND(ISNUMBER(G2245),F2245&gt;0),G2245/F2245-1,"")</x:f>
        <x:v>0</x:v>
      </x:c>
      <x:c r="K2245" s="19" t="str">
        <x:v>Exp_8/EXP068/results/seed748076223_BBP.json</x:v>
      </x:c>
    </x:row>
    <x:row r="2246" ht="15" hidden="0" customHeight="1">
      <x:c r="A2246" s="3" t="str">
        <x:v>EXP068</x:v>
      </x:c>
      <x:c r="B2246" s="3" t="str">
        <x:v>Exp. 8</x:v>
      </x:c>
      <x:c r="C2246" s="18" t="n">
        <x:v>748076223</x:v>
      </x:c>
      <x:c r="D2246" s="3" t="str">
        <x:v>Relative cutoff 1e-5</x:v>
      </x:c>
      <x:c r="E2246" s="18" t="n">
        <x:v>200</x:v>
      </x:c>
      <x:c r="F2246" s="21" t="n">
        <x:v>749.5783814348873</x:v>
      </x:c>
      <x:c r="G2246" s="21" t="n">
        <x:f>F2245</x:f>
        <x:v>749.5783814348873</x:v>
      </x:c>
      <x:c r="H2246" s="21" t="n">
        <x:f>F2250</x:f>
        <x:v>799.9174988264833</x:v>
      </x:c>
      <x:c r="I2246" s="27" t="n">
        <x:f>IF(AND(ISNUMBER(G2246),ISNUMBER(H2246),H2246&gt;0),G2246/H2246-1,"")</x:f>
        <x:v>-0.06293038652791805</x:v>
      </x:c>
      <x:c r="J2246" s="27" t="n">
        <x:f>IF(AND(ISNUMBER(G2246),F2246&gt;0),G2246/F2246-1,"")</x:f>
        <x:v>0</x:v>
      </x:c>
      <x:c r="K2246" s="19" t="str">
        <x:v>Exp_8/EXP068/results/seed748076223_Relative_cutoff_1e-5.json</x:v>
      </x:c>
    </x:row>
    <x:row r="2247" ht="15" hidden="0" customHeight="1">
      <x:c r="A2247" s="3" t="str">
        <x:v>EXP068</x:v>
      </x:c>
      <x:c r="B2247" s="3" t="str">
        <x:v>Exp. 8</x:v>
      </x:c>
      <x:c r="C2247" s="18" t="n">
        <x:v>748076223</x:v>
      </x:c>
      <x:c r="D2247" s="3" t="str">
        <x:v>Fixed rank 10</x:v>
      </x:c>
      <x:c r="E2247" s="18" t="n">
        <x:v>200</x:v>
      </x:c>
      <x:c r="F2247" s="21" t="n">
        <x:v>749.5783814348873</x:v>
      </x:c>
      <x:c r="G2247" s="21" t="n">
        <x:f>F2245</x:f>
        <x:v>749.5783814348873</x:v>
      </x:c>
      <x:c r="H2247" s="21" t="n">
        <x:f>F2250</x:f>
        <x:v>799.9174988264833</x:v>
      </x:c>
      <x:c r="I2247" s="27" t="n">
        <x:f>IF(AND(ISNUMBER(G2247),ISNUMBER(H2247),H2247&gt;0),G2247/H2247-1,"")</x:f>
        <x:v>-0.06293038652791805</x:v>
      </x:c>
      <x:c r="J2247" s="27" t="n">
        <x:f>IF(AND(ISNUMBER(G2247),F2247&gt;0),G2247/F2247-1,"")</x:f>
        <x:v>0</x:v>
      </x:c>
      <x:c r="K2247" s="19" t="str">
        <x:v>Exp_8/EXP068/results/seed748076223_Fixed_rank_10.json</x:v>
      </x:c>
    </x:row>
    <x:row r="2248" ht="15" hidden="0" customHeight="1">
      <x:c r="A2248" s="3" t="str">
        <x:v>EXP068</x:v>
      </x:c>
      <x:c r="B2248" s="3" t="str">
        <x:v>Exp. 8</x:v>
      </x:c>
      <x:c r="C2248" s="18" t="n">
        <x:v>748076223</x:v>
      </x:c>
      <x:c r="D2248" s="3" t="str">
        <x:v>Fixed rank 25</x:v>
      </x:c>
      <x:c r="E2248" s="18" t="n">
        <x:v>200</x:v>
      </x:c>
      <x:c r="F2248" s="21" t="n">
        <x:v>749.5783814348873</x:v>
      </x:c>
      <x:c r="G2248" s="21" t="n">
        <x:f>F2245</x:f>
        <x:v>749.5783814348873</x:v>
      </x:c>
      <x:c r="H2248" s="21" t="n">
        <x:f>F2250</x:f>
        <x:v>799.9174988264833</x:v>
      </x:c>
      <x:c r="I2248" s="27" t="n">
        <x:f>IF(AND(ISNUMBER(G2248),ISNUMBER(H2248),H2248&gt;0),G2248/H2248-1,"")</x:f>
        <x:v>-0.06293038652791805</x:v>
      </x:c>
      <x:c r="J2248" s="27" t="n">
        <x:f>IF(AND(ISNUMBER(G2248),F2248&gt;0),G2248/F2248-1,"")</x:f>
        <x:v>0</x:v>
      </x:c>
      <x:c r="K2248" s="19" t="str">
        <x:v>Exp_8/EXP068/results/seed748076223_Fixed_rank_25.json</x:v>
      </x:c>
    </x:row>
    <x:row r="2249" ht="15" hidden="0" customHeight="1">
      <x:c r="A2249" s="3" t="str">
        <x:v>EXP068</x:v>
      </x:c>
      <x:c r="B2249" s="3" t="str">
        <x:v>Exp. 8</x:v>
      </x:c>
      <x:c r="C2249" s="18" t="n">
        <x:v>748076223</x:v>
      </x:c>
      <x:c r="D2249" s="3" t="str">
        <x:v>Relative cutoff 1e-6</x:v>
      </x:c>
      <x:c r="E2249" s="18" t="n">
        <x:v>200</x:v>
      </x:c>
      <x:c r="F2249" s="21" t="n">
        <x:v>749.5783814348873</x:v>
      </x:c>
      <x:c r="G2249" s="21" t="n">
        <x:f>F2245</x:f>
        <x:v>749.5783814348873</x:v>
      </x:c>
      <x:c r="H2249" s="21" t="n">
        <x:f>F2250</x:f>
        <x:v>799.9174988264833</x:v>
      </x:c>
      <x:c r="I2249" s="27" t="n">
        <x:f>IF(AND(ISNUMBER(G2249),ISNUMBER(H2249),H2249&gt;0),G2249/H2249-1,"")</x:f>
        <x:v>-0.06293038652791805</x:v>
      </x:c>
      <x:c r="J2249" s="27" t="n">
        <x:f>IF(AND(ISNUMBER(G2249),F2249&gt;0),G2249/F2249-1,"")</x:f>
        <x:v>0</x:v>
      </x:c>
      <x:c r="K2249" s="19" t="str">
        <x:v>Exp_8/EXP068/results/seed748076223_Relative_cutoff_1e-6.json</x:v>
      </x:c>
    </x:row>
    <x:row r="2250" ht="15" hidden="0" customHeight="1">
      <x:c r="A2250" s="3" t="str">
        <x:v>EXP068</x:v>
      </x:c>
      <x:c r="B2250" s="3" t="str">
        <x:v>Exp. 8</x:v>
      </x:c>
      <x:c r="C2250" s="18" t="n">
        <x:v>748076223</x:v>
      </x:c>
      <x:c r="D2250" s="3" t="str">
        <x:v>Full</x:v>
      </x:c>
      <x:c r="E2250" s="18" t="n">
        <x:v>200</x:v>
      </x:c>
      <x:c r="F2250" s="21" t="n">
        <x:v>799.9174988264833</x:v>
      </x:c>
      <x:c r="G2250" s="21" t="n">
        <x:f>F2245</x:f>
        <x:v>749.5783814348873</x:v>
      </x:c>
      <x:c r="H2250" s="21" t="n">
        <x:f>F2250</x:f>
        <x:v>799.9174988264833</x:v>
      </x:c>
      <x:c r="I2250" s="27" t="n">
        <x:f>IF(AND(ISNUMBER(G2250),ISNUMBER(H2250),H2250&gt;0),G2250/H2250-1,"")</x:f>
        <x:v>-0.06293038652791805</x:v>
      </x:c>
      <x:c r="J2250" s="27" t="n">
        <x:f>IF(AND(ISNUMBER(G2250),F2250&gt;0),G2250/F2250-1,"")</x:f>
        <x:v>-0.06293038652791805</x:v>
      </x:c>
      <x:c r="K2250" s="19" t="str">
        <x:v>Exp_8/EXP068/results/seed748076223_Full.json</x:v>
      </x:c>
    </x:row>
    <x:row r="2251" ht="15" hidden="0" customHeight="1">
      <x:c r="A2251" s="3" t="str">
        <x:v>EXP068</x:v>
      </x:c>
      <x:c r="B2251" s="3" t="str">
        <x:v>Exp. 8</x:v>
      </x:c>
      <x:c r="C2251" s="18" t="n">
        <x:v>748076223</x:v>
      </x:c>
      <x:c r="D2251" s="3" t="str">
        <x:v>Relative cutoff 1e-2</x:v>
      </x:c>
      <x:c r="E2251" s="18" t="n">
        <x:v>200</x:v>
      </x:c>
      <x:c r="F2251" s="21" t="n">
        <x:v>760.1994102992694</x:v>
      </x:c>
      <x:c r="G2251" s="21" t="n">
        <x:f>F2245</x:f>
        <x:v>749.5783814348873</x:v>
      </x:c>
      <x:c r="H2251" s="21" t="n">
        <x:f>F2250</x:f>
        <x:v>799.9174988264833</x:v>
      </x:c>
      <x:c r="I2251" s="27" t="n">
        <x:f>IF(AND(ISNUMBER(G2251),ISNUMBER(H2251),H2251&gt;0),G2251/H2251-1,"")</x:f>
        <x:v>-0.06293038652791805</x:v>
      </x:c>
      <x:c r="J2251" s="27" t="n">
        <x:f>IF(AND(ISNUMBER(G2251),F2251&gt;0),G2251/F2251-1,"")</x:f>
        <x:v>-0.013971372143265492</x:v>
      </x:c>
      <x:c r="K2251" s="19" t="str">
        <x:v>Exp_8/EXP068/results/seed748076223_Relative_cutoff_1e-2.json</x:v>
      </x:c>
    </x:row>
    <x:row r="2252" ht="15" hidden="0" customHeight="1">
      <x:c r="A2252" s="3" t="str">
        <x:v>EXP068</x:v>
      </x:c>
      <x:c r="B2252" s="3" t="str">
        <x:v>Exp. 8</x:v>
      </x:c>
      <x:c r="C2252" s="18" t="n">
        <x:v>748076223</x:v>
      </x:c>
      <x:c r="D2252" s="3" t="str">
        <x:v>Relative cutoff 1e-4</x:v>
      </x:c>
      <x:c r="E2252" s="18" t="n">
        <x:v>200</x:v>
      </x:c>
      <x:c r="F2252" s="21" t="n">
        <x:v>749.5783814348873</x:v>
      </x:c>
      <x:c r="G2252" s="21" t="n">
        <x:f>F2245</x:f>
        <x:v>749.5783814348873</x:v>
      </x:c>
      <x:c r="H2252" s="21" t="n">
        <x:f>F2250</x:f>
        <x:v>799.9174988264833</x:v>
      </x:c>
      <x:c r="I2252" s="27" t="n">
        <x:f>IF(AND(ISNUMBER(G2252),ISNUMBER(H2252),H2252&gt;0),G2252/H2252-1,"")</x:f>
        <x:v>-0.06293038652791805</x:v>
      </x:c>
      <x:c r="J2252" s="27" t="n">
        <x:f>IF(AND(ISNUMBER(G2252),F2252&gt;0),G2252/F2252-1,"")</x:f>
        <x:v>0</x:v>
      </x:c>
      <x:c r="K2252" s="19" t="str">
        <x:v>Exp_8/EXP068/results/seed748076223_Relative_cutoff_1e-4.json</x:v>
      </x:c>
    </x:row>
    <x:row r="2253" ht="15" hidden="0" customHeight="1">
      <x:c r="A2253" s="3" t="str">
        <x:v>EXP068</x:v>
      </x:c>
      <x:c r="B2253" s="3" t="str">
        <x:v>Exp. 8</x:v>
      </x:c>
      <x:c r="C2253" s="18" t="n">
        <x:v>806884711</x:v>
      </x:c>
      <x:c r="D2253" s="3" t="str">
        <x:v>BBP</x:v>
      </x:c>
      <x:c r="E2253" s="18" t="n">
        <x:v>200</x:v>
      </x:c>
      <x:c r="F2253" s="21" t="n">
        <x:v>652.9104309929851</x:v>
      </x:c>
      <x:c r="G2253" s="21" t="n">
        <x:f>F2253</x:f>
        <x:v>652.9104309929851</x:v>
      </x:c>
      <x:c r="H2253" s="21" t="n">
        <x:f>F2258</x:f>
        <x:v>652.9104309929851</x:v>
      </x:c>
      <x:c r="I2253" s="27" t="n">
        <x:f>IF(AND(ISNUMBER(G2253),ISNUMBER(H2253),H2253&gt;0),G2253/H2253-1,"")</x:f>
        <x:v>0</x:v>
      </x:c>
      <x:c r="J2253" s="27" t="n">
        <x:f>IF(AND(ISNUMBER(G2253),F2253&gt;0),G2253/F2253-1,"")</x:f>
        <x:v>0</x:v>
      </x:c>
      <x:c r="K2253" s="19" t="str">
        <x:v>Exp_8/EXP068/results/seed806884711_BBP.json</x:v>
      </x:c>
    </x:row>
    <x:row r="2254" ht="15" hidden="0" customHeight="1">
      <x:c r="A2254" s="3" t="str">
        <x:v>EXP068</x:v>
      </x:c>
      <x:c r="B2254" s="3" t="str">
        <x:v>Exp. 8</x:v>
      </x:c>
      <x:c r="C2254" s="18" t="n">
        <x:v>806884711</x:v>
      </x:c>
      <x:c r="D2254" s="3" t="str">
        <x:v>Relative cutoff 1e-5</x:v>
      </x:c>
      <x:c r="E2254" s="18" t="n">
        <x:v>200</x:v>
      </x:c>
      <x:c r="F2254" s="21" t="n">
        <x:v>652.9104309929851</x:v>
      </x:c>
      <x:c r="G2254" s="21" t="n">
        <x:f>F2253</x:f>
        <x:v>652.9104309929851</x:v>
      </x:c>
      <x:c r="H2254" s="21" t="n">
        <x:f>F2258</x:f>
        <x:v>652.9104309929851</x:v>
      </x:c>
      <x:c r="I2254" s="27" t="n">
        <x:f>IF(AND(ISNUMBER(G2254),ISNUMBER(H2254),H2254&gt;0),G2254/H2254-1,"")</x:f>
        <x:v>0</x:v>
      </x:c>
      <x:c r="J2254" s="27" t="n">
        <x:f>IF(AND(ISNUMBER(G2254),F2254&gt;0),G2254/F2254-1,"")</x:f>
        <x:v>0</x:v>
      </x:c>
      <x:c r="K2254" s="19" t="str">
        <x:v>Exp_8/EXP068/results/seed806884711_Relative_cutoff_1e-5.json</x:v>
      </x:c>
    </x:row>
    <x:row r="2255" ht="15" hidden="0" customHeight="1">
      <x:c r="A2255" s="3" t="str">
        <x:v>EXP068</x:v>
      </x:c>
      <x:c r="B2255" s="3" t="str">
        <x:v>Exp. 8</x:v>
      </x:c>
      <x:c r="C2255" s="18" t="n">
        <x:v>806884711</x:v>
      </x:c>
      <x:c r="D2255" s="3" t="str">
        <x:v>Fixed rank 10</x:v>
      </x:c>
      <x:c r="E2255" s="18" t="n">
        <x:v>200</x:v>
      </x:c>
      <x:c r="F2255" s="21" t="n">
        <x:v>643.9267858758082</x:v>
      </x:c>
      <x:c r="G2255" s="21" t="n">
        <x:f>F2253</x:f>
        <x:v>652.9104309929851</x:v>
      </x:c>
      <x:c r="H2255" s="21" t="n">
        <x:f>F2258</x:f>
        <x:v>652.9104309929851</x:v>
      </x:c>
      <x:c r="I2255" s="27" t="n">
        <x:f>IF(AND(ISNUMBER(G2255),ISNUMBER(H2255),H2255&gt;0),G2255/H2255-1,"")</x:f>
        <x:v>0</x:v>
      </x:c>
      <x:c r="J2255" s="27" t="n">
        <x:f>IF(AND(ISNUMBER(G2255),F2255&gt;0),G2255/F2255-1,"")</x:f>
        <x:v>0.013951345578765206</x:v>
      </x:c>
      <x:c r="K2255" s="19" t="str">
        <x:v>Exp_8/EXP068/results/seed806884711_Fixed_rank_10.json</x:v>
      </x:c>
    </x:row>
    <x:row r="2256" ht="15" hidden="0" customHeight="1">
      <x:c r="A2256" s="3" t="str">
        <x:v>EXP068</x:v>
      </x:c>
      <x:c r="B2256" s="3" t="str">
        <x:v>Exp. 8</x:v>
      </x:c>
      <x:c r="C2256" s="18" t="n">
        <x:v>806884711</x:v>
      </x:c>
      <x:c r="D2256" s="3" t="str">
        <x:v>Fixed rank 25</x:v>
      </x:c>
      <x:c r="E2256" s="18" t="n">
        <x:v>200</x:v>
      </x:c>
      <x:c r="F2256" s="21" t="n">
        <x:v>652.9104309929851</x:v>
      </x:c>
      <x:c r="G2256" s="21" t="n">
        <x:f>F2253</x:f>
        <x:v>652.9104309929851</x:v>
      </x:c>
      <x:c r="H2256" s="21" t="n">
        <x:f>F2258</x:f>
        <x:v>652.9104309929851</x:v>
      </x:c>
      <x:c r="I2256" s="27" t="n">
        <x:f>IF(AND(ISNUMBER(G2256),ISNUMBER(H2256),H2256&gt;0),G2256/H2256-1,"")</x:f>
        <x:v>0</x:v>
      </x:c>
      <x:c r="J2256" s="27" t="n">
        <x:f>IF(AND(ISNUMBER(G2256),F2256&gt;0),G2256/F2256-1,"")</x:f>
        <x:v>0</x:v>
      </x:c>
      <x:c r="K2256" s="19" t="str">
        <x:v>Exp_8/EXP068/results/seed806884711_Fixed_rank_25.json</x:v>
      </x:c>
    </x:row>
    <x:row r="2257" ht="15" hidden="0" customHeight="1">
      <x:c r="A2257" s="3" t="str">
        <x:v>EXP068</x:v>
      </x:c>
      <x:c r="B2257" s="3" t="str">
        <x:v>Exp. 8</x:v>
      </x:c>
      <x:c r="C2257" s="18" t="n">
        <x:v>806884711</x:v>
      </x:c>
      <x:c r="D2257" s="3" t="str">
        <x:v>Relative cutoff 1e-6</x:v>
      </x:c>
      <x:c r="E2257" s="18" t="n">
        <x:v>200</x:v>
      </x:c>
      <x:c r="F2257" s="21" t="n">
        <x:v>652.9104309929851</x:v>
      </x:c>
      <x:c r="G2257" s="21" t="n">
        <x:f>F2253</x:f>
        <x:v>652.9104309929851</x:v>
      </x:c>
      <x:c r="H2257" s="21" t="n">
        <x:f>F2258</x:f>
        <x:v>652.9104309929851</x:v>
      </x:c>
      <x:c r="I2257" s="27" t="n">
        <x:f>IF(AND(ISNUMBER(G2257),ISNUMBER(H2257),H2257&gt;0),G2257/H2257-1,"")</x:f>
        <x:v>0</x:v>
      </x:c>
      <x:c r="J2257" s="27" t="n">
        <x:f>IF(AND(ISNUMBER(G2257),F2257&gt;0),G2257/F2257-1,"")</x:f>
        <x:v>0</x:v>
      </x:c>
      <x:c r="K2257" s="19" t="str">
        <x:v>Exp_8/EXP068/results/seed806884711_Relative_cutoff_1e-6.json</x:v>
      </x:c>
    </x:row>
    <x:row r="2258" ht="15" hidden="0" customHeight="1">
      <x:c r="A2258" s="3" t="str">
        <x:v>EXP068</x:v>
      </x:c>
      <x:c r="B2258" s="3" t="str">
        <x:v>Exp. 8</x:v>
      </x:c>
      <x:c r="C2258" s="18" t="n">
        <x:v>806884711</x:v>
      </x:c>
      <x:c r="D2258" s="3" t="str">
        <x:v>Full</x:v>
      </x:c>
      <x:c r="E2258" s="18" t="n">
        <x:v>200</x:v>
      </x:c>
      <x:c r="F2258" s="21" t="n">
        <x:v>652.9104309929851</x:v>
      </x:c>
      <x:c r="G2258" s="21" t="n">
        <x:f>F2253</x:f>
        <x:v>652.9104309929851</x:v>
      </x:c>
      <x:c r="H2258" s="21" t="n">
        <x:f>F2258</x:f>
        <x:v>652.9104309929851</x:v>
      </x:c>
      <x:c r="I2258" s="27" t="n">
        <x:f>IF(AND(ISNUMBER(G2258),ISNUMBER(H2258),H2258&gt;0),G2258/H2258-1,"")</x:f>
        <x:v>0</x:v>
      </x:c>
      <x:c r="J2258" s="27" t="n">
        <x:f>IF(AND(ISNUMBER(G2258),F2258&gt;0),G2258/F2258-1,"")</x:f>
        <x:v>0</x:v>
      </x:c>
      <x:c r="K2258" s="19" t="str">
        <x:v>Exp_8/EXP068/results/seed806884711_Full.json</x:v>
      </x:c>
    </x:row>
    <x:row r="2259" ht="15" hidden="0" customHeight="1">
      <x:c r="A2259" s="3" t="str">
        <x:v>EXP068</x:v>
      </x:c>
      <x:c r="B2259" s="3" t="str">
        <x:v>Exp. 8</x:v>
      </x:c>
      <x:c r="C2259" s="18" t="n">
        <x:v>806884711</x:v>
      </x:c>
      <x:c r="D2259" s="3" t="str">
        <x:v>Relative cutoff 1e-2</x:v>
      </x:c>
      <x:c r="E2259" s="18" t="n">
        <x:v>200</x:v>
      </x:c>
      <x:c r="F2259" s="21" t="n">
        <x:v>655.0506959627279</x:v>
      </x:c>
      <x:c r="G2259" s="21" t="n">
        <x:f>F2253</x:f>
        <x:v>652.9104309929851</x:v>
      </x:c>
      <x:c r="H2259" s="21" t="n">
        <x:f>F2258</x:f>
        <x:v>652.9104309929851</x:v>
      </x:c>
      <x:c r="I2259" s="27" t="n">
        <x:f>IF(AND(ISNUMBER(G2259),ISNUMBER(H2259),H2259&gt;0),G2259/H2259-1,"")</x:f>
        <x:v>0</x:v>
      </x:c>
      <x:c r="J2259" s="27" t="n">
        <x:f>IF(AND(ISNUMBER(G2259),F2259&gt;0),G2259/F2259-1,"")</x:f>
        <x:v>-0.003267327220524918</x:v>
      </x:c>
      <x:c r="K2259" s="19" t="str">
        <x:v>Exp_8/EXP068/results/seed806884711_Relative_cutoff_1e-2.json</x:v>
      </x:c>
    </x:row>
    <x:row r="2260" ht="15" hidden="0" customHeight="1">
      <x:c r="A2260" s="3" t="str">
        <x:v>EXP068</x:v>
      </x:c>
      <x:c r="B2260" s="3" t="str">
        <x:v>Exp. 8</x:v>
      </x:c>
      <x:c r="C2260" s="18" t="n">
        <x:v>806884711</x:v>
      </x:c>
      <x:c r="D2260" s="3" t="str">
        <x:v>Relative cutoff 1e-4</x:v>
      </x:c>
      <x:c r="E2260" s="18" t="n">
        <x:v>200</x:v>
      </x:c>
      <x:c r="F2260" s="21" t="n">
        <x:v>663.6434751706948</x:v>
      </x:c>
      <x:c r="G2260" s="21" t="n">
        <x:f>F2253</x:f>
        <x:v>652.9104309929851</x:v>
      </x:c>
      <x:c r="H2260" s="21" t="n">
        <x:f>F2258</x:f>
        <x:v>652.9104309929851</x:v>
      </x:c>
      <x:c r="I2260" s="27" t="n">
        <x:f>IF(AND(ISNUMBER(G2260),ISNUMBER(H2260),H2260&gt;0),G2260/H2260-1,"")</x:f>
        <x:v>0</x:v>
      </x:c>
      <x:c r="J2260" s="27" t="n">
        <x:f>IF(AND(ISNUMBER(G2260),F2260&gt;0),G2260/F2260-1,"")</x:f>
        <x:v>-0.016172906958738853</x:v>
      </x:c>
      <x:c r="K2260" s="19" t="str">
        <x:v>Exp_8/EXP068/results/seed806884711_Relative_cutoff_1e-4.json</x:v>
      </x:c>
    </x:row>
    <x:row r="2261" ht="15" hidden="0" customHeight="1">
      <x:c r="A2261" s="3" t="str">
        <x:v>EXP068</x:v>
      </x:c>
      <x:c r="B2261" s="3" t="str">
        <x:v>Exp. 8</x:v>
      </x:c>
      <x:c r="C2261" s="18" t="n">
        <x:v>954779777</x:v>
      </x:c>
      <x:c r="D2261" s="3" t="str">
        <x:v>BBP</x:v>
      </x:c>
      <x:c r="E2261" s="18" t="n">
        <x:v>200</x:v>
      </x:c>
      <x:c r="F2261" s="21" t="n">
        <x:v>580.8363762003592</x:v>
      </x:c>
      <x:c r="G2261" s="21" t="n">
        <x:f>F2261</x:f>
        <x:v>580.8363762003592</x:v>
      </x:c>
      <x:c r="H2261" s="21" t="n">
        <x:f>F2266</x:f>
        <x:v>580.8363762003592</x:v>
      </x:c>
      <x:c r="I2261" s="27" t="n">
        <x:f>IF(AND(ISNUMBER(G2261),ISNUMBER(H2261),H2261&gt;0),G2261/H2261-1,"")</x:f>
        <x:v>0</x:v>
      </x:c>
      <x:c r="J2261" s="27" t="n">
        <x:f>IF(AND(ISNUMBER(G2261),F2261&gt;0),G2261/F2261-1,"")</x:f>
        <x:v>0</x:v>
      </x:c>
      <x:c r="K2261" s="19" t="str">
        <x:v>Exp_8/EXP068/results/seed954779777_BBP.json</x:v>
      </x:c>
    </x:row>
    <x:row r="2262" ht="15" hidden="0" customHeight="1">
      <x:c r="A2262" s="3" t="str">
        <x:v>EXP068</x:v>
      </x:c>
      <x:c r="B2262" s="3" t="str">
        <x:v>Exp. 8</x:v>
      </x:c>
      <x:c r="C2262" s="18" t="n">
        <x:v>954779777</x:v>
      </x:c>
      <x:c r="D2262" s="3" t="str">
        <x:v>Relative cutoff 1e-5</x:v>
      </x:c>
      <x:c r="E2262" s="18" t="n">
        <x:v>200</x:v>
      </x:c>
      <x:c r="F2262" s="21" t="n">
        <x:v>578.9224609080413</x:v>
      </x:c>
      <x:c r="G2262" s="21" t="n">
        <x:f>F2261</x:f>
        <x:v>580.8363762003592</x:v>
      </x:c>
      <x:c r="H2262" s="21" t="n">
        <x:f>F2266</x:f>
        <x:v>580.8363762003592</x:v>
      </x:c>
      <x:c r="I2262" s="27" t="n">
        <x:f>IF(AND(ISNUMBER(G2262),ISNUMBER(H2262),H2262&gt;0),G2262/H2262-1,"")</x:f>
        <x:v>0</x:v>
      </x:c>
      <x:c r="J2262" s="27" t="n">
        <x:f>IF(AND(ISNUMBER(G2262),F2262&gt;0),G2262/F2262-1,"")</x:f>
        <x:v>0.0033059959175116838</x:v>
      </x:c>
      <x:c r="K2262" s="19" t="str">
        <x:v>Exp_8/EXP068/results/seed954779777_Relative_cutoff_1e-5.json</x:v>
      </x:c>
    </x:row>
    <x:row r="2263" ht="15" hidden="0" customHeight="1">
      <x:c r="A2263" s="3" t="str">
        <x:v>EXP068</x:v>
      </x:c>
      <x:c r="B2263" s="3" t="str">
        <x:v>Exp. 8</x:v>
      </x:c>
      <x:c r="C2263" s="18" t="n">
        <x:v>954779777</x:v>
      </x:c>
      <x:c r="D2263" s="3" t="str">
        <x:v>Fixed rank 10</x:v>
      </x:c>
      <x:c r="E2263" s="18" t="n">
        <x:v>200</x:v>
      </x:c>
      <x:c r="F2263" s="21" t="n">
        <x:v>580.8363762003592</x:v>
      </x:c>
      <x:c r="G2263" s="21" t="n">
        <x:f>F2261</x:f>
        <x:v>580.8363762003592</x:v>
      </x:c>
      <x:c r="H2263" s="21" t="n">
        <x:f>F2266</x:f>
        <x:v>580.8363762003592</x:v>
      </x:c>
      <x:c r="I2263" s="27" t="n">
        <x:f>IF(AND(ISNUMBER(G2263),ISNUMBER(H2263),H2263&gt;0),G2263/H2263-1,"")</x:f>
        <x:v>0</x:v>
      </x:c>
      <x:c r="J2263" s="27" t="n">
        <x:f>IF(AND(ISNUMBER(G2263),F2263&gt;0),G2263/F2263-1,"")</x:f>
        <x:v>0</x:v>
      </x:c>
      <x:c r="K2263" s="19" t="str">
        <x:v>Exp_8/EXP068/results/seed954779777_Fixed_rank_10.json</x:v>
      </x:c>
    </x:row>
    <x:row r="2264" ht="15" hidden="0" customHeight="1">
      <x:c r="A2264" s="3" t="str">
        <x:v>EXP068</x:v>
      </x:c>
      <x:c r="B2264" s="3" t="str">
        <x:v>Exp. 8</x:v>
      </x:c>
      <x:c r="C2264" s="18" t="n">
        <x:v>954779777</x:v>
      </x:c>
      <x:c r="D2264" s="3" t="str">
        <x:v>Fixed rank 25</x:v>
      </x:c>
      <x:c r="E2264" s="18" t="n">
        <x:v>200</x:v>
      </x:c>
      <x:c r="F2264" s="21" t="n">
        <x:v>580.8363762003592</x:v>
      </x:c>
      <x:c r="G2264" s="21" t="n">
        <x:f>F2261</x:f>
        <x:v>580.8363762003592</x:v>
      </x:c>
      <x:c r="H2264" s="21" t="n">
        <x:f>F2266</x:f>
        <x:v>580.8363762003592</x:v>
      </x:c>
      <x:c r="I2264" s="27" t="n">
        <x:f>IF(AND(ISNUMBER(G2264),ISNUMBER(H2264),H2264&gt;0),G2264/H2264-1,"")</x:f>
        <x:v>0</x:v>
      </x:c>
      <x:c r="J2264" s="27" t="n">
        <x:f>IF(AND(ISNUMBER(G2264),F2264&gt;0),G2264/F2264-1,"")</x:f>
        <x:v>0</x:v>
      </x:c>
      <x:c r="K2264" s="19" t="str">
        <x:v>Exp_8/EXP068/results/seed954779777_Fixed_rank_25.json</x:v>
      </x:c>
    </x:row>
    <x:row r="2265" ht="15" hidden="0" customHeight="1">
      <x:c r="A2265" s="3" t="str">
        <x:v>EXP068</x:v>
      </x:c>
      <x:c r="B2265" s="3" t="str">
        <x:v>Exp. 8</x:v>
      </x:c>
      <x:c r="C2265" s="18" t="n">
        <x:v>954779777</x:v>
      </x:c>
      <x:c r="D2265" s="3" t="str">
        <x:v>Relative cutoff 1e-6</x:v>
      </x:c>
      <x:c r="E2265" s="18" t="n">
        <x:v>200</x:v>
      </x:c>
      <x:c r="F2265" s="21" t="n">
        <x:v>580.8363762003592</x:v>
      </x:c>
      <x:c r="G2265" s="21" t="n">
        <x:f>F2261</x:f>
        <x:v>580.8363762003592</x:v>
      </x:c>
      <x:c r="H2265" s="21" t="n">
        <x:f>F2266</x:f>
        <x:v>580.8363762003592</x:v>
      </x:c>
      <x:c r="I2265" s="27" t="n">
        <x:f>IF(AND(ISNUMBER(G2265),ISNUMBER(H2265),H2265&gt;0),G2265/H2265-1,"")</x:f>
        <x:v>0</x:v>
      </x:c>
      <x:c r="J2265" s="27" t="n">
        <x:f>IF(AND(ISNUMBER(G2265),F2265&gt;0),G2265/F2265-1,"")</x:f>
        <x:v>0</x:v>
      </x:c>
      <x:c r="K2265" s="19" t="str">
        <x:v>Exp_8/EXP068/results/seed954779777_Relative_cutoff_1e-6.json</x:v>
      </x:c>
    </x:row>
    <x:row r="2266" ht="15" hidden="0" customHeight="1">
      <x:c r="A2266" s="3" t="str">
        <x:v>EXP068</x:v>
      </x:c>
      <x:c r="B2266" s="3" t="str">
        <x:v>Exp. 8</x:v>
      </x:c>
      <x:c r="C2266" s="18" t="n">
        <x:v>954779777</x:v>
      </x:c>
      <x:c r="D2266" s="3" t="str">
        <x:v>Full</x:v>
      </x:c>
      <x:c r="E2266" s="18" t="n">
        <x:v>200</x:v>
      </x:c>
      <x:c r="F2266" s="21" t="n">
        <x:v>580.8363762003592</x:v>
      </x:c>
      <x:c r="G2266" s="21" t="n">
        <x:f>F2261</x:f>
        <x:v>580.8363762003592</x:v>
      </x:c>
      <x:c r="H2266" s="21" t="n">
        <x:f>F2266</x:f>
        <x:v>580.8363762003592</x:v>
      </x:c>
      <x:c r="I2266" s="27" t="n">
        <x:f>IF(AND(ISNUMBER(G2266),ISNUMBER(H2266),H2266&gt;0),G2266/H2266-1,"")</x:f>
        <x:v>0</x:v>
      </x:c>
      <x:c r="J2266" s="27" t="n">
        <x:f>IF(AND(ISNUMBER(G2266),F2266&gt;0),G2266/F2266-1,"")</x:f>
        <x:v>0</x:v>
      </x:c>
      <x:c r="K2266" s="19" t="str">
        <x:v>Exp_8/EXP068/results/seed954779777_Full.json</x:v>
      </x:c>
    </x:row>
    <x:row r="2267" ht="15" hidden="0" customHeight="1">
      <x:c r="A2267" s="3" t="str">
        <x:v>EXP068</x:v>
      </x:c>
      <x:c r="B2267" s="3" t="str">
        <x:v>Exp. 8</x:v>
      </x:c>
      <x:c r="C2267" s="18" t="n">
        <x:v>954779777</x:v>
      </x:c>
      <x:c r="D2267" s="3" t="str">
        <x:v>Relative cutoff 1e-2</x:v>
      </x:c>
      <x:c r="E2267" s="18" t="n">
        <x:v>200</x:v>
      </x:c>
      <x:c r="F2267" s="21" t="n">
        <x:v>597.8045254826924</x:v>
      </x:c>
      <x:c r="G2267" s="21" t="n">
        <x:f>F2261</x:f>
        <x:v>580.8363762003592</x:v>
      </x:c>
      <x:c r="H2267" s="21" t="n">
        <x:f>F2266</x:f>
        <x:v>580.8363762003592</x:v>
      </x:c>
      <x:c r="I2267" s="27" t="n">
        <x:f>IF(AND(ISNUMBER(G2267),ISNUMBER(H2267),H2267&gt;0),G2267/H2267-1,"")</x:f>
        <x:v>0</x:v>
      </x:c>
      <x:c r="J2267" s="27" t="n">
        <x:f>IF(AND(ISNUMBER(G2267),F2267&gt;0),G2267/F2267-1,"")</x:f>
        <x:v>-0.028384109786777634</x:v>
      </x:c>
      <x:c r="K2267" s="19" t="str">
        <x:v>Exp_8/EXP068/results/seed954779777_Relative_cutoff_1e-2.json</x:v>
      </x:c>
    </x:row>
    <x:row r="2268" ht="15" hidden="0" customHeight="1">
      <x:c r="A2268" s="3" t="str">
        <x:v>EXP068</x:v>
      </x:c>
      <x:c r="B2268" s="3" t="str">
        <x:v>Exp. 8</x:v>
      </x:c>
      <x:c r="C2268" s="18" t="n">
        <x:v>954779777</x:v>
      </x:c>
      <x:c r="D2268" s="3" t="str">
        <x:v>Relative cutoff 1e-4</x:v>
      </x:c>
      <x:c r="E2268" s="18" t="n">
        <x:v>200</x:v>
      </x:c>
      <x:c r="F2268" s="21" t="n">
        <x:v>577.740849138071</x:v>
      </x:c>
      <x:c r="G2268" s="21" t="n">
        <x:f>F2261</x:f>
        <x:v>580.8363762003592</x:v>
      </x:c>
      <x:c r="H2268" s="21" t="n">
        <x:f>F2266</x:f>
        <x:v>580.8363762003592</x:v>
      </x:c>
      <x:c r="I2268" s="27" t="n">
        <x:f>IF(AND(ISNUMBER(G2268),ISNUMBER(H2268),H2268&gt;0),G2268/H2268-1,"")</x:f>
        <x:v>0</x:v>
      </x:c>
      <x:c r="J2268" s="27" t="n">
        <x:f>IF(AND(ISNUMBER(G2268),F2268&gt;0),G2268/F2268-1,"")</x:f>
        <x:v>0.005357985447811631</x:v>
      </x:c>
      <x:c r="K2268" s="19" t="str">
        <x:v>Exp_8/EXP068/results/seed954779777_Relative_cutoff_1e-4.json</x:v>
      </x:c>
    </x:row>
    <x:row r="2269" ht="15" hidden="0" customHeight="1">
      <x:c r="A2269" s="3" t="str">
        <x:v>EXP068</x:v>
      </x:c>
      <x:c r="B2269" s="3" t="str">
        <x:v>Exp. 8</x:v>
      </x:c>
      <x:c r="C2269" s="18" t="n">
        <x:v>1084613802</x:v>
      </x:c>
      <x:c r="D2269" s="3" t="str">
        <x:v>BBP</x:v>
      </x:c>
      <x:c r="E2269" s="18" t="n">
        <x:v>200</x:v>
      </x:c>
      <x:c r="F2269" s="21" t="n">
        <x:v>757.888442727667</x:v>
      </x:c>
      <x:c r="G2269" s="21" t="n">
        <x:f>F2269</x:f>
        <x:v>757.888442727667</x:v>
      </x:c>
      <x:c r="H2269" s="21" t="n">
        <x:f>F2274</x:f>
        <x:v>774.4345267569562</x:v>
      </x:c>
      <x:c r="I2269" s="27" t="n">
        <x:f>IF(AND(ISNUMBER(G2269),ISNUMBER(H2269),H2269&gt;0),G2269/H2269-1,"")</x:f>
        <x:v>-0.02136537493825086</x:v>
      </x:c>
      <x:c r="J2269" s="27" t="n">
        <x:f>IF(AND(ISNUMBER(G2269),F2269&gt;0),G2269/F2269-1,"")</x:f>
        <x:v>0</x:v>
      </x:c>
      <x:c r="K2269" s="19" t="str">
        <x:v>Exp_8/EXP068/results/seed1084613802_BBP.json</x:v>
      </x:c>
    </x:row>
    <x:row r="2270" ht="15" hidden="0" customHeight="1">
      <x:c r="A2270" s="3" t="str">
        <x:v>EXP068</x:v>
      </x:c>
      <x:c r="B2270" s="3" t="str">
        <x:v>Exp. 8</x:v>
      </x:c>
      <x:c r="C2270" s="18" t="n">
        <x:v>1084613802</x:v>
      </x:c>
      <x:c r="D2270" s="3" t="str">
        <x:v>Relative cutoff 1e-5</x:v>
      </x:c>
      <x:c r="E2270" s="18" t="n">
        <x:v>200</x:v>
      </x:c>
      <x:c r="F2270" s="21" t="n">
        <x:v>757.888442727667</x:v>
      </x:c>
      <x:c r="G2270" s="21" t="n">
        <x:f>F2269</x:f>
        <x:v>757.888442727667</x:v>
      </x:c>
      <x:c r="H2270" s="21" t="n">
        <x:f>F2274</x:f>
        <x:v>774.4345267569562</x:v>
      </x:c>
      <x:c r="I2270" s="27" t="n">
        <x:f>IF(AND(ISNUMBER(G2270),ISNUMBER(H2270),H2270&gt;0),G2270/H2270-1,"")</x:f>
        <x:v>-0.02136537493825086</x:v>
      </x:c>
      <x:c r="J2270" s="27" t="n">
        <x:f>IF(AND(ISNUMBER(G2270),F2270&gt;0),G2270/F2270-1,"")</x:f>
        <x:v>0</x:v>
      </x:c>
      <x:c r="K2270" s="19" t="str">
        <x:v>Exp_8/EXP068/results/seed1084613802_Relative_cutoff_1e-5.json</x:v>
      </x:c>
    </x:row>
    <x:row r="2271" ht="15" hidden="0" customHeight="1">
      <x:c r="A2271" s="3" t="str">
        <x:v>EXP068</x:v>
      </x:c>
      <x:c r="B2271" s="3" t="str">
        <x:v>Exp. 8</x:v>
      </x:c>
      <x:c r="C2271" s="18" t="n">
        <x:v>1084613802</x:v>
      </x:c>
      <x:c r="D2271" s="3" t="str">
        <x:v>Fixed rank 10</x:v>
      </x:c>
      <x:c r="E2271" s="18" t="n">
        <x:v>200</x:v>
      </x:c>
      <x:c r="F2271" s="21" t="n">
        <x:v>711.5707988560649</x:v>
      </x:c>
      <x:c r="G2271" s="21" t="n">
        <x:f>F2269</x:f>
        <x:v>757.888442727667</x:v>
      </x:c>
      <x:c r="H2271" s="21" t="n">
        <x:f>F2274</x:f>
        <x:v>774.4345267569562</x:v>
      </x:c>
      <x:c r="I2271" s="27" t="n">
        <x:f>IF(AND(ISNUMBER(G2271),ISNUMBER(H2271),H2271&gt;0),G2271/H2271-1,"")</x:f>
        <x:v>-0.02136537493825086</x:v>
      </x:c>
      <x:c r="J2271" s="27" t="n">
        <x:f>IF(AND(ISNUMBER(G2271),F2271&gt;0),G2271/F2271-1,"")</x:f>
        <x:v>0.06509210881905658</x:v>
      </x:c>
      <x:c r="K2271" s="19" t="str">
        <x:v>Exp_8/EXP068/results/seed1084613802_Fixed_rank_10.json</x:v>
      </x:c>
    </x:row>
    <x:row r="2272" ht="15" hidden="0" customHeight="1">
      <x:c r="A2272" s="3" t="str">
        <x:v>EXP068</x:v>
      </x:c>
      <x:c r="B2272" s="3" t="str">
        <x:v>Exp. 8</x:v>
      </x:c>
      <x:c r="C2272" s="18" t="n">
        <x:v>1084613802</x:v>
      </x:c>
      <x:c r="D2272" s="3" t="str">
        <x:v>Fixed rank 25</x:v>
      </x:c>
      <x:c r="E2272" s="18" t="n">
        <x:v>200</x:v>
      </x:c>
      <x:c r="F2272" s="21" t="n">
        <x:v>757.888442727667</x:v>
      </x:c>
      <x:c r="G2272" s="21" t="n">
        <x:f>F2269</x:f>
        <x:v>757.888442727667</x:v>
      </x:c>
      <x:c r="H2272" s="21" t="n">
        <x:f>F2274</x:f>
        <x:v>774.4345267569562</x:v>
      </x:c>
      <x:c r="I2272" s="27" t="n">
        <x:f>IF(AND(ISNUMBER(G2272),ISNUMBER(H2272),H2272&gt;0),G2272/H2272-1,"")</x:f>
        <x:v>-0.02136537493825086</x:v>
      </x:c>
      <x:c r="J2272" s="27" t="n">
        <x:f>IF(AND(ISNUMBER(G2272),F2272&gt;0),G2272/F2272-1,"")</x:f>
        <x:v>0</x:v>
      </x:c>
      <x:c r="K2272" s="19" t="str">
        <x:v>Exp_8/EXP068/results/seed1084613802_Fixed_rank_25.json</x:v>
      </x:c>
    </x:row>
    <x:row r="2273" ht="15" hidden="0" customHeight="1">
      <x:c r="A2273" s="3" t="str">
        <x:v>EXP068</x:v>
      </x:c>
      <x:c r="B2273" s="3" t="str">
        <x:v>Exp. 8</x:v>
      </x:c>
      <x:c r="C2273" s="18" t="n">
        <x:v>1084613802</x:v>
      </x:c>
      <x:c r="D2273" s="3" t="str">
        <x:v>Relative cutoff 1e-6</x:v>
      </x:c>
      <x:c r="E2273" s="18" t="n">
        <x:v>200</x:v>
      </x:c>
      <x:c r="F2273" s="21" t="n">
        <x:v>775.2931621258368</x:v>
      </x:c>
      <x:c r="G2273" s="21" t="n">
        <x:f>F2269</x:f>
        <x:v>757.888442727667</x:v>
      </x:c>
      <x:c r="H2273" s="21" t="n">
        <x:f>F2274</x:f>
        <x:v>774.4345267569562</x:v>
      </x:c>
      <x:c r="I2273" s="27" t="n">
        <x:f>IF(AND(ISNUMBER(G2273),ISNUMBER(H2273),H2273&gt;0),G2273/H2273-1,"")</x:f>
        <x:v>-0.02136537493825086</x:v>
      </x:c>
      <x:c r="J2273" s="27" t="n">
        <x:f>IF(AND(ISNUMBER(G2273),F2273&gt;0),G2273/F2273-1,"")</x:f>
        <x:v>-0.02244921050309079</x:v>
      </x:c>
      <x:c r="K2273" s="19" t="str">
        <x:v>Exp_8/EXP068/results/seed1084613802_Relative_cutoff_1e-6.json</x:v>
      </x:c>
    </x:row>
    <x:row r="2274" ht="15" hidden="0" customHeight="1">
      <x:c r="A2274" s="3" t="str">
        <x:v>EXP068</x:v>
      </x:c>
      <x:c r="B2274" s="3" t="str">
        <x:v>Exp. 8</x:v>
      </x:c>
      <x:c r="C2274" s="18" t="n">
        <x:v>1084613802</x:v>
      </x:c>
      <x:c r="D2274" s="3" t="str">
        <x:v>Full</x:v>
      </x:c>
      <x:c r="E2274" s="18" t="n">
        <x:v>200</x:v>
      </x:c>
      <x:c r="F2274" s="21" t="n">
        <x:v>774.4345267569562</x:v>
      </x:c>
      <x:c r="G2274" s="21" t="n">
        <x:f>F2269</x:f>
        <x:v>757.888442727667</x:v>
      </x:c>
      <x:c r="H2274" s="21" t="n">
        <x:f>F2274</x:f>
        <x:v>774.4345267569562</x:v>
      </x:c>
      <x:c r="I2274" s="27" t="n">
        <x:f>IF(AND(ISNUMBER(G2274),ISNUMBER(H2274),H2274&gt;0),G2274/H2274-1,"")</x:f>
        <x:v>-0.02136537493825086</x:v>
      </x:c>
      <x:c r="J2274" s="27" t="n">
        <x:f>IF(AND(ISNUMBER(G2274),F2274&gt;0),G2274/F2274-1,"")</x:f>
        <x:v>-0.02136537493825086</x:v>
      </x:c>
      <x:c r="K2274" s="19" t="str">
        <x:v>Exp_8/EXP068/results/seed1084613802_Full.json</x:v>
      </x:c>
    </x:row>
    <x:row r="2275" ht="15" hidden="0" customHeight="1">
      <x:c r="A2275" s="3" t="str">
        <x:v>EXP068</x:v>
      </x:c>
      <x:c r="B2275" s="3" t="str">
        <x:v>Exp. 8</x:v>
      </x:c>
      <x:c r="C2275" s="18" t="n">
        <x:v>1084613802</x:v>
      </x:c>
      <x:c r="D2275" s="3" t="str">
        <x:v>Relative cutoff 1e-2</x:v>
      </x:c>
      <x:c r="E2275" s="18" t="n">
        <x:v>200</x:v>
      </x:c>
      <x:c r="F2275" s="21" t="n">
        <x:v>635.5975038597328</x:v>
      </x:c>
      <x:c r="G2275" s="21" t="n">
        <x:f>F2269</x:f>
        <x:v>757.888442727667</x:v>
      </x:c>
      <x:c r="H2275" s="21" t="n">
        <x:f>F2274</x:f>
        <x:v>774.4345267569562</x:v>
      </x:c>
      <x:c r="I2275" s="27" t="n">
        <x:f>IF(AND(ISNUMBER(G2275),ISNUMBER(H2275),H2275&gt;0),G2275/H2275-1,"")</x:f>
        <x:v>-0.02136537493825086</x:v>
      </x:c>
      <x:c r="J2275" s="27" t="n">
        <x:f>IF(AND(ISNUMBER(G2275),F2275&gt;0),G2275/F2275-1,"")</x:f>
        <x:v>0.19240311380285413</x:v>
      </x:c>
      <x:c r="K2275" s="19" t="str">
        <x:v>Exp_8/EXP068/results/seed1084613802_Relative_cutoff_1e-2.json</x:v>
      </x:c>
    </x:row>
    <x:row r="2276" ht="15" hidden="0" customHeight="1">
      <x:c r="A2276" s="3" t="str">
        <x:v>EXP068</x:v>
      </x:c>
      <x:c r="B2276" s="3" t="str">
        <x:v>Exp. 8</x:v>
      </x:c>
      <x:c r="C2276" s="18" t="n">
        <x:v>1084613802</x:v>
      </x:c>
      <x:c r="D2276" s="3" t="str">
        <x:v>Relative cutoff 1e-4</x:v>
      </x:c>
      <x:c r="E2276" s="18" t="n">
        <x:v>200</x:v>
      </x:c>
      <x:c r="F2276" s="21" t="n">
        <x:v>711.5707988560649</x:v>
      </x:c>
      <x:c r="G2276" s="21" t="n">
        <x:f>F2269</x:f>
        <x:v>757.888442727667</x:v>
      </x:c>
      <x:c r="H2276" s="21" t="n">
        <x:f>F2274</x:f>
        <x:v>774.4345267569562</x:v>
      </x:c>
      <x:c r="I2276" s="27" t="n">
        <x:f>IF(AND(ISNUMBER(G2276),ISNUMBER(H2276),H2276&gt;0),G2276/H2276-1,"")</x:f>
        <x:v>-0.02136537493825086</x:v>
      </x:c>
      <x:c r="J2276" s="27" t="n">
        <x:f>IF(AND(ISNUMBER(G2276),F2276&gt;0),G2276/F2276-1,"")</x:f>
        <x:v>0.06509210881905658</x:v>
      </x:c>
      <x:c r="K2276" s="19" t="str">
        <x:v>Exp_8/EXP068/results/seed1084613802_Relative_cutoff_1e-4.json</x:v>
      </x:c>
    </x:row>
    <x:row r="2277" ht="15" hidden="0" customHeight="1">
      <x:c r="A2277" s="3" t="str">
        <x:v>EXP068</x:v>
      </x:c>
      <x:c r="B2277" s="3" t="str">
        <x:v>Exp. 8</x:v>
      </x:c>
      <x:c r="C2277" s="18" t="n">
        <x:v>1390358485</x:v>
      </x:c>
      <x:c r="D2277" s="3" t="str">
        <x:v>BBP</x:v>
      </x:c>
      <x:c r="E2277" s="18" t="n">
        <x:v>200</x:v>
      </x:c>
      <x:c r="F2277" s="21" t="n">
        <x:v>589.0235508075533</x:v>
      </x:c>
      <x:c r="G2277" s="21" t="n">
        <x:f>F2277</x:f>
        <x:v>589.0235508075533</x:v>
      </x:c>
      <x:c r="H2277" s="21" t="n">
        <x:f>F2282</x:f>
        <x:v>602.4925196129568</x:v>
      </x:c>
      <x:c r="I2277" s="27" t="n">
        <x:f>IF(AND(ISNUMBER(G2277),ISNUMBER(H2277),H2277&gt;0),G2277/H2277-1,"")</x:f>
        <x:v>-0.022355412502143568</x:v>
      </x:c>
      <x:c r="J2277" s="27" t="n">
        <x:f>IF(AND(ISNUMBER(G2277),F2277&gt;0),G2277/F2277-1,"")</x:f>
        <x:v>0</x:v>
      </x:c>
      <x:c r="K2277" s="19" t="str">
        <x:v>Exp_8/EXP068/results/seed1390358485_BBP.json</x:v>
      </x:c>
    </x:row>
    <x:row r="2278" ht="15" hidden="0" customHeight="1">
      <x:c r="A2278" s="3" t="str">
        <x:v>EXP068</x:v>
      </x:c>
      <x:c r="B2278" s="3" t="str">
        <x:v>Exp. 8</x:v>
      </x:c>
      <x:c r="C2278" s="18" t="n">
        <x:v>1390358485</x:v>
      </x:c>
      <x:c r="D2278" s="3" t="str">
        <x:v>Relative cutoff 1e-5</x:v>
      </x:c>
      <x:c r="E2278" s="18" t="n">
        <x:v>200</x:v>
      </x:c>
      <x:c r="F2278" s="21" t="n">
        <x:v>589.0235508075533</x:v>
      </x:c>
      <x:c r="G2278" s="21" t="n">
        <x:f>F2277</x:f>
        <x:v>589.0235508075533</x:v>
      </x:c>
      <x:c r="H2278" s="21" t="n">
        <x:f>F2282</x:f>
        <x:v>602.4925196129568</x:v>
      </x:c>
      <x:c r="I2278" s="27" t="n">
        <x:f>IF(AND(ISNUMBER(G2278),ISNUMBER(H2278),H2278&gt;0),G2278/H2278-1,"")</x:f>
        <x:v>-0.022355412502143568</x:v>
      </x:c>
      <x:c r="J2278" s="27" t="n">
        <x:f>IF(AND(ISNUMBER(G2278),F2278&gt;0),G2278/F2278-1,"")</x:f>
        <x:v>0</x:v>
      </x:c>
      <x:c r="K2278" s="19" t="str">
        <x:v>Exp_8/EXP068/results/seed1390358485_Relative_cutoff_1e-5.json</x:v>
      </x:c>
    </x:row>
    <x:row r="2279" ht="15" hidden="0" customHeight="1">
      <x:c r="A2279" s="3" t="str">
        <x:v>EXP068</x:v>
      </x:c>
      <x:c r="B2279" s="3" t="str">
        <x:v>Exp. 8</x:v>
      </x:c>
      <x:c r="C2279" s="18" t="n">
        <x:v>1390358485</x:v>
      </x:c>
      <x:c r="D2279" s="3" t="str">
        <x:v>Fixed rank 10</x:v>
      </x:c>
      <x:c r="E2279" s="18" t="n">
        <x:v>200</x:v>
      </x:c>
      <x:c r="F2279" s="21" t="n">
        <x:v>581.4581105591793</x:v>
      </x:c>
      <x:c r="G2279" s="21" t="n">
        <x:f>F2277</x:f>
        <x:v>589.0235508075533</x:v>
      </x:c>
      <x:c r="H2279" s="21" t="n">
        <x:f>F2282</x:f>
        <x:v>602.4925196129568</x:v>
      </x:c>
      <x:c r="I2279" s="27" t="n">
        <x:f>IF(AND(ISNUMBER(G2279),ISNUMBER(H2279),H2279&gt;0),G2279/H2279-1,"")</x:f>
        <x:v>-0.022355412502143568</x:v>
      </x:c>
      <x:c r="J2279" s="27" t="n">
        <x:f>IF(AND(ISNUMBER(G2279),F2279&gt;0),G2279/F2279-1,"")</x:f>
        <x:v>0.01301115267116737</x:v>
      </x:c>
      <x:c r="K2279" s="19" t="str">
        <x:v>Exp_8/EXP068/results/seed1390358485_Fixed_rank_10.json</x:v>
      </x:c>
    </x:row>
    <x:row r="2280" ht="15" hidden="0" customHeight="1">
      <x:c r="A2280" s="3" t="str">
        <x:v>EXP068</x:v>
      </x:c>
      <x:c r="B2280" s="3" t="str">
        <x:v>Exp. 8</x:v>
      </x:c>
      <x:c r="C2280" s="18" t="n">
        <x:v>1390358485</x:v>
      </x:c>
      <x:c r="D2280" s="3" t="str">
        <x:v>Fixed rank 25</x:v>
      </x:c>
      <x:c r="E2280" s="18" t="n">
        <x:v>200</x:v>
      </x:c>
      <x:c r="F2280" s="21" t="n">
        <x:v>589.0235508075533</x:v>
      </x:c>
      <x:c r="G2280" s="21" t="n">
        <x:f>F2277</x:f>
        <x:v>589.0235508075533</x:v>
      </x:c>
      <x:c r="H2280" s="21" t="n">
        <x:f>F2282</x:f>
        <x:v>602.4925196129568</x:v>
      </x:c>
      <x:c r="I2280" s="27" t="n">
        <x:f>IF(AND(ISNUMBER(G2280),ISNUMBER(H2280),H2280&gt;0),G2280/H2280-1,"")</x:f>
        <x:v>-0.022355412502143568</x:v>
      </x:c>
      <x:c r="J2280" s="27" t="n">
        <x:f>IF(AND(ISNUMBER(G2280),F2280&gt;0),G2280/F2280-1,"")</x:f>
        <x:v>0</x:v>
      </x:c>
      <x:c r="K2280" s="19" t="str">
        <x:v>Exp_8/EXP068/results/seed1390358485_Fixed_rank_25.json</x:v>
      </x:c>
    </x:row>
    <x:row r="2281" ht="15" hidden="0" customHeight="1">
      <x:c r="A2281" s="3" t="str">
        <x:v>EXP068</x:v>
      </x:c>
      <x:c r="B2281" s="3" t="str">
        <x:v>Exp. 8</x:v>
      </x:c>
      <x:c r="C2281" s="18" t="n">
        <x:v>1390358485</x:v>
      </x:c>
      <x:c r="D2281" s="3" t="str">
        <x:v>Relative cutoff 1e-6</x:v>
      </x:c>
      <x:c r="E2281" s="18" t="n">
        <x:v>200</x:v>
      </x:c>
      <x:c r="F2281" s="21" t="n">
        <x:v>602.4925196129568</x:v>
      </x:c>
      <x:c r="G2281" s="21" t="n">
        <x:f>F2277</x:f>
        <x:v>589.0235508075533</x:v>
      </x:c>
      <x:c r="H2281" s="21" t="n">
        <x:f>F2282</x:f>
        <x:v>602.4925196129568</x:v>
      </x:c>
      <x:c r="I2281" s="27" t="n">
        <x:f>IF(AND(ISNUMBER(G2281),ISNUMBER(H2281),H2281&gt;0),G2281/H2281-1,"")</x:f>
        <x:v>-0.022355412502143568</x:v>
      </x:c>
      <x:c r="J2281" s="27" t="n">
        <x:f>IF(AND(ISNUMBER(G2281),F2281&gt;0),G2281/F2281-1,"")</x:f>
        <x:v>-0.022355412502143568</x:v>
      </x:c>
      <x:c r="K2281" s="19" t="str">
        <x:v>Exp_8/EXP068/results/seed1390358485_Relative_cutoff_1e-6.json</x:v>
      </x:c>
    </x:row>
    <x:row r="2282" ht="15" hidden="0" customHeight="1">
      <x:c r="A2282" s="3" t="str">
        <x:v>EXP068</x:v>
      </x:c>
      <x:c r="B2282" s="3" t="str">
        <x:v>Exp. 8</x:v>
      </x:c>
      <x:c r="C2282" s="18" t="n">
        <x:v>1390358485</x:v>
      </x:c>
      <x:c r="D2282" s="3" t="str">
        <x:v>Full</x:v>
      </x:c>
      <x:c r="E2282" s="18" t="n">
        <x:v>200</x:v>
      </x:c>
      <x:c r="F2282" s="21" t="n">
        <x:v>602.4925196129568</x:v>
      </x:c>
      <x:c r="G2282" s="21" t="n">
        <x:f>F2277</x:f>
        <x:v>589.0235508075533</x:v>
      </x:c>
      <x:c r="H2282" s="21" t="n">
        <x:f>F2282</x:f>
        <x:v>602.4925196129568</x:v>
      </x:c>
      <x:c r="I2282" s="27" t="n">
        <x:f>IF(AND(ISNUMBER(G2282),ISNUMBER(H2282),H2282&gt;0),G2282/H2282-1,"")</x:f>
        <x:v>-0.022355412502143568</x:v>
      </x:c>
      <x:c r="J2282" s="27" t="n">
        <x:f>IF(AND(ISNUMBER(G2282),F2282&gt;0),G2282/F2282-1,"")</x:f>
        <x:v>-0.022355412502143568</x:v>
      </x:c>
      <x:c r="K2282" s="19" t="str">
        <x:v>Exp_8/EXP068/results/seed1390358485_Full.json</x:v>
      </x:c>
    </x:row>
    <x:row r="2283" ht="15" hidden="0" customHeight="1">
      <x:c r="A2283" s="3" t="str">
        <x:v>EXP068</x:v>
      </x:c>
      <x:c r="B2283" s="3" t="str">
        <x:v>Exp. 8</x:v>
      </x:c>
      <x:c r="C2283" s="18" t="n">
        <x:v>1390358485</x:v>
      </x:c>
      <x:c r="D2283" s="3" t="str">
        <x:v>Relative cutoff 1e-2</x:v>
      </x:c>
      <x:c r="E2283" s="18" t="n">
        <x:v>200</x:v>
      </x:c>
      <x:c r="F2283" s="21" t="n">
        <x:v>596.1376104208401</x:v>
      </x:c>
      <x:c r="G2283" s="21" t="n">
        <x:f>F2277</x:f>
        <x:v>589.0235508075533</x:v>
      </x:c>
      <x:c r="H2283" s="21" t="n">
        <x:f>F2282</x:f>
        <x:v>602.4925196129568</x:v>
      </x:c>
      <x:c r="I2283" s="27" t="n">
        <x:f>IF(AND(ISNUMBER(G2283),ISNUMBER(H2283),H2283&gt;0),G2283/H2283-1,"")</x:f>
        <x:v>-0.022355412502143568</x:v>
      </x:c>
      <x:c r="J2283" s="27" t="n">
        <x:f>IF(AND(ISNUMBER(G2283),F2283&gt;0),G2283/F2283-1,"")</x:f>
        <x:v>-0.011933586287677267</x:v>
      </x:c>
      <x:c r="K2283" s="19" t="str">
        <x:v>Exp_8/EXP068/results/seed1390358485_Relative_cutoff_1e-2.json</x:v>
      </x:c>
    </x:row>
    <x:row r="2284" ht="15" hidden="0" customHeight="1">
      <x:c r="A2284" s="3" t="str">
        <x:v>EXP068</x:v>
      </x:c>
      <x:c r="B2284" s="3" t="str">
        <x:v>Exp. 8</x:v>
      </x:c>
      <x:c r="C2284" s="18" t="n">
        <x:v>1390358485</x:v>
      </x:c>
      <x:c r="D2284" s="3" t="str">
        <x:v>Relative cutoff 1e-4</x:v>
      </x:c>
      <x:c r="E2284" s="18" t="n">
        <x:v>200</x:v>
      </x:c>
      <x:c r="F2284" s="21" t="n">
        <x:v>581.4581105591793</x:v>
      </x:c>
      <x:c r="G2284" s="21" t="n">
        <x:f>F2277</x:f>
        <x:v>589.0235508075533</x:v>
      </x:c>
      <x:c r="H2284" s="21" t="n">
        <x:f>F2282</x:f>
        <x:v>602.4925196129568</x:v>
      </x:c>
      <x:c r="I2284" s="27" t="n">
        <x:f>IF(AND(ISNUMBER(G2284),ISNUMBER(H2284),H2284&gt;0),G2284/H2284-1,"")</x:f>
        <x:v>-0.022355412502143568</x:v>
      </x:c>
      <x:c r="J2284" s="27" t="n">
        <x:f>IF(AND(ISNUMBER(G2284),F2284&gt;0),G2284/F2284-1,"")</x:f>
        <x:v>0.01301115267116737</x:v>
      </x:c>
      <x:c r="K2284" s="19" t="str">
        <x:v>Exp_8/EXP068/results/seed1390358485_Relative_cutoff_1e-4.json</x:v>
      </x:c>
    </x:row>
    <x:row r="2285" ht="15" hidden="0" customHeight="1">
      <x:c r="A2285" s="3" t="str">
        <x:v>EXP068</x:v>
      </x:c>
      <x:c r="B2285" s="3" t="str">
        <x:v>Exp. 8</x:v>
      </x:c>
      <x:c r="C2285" s="18" t="n">
        <x:v>1711112905</x:v>
      </x:c>
      <x:c r="D2285" s="3" t="str">
        <x:v>BBP</x:v>
      </x:c>
      <x:c r="E2285" s="18" t="n">
        <x:v>200</x:v>
      </x:c>
      <x:c r="F2285" s="21" t="n">
        <x:v>582.3872196135333</x:v>
      </x:c>
      <x:c r="G2285" s="21" t="n">
        <x:f>F2285</x:f>
        <x:v>582.3872196135333</x:v>
      </x:c>
      <x:c r="H2285" s="21" t="n">
        <x:f>F2290</x:f>
        <x:v>607.9416000313131</x:v>
      </x:c>
      <x:c r="I2285" s="27" t="n">
        <x:f>IF(AND(ISNUMBER(G2285),ISNUMBER(H2285),H2285&gt;0),G2285/H2285-1,"")</x:f>
        <x:v>-0.04203426845023206</x:v>
      </x:c>
      <x:c r="J2285" s="27" t="n">
        <x:f>IF(AND(ISNUMBER(G2285),F2285&gt;0),G2285/F2285-1,"")</x:f>
        <x:v>0</x:v>
      </x:c>
      <x:c r="K2285" s="19" t="str">
        <x:v>Exp_8/EXP068/results/seed1711112905_BBP.json</x:v>
      </x:c>
    </x:row>
    <x:row r="2286" ht="15" hidden="0" customHeight="1">
      <x:c r="A2286" s="3" t="str">
        <x:v>EXP068</x:v>
      </x:c>
      <x:c r="B2286" s="3" t="str">
        <x:v>Exp. 8</x:v>
      </x:c>
      <x:c r="C2286" s="18" t="n">
        <x:v>1711112905</x:v>
      </x:c>
      <x:c r="D2286" s="3" t="str">
        <x:v>Relative cutoff 1e-5</x:v>
      </x:c>
      <x:c r="E2286" s="18" t="n">
        <x:v>200</x:v>
      </x:c>
      <x:c r="F2286" s="21" t="n">
        <x:v>582.3872196135333</x:v>
      </x:c>
      <x:c r="G2286" s="21" t="n">
        <x:f>F2285</x:f>
        <x:v>582.3872196135333</x:v>
      </x:c>
      <x:c r="H2286" s="21" t="n">
        <x:f>F2290</x:f>
        <x:v>607.9416000313131</x:v>
      </x:c>
      <x:c r="I2286" s="27" t="n">
        <x:f>IF(AND(ISNUMBER(G2286),ISNUMBER(H2286),H2286&gt;0),G2286/H2286-1,"")</x:f>
        <x:v>-0.04203426845023206</x:v>
      </x:c>
      <x:c r="J2286" s="27" t="n">
        <x:f>IF(AND(ISNUMBER(G2286),F2286&gt;0),G2286/F2286-1,"")</x:f>
        <x:v>0</x:v>
      </x:c>
      <x:c r="K2286" s="19" t="str">
        <x:v>Exp_8/EXP068/results/seed1711112905_Relative_cutoff_1e-5.json</x:v>
      </x:c>
    </x:row>
    <x:row r="2287" ht="15" hidden="0" customHeight="1">
      <x:c r="A2287" s="3" t="str">
        <x:v>EXP068</x:v>
      </x:c>
      <x:c r="B2287" s="3" t="str">
        <x:v>Exp. 8</x:v>
      </x:c>
      <x:c r="C2287" s="18" t="n">
        <x:v>1711112905</x:v>
      </x:c>
      <x:c r="D2287" s="3" t="str">
        <x:v>Fixed rank 10</x:v>
      </x:c>
      <x:c r="E2287" s="18" t="n">
        <x:v>200</x:v>
      </x:c>
      <x:c r="F2287" s="21" t="n">
        <x:v>590.9844725984386</x:v>
      </x:c>
      <x:c r="G2287" s="21" t="n">
        <x:f>F2285</x:f>
        <x:v>582.3872196135333</x:v>
      </x:c>
      <x:c r="H2287" s="21" t="n">
        <x:f>F2290</x:f>
        <x:v>607.9416000313131</x:v>
      </x:c>
      <x:c r="I2287" s="27" t="n">
        <x:f>IF(AND(ISNUMBER(G2287),ISNUMBER(H2287),H2287&gt;0),G2287/H2287-1,"")</x:f>
        <x:v>-0.04203426845023206</x:v>
      </x:c>
      <x:c r="J2287" s="27" t="n">
        <x:f>IF(AND(ISNUMBER(G2287),F2287&gt;0),G2287/F2287-1,"")</x:f>
        <x:v>-0.014547341569068672</x:v>
      </x:c>
      <x:c r="K2287" s="19" t="str">
        <x:v>Exp_8/EXP068/results/seed1711112905_Fixed_rank_10.json</x:v>
      </x:c>
    </x:row>
    <x:row r="2288" ht="15" hidden="0" customHeight="1">
      <x:c r="A2288" s="3" t="str">
        <x:v>EXP068</x:v>
      </x:c>
      <x:c r="B2288" s="3" t="str">
        <x:v>Exp. 8</x:v>
      </x:c>
      <x:c r="C2288" s="18" t="n">
        <x:v>1711112905</x:v>
      </x:c>
      <x:c r="D2288" s="3" t="str">
        <x:v>Fixed rank 25</x:v>
      </x:c>
      <x:c r="E2288" s="18" t="n">
        <x:v>200</x:v>
      </x:c>
      <x:c r="F2288" s="21" t="n">
        <x:v>575.0299856704565</x:v>
      </x:c>
      <x:c r="G2288" s="21" t="n">
        <x:f>F2285</x:f>
        <x:v>582.3872196135333</x:v>
      </x:c>
      <x:c r="H2288" s="21" t="n">
        <x:f>F2290</x:f>
        <x:v>607.9416000313131</x:v>
      </x:c>
      <x:c r="I2288" s="27" t="n">
        <x:f>IF(AND(ISNUMBER(G2288),ISNUMBER(H2288),H2288&gt;0),G2288/H2288-1,"")</x:f>
        <x:v>-0.04203426845023206</x:v>
      </x:c>
      <x:c r="J2288" s="27" t="n">
        <x:f>IF(AND(ISNUMBER(G2288),F2288&gt;0),G2288/F2288-1,"")</x:f>
        <x:v>0.012794522244780948</x:v>
      </x:c>
      <x:c r="K2288" s="19" t="str">
        <x:v>Exp_8/EXP068/results/seed1711112905_Fixed_rank_25.json</x:v>
      </x:c>
    </x:row>
    <x:row r="2289" ht="15" hidden="0" customHeight="1">
      <x:c r="A2289" s="3" t="str">
        <x:v>EXP068</x:v>
      </x:c>
      <x:c r="B2289" s="3" t="str">
        <x:v>Exp. 8</x:v>
      </x:c>
      <x:c r="C2289" s="18" t="n">
        <x:v>1711112905</x:v>
      </x:c>
      <x:c r="D2289" s="3" t="str">
        <x:v>Relative cutoff 1e-6</x:v>
      </x:c>
      <x:c r="E2289" s="18" t="n">
        <x:v>200</x:v>
      </x:c>
      <x:c r="F2289" s="21" t="n">
        <x:v>582.3872196135333</x:v>
      </x:c>
      <x:c r="G2289" s="21" t="n">
        <x:f>F2285</x:f>
        <x:v>582.3872196135333</x:v>
      </x:c>
      <x:c r="H2289" s="21" t="n">
        <x:f>F2290</x:f>
        <x:v>607.9416000313131</x:v>
      </x:c>
      <x:c r="I2289" s="27" t="n">
        <x:f>IF(AND(ISNUMBER(G2289),ISNUMBER(H2289),H2289&gt;0),G2289/H2289-1,"")</x:f>
        <x:v>-0.04203426845023206</x:v>
      </x:c>
      <x:c r="J2289" s="27" t="n">
        <x:f>IF(AND(ISNUMBER(G2289),F2289&gt;0),G2289/F2289-1,"")</x:f>
        <x:v>0</x:v>
      </x:c>
      <x:c r="K2289" s="19" t="str">
        <x:v>Exp_8/EXP068/results/seed1711112905_Relative_cutoff_1e-6.json</x:v>
      </x:c>
    </x:row>
    <x:row r="2290" ht="15" hidden="0" customHeight="1">
      <x:c r="A2290" s="3" t="str">
        <x:v>EXP068</x:v>
      </x:c>
      <x:c r="B2290" s="3" t="str">
        <x:v>Exp. 8</x:v>
      </x:c>
      <x:c r="C2290" s="18" t="n">
        <x:v>1711112905</x:v>
      </x:c>
      <x:c r="D2290" s="3" t="str">
        <x:v>Full</x:v>
      </x:c>
      <x:c r="E2290" s="18" t="n">
        <x:v>200</x:v>
      </x:c>
      <x:c r="F2290" s="21" t="n">
        <x:v>607.9416000313131</x:v>
      </x:c>
      <x:c r="G2290" s="21" t="n">
        <x:f>F2285</x:f>
        <x:v>582.3872196135333</x:v>
      </x:c>
      <x:c r="H2290" s="21" t="n">
        <x:f>F2290</x:f>
        <x:v>607.9416000313131</x:v>
      </x:c>
      <x:c r="I2290" s="27" t="n">
        <x:f>IF(AND(ISNUMBER(G2290),ISNUMBER(H2290),H2290&gt;0),G2290/H2290-1,"")</x:f>
        <x:v>-0.04203426845023206</x:v>
      </x:c>
      <x:c r="J2290" s="27" t="n">
        <x:f>IF(AND(ISNUMBER(G2290),F2290&gt;0),G2290/F2290-1,"")</x:f>
        <x:v>-0.04203426845023206</x:v>
      </x:c>
      <x:c r="K2290" s="19" t="str">
        <x:v>Exp_8/EXP068/results/seed1711112905_Full.json</x:v>
      </x:c>
    </x:row>
    <x:row r="2291" ht="15" hidden="0" customHeight="1">
      <x:c r="A2291" s="3" t="str">
        <x:v>EXP068</x:v>
      </x:c>
      <x:c r="B2291" s="3" t="str">
        <x:v>Exp. 8</x:v>
      </x:c>
      <x:c r="C2291" s="18" t="n">
        <x:v>1711112905</x:v>
      </x:c>
      <x:c r="D2291" s="3" t="str">
        <x:v>Relative cutoff 1e-2</x:v>
      </x:c>
      <x:c r="E2291" s="18" t="n">
        <x:v>200</x:v>
      </x:c>
      <x:c r="F2291" s="21" t="n">
        <x:v>636.9722106908332</x:v>
      </x:c>
      <x:c r="G2291" s="21" t="n">
        <x:f>F2285</x:f>
        <x:v>582.3872196135333</x:v>
      </x:c>
      <x:c r="H2291" s="21" t="n">
        <x:f>F2290</x:f>
        <x:v>607.9416000313131</x:v>
      </x:c>
      <x:c r="I2291" s="27" t="n">
        <x:f>IF(AND(ISNUMBER(G2291),ISNUMBER(H2291),H2291&gt;0),G2291/H2291-1,"")</x:f>
        <x:v>-0.04203426845023206</x:v>
      </x:c>
      <x:c r="J2291" s="27" t="n">
        <x:f>IF(AND(ISNUMBER(G2291),F2291&gt;0),G2291/F2291-1,"")</x:f>
        <x:v>-0.0856944622719088</x:v>
      </x:c>
      <x:c r="K2291" s="19" t="str">
        <x:v>Exp_8/EXP068/results/seed1711112905_Relative_cutoff_1e-2.json</x:v>
      </x:c>
    </x:row>
    <x:row r="2292" ht="15" hidden="0" customHeight="1">
      <x:c r="A2292" s="3" t="str">
        <x:v>EXP068</x:v>
      </x:c>
      <x:c r="B2292" s="3" t="str">
        <x:v>Exp. 8</x:v>
      </x:c>
      <x:c r="C2292" s="18" t="n">
        <x:v>1711112905</x:v>
      </x:c>
      <x:c r="D2292" s="3" t="str">
        <x:v>Relative cutoff 1e-4</x:v>
      </x:c>
      <x:c r="E2292" s="18" t="n">
        <x:v>200</x:v>
      </x:c>
      <x:c r="F2292" s="21" t="n">
        <x:v>571.9671102557312</x:v>
      </x:c>
      <x:c r="G2292" s="21" t="n">
        <x:f>F2285</x:f>
        <x:v>582.3872196135333</x:v>
      </x:c>
      <x:c r="H2292" s="21" t="n">
        <x:f>F2290</x:f>
        <x:v>607.9416000313131</x:v>
      </x:c>
      <x:c r="I2292" s="27" t="n">
        <x:f>IF(AND(ISNUMBER(G2292),ISNUMBER(H2292),H2292&gt;0),G2292/H2292-1,"")</x:f>
        <x:v>-0.04203426845023206</x:v>
      </x:c>
      <x:c r="J2292" s="27" t="n">
        <x:f>IF(AND(ISNUMBER(G2292),F2292&gt;0),G2292/F2292-1,"")</x:f>
        <x:v>0.018218021929867767</x:v>
      </x:c>
      <x:c r="K2292" s="19" t="str">
        <x:v>Exp_8/EXP068/results/seed1711112905_Relative_cutoff_1e-4.json</x:v>
      </x:c>
    </x:row>
    <x:row r="2293" ht="15" hidden="0" customHeight="1">
      <x:c r="A2293" s="3" t="str">
        <x:v>EXP071</x:v>
      </x:c>
      <x:c r="B2293" s="3" t="str">
        <x:v>Exp. 8</x:v>
      </x:c>
      <x:c r="C2293" s="18" t="n">
        <x:v>1000</x:v>
      </x:c>
      <x:c r="D2293" s="3" t="str">
        <x:v>Fixed rank 10</x:v>
      </x:c>
      <x:c r="E2293" s="18" t="n">
        <x:v>200</x:v>
      </x:c>
      <x:c r="F2293" s="21" t="n">
        <x:v>724.1102592768248</x:v>
      </x:c>
      <x:c r="G2293" s="21" t="str">
        <x:f>""</x:f>
      </x:c>
      <x:c r="H2293" s="21" t="n">
        <x:f>F2296</x:f>
        <x:v>709.3851133555974</x:v>
      </x:c>
      <x:c r="I2293" s="27" t="str">
        <x:f>IF(AND(ISNUMBER(G2293),ISNUMBER(H2293),H2293&gt;0),G2293/H2293-1,"")</x:f>
      </x:c>
      <x:c r="J2293" s="27" t="str">
        <x:f>IF(AND(ISNUMBER(G2293),F2293&gt;0),G2293/F2293-1,"")</x:f>
      </x:c>
      <x:c r="K2293" s="19" t="str">
        <x:v>Exp_8/EXP071/results/seed1000_Fixed_rank_10.json</x:v>
      </x:c>
    </x:row>
    <x:row r="2294" ht="15" hidden="0" customHeight="1">
      <x:c r="A2294" s="3" t="str">
        <x:v>EXP071</x:v>
      </x:c>
      <x:c r="B2294" s="3" t="str">
        <x:v>Exp. 8</x:v>
      </x:c>
      <x:c r="C2294" s="18" t="n">
        <x:v>1000</x:v>
      </x:c>
      <x:c r="D2294" s="3" t="str">
        <x:v>Fixed rank 3</x:v>
      </x:c>
      <x:c r="E2294" s="18" t="n">
        <x:v>200</x:v>
      </x:c>
      <x:c r="F2294" s="21" t="n">
        <x:v>746.0595081986474</x:v>
      </x:c>
      <x:c r="G2294" s="21" t="str">
        <x:f>""</x:f>
      </x:c>
      <x:c r="H2294" s="21" t="n">
        <x:f>F2296</x:f>
        <x:v>709.3851133555974</x:v>
      </x:c>
      <x:c r="I2294" s="27" t="str">
        <x:f>IF(AND(ISNUMBER(G2294),ISNUMBER(H2294),H2294&gt;0),G2294/H2294-1,"")</x:f>
      </x:c>
      <x:c r="J2294" s="27" t="str">
        <x:f>IF(AND(ISNUMBER(G2294),F2294&gt;0),G2294/F2294-1,"")</x:f>
      </x:c>
      <x:c r="K2294" s="19" t="str">
        <x:v>Exp_8/EXP071/results/seed1000_Fixed_rank_3.json</x:v>
      </x:c>
    </x:row>
    <x:row r="2295" ht="15" hidden="0" customHeight="1">
      <x:c r="A2295" s="3" t="str">
        <x:v>EXP071</x:v>
      </x:c>
      <x:c r="B2295" s="3" t="str">
        <x:v>Exp. 8</x:v>
      </x:c>
      <x:c r="C2295" s="18" t="n">
        <x:v>1000</x:v>
      </x:c>
      <x:c r="D2295" s="3" t="str">
        <x:v>Fixed rank 5</x:v>
      </x:c>
      <x:c r="E2295" s="18" t="n">
        <x:v>200</x:v>
      </x:c>
      <x:c r="F2295" s="21" t="n">
        <x:v>727.1726663304534</x:v>
      </x:c>
      <x:c r="G2295" s="21" t="str">
        <x:f>""</x:f>
      </x:c>
      <x:c r="H2295" s="21" t="n">
        <x:f>F2296</x:f>
        <x:v>709.3851133555974</x:v>
      </x:c>
      <x:c r="I2295" s="27" t="str">
        <x:f>IF(AND(ISNUMBER(G2295),ISNUMBER(H2295),H2295&gt;0),G2295/H2295-1,"")</x:f>
      </x:c>
      <x:c r="J2295" s="27" t="str">
        <x:f>IF(AND(ISNUMBER(G2295),F2295&gt;0),G2295/F2295-1,"")</x:f>
      </x:c>
      <x:c r="K2295" s="19" t="str">
        <x:v>Exp_8/EXP071/results/seed1000_Fixed_rank_5.json</x:v>
      </x:c>
    </x:row>
    <x:row r="2296" ht="15" hidden="0" customHeight="1">
      <x:c r="A2296" s="3" t="str">
        <x:v>EXP071</x:v>
      </x:c>
      <x:c r="B2296" s="3" t="str">
        <x:v>Exp. 8</x:v>
      </x:c>
      <x:c r="C2296" s="18" t="n">
        <x:v>1000</x:v>
      </x:c>
      <x:c r="D2296" s="3" t="str">
        <x:v>Full</x:v>
      </x:c>
      <x:c r="E2296" s="18" t="n">
        <x:v>200</x:v>
      </x:c>
      <x:c r="F2296" s="21" t="n">
        <x:v>709.3851133555974</x:v>
      </x:c>
      <x:c r="G2296" s="21" t="str">
        <x:f>""</x:f>
      </x:c>
      <x:c r="H2296" s="21" t="n">
        <x:f>F2296</x:f>
        <x:v>709.3851133555974</x:v>
      </x:c>
      <x:c r="I2296" s="27" t="str">
        <x:f>IF(AND(ISNUMBER(G2296),ISNUMBER(H2296),H2296&gt;0),G2296/H2296-1,"")</x:f>
      </x:c>
      <x:c r="J2296" s="27" t="str">
        <x:f>IF(AND(ISNUMBER(G2296),F2296&gt;0),G2296/F2296-1,"")</x:f>
      </x:c>
      <x:c r="K2296" s="19" t="str">
        <x:v>Exp_8/EXP071/results/seed1000_Full.json</x:v>
      </x:c>
    </x:row>
    <x:row r="2297" ht="15" hidden="0" customHeight="1">
      <x:c r="A2297" s="3" t="str">
        <x:v>EXP071</x:v>
      </x:c>
      <x:c r="B2297" s="3" t="str">
        <x:v>Exp. 8</x:v>
      </x:c>
      <x:c r="C2297" s="18" t="n">
        <x:v>1000</x:v>
      </x:c>
      <x:c r="D2297" s="3" t="str">
        <x:v>Relative cutoff 1e-2</x:v>
      </x:c>
      <x:c r="E2297" s="18" t="n">
        <x:v>200</x:v>
      </x:c>
      <x:c r="F2297" s="21" t="n">
        <x:v>733.697314867734</x:v>
      </x:c>
      <x:c r="G2297" s="21" t="str">
        <x:f>""</x:f>
      </x:c>
      <x:c r="H2297" s="21" t="n">
        <x:f>F2296</x:f>
        <x:v>709.3851133555974</x:v>
      </x:c>
      <x:c r="I2297" s="27" t="str">
        <x:f>IF(AND(ISNUMBER(G2297),ISNUMBER(H2297),H2297&gt;0),G2297/H2297-1,"")</x:f>
      </x:c>
      <x:c r="J2297" s="27" t="str">
        <x:f>IF(AND(ISNUMBER(G2297),F2297&gt;0),G2297/F2297-1,"")</x:f>
      </x:c>
      <x:c r="K2297" s="19" t="str">
        <x:v>Exp_8/EXP071/results/seed1000_Relative_cutoff_1e-2.json</x:v>
      </x:c>
    </x:row>
    <x:row r="2298" ht="15" hidden="0" customHeight="1">
      <x:c r="A2298" s="3" t="str">
        <x:v>EXP071</x:v>
      </x:c>
      <x:c r="B2298" s="3" t="str">
        <x:v>Exp. 8</x:v>
      </x:c>
      <x:c r="C2298" s="18" t="n">
        <x:v>1001</x:v>
      </x:c>
      <x:c r="D2298" s="3" t="str">
        <x:v>Fixed rank 10</x:v>
      </x:c>
      <x:c r="E2298" s="18" t="n">
        <x:v>200</x:v>
      </x:c>
      <x:c r="F2298" s="21" t="n">
        <x:v>527.107806299004</x:v>
      </x:c>
      <x:c r="G2298" s="21" t="str">
        <x:f>""</x:f>
      </x:c>
      <x:c r="H2298" s="21" t="n">
        <x:f>F2301</x:f>
        <x:v>527.1679352107188</x:v>
      </x:c>
      <x:c r="I2298" s="27" t="str">
        <x:f>IF(AND(ISNUMBER(G2298),ISNUMBER(H2298),H2298&gt;0),G2298/H2298-1,"")</x:f>
      </x:c>
      <x:c r="J2298" s="27" t="str">
        <x:f>IF(AND(ISNUMBER(G2298),F2298&gt;0),G2298/F2298-1,"")</x:f>
      </x:c>
      <x:c r="K2298" s="19" t="str">
        <x:v>Exp_8/EXP071/results/seed1001_Fixed_rank_10.json</x:v>
      </x:c>
    </x:row>
    <x:row r="2299" ht="15" hidden="0" customHeight="1">
      <x:c r="A2299" s="3" t="str">
        <x:v>EXP071</x:v>
      </x:c>
      <x:c r="B2299" s="3" t="str">
        <x:v>Exp. 8</x:v>
      </x:c>
      <x:c r="C2299" s="18" t="n">
        <x:v>1001</x:v>
      </x:c>
      <x:c r="D2299" s="3" t="str">
        <x:v>Fixed rank 3</x:v>
      </x:c>
      <x:c r="E2299" s="18" t="n">
        <x:v>200</x:v>
      </x:c>
      <x:c r="F2299" s="21" t="n">
        <x:v>539.3405696686333</x:v>
      </x:c>
      <x:c r="G2299" s="21" t="str">
        <x:f>""</x:f>
      </x:c>
      <x:c r="H2299" s="21" t="n">
        <x:f>F2301</x:f>
        <x:v>527.1679352107188</x:v>
      </x:c>
      <x:c r="I2299" s="27" t="str">
        <x:f>IF(AND(ISNUMBER(G2299),ISNUMBER(H2299),H2299&gt;0),G2299/H2299-1,"")</x:f>
      </x:c>
      <x:c r="J2299" s="27" t="str">
        <x:f>IF(AND(ISNUMBER(G2299),F2299&gt;0),G2299/F2299-1,"")</x:f>
      </x:c>
      <x:c r="K2299" s="19" t="str">
        <x:v>Exp_8/EXP071/results/seed1001_Fixed_rank_3.json</x:v>
      </x:c>
    </x:row>
    <x:row r="2300" ht="15" hidden="0" customHeight="1">
      <x:c r="A2300" s="3" t="str">
        <x:v>EXP071</x:v>
      </x:c>
      <x:c r="B2300" s="3" t="str">
        <x:v>Exp. 8</x:v>
      </x:c>
      <x:c r="C2300" s="18" t="n">
        <x:v>1001</x:v>
      </x:c>
      <x:c r="D2300" s="3" t="str">
        <x:v>Fixed rank 5</x:v>
      </x:c>
      <x:c r="E2300" s="18" t="n">
        <x:v>200</x:v>
      </x:c>
      <x:c r="F2300" s="21" t="n">
        <x:v>536.25408675187</x:v>
      </x:c>
      <x:c r="G2300" s="21" t="str">
        <x:f>""</x:f>
      </x:c>
      <x:c r="H2300" s="21" t="n">
        <x:f>F2301</x:f>
        <x:v>527.1679352107188</x:v>
      </x:c>
      <x:c r="I2300" s="27" t="str">
        <x:f>IF(AND(ISNUMBER(G2300),ISNUMBER(H2300),H2300&gt;0),G2300/H2300-1,"")</x:f>
      </x:c>
      <x:c r="J2300" s="27" t="str">
        <x:f>IF(AND(ISNUMBER(G2300),F2300&gt;0),G2300/F2300-1,"")</x:f>
      </x:c>
      <x:c r="K2300" s="19" t="str">
        <x:v>Exp_8/EXP071/results/seed1001_Fixed_rank_5.json</x:v>
      </x:c>
    </x:row>
    <x:row r="2301" ht="15" hidden="0" customHeight="1">
      <x:c r="A2301" s="3" t="str">
        <x:v>EXP071</x:v>
      </x:c>
      <x:c r="B2301" s="3" t="str">
        <x:v>Exp. 8</x:v>
      </x:c>
      <x:c r="C2301" s="18" t="n">
        <x:v>1001</x:v>
      </x:c>
      <x:c r="D2301" s="3" t="str">
        <x:v>Full</x:v>
      </x:c>
      <x:c r="E2301" s="18" t="n">
        <x:v>200</x:v>
      </x:c>
      <x:c r="F2301" s="21" t="n">
        <x:v>527.1679352107188</x:v>
      </x:c>
      <x:c r="G2301" s="21" t="str">
        <x:f>""</x:f>
      </x:c>
      <x:c r="H2301" s="21" t="n">
        <x:f>F2301</x:f>
        <x:v>527.1679352107188</x:v>
      </x:c>
      <x:c r="I2301" s="27" t="str">
        <x:f>IF(AND(ISNUMBER(G2301),ISNUMBER(H2301),H2301&gt;0),G2301/H2301-1,"")</x:f>
      </x:c>
      <x:c r="J2301" s="27" t="str">
        <x:f>IF(AND(ISNUMBER(G2301),F2301&gt;0),G2301/F2301-1,"")</x:f>
      </x:c>
      <x:c r="K2301" s="19" t="str">
        <x:v>Exp_8/EXP071/results/seed1001_Full.json</x:v>
      </x:c>
    </x:row>
    <x:row r="2302" ht="15" hidden="0" customHeight="1">
      <x:c r="A2302" s="3" t="str">
        <x:v>EXP071</x:v>
      </x:c>
      <x:c r="B2302" s="3" t="str">
        <x:v>Exp. 8</x:v>
      </x:c>
      <x:c r="C2302" s="18" t="n">
        <x:v>1001</x:v>
      </x:c>
      <x:c r="D2302" s="3" t="str">
        <x:v>Relative cutoff 1e-2</x:v>
      </x:c>
      <x:c r="E2302" s="18" t="n">
        <x:v>200</x:v>
      </x:c>
      <x:c r="F2302" s="21" t="n">
        <x:v>539.3405696686333</x:v>
      </x:c>
      <x:c r="G2302" s="21" t="str">
        <x:f>""</x:f>
      </x:c>
      <x:c r="H2302" s="21" t="n">
        <x:f>F2301</x:f>
        <x:v>527.1679352107188</x:v>
      </x:c>
      <x:c r="I2302" s="27" t="str">
        <x:f>IF(AND(ISNUMBER(G2302),ISNUMBER(H2302),H2302&gt;0),G2302/H2302-1,"")</x:f>
      </x:c>
      <x:c r="J2302" s="27" t="str">
        <x:f>IF(AND(ISNUMBER(G2302),F2302&gt;0),G2302/F2302-1,"")</x:f>
      </x:c>
      <x:c r="K2302" s="19" t="str">
        <x:v>Exp_8/EXP071/results/seed1001_Relative_cutoff_1e-2.json</x:v>
      </x:c>
    </x:row>
    <x:row r="2303" ht="15" hidden="0" customHeight="1">
      <x:c r="A2303" s="3" t="str">
        <x:v>EXP071</x:v>
      </x:c>
      <x:c r="B2303" s="3" t="str">
        <x:v>Exp. 8</x:v>
      </x:c>
      <x:c r="C2303" s="18" t="n">
        <x:v>1002</x:v>
      </x:c>
      <x:c r="D2303" s="3" t="str">
        <x:v>Fixed rank 10</x:v>
      </x:c>
      <x:c r="E2303" s="18" t="n">
        <x:v>200</x:v>
      </x:c>
      <x:c r="F2303" s="21" t="n">
        <x:v>552.0285941645002</x:v>
      </x:c>
      <x:c r="G2303" s="21" t="str">
        <x:f>""</x:f>
      </x:c>
      <x:c r="H2303" s="21" t="n">
        <x:f>F2306</x:f>
        <x:v>549.623250278886</x:v>
      </x:c>
      <x:c r="I2303" s="27" t="str">
        <x:f>IF(AND(ISNUMBER(G2303),ISNUMBER(H2303),H2303&gt;0),G2303/H2303-1,"")</x:f>
      </x:c>
      <x:c r="J2303" s="27" t="str">
        <x:f>IF(AND(ISNUMBER(G2303),F2303&gt;0),G2303/F2303-1,"")</x:f>
      </x:c>
      <x:c r="K2303" s="19" t="str">
        <x:v>Exp_8/EXP071/results/seed1002_Fixed_rank_10.json</x:v>
      </x:c>
    </x:row>
    <x:row r="2304" ht="15" hidden="0" customHeight="1">
      <x:c r="A2304" s="3" t="str">
        <x:v>EXP071</x:v>
      </x:c>
      <x:c r="B2304" s="3" t="str">
        <x:v>Exp. 8</x:v>
      </x:c>
      <x:c r="C2304" s="18" t="n">
        <x:v>1002</x:v>
      </x:c>
      <x:c r="D2304" s="3" t="str">
        <x:v>Fixed rank 3</x:v>
      </x:c>
      <x:c r="E2304" s="18" t="n">
        <x:v>200</x:v>
      </x:c>
      <x:c r="F2304" s="21" t="n">
        <x:v>558.3560748532337</x:v>
      </x:c>
      <x:c r="G2304" s="21" t="str">
        <x:f>""</x:f>
      </x:c>
      <x:c r="H2304" s="21" t="n">
        <x:f>F2306</x:f>
        <x:v>549.623250278886</x:v>
      </x:c>
      <x:c r="I2304" s="27" t="str">
        <x:f>IF(AND(ISNUMBER(G2304),ISNUMBER(H2304),H2304&gt;0),G2304/H2304-1,"")</x:f>
      </x:c>
      <x:c r="J2304" s="27" t="str">
        <x:f>IF(AND(ISNUMBER(G2304),F2304&gt;0),G2304/F2304-1,"")</x:f>
      </x:c>
      <x:c r="K2304" s="19" t="str">
        <x:v>Exp_8/EXP071/results/seed1002_Fixed_rank_3.json</x:v>
      </x:c>
    </x:row>
    <x:row r="2305" ht="15" hidden="0" customHeight="1">
      <x:c r="A2305" s="3" t="str">
        <x:v>EXP071</x:v>
      </x:c>
      <x:c r="B2305" s="3" t="str">
        <x:v>Exp. 8</x:v>
      </x:c>
      <x:c r="C2305" s="18" t="n">
        <x:v>1002</x:v>
      </x:c>
      <x:c r="D2305" s="3" t="str">
        <x:v>Fixed rank 5</x:v>
      </x:c>
      <x:c r="E2305" s="18" t="n">
        <x:v>200</x:v>
      </x:c>
      <x:c r="F2305" s="21" t="n">
        <x:v>552.0285941645002</x:v>
      </x:c>
      <x:c r="G2305" s="21" t="str">
        <x:f>""</x:f>
      </x:c>
      <x:c r="H2305" s="21" t="n">
        <x:f>F2306</x:f>
        <x:v>549.623250278886</x:v>
      </x:c>
      <x:c r="I2305" s="27" t="str">
        <x:f>IF(AND(ISNUMBER(G2305),ISNUMBER(H2305),H2305&gt;0),G2305/H2305-1,"")</x:f>
      </x:c>
      <x:c r="J2305" s="27" t="str">
        <x:f>IF(AND(ISNUMBER(G2305),F2305&gt;0),G2305/F2305-1,"")</x:f>
      </x:c>
      <x:c r="K2305" s="19" t="str">
        <x:v>Exp_8/EXP071/results/seed1002_Fixed_rank_5.json</x:v>
      </x:c>
    </x:row>
    <x:row r="2306" ht="15" hidden="0" customHeight="1">
      <x:c r="A2306" s="3" t="str">
        <x:v>EXP071</x:v>
      </x:c>
      <x:c r="B2306" s="3" t="str">
        <x:v>Exp. 8</x:v>
      </x:c>
      <x:c r="C2306" s="18" t="n">
        <x:v>1002</x:v>
      </x:c>
      <x:c r="D2306" s="3" t="str">
        <x:v>Full</x:v>
      </x:c>
      <x:c r="E2306" s="18" t="n">
        <x:v>200</x:v>
      </x:c>
      <x:c r="F2306" s="21" t="n">
        <x:v>549.623250278886</x:v>
      </x:c>
      <x:c r="G2306" s="21" t="str">
        <x:f>""</x:f>
      </x:c>
      <x:c r="H2306" s="21" t="n">
        <x:f>F2306</x:f>
        <x:v>549.623250278886</x:v>
      </x:c>
      <x:c r="I2306" s="27" t="str">
        <x:f>IF(AND(ISNUMBER(G2306),ISNUMBER(H2306),H2306&gt;0),G2306/H2306-1,"")</x:f>
      </x:c>
      <x:c r="J2306" s="27" t="str">
        <x:f>IF(AND(ISNUMBER(G2306),F2306&gt;0),G2306/F2306-1,"")</x:f>
      </x:c>
      <x:c r="K2306" s="19" t="str">
        <x:v>Exp_8/EXP071/results/seed1002_Full.json</x:v>
      </x:c>
    </x:row>
    <x:row r="2307" ht="15" hidden="0" customHeight="1">
      <x:c r="A2307" s="3" t="str">
        <x:v>EXP071</x:v>
      </x:c>
      <x:c r="B2307" s="3" t="str">
        <x:v>Exp. 8</x:v>
      </x:c>
      <x:c r="C2307" s="18" t="n">
        <x:v>1002</x:v>
      </x:c>
      <x:c r="D2307" s="3" t="str">
        <x:v>Relative cutoff 1e-2</x:v>
      </x:c>
      <x:c r="E2307" s="18" t="n">
        <x:v>200</x:v>
      </x:c>
      <x:c r="F2307" s="21" t="n">
        <x:v>548.728269182683</x:v>
      </x:c>
      <x:c r="G2307" s="21" t="str">
        <x:f>""</x:f>
      </x:c>
      <x:c r="H2307" s="21" t="n">
        <x:f>F2306</x:f>
        <x:v>549.623250278886</x:v>
      </x:c>
      <x:c r="I2307" s="27" t="str">
        <x:f>IF(AND(ISNUMBER(G2307),ISNUMBER(H2307),H2307&gt;0),G2307/H2307-1,"")</x:f>
      </x:c>
      <x:c r="J2307" s="27" t="str">
        <x:f>IF(AND(ISNUMBER(G2307),F2307&gt;0),G2307/F2307-1,"")</x:f>
      </x:c>
      <x:c r="K2307" s="19" t="str">
        <x:v>Exp_8/EXP071/results/seed1002_Relative_cutoff_1e-2.json</x:v>
      </x:c>
    </x:row>
    <x:row r="2308" ht="15" hidden="0" customHeight="1">
      <x:c r="A2308" s="3" t="str">
        <x:v>EXP071</x:v>
      </x:c>
      <x:c r="B2308" s="3" t="str">
        <x:v>Exp. 8</x:v>
      </x:c>
      <x:c r="C2308" s="18" t="n">
        <x:v>1003</x:v>
      </x:c>
      <x:c r="D2308" s="3" t="str">
        <x:v>Fixed rank 10</x:v>
      </x:c>
      <x:c r="E2308" s="18" t="n">
        <x:v>200</x:v>
      </x:c>
      <x:c r="F2308" s="21" t="n">
        <x:v>767.6434237779032</x:v>
      </x:c>
      <x:c r="G2308" s="21" t="str">
        <x:f>""</x:f>
      </x:c>
      <x:c r="H2308" s="21" t="n">
        <x:f>F2311</x:f>
        <x:v>792.077892158354</x:v>
      </x:c>
      <x:c r="I2308" s="27" t="str">
        <x:f>IF(AND(ISNUMBER(G2308),ISNUMBER(H2308),H2308&gt;0),G2308/H2308-1,"")</x:f>
      </x:c>
      <x:c r="J2308" s="27" t="str">
        <x:f>IF(AND(ISNUMBER(G2308),F2308&gt;0),G2308/F2308-1,"")</x:f>
      </x:c>
      <x:c r="K2308" s="19" t="str">
        <x:v>Exp_8/EXP071/results/seed1003_Fixed_rank_10.json</x:v>
      </x:c>
    </x:row>
    <x:row r="2309" ht="15" hidden="0" customHeight="1">
      <x:c r="A2309" s="3" t="str">
        <x:v>EXP071</x:v>
      </x:c>
      <x:c r="B2309" s="3" t="str">
        <x:v>Exp. 8</x:v>
      </x:c>
      <x:c r="C2309" s="18" t="n">
        <x:v>1003</x:v>
      </x:c>
      <x:c r="D2309" s="3" t="str">
        <x:v>Fixed rank 3</x:v>
      </x:c>
      <x:c r="E2309" s="18" t="n">
        <x:v>200</x:v>
      </x:c>
      <x:c r="F2309" s="21" t="n">
        <x:v>750.7243591665692</x:v>
      </x:c>
      <x:c r="G2309" s="21" t="str">
        <x:f>""</x:f>
      </x:c>
      <x:c r="H2309" s="21" t="n">
        <x:f>F2311</x:f>
        <x:v>792.077892158354</x:v>
      </x:c>
      <x:c r="I2309" s="27" t="str">
        <x:f>IF(AND(ISNUMBER(G2309),ISNUMBER(H2309),H2309&gt;0),G2309/H2309-1,"")</x:f>
      </x:c>
      <x:c r="J2309" s="27" t="str">
        <x:f>IF(AND(ISNUMBER(G2309),F2309&gt;0),G2309/F2309-1,"")</x:f>
      </x:c>
      <x:c r="K2309" s="19" t="str">
        <x:v>Exp_8/EXP071/results/seed1003_Fixed_rank_3.json</x:v>
      </x:c>
    </x:row>
    <x:row r="2310" ht="15" hidden="0" customHeight="1">
      <x:c r="A2310" s="3" t="str">
        <x:v>EXP071</x:v>
      </x:c>
      <x:c r="B2310" s="3" t="str">
        <x:v>Exp. 8</x:v>
      </x:c>
      <x:c r="C2310" s="18" t="n">
        <x:v>1003</x:v>
      </x:c>
      <x:c r="D2310" s="3" t="str">
        <x:v>Fixed rank 5</x:v>
      </x:c>
      <x:c r="E2310" s="18" t="n">
        <x:v>200</x:v>
      </x:c>
      <x:c r="F2310" s="21" t="n">
        <x:v>780.7345588515843</x:v>
      </x:c>
      <x:c r="G2310" s="21" t="str">
        <x:f>""</x:f>
      </x:c>
      <x:c r="H2310" s="21" t="n">
        <x:f>F2311</x:f>
        <x:v>792.077892158354</x:v>
      </x:c>
      <x:c r="I2310" s="27" t="str">
        <x:f>IF(AND(ISNUMBER(G2310),ISNUMBER(H2310),H2310&gt;0),G2310/H2310-1,"")</x:f>
      </x:c>
      <x:c r="J2310" s="27" t="str">
        <x:f>IF(AND(ISNUMBER(G2310),F2310&gt;0),G2310/F2310-1,"")</x:f>
      </x:c>
      <x:c r="K2310" s="19" t="str">
        <x:v>Exp_8/EXP071/results/seed1003_Fixed_rank_5.json</x:v>
      </x:c>
    </x:row>
    <x:row r="2311" ht="15" hidden="0" customHeight="1">
      <x:c r="A2311" s="3" t="str">
        <x:v>EXP071</x:v>
      </x:c>
      <x:c r="B2311" s="3" t="str">
        <x:v>Exp. 8</x:v>
      </x:c>
      <x:c r="C2311" s="18" t="n">
        <x:v>1003</x:v>
      </x:c>
      <x:c r="D2311" s="3" t="str">
        <x:v>Full</x:v>
      </x:c>
      <x:c r="E2311" s="18" t="n">
        <x:v>200</x:v>
      </x:c>
      <x:c r="F2311" s="21" t="n">
        <x:v>792.077892158354</x:v>
      </x:c>
      <x:c r="G2311" s="21" t="str">
        <x:f>""</x:f>
      </x:c>
      <x:c r="H2311" s="21" t="n">
        <x:f>F2311</x:f>
        <x:v>792.077892158354</x:v>
      </x:c>
      <x:c r="I2311" s="27" t="str">
        <x:f>IF(AND(ISNUMBER(G2311),ISNUMBER(H2311),H2311&gt;0),G2311/H2311-1,"")</x:f>
      </x:c>
      <x:c r="J2311" s="27" t="str">
        <x:f>IF(AND(ISNUMBER(G2311),F2311&gt;0),G2311/F2311-1,"")</x:f>
      </x:c>
      <x:c r="K2311" s="19" t="str">
        <x:v>Exp_8/EXP071/results/seed1003_Full.json</x:v>
      </x:c>
    </x:row>
    <x:row r="2312" ht="15" hidden="0" customHeight="1">
      <x:c r="A2312" s="3" t="str">
        <x:v>EXP071</x:v>
      </x:c>
      <x:c r="B2312" s="3" t="str">
        <x:v>Exp. 8</x:v>
      </x:c>
      <x:c r="C2312" s="18" t="n">
        <x:v>1003</x:v>
      </x:c>
      <x:c r="D2312" s="3" t="str">
        <x:v>Relative cutoff 1e-2</x:v>
      </x:c>
      <x:c r="E2312" s="18" t="n">
        <x:v>200</x:v>
      </x:c>
      <x:c r="F2312" s="21" t="n">
        <x:v>760.7668700498807</x:v>
      </x:c>
      <x:c r="G2312" s="21" t="str">
        <x:f>""</x:f>
      </x:c>
      <x:c r="H2312" s="21" t="n">
        <x:f>F2311</x:f>
        <x:v>792.077892158354</x:v>
      </x:c>
      <x:c r="I2312" s="27" t="str">
        <x:f>IF(AND(ISNUMBER(G2312),ISNUMBER(H2312),H2312&gt;0),G2312/H2312-1,"")</x:f>
      </x:c>
      <x:c r="J2312" s="27" t="str">
        <x:f>IF(AND(ISNUMBER(G2312),F2312&gt;0),G2312/F2312-1,"")</x:f>
      </x:c>
      <x:c r="K2312" s="19" t="str">
        <x:v>Exp_8/EXP071/results/seed1003_Relative_cutoff_1e-2.json</x:v>
      </x:c>
    </x:row>
    <x:row r="2313" ht="15" hidden="0" customHeight="1">
      <x:c r="A2313" s="3" t="str">
        <x:v>EXP071</x:v>
      </x:c>
      <x:c r="B2313" s="3" t="str">
        <x:v>Exp. 8</x:v>
      </x:c>
      <x:c r="C2313" s="18" t="n">
        <x:v>1004</x:v>
      </x:c>
      <x:c r="D2313" s="3" t="str">
        <x:v>Fixed rank 10</x:v>
      </x:c>
      <x:c r="E2313" s="18" t="n">
        <x:v>200</x:v>
      </x:c>
      <x:c r="F2313" s="21" t="n">
        <x:v>609.1964338620697</x:v>
      </x:c>
      <x:c r="G2313" s="21" t="str">
        <x:f>""</x:f>
      </x:c>
      <x:c r="H2313" s="21" t="n">
        <x:f>F2316</x:f>
        <x:v>611.6049124471962</x:v>
      </x:c>
      <x:c r="I2313" s="27" t="str">
        <x:f>IF(AND(ISNUMBER(G2313),ISNUMBER(H2313),H2313&gt;0),G2313/H2313-1,"")</x:f>
      </x:c>
      <x:c r="J2313" s="27" t="str">
        <x:f>IF(AND(ISNUMBER(G2313),F2313&gt;0),G2313/F2313-1,"")</x:f>
      </x:c>
      <x:c r="K2313" s="19" t="str">
        <x:v>Exp_8/EXP071/results/seed1004_Fixed_rank_10.json</x:v>
      </x:c>
    </x:row>
    <x:row r="2314" ht="15" hidden="0" customHeight="1">
      <x:c r="A2314" s="3" t="str">
        <x:v>EXP071</x:v>
      </x:c>
      <x:c r="B2314" s="3" t="str">
        <x:v>Exp. 8</x:v>
      </x:c>
      <x:c r="C2314" s="18" t="n">
        <x:v>1004</x:v>
      </x:c>
      <x:c r="D2314" s="3" t="str">
        <x:v>Fixed rank 3</x:v>
      </x:c>
      <x:c r="E2314" s="18" t="n">
        <x:v>200</x:v>
      </x:c>
      <x:c r="F2314" s="21" t="n">
        <x:v>650.8214722360016</x:v>
      </x:c>
      <x:c r="G2314" s="21" t="str">
        <x:f>""</x:f>
      </x:c>
      <x:c r="H2314" s="21" t="n">
        <x:f>F2316</x:f>
        <x:v>611.6049124471962</x:v>
      </x:c>
      <x:c r="I2314" s="27" t="str">
        <x:f>IF(AND(ISNUMBER(G2314),ISNUMBER(H2314),H2314&gt;0),G2314/H2314-1,"")</x:f>
      </x:c>
      <x:c r="J2314" s="27" t="str">
        <x:f>IF(AND(ISNUMBER(G2314),F2314&gt;0),G2314/F2314-1,"")</x:f>
      </x:c>
      <x:c r="K2314" s="19" t="str">
        <x:v>Exp_8/EXP071/results/seed1004_Fixed_rank_3.json</x:v>
      </x:c>
    </x:row>
    <x:row r="2315" ht="15" hidden="0" customHeight="1">
      <x:c r="A2315" s="3" t="str">
        <x:v>EXP071</x:v>
      </x:c>
      <x:c r="B2315" s="3" t="str">
        <x:v>Exp. 8</x:v>
      </x:c>
      <x:c r="C2315" s="18" t="n">
        <x:v>1004</x:v>
      </x:c>
      <x:c r="D2315" s="3" t="str">
        <x:v>Fixed rank 5</x:v>
      </x:c>
      <x:c r="E2315" s="18" t="n">
        <x:v>200</x:v>
      </x:c>
      <x:c r="F2315" s="21" t="n">
        <x:v>625.6419925449652</x:v>
      </x:c>
      <x:c r="G2315" s="21" t="str">
        <x:f>""</x:f>
      </x:c>
      <x:c r="H2315" s="21" t="n">
        <x:f>F2316</x:f>
        <x:v>611.6049124471962</x:v>
      </x:c>
      <x:c r="I2315" s="27" t="str">
        <x:f>IF(AND(ISNUMBER(G2315),ISNUMBER(H2315),H2315&gt;0),G2315/H2315-1,"")</x:f>
      </x:c>
      <x:c r="J2315" s="27" t="str">
        <x:f>IF(AND(ISNUMBER(G2315),F2315&gt;0),G2315/F2315-1,"")</x:f>
      </x:c>
      <x:c r="K2315" s="19" t="str">
        <x:v>Exp_8/EXP071/results/seed1004_Fixed_rank_5.json</x:v>
      </x:c>
    </x:row>
    <x:row r="2316" ht="15" hidden="0" customHeight="1">
      <x:c r="A2316" s="3" t="str">
        <x:v>EXP071</x:v>
      </x:c>
      <x:c r="B2316" s="3" t="str">
        <x:v>Exp. 8</x:v>
      </x:c>
      <x:c r="C2316" s="18" t="n">
        <x:v>1004</x:v>
      </x:c>
      <x:c r="D2316" s="3" t="str">
        <x:v>Full</x:v>
      </x:c>
      <x:c r="E2316" s="18" t="n">
        <x:v>200</x:v>
      </x:c>
      <x:c r="F2316" s="21" t="n">
        <x:v>611.6049124471962</x:v>
      </x:c>
      <x:c r="G2316" s="21" t="str">
        <x:f>""</x:f>
      </x:c>
      <x:c r="H2316" s="21" t="n">
        <x:f>F2316</x:f>
        <x:v>611.6049124471962</x:v>
      </x:c>
      <x:c r="I2316" s="27" t="str">
        <x:f>IF(AND(ISNUMBER(G2316),ISNUMBER(H2316),H2316&gt;0),G2316/H2316-1,"")</x:f>
      </x:c>
      <x:c r="J2316" s="27" t="str">
        <x:f>IF(AND(ISNUMBER(G2316),F2316&gt;0),G2316/F2316-1,"")</x:f>
      </x:c>
      <x:c r="K2316" s="19" t="str">
        <x:v>Exp_8/EXP071/results/seed1004_Full.json</x:v>
      </x:c>
    </x:row>
    <x:row r="2317" ht="15" hidden="0" customHeight="1">
      <x:c r="A2317" s="3" t="str">
        <x:v>EXP071</x:v>
      </x:c>
      <x:c r="B2317" s="3" t="str">
        <x:v>Exp. 8</x:v>
      </x:c>
      <x:c r="C2317" s="18" t="n">
        <x:v>1004</x:v>
      </x:c>
      <x:c r="D2317" s="3" t="str">
        <x:v>Relative cutoff 1e-2</x:v>
      </x:c>
      <x:c r="E2317" s="18" t="n">
        <x:v>200</x:v>
      </x:c>
      <x:c r="F2317" s="21" t="n">
        <x:v>617.8465625390387</x:v>
      </x:c>
      <x:c r="G2317" s="21" t="str">
        <x:f>""</x:f>
      </x:c>
      <x:c r="H2317" s="21" t="n">
        <x:f>F2316</x:f>
        <x:v>611.6049124471962</x:v>
      </x:c>
      <x:c r="I2317" s="27" t="str">
        <x:f>IF(AND(ISNUMBER(G2317),ISNUMBER(H2317),H2317&gt;0),G2317/H2317-1,"")</x:f>
      </x:c>
      <x:c r="J2317" s="27" t="str">
        <x:f>IF(AND(ISNUMBER(G2317),F2317&gt;0),G2317/F2317-1,"")</x:f>
      </x:c>
      <x:c r="K2317" s="19" t="str">
        <x:v>Exp_8/EXP071/results/seed1004_Relative_cutoff_1e-2.json</x:v>
      </x:c>
    </x:row>
    <x:row r="2318" ht="15" hidden="0" customHeight="1">
      <x:c r="A2318" s="3" t="str">
        <x:v>EXP071</x:v>
      </x:c>
      <x:c r="B2318" s="3" t="str">
        <x:v>Exp. 8</x:v>
      </x:c>
      <x:c r="C2318" s="18" t="n">
        <x:v>1005</x:v>
      </x:c>
      <x:c r="D2318" s="3" t="str">
        <x:v>Fixed rank 10</x:v>
      </x:c>
      <x:c r="E2318" s="18" t="n">
        <x:v>200</x:v>
      </x:c>
      <x:c r="F2318" s="21" t="n">
        <x:v>644.8963311099601</x:v>
      </x:c>
      <x:c r="G2318" s="21" t="str">
        <x:f>""</x:f>
      </x:c>
      <x:c r="H2318" s="21" t="n">
        <x:f>F2321</x:f>
        <x:v>644.8963311099601</x:v>
      </x:c>
      <x:c r="I2318" s="27" t="str">
        <x:f>IF(AND(ISNUMBER(G2318),ISNUMBER(H2318),H2318&gt;0),G2318/H2318-1,"")</x:f>
      </x:c>
      <x:c r="J2318" s="27" t="str">
        <x:f>IF(AND(ISNUMBER(G2318),F2318&gt;0),G2318/F2318-1,"")</x:f>
      </x:c>
      <x:c r="K2318" s="19" t="str">
        <x:v>Exp_8/EXP071/results/seed1005_Fixed_rank_10.json</x:v>
      </x:c>
    </x:row>
    <x:row r="2319" ht="15" hidden="0" customHeight="1">
      <x:c r="A2319" s="3" t="str">
        <x:v>EXP071</x:v>
      </x:c>
      <x:c r="B2319" s="3" t="str">
        <x:v>Exp. 8</x:v>
      </x:c>
      <x:c r="C2319" s="18" t="n">
        <x:v>1005</x:v>
      </x:c>
      <x:c r="D2319" s="3" t="str">
        <x:v>Fixed rank 3</x:v>
      </x:c>
      <x:c r="E2319" s="18" t="n">
        <x:v>200</x:v>
      </x:c>
      <x:c r="F2319" s="21" t="n">
        <x:v>629.9062498675961</x:v>
      </x:c>
      <x:c r="G2319" s="21" t="str">
        <x:f>""</x:f>
      </x:c>
      <x:c r="H2319" s="21" t="n">
        <x:f>F2321</x:f>
        <x:v>644.8963311099601</x:v>
      </x:c>
      <x:c r="I2319" s="27" t="str">
        <x:f>IF(AND(ISNUMBER(G2319),ISNUMBER(H2319),H2319&gt;0),G2319/H2319-1,"")</x:f>
      </x:c>
      <x:c r="J2319" s="27" t="str">
        <x:f>IF(AND(ISNUMBER(G2319),F2319&gt;0),G2319/F2319-1,"")</x:f>
      </x:c>
      <x:c r="K2319" s="19" t="str">
        <x:v>Exp_8/EXP071/results/seed1005_Fixed_rank_3.json</x:v>
      </x:c>
    </x:row>
    <x:row r="2320" ht="15" hidden="0" customHeight="1">
      <x:c r="A2320" s="3" t="str">
        <x:v>EXP071</x:v>
      </x:c>
      <x:c r="B2320" s="3" t="str">
        <x:v>Exp. 8</x:v>
      </x:c>
      <x:c r="C2320" s="18" t="n">
        <x:v>1005</x:v>
      </x:c>
      <x:c r="D2320" s="3" t="str">
        <x:v>Fixed rank 5</x:v>
      </x:c>
      <x:c r="E2320" s="18" t="n">
        <x:v>200</x:v>
      </x:c>
      <x:c r="F2320" s="21" t="n">
        <x:v>644.8963311099601</x:v>
      </x:c>
      <x:c r="G2320" s="21" t="str">
        <x:f>""</x:f>
      </x:c>
      <x:c r="H2320" s="21" t="n">
        <x:f>F2321</x:f>
        <x:v>644.8963311099601</x:v>
      </x:c>
      <x:c r="I2320" s="27" t="str">
        <x:f>IF(AND(ISNUMBER(G2320),ISNUMBER(H2320),H2320&gt;0),G2320/H2320-1,"")</x:f>
      </x:c>
      <x:c r="J2320" s="27" t="str">
        <x:f>IF(AND(ISNUMBER(G2320),F2320&gt;0),G2320/F2320-1,"")</x:f>
      </x:c>
      <x:c r="K2320" s="19" t="str">
        <x:v>Exp_8/EXP071/results/seed1005_Fixed_rank_5.json</x:v>
      </x:c>
    </x:row>
    <x:row r="2321" ht="15" hidden="0" customHeight="1">
      <x:c r="A2321" s="3" t="str">
        <x:v>EXP071</x:v>
      </x:c>
      <x:c r="B2321" s="3" t="str">
        <x:v>Exp. 8</x:v>
      </x:c>
      <x:c r="C2321" s="18" t="n">
        <x:v>1005</x:v>
      </x:c>
      <x:c r="D2321" s="3" t="str">
        <x:v>Full</x:v>
      </x:c>
      <x:c r="E2321" s="18" t="n">
        <x:v>200</x:v>
      </x:c>
      <x:c r="F2321" s="21" t="n">
        <x:v>644.8963311099601</x:v>
      </x:c>
      <x:c r="G2321" s="21" t="str">
        <x:f>""</x:f>
      </x:c>
      <x:c r="H2321" s="21" t="n">
        <x:f>F2321</x:f>
        <x:v>644.8963311099601</x:v>
      </x:c>
      <x:c r="I2321" s="27" t="str">
        <x:f>IF(AND(ISNUMBER(G2321),ISNUMBER(H2321),H2321&gt;0),G2321/H2321-1,"")</x:f>
      </x:c>
      <x:c r="J2321" s="27" t="str">
        <x:f>IF(AND(ISNUMBER(G2321),F2321&gt;0),G2321/F2321-1,"")</x:f>
      </x:c>
      <x:c r="K2321" s="19" t="str">
        <x:v>Exp_8/EXP071/results/seed1005_Full.json</x:v>
      </x:c>
    </x:row>
    <x:row r="2322" ht="15" hidden="0" customHeight="1">
      <x:c r="A2322" s="3" t="str">
        <x:v>EXP071</x:v>
      </x:c>
      <x:c r="B2322" s="3" t="str">
        <x:v>Exp. 8</x:v>
      </x:c>
      <x:c r="C2322" s="18" t="n">
        <x:v>1005</x:v>
      </x:c>
      <x:c r="D2322" s="3" t="str">
        <x:v>Relative cutoff 1e-2</x:v>
      </x:c>
      <x:c r="E2322" s="18" t="n">
        <x:v>200</x:v>
      </x:c>
      <x:c r="F2322" s="21" t="n">
        <x:v>623.8733595168735</x:v>
      </x:c>
      <x:c r="G2322" s="21" t="str">
        <x:f>""</x:f>
      </x:c>
      <x:c r="H2322" s="21" t="n">
        <x:f>F2321</x:f>
        <x:v>644.8963311099601</x:v>
      </x:c>
      <x:c r="I2322" s="27" t="str">
        <x:f>IF(AND(ISNUMBER(G2322),ISNUMBER(H2322),H2322&gt;0),G2322/H2322-1,"")</x:f>
      </x:c>
      <x:c r="J2322" s="27" t="str">
        <x:f>IF(AND(ISNUMBER(G2322),F2322&gt;0),G2322/F2322-1,"")</x:f>
      </x:c>
      <x:c r="K2322" s="19" t="str">
        <x:v>Exp_8/EXP071/results/seed1005_Relative_cutoff_1e-2.json</x:v>
      </x:c>
    </x:row>
    <x:row r="2323" ht="15" hidden="0" customHeight="1">
      <x:c r="A2323" s="3" t="str">
        <x:v>EXP071</x:v>
      </x:c>
      <x:c r="B2323" s="3" t="str">
        <x:v>Exp. 8</x:v>
      </x:c>
      <x:c r="C2323" s="18" t="n">
        <x:v>1006</x:v>
      </x:c>
      <x:c r="D2323" s="3" t="str">
        <x:v>Fixed rank 10</x:v>
      </x:c>
      <x:c r="E2323" s="18" t="n">
        <x:v>200</x:v>
      </x:c>
      <x:c r="F2323" s="21" t="n">
        <x:v>644.2227667304126</x:v>
      </x:c>
      <x:c r="G2323" s="21" t="str">
        <x:f>""</x:f>
      </x:c>
      <x:c r="H2323" s="21" t="n">
        <x:f>F2326</x:f>
        <x:v>644.2227667304126</x:v>
      </x:c>
      <x:c r="I2323" s="27" t="str">
        <x:f>IF(AND(ISNUMBER(G2323),ISNUMBER(H2323),H2323&gt;0),G2323/H2323-1,"")</x:f>
      </x:c>
      <x:c r="J2323" s="27" t="str">
        <x:f>IF(AND(ISNUMBER(G2323),F2323&gt;0),G2323/F2323-1,"")</x:f>
      </x:c>
      <x:c r="K2323" s="19" t="str">
        <x:v>Exp_8/EXP071/results/seed1006_Fixed_rank_10.json</x:v>
      </x:c>
    </x:row>
    <x:row r="2324" ht="15" hidden="0" customHeight="1">
      <x:c r="A2324" s="3" t="str">
        <x:v>EXP071</x:v>
      </x:c>
      <x:c r="B2324" s="3" t="str">
        <x:v>Exp. 8</x:v>
      </x:c>
      <x:c r="C2324" s="18" t="n">
        <x:v>1006</x:v>
      </x:c>
      <x:c r="D2324" s="3" t="str">
        <x:v>Fixed rank 3</x:v>
      </x:c>
      <x:c r="E2324" s="18" t="n">
        <x:v>200</x:v>
      </x:c>
      <x:c r="F2324" s="21" t="n">
        <x:v>672.4466415659937</x:v>
      </x:c>
      <x:c r="G2324" s="21" t="str">
        <x:f>""</x:f>
      </x:c>
      <x:c r="H2324" s="21" t="n">
        <x:f>F2326</x:f>
        <x:v>644.2227667304126</x:v>
      </x:c>
      <x:c r="I2324" s="27" t="str">
        <x:f>IF(AND(ISNUMBER(G2324),ISNUMBER(H2324),H2324&gt;0),G2324/H2324-1,"")</x:f>
      </x:c>
      <x:c r="J2324" s="27" t="str">
        <x:f>IF(AND(ISNUMBER(G2324),F2324&gt;0),G2324/F2324-1,"")</x:f>
      </x:c>
      <x:c r="K2324" s="19" t="str">
        <x:v>Exp_8/EXP071/results/seed1006_Fixed_rank_3.json</x:v>
      </x:c>
    </x:row>
    <x:row r="2325" ht="15" hidden="0" customHeight="1">
      <x:c r="A2325" s="3" t="str">
        <x:v>EXP071</x:v>
      </x:c>
      <x:c r="B2325" s="3" t="str">
        <x:v>Exp. 8</x:v>
      </x:c>
      <x:c r="C2325" s="18" t="n">
        <x:v>1006</x:v>
      </x:c>
      <x:c r="D2325" s="3" t="str">
        <x:v>Fixed rank 5</x:v>
      </x:c>
      <x:c r="E2325" s="18" t="n">
        <x:v>200</x:v>
      </x:c>
      <x:c r="F2325" s="21" t="n">
        <x:v>673.4344116674423</x:v>
      </x:c>
      <x:c r="G2325" s="21" t="str">
        <x:f>""</x:f>
      </x:c>
      <x:c r="H2325" s="21" t="n">
        <x:f>F2326</x:f>
        <x:v>644.2227667304126</x:v>
      </x:c>
      <x:c r="I2325" s="27" t="str">
        <x:f>IF(AND(ISNUMBER(G2325),ISNUMBER(H2325),H2325&gt;0),G2325/H2325-1,"")</x:f>
      </x:c>
      <x:c r="J2325" s="27" t="str">
        <x:f>IF(AND(ISNUMBER(G2325),F2325&gt;0),G2325/F2325-1,"")</x:f>
      </x:c>
      <x:c r="K2325" s="19" t="str">
        <x:v>Exp_8/EXP071/results/seed1006_Fixed_rank_5.json</x:v>
      </x:c>
    </x:row>
    <x:row r="2326" ht="15" hidden="0" customHeight="1">
      <x:c r="A2326" s="3" t="str">
        <x:v>EXP071</x:v>
      </x:c>
      <x:c r="B2326" s="3" t="str">
        <x:v>Exp. 8</x:v>
      </x:c>
      <x:c r="C2326" s="18" t="n">
        <x:v>1006</x:v>
      </x:c>
      <x:c r="D2326" s="3" t="str">
        <x:v>Full</x:v>
      </x:c>
      <x:c r="E2326" s="18" t="n">
        <x:v>200</x:v>
      </x:c>
      <x:c r="F2326" s="21" t="n">
        <x:v>644.2227667304126</x:v>
      </x:c>
      <x:c r="G2326" s="21" t="str">
        <x:f>""</x:f>
      </x:c>
      <x:c r="H2326" s="21" t="n">
        <x:f>F2326</x:f>
        <x:v>644.2227667304126</x:v>
      </x:c>
      <x:c r="I2326" s="27" t="str">
        <x:f>IF(AND(ISNUMBER(G2326),ISNUMBER(H2326),H2326&gt;0),G2326/H2326-1,"")</x:f>
      </x:c>
      <x:c r="J2326" s="27" t="str">
        <x:f>IF(AND(ISNUMBER(G2326),F2326&gt;0),G2326/F2326-1,"")</x:f>
      </x:c>
      <x:c r="K2326" s="19" t="str">
        <x:v>Exp_8/EXP071/results/seed1006_Full.json</x:v>
      </x:c>
    </x:row>
    <x:row r="2327" ht="15" hidden="0" customHeight="1">
      <x:c r="A2327" s="3" t="str">
        <x:v>EXP071</x:v>
      </x:c>
      <x:c r="B2327" s="3" t="str">
        <x:v>Exp. 8</x:v>
      </x:c>
      <x:c r="C2327" s="18" t="n">
        <x:v>1006</x:v>
      </x:c>
      <x:c r="D2327" s="3" t="str">
        <x:v>Relative cutoff 1e-2</x:v>
      </x:c>
      <x:c r="E2327" s="18" t="n">
        <x:v>200</x:v>
      </x:c>
      <x:c r="F2327" s="21" t="n">
        <x:v>621.2934175160624</x:v>
      </x:c>
      <x:c r="G2327" s="21" t="str">
        <x:f>""</x:f>
      </x:c>
      <x:c r="H2327" s="21" t="n">
        <x:f>F2326</x:f>
        <x:v>644.2227667304126</x:v>
      </x:c>
      <x:c r="I2327" s="27" t="str">
        <x:f>IF(AND(ISNUMBER(G2327),ISNUMBER(H2327),H2327&gt;0),G2327/H2327-1,"")</x:f>
      </x:c>
      <x:c r="J2327" s="27" t="str">
        <x:f>IF(AND(ISNUMBER(G2327),F2327&gt;0),G2327/F2327-1,"")</x:f>
      </x:c>
      <x:c r="K2327" s="19" t="str">
        <x:v>Exp_8/EXP071/results/seed1006_Relative_cutoff_1e-2.json</x:v>
      </x:c>
    </x:row>
    <x:row r="2328" ht="15" hidden="0" customHeight="1">
      <x:c r="A2328" s="3" t="str">
        <x:v>EXP071</x:v>
      </x:c>
      <x:c r="B2328" s="3" t="str">
        <x:v>Exp. 8</x:v>
      </x:c>
      <x:c r="C2328" s="18" t="n">
        <x:v>1007</x:v>
      </x:c>
      <x:c r="D2328" s="3" t="str">
        <x:v>Fixed rank 10</x:v>
      </x:c>
      <x:c r="E2328" s="18" t="n">
        <x:v>200</x:v>
      </x:c>
      <x:c r="F2328" s="21" t="n">
        <x:v>597.4932432972643</x:v>
      </x:c>
      <x:c r="G2328" s="21" t="str">
        <x:f>""</x:f>
      </x:c>
      <x:c r="H2328" s="21" t="n">
        <x:f>F2331</x:f>
        <x:v>594.9599797251203</x:v>
      </x:c>
      <x:c r="I2328" s="27" t="str">
        <x:f>IF(AND(ISNUMBER(G2328),ISNUMBER(H2328),H2328&gt;0),G2328/H2328-1,"")</x:f>
      </x:c>
      <x:c r="J2328" s="27" t="str">
        <x:f>IF(AND(ISNUMBER(G2328),F2328&gt;0),G2328/F2328-1,"")</x:f>
      </x:c>
      <x:c r="K2328" s="19" t="str">
        <x:v>Exp_8/EXP071/results/seed1007_Fixed_rank_10.json</x:v>
      </x:c>
    </x:row>
    <x:row r="2329" ht="15" hidden="0" customHeight="1">
      <x:c r="A2329" s="3" t="str">
        <x:v>EXP071</x:v>
      </x:c>
      <x:c r="B2329" s="3" t="str">
        <x:v>Exp. 8</x:v>
      </x:c>
      <x:c r="C2329" s="18" t="n">
        <x:v>1007</x:v>
      </x:c>
      <x:c r="D2329" s="3" t="str">
        <x:v>Fixed rank 3</x:v>
      </x:c>
      <x:c r="E2329" s="18" t="n">
        <x:v>200</x:v>
      </x:c>
      <x:c r="F2329" s="21" t="n">
        <x:v>617.0188770868266</x:v>
      </x:c>
      <x:c r="G2329" s="21" t="str">
        <x:f>""</x:f>
      </x:c>
      <x:c r="H2329" s="21" t="n">
        <x:f>F2331</x:f>
        <x:v>594.9599797251203</x:v>
      </x:c>
      <x:c r="I2329" s="27" t="str">
        <x:f>IF(AND(ISNUMBER(G2329),ISNUMBER(H2329),H2329&gt;0),G2329/H2329-1,"")</x:f>
      </x:c>
      <x:c r="J2329" s="27" t="str">
        <x:f>IF(AND(ISNUMBER(G2329),F2329&gt;0),G2329/F2329-1,"")</x:f>
      </x:c>
      <x:c r="K2329" s="19" t="str">
        <x:v>Exp_8/EXP071/results/seed1007_Fixed_rank_3.json</x:v>
      </x:c>
    </x:row>
    <x:row r="2330" ht="15" hidden="0" customHeight="1">
      <x:c r="A2330" s="3" t="str">
        <x:v>EXP071</x:v>
      </x:c>
      <x:c r="B2330" s="3" t="str">
        <x:v>Exp. 8</x:v>
      </x:c>
      <x:c r="C2330" s="18" t="n">
        <x:v>1007</x:v>
      </x:c>
      <x:c r="D2330" s="3" t="str">
        <x:v>Fixed rank 5</x:v>
      </x:c>
      <x:c r="E2330" s="18" t="n">
        <x:v>200</x:v>
      </x:c>
      <x:c r="F2330" s="21" t="n">
        <x:v>602.5443378539234</x:v>
      </x:c>
      <x:c r="G2330" s="21" t="str">
        <x:f>""</x:f>
      </x:c>
      <x:c r="H2330" s="21" t="n">
        <x:f>F2331</x:f>
        <x:v>594.9599797251203</x:v>
      </x:c>
      <x:c r="I2330" s="27" t="str">
        <x:f>IF(AND(ISNUMBER(G2330),ISNUMBER(H2330),H2330&gt;0),G2330/H2330-1,"")</x:f>
      </x:c>
      <x:c r="J2330" s="27" t="str">
        <x:f>IF(AND(ISNUMBER(G2330),F2330&gt;0),G2330/F2330-1,"")</x:f>
      </x:c>
      <x:c r="K2330" s="19" t="str">
        <x:v>Exp_8/EXP071/results/seed1007_Fixed_rank_5.json</x:v>
      </x:c>
    </x:row>
    <x:row r="2331" ht="15" hidden="0" customHeight="1">
      <x:c r="A2331" s="3" t="str">
        <x:v>EXP071</x:v>
      </x:c>
      <x:c r="B2331" s="3" t="str">
        <x:v>Exp. 8</x:v>
      </x:c>
      <x:c r="C2331" s="18" t="n">
        <x:v>1007</x:v>
      </x:c>
      <x:c r="D2331" s="3" t="str">
        <x:v>Full</x:v>
      </x:c>
      <x:c r="E2331" s="18" t="n">
        <x:v>200</x:v>
      </x:c>
      <x:c r="F2331" s="21" t="n">
        <x:v>594.9599797251203</x:v>
      </x:c>
      <x:c r="G2331" s="21" t="str">
        <x:f>""</x:f>
      </x:c>
      <x:c r="H2331" s="21" t="n">
        <x:f>F2331</x:f>
        <x:v>594.9599797251203</x:v>
      </x:c>
      <x:c r="I2331" s="27" t="str">
        <x:f>IF(AND(ISNUMBER(G2331),ISNUMBER(H2331),H2331&gt;0),G2331/H2331-1,"")</x:f>
      </x:c>
      <x:c r="J2331" s="27" t="str">
        <x:f>IF(AND(ISNUMBER(G2331),F2331&gt;0),G2331/F2331-1,"")</x:f>
      </x:c>
      <x:c r="K2331" s="19" t="str">
        <x:v>Exp_8/EXP071/results/seed1007_Full.json</x:v>
      </x:c>
    </x:row>
    <x:row r="2332" ht="15" hidden="0" customHeight="1">
      <x:c r="A2332" s="3" t="str">
        <x:v>EXP071</x:v>
      </x:c>
      <x:c r="B2332" s="3" t="str">
        <x:v>Exp. 8</x:v>
      </x:c>
      <x:c r="C2332" s="18" t="n">
        <x:v>1007</x:v>
      </x:c>
      <x:c r="D2332" s="3" t="str">
        <x:v>Relative cutoff 1e-2</x:v>
      </x:c>
      <x:c r="E2332" s="18" t="n">
        <x:v>200</x:v>
      </x:c>
      <x:c r="F2332" s="21" t="n">
        <x:v>617.0829557693204</x:v>
      </x:c>
      <x:c r="G2332" s="21" t="str">
        <x:f>""</x:f>
      </x:c>
      <x:c r="H2332" s="21" t="n">
        <x:f>F2331</x:f>
        <x:v>594.9599797251203</x:v>
      </x:c>
      <x:c r="I2332" s="27" t="str">
        <x:f>IF(AND(ISNUMBER(G2332),ISNUMBER(H2332),H2332&gt;0),G2332/H2332-1,"")</x:f>
      </x:c>
      <x:c r="J2332" s="27" t="str">
        <x:f>IF(AND(ISNUMBER(G2332),F2332&gt;0),G2332/F2332-1,"")</x:f>
      </x:c>
      <x:c r="K2332" s="19" t="str">
        <x:v>Exp_8/EXP071/results/seed1007_Relative_cutoff_1e-2.json</x:v>
      </x:c>
    </x:row>
    <x:row r="2333" ht="15" hidden="0" customHeight="1">
      <x:c r="A2333" s="3" t="str">
        <x:v>EXP071</x:v>
      </x:c>
      <x:c r="B2333" s="3" t="str">
        <x:v>Exp. 8</x:v>
      </x:c>
      <x:c r="C2333" s="18" t="n">
        <x:v>1008</x:v>
      </x:c>
      <x:c r="D2333" s="3" t="str">
        <x:v>Fixed rank 10</x:v>
      </x:c>
      <x:c r="E2333" s="18" t="n">
        <x:v>200</x:v>
      </x:c>
      <x:c r="F2333" s="21" t="n">
        <x:v>566.2462438659867</x:v>
      </x:c>
      <x:c r="G2333" s="21" t="str">
        <x:f>""</x:f>
      </x:c>
      <x:c r="H2333" s="21" t="n">
        <x:f>F2336</x:f>
        <x:v>588.1600572775873</x:v>
      </x:c>
      <x:c r="I2333" s="27" t="str">
        <x:f>IF(AND(ISNUMBER(G2333),ISNUMBER(H2333),H2333&gt;0),G2333/H2333-1,"")</x:f>
      </x:c>
      <x:c r="J2333" s="27" t="str">
        <x:f>IF(AND(ISNUMBER(G2333),F2333&gt;0),G2333/F2333-1,"")</x:f>
      </x:c>
      <x:c r="K2333" s="19" t="str">
        <x:v>Exp_8/EXP071/results/seed1008_Fixed_rank_10.json</x:v>
      </x:c>
    </x:row>
    <x:row r="2334" ht="15" hidden="0" customHeight="1">
      <x:c r="A2334" s="3" t="str">
        <x:v>EXP071</x:v>
      </x:c>
      <x:c r="B2334" s="3" t="str">
        <x:v>Exp. 8</x:v>
      </x:c>
      <x:c r="C2334" s="18" t="n">
        <x:v>1008</x:v>
      </x:c>
      <x:c r="D2334" s="3" t="str">
        <x:v>Fixed rank 3</x:v>
      </x:c>
      <x:c r="E2334" s="18" t="n">
        <x:v>200</x:v>
      </x:c>
      <x:c r="F2334" s="21" t="n">
        <x:v>583.0423299359187</x:v>
      </x:c>
      <x:c r="G2334" s="21" t="str">
        <x:f>""</x:f>
      </x:c>
      <x:c r="H2334" s="21" t="n">
        <x:f>F2336</x:f>
        <x:v>588.1600572775873</x:v>
      </x:c>
      <x:c r="I2334" s="27" t="str">
        <x:f>IF(AND(ISNUMBER(G2334),ISNUMBER(H2334),H2334&gt;0),G2334/H2334-1,"")</x:f>
      </x:c>
      <x:c r="J2334" s="27" t="str">
        <x:f>IF(AND(ISNUMBER(G2334),F2334&gt;0),G2334/F2334-1,"")</x:f>
      </x:c>
      <x:c r="K2334" s="19" t="str">
        <x:v>Exp_8/EXP071/results/seed1008_Fixed_rank_3.json</x:v>
      </x:c>
    </x:row>
    <x:row r="2335" ht="15" hidden="0" customHeight="1">
      <x:c r="A2335" s="3" t="str">
        <x:v>EXP071</x:v>
      </x:c>
      <x:c r="B2335" s="3" t="str">
        <x:v>Exp. 8</x:v>
      </x:c>
      <x:c r="C2335" s="18" t="n">
        <x:v>1008</x:v>
      </x:c>
      <x:c r="D2335" s="3" t="str">
        <x:v>Fixed rank 5</x:v>
      </x:c>
      <x:c r="E2335" s="18" t="n">
        <x:v>200</x:v>
      </x:c>
      <x:c r="F2335" s="21" t="n">
        <x:v>574.8764784082209</x:v>
      </x:c>
      <x:c r="G2335" s="21" t="str">
        <x:f>""</x:f>
      </x:c>
      <x:c r="H2335" s="21" t="n">
        <x:f>F2336</x:f>
        <x:v>588.1600572775873</x:v>
      </x:c>
      <x:c r="I2335" s="27" t="str">
        <x:f>IF(AND(ISNUMBER(G2335),ISNUMBER(H2335),H2335&gt;0),G2335/H2335-1,"")</x:f>
      </x:c>
      <x:c r="J2335" s="27" t="str">
        <x:f>IF(AND(ISNUMBER(G2335),F2335&gt;0),G2335/F2335-1,"")</x:f>
      </x:c>
      <x:c r="K2335" s="19" t="str">
        <x:v>Exp_8/EXP071/results/seed1008_Fixed_rank_5.json</x:v>
      </x:c>
    </x:row>
    <x:row r="2336" ht="15" hidden="0" customHeight="1">
      <x:c r="A2336" s="3" t="str">
        <x:v>EXP071</x:v>
      </x:c>
      <x:c r="B2336" s="3" t="str">
        <x:v>Exp. 8</x:v>
      </x:c>
      <x:c r="C2336" s="18" t="n">
        <x:v>1008</x:v>
      </x:c>
      <x:c r="D2336" s="3" t="str">
        <x:v>Full</x:v>
      </x:c>
      <x:c r="E2336" s="18" t="n">
        <x:v>200</x:v>
      </x:c>
      <x:c r="F2336" s="21" t="n">
        <x:v>588.1600572775873</x:v>
      </x:c>
      <x:c r="G2336" s="21" t="str">
        <x:f>""</x:f>
      </x:c>
      <x:c r="H2336" s="21" t="n">
        <x:f>F2336</x:f>
        <x:v>588.1600572775873</x:v>
      </x:c>
      <x:c r="I2336" s="27" t="str">
        <x:f>IF(AND(ISNUMBER(G2336),ISNUMBER(H2336),H2336&gt;0),G2336/H2336-1,"")</x:f>
      </x:c>
      <x:c r="J2336" s="27" t="str">
        <x:f>IF(AND(ISNUMBER(G2336),F2336&gt;0),G2336/F2336-1,"")</x:f>
      </x:c>
      <x:c r="K2336" s="19" t="str">
        <x:v>Exp_8/EXP071/results/seed1008_Full.json</x:v>
      </x:c>
    </x:row>
    <x:row r="2337" ht="15" hidden="0" customHeight="1">
      <x:c r="A2337" s="3" t="str">
        <x:v>EXP071</x:v>
      </x:c>
      <x:c r="B2337" s="3" t="str">
        <x:v>Exp. 8</x:v>
      </x:c>
      <x:c r="C2337" s="18" t="n">
        <x:v>1008</x:v>
      </x:c>
      <x:c r="D2337" s="3" t="str">
        <x:v>Relative cutoff 1e-2</x:v>
      </x:c>
      <x:c r="E2337" s="18" t="n">
        <x:v>200</x:v>
      </x:c>
      <x:c r="F2337" s="21" t="n">
        <x:v>578.3800499144393</x:v>
      </x:c>
      <x:c r="G2337" s="21" t="str">
        <x:f>""</x:f>
      </x:c>
      <x:c r="H2337" s="21" t="n">
        <x:f>F2336</x:f>
        <x:v>588.1600572775873</x:v>
      </x:c>
      <x:c r="I2337" s="27" t="str">
        <x:f>IF(AND(ISNUMBER(G2337),ISNUMBER(H2337),H2337&gt;0),G2337/H2337-1,"")</x:f>
      </x:c>
      <x:c r="J2337" s="27" t="str">
        <x:f>IF(AND(ISNUMBER(G2337),F2337&gt;0),G2337/F2337-1,"")</x:f>
      </x:c>
      <x:c r="K2337" s="19" t="str">
        <x:v>Exp_8/EXP071/results/seed1008_Relative_cutoff_1e-2.json</x:v>
      </x:c>
    </x:row>
    <x:row r="2338" ht="15" hidden="0" customHeight="1">
      <x:c r="A2338" s="3" t="str">
        <x:v>EXP071</x:v>
      </x:c>
      <x:c r="B2338" s="3" t="str">
        <x:v>Exp. 8</x:v>
      </x:c>
      <x:c r="C2338" s="18" t="n">
        <x:v>1009</x:v>
      </x:c>
      <x:c r="D2338" s="3" t="str">
        <x:v>Fixed rank 10</x:v>
      </x:c>
      <x:c r="E2338" s="18" t="n">
        <x:v>200</x:v>
      </x:c>
      <x:c r="F2338" s="21" t="n">
        <x:v>532.2376578283352</x:v>
      </x:c>
      <x:c r="G2338" s="21" t="str">
        <x:f>""</x:f>
      </x:c>
      <x:c r="H2338" s="21" t="n">
        <x:f>F2341</x:f>
        <x:v>527.2554287052267</x:v>
      </x:c>
      <x:c r="I2338" s="27" t="str">
        <x:f>IF(AND(ISNUMBER(G2338),ISNUMBER(H2338),H2338&gt;0),G2338/H2338-1,"")</x:f>
      </x:c>
      <x:c r="J2338" s="27" t="str">
        <x:f>IF(AND(ISNUMBER(G2338),F2338&gt;0),G2338/F2338-1,"")</x:f>
      </x:c>
      <x:c r="K2338" s="19" t="str">
        <x:v>Exp_8/EXP071/results/seed1009_Fixed_rank_10.json</x:v>
      </x:c>
    </x:row>
    <x:row r="2339" ht="15" hidden="0" customHeight="1">
      <x:c r="A2339" s="3" t="str">
        <x:v>EXP071</x:v>
      </x:c>
      <x:c r="B2339" s="3" t="str">
        <x:v>Exp. 8</x:v>
      </x:c>
      <x:c r="C2339" s="18" t="n">
        <x:v>1009</x:v>
      </x:c>
      <x:c r="D2339" s="3" t="str">
        <x:v>Fixed rank 3</x:v>
      </x:c>
      <x:c r="E2339" s="18" t="n">
        <x:v>200</x:v>
      </x:c>
      <x:c r="F2339" s="21" t="n">
        <x:v>518.585087822506</x:v>
      </x:c>
      <x:c r="G2339" s="21" t="str">
        <x:f>""</x:f>
      </x:c>
      <x:c r="H2339" s="21" t="n">
        <x:f>F2341</x:f>
        <x:v>527.2554287052267</x:v>
      </x:c>
      <x:c r="I2339" s="27" t="str">
        <x:f>IF(AND(ISNUMBER(G2339),ISNUMBER(H2339),H2339&gt;0),G2339/H2339-1,"")</x:f>
      </x:c>
      <x:c r="J2339" s="27" t="str">
        <x:f>IF(AND(ISNUMBER(G2339),F2339&gt;0),G2339/F2339-1,"")</x:f>
      </x:c>
      <x:c r="K2339" s="19" t="str">
        <x:v>Exp_8/EXP071/results/seed1009_Fixed_rank_3.json</x:v>
      </x:c>
    </x:row>
    <x:row r="2340" ht="15" hidden="0" customHeight="1">
      <x:c r="A2340" s="3" t="str">
        <x:v>EXP071</x:v>
      </x:c>
      <x:c r="B2340" s="3" t="str">
        <x:v>Exp. 8</x:v>
      </x:c>
      <x:c r="C2340" s="18" t="n">
        <x:v>1009</x:v>
      </x:c>
      <x:c r="D2340" s="3" t="str">
        <x:v>Fixed rank 5</x:v>
      </x:c>
      <x:c r="E2340" s="18" t="n">
        <x:v>200</x:v>
      </x:c>
      <x:c r="F2340" s="21" t="n">
        <x:v>543.1348227918307</x:v>
      </x:c>
      <x:c r="G2340" s="21" t="str">
        <x:f>""</x:f>
      </x:c>
      <x:c r="H2340" s="21" t="n">
        <x:f>F2341</x:f>
        <x:v>527.2554287052267</x:v>
      </x:c>
      <x:c r="I2340" s="27" t="str">
        <x:f>IF(AND(ISNUMBER(G2340),ISNUMBER(H2340),H2340&gt;0),G2340/H2340-1,"")</x:f>
      </x:c>
      <x:c r="J2340" s="27" t="str">
        <x:f>IF(AND(ISNUMBER(G2340),F2340&gt;0),G2340/F2340-1,"")</x:f>
      </x:c>
      <x:c r="K2340" s="19" t="str">
        <x:v>Exp_8/EXP071/results/seed1009_Fixed_rank_5.json</x:v>
      </x:c>
    </x:row>
    <x:row r="2341" ht="15" hidden="0" customHeight="1">
      <x:c r="A2341" s="3" t="str">
        <x:v>EXP071</x:v>
      </x:c>
      <x:c r="B2341" s="3" t="str">
        <x:v>Exp. 8</x:v>
      </x:c>
      <x:c r="C2341" s="18" t="n">
        <x:v>1009</x:v>
      </x:c>
      <x:c r="D2341" s="3" t="str">
        <x:v>Full</x:v>
      </x:c>
      <x:c r="E2341" s="18" t="n">
        <x:v>200</x:v>
      </x:c>
      <x:c r="F2341" s="21" t="n">
        <x:v>527.2554287052267</x:v>
      </x:c>
      <x:c r="G2341" s="21" t="str">
        <x:f>""</x:f>
      </x:c>
      <x:c r="H2341" s="21" t="n">
        <x:f>F2341</x:f>
        <x:v>527.2554287052267</x:v>
      </x:c>
      <x:c r="I2341" s="27" t="str">
        <x:f>IF(AND(ISNUMBER(G2341),ISNUMBER(H2341),H2341&gt;0),G2341/H2341-1,"")</x:f>
      </x:c>
      <x:c r="J2341" s="27" t="str">
        <x:f>IF(AND(ISNUMBER(G2341),F2341&gt;0),G2341/F2341-1,"")</x:f>
      </x:c>
      <x:c r="K2341" s="19" t="str">
        <x:v>Exp_8/EXP071/results/seed1009_Full.json</x:v>
      </x:c>
    </x:row>
    <x:row r="2342" ht="15" hidden="0" customHeight="1">
      <x:c r="A2342" s="3" t="str">
        <x:v>EXP071</x:v>
      </x:c>
      <x:c r="B2342" s="3" t="str">
        <x:v>Exp. 8</x:v>
      </x:c>
      <x:c r="C2342" s="18" t="n">
        <x:v>1009</x:v>
      </x:c>
      <x:c r="D2342" s="3" t="str">
        <x:v>Relative cutoff 1e-2</x:v>
      </x:c>
      <x:c r="E2342" s="18" t="n">
        <x:v>200</x:v>
      </x:c>
      <x:c r="F2342" s="21" t="n">
        <x:v>549.2602272642597</x:v>
      </x:c>
      <x:c r="G2342" s="21" t="str">
        <x:f>""</x:f>
      </x:c>
      <x:c r="H2342" s="21" t="n">
        <x:f>F2341</x:f>
        <x:v>527.2554287052267</x:v>
      </x:c>
      <x:c r="I2342" s="27" t="str">
        <x:f>IF(AND(ISNUMBER(G2342),ISNUMBER(H2342),H2342&gt;0),G2342/H2342-1,"")</x:f>
      </x:c>
      <x:c r="J2342" s="27" t="str">
        <x:f>IF(AND(ISNUMBER(G2342),F2342&gt;0),G2342/F2342-1,"")</x:f>
      </x:c>
      <x:c r="K2342" s="19" t="str">
        <x:v>Exp_8/EXP071/results/seed1009_Relative_cutoff_1e-2.json</x:v>
      </x:c>
    </x:row>
    <x:row r="2343" ht="15" hidden="0" customHeight="1">
      <x:c r="A2343" s="3" t="str">
        <x:v>EXP071</x:v>
      </x:c>
      <x:c r="B2343" s="3" t="str">
        <x:v>Exp. 8</x:v>
      </x:c>
      <x:c r="C2343" s="18" t="n">
        <x:v>1010</x:v>
      </x:c>
      <x:c r="D2343" s="3" t="str">
        <x:v>Fixed rank 10</x:v>
      </x:c>
      <x:c r="E2343" s="18" t="n">
        <x:v>200</x:v>
      </x:c>
      <x:c r="F2343" s="21" t="n">
        <x:v>527.5457076524481</x:v>
      </x:c>
      <x:c r="G2343" s="21" t="str">
        <x:f>""</x:f>
      </x:c>
      <x:c r="H2343" s="21" t="n">
        <x:f>F2346</x:f>
        <x:v>575.5427830571742</x:v>
      </x:c>
      <x:c r="I2343" s="27" t="str">
        <x:f>IF(AND(ISNUMBER(G2343),ISNUMBER(H2343),H2343&gt;0),G2343/H2343-1,"")</x:f>
      </x:c>
      <x:c r="J2343" s="27" t="str">
        <x:f>IF(AND(ISNUMBER(G2343),F2343&gt;0),G2343/F2343-1,"")</x:f>
      </x:c>
      <x:c r="K2343" s="19" t="str">
        <x:v>Exp_8/EXP071/results/seed1010_Fixed_rank_10.json</x:v>
      </x:c>
    </x:row>
    <x:row r="2344" ht="15" hidden="0" customHeight="1">
      <x:c r="A2344" s="3" t="str">
        <x:v>EXP071</x:v>
      </x:c>
      <x:c r="B2344" s="3" t="str">
        <x:v>Exp. 8</x:v>
      </x:c>
      <x:c r="C2344" s="18" t="n">
        <x:v>1010</x:v>
      </x:c>
      <x:c r="D2344" s="3" t="str">
        <x:v>Fixed rank 3</x:v>
      </x:c>
      <x:c r="E2344" s="18" t="n">
        <x:v>200</x:v>
      </x:c>
      <x:c r="F2344" s="21" t="n">
        <x:v>591.0563318555024</x:v>
      </x:c>
      <x:c r="G2344" s="21" t="str">
        <x:f>""</x:f>
      </x:c>
      <x:c r="H2344" s="21" t="n">
        <x:f>F2346</x:f>
        <x:v>575.5427830571742</x:v>
      </x:c>
      <x:c r="I2344" s="27" t="str">
        <x:f>IF(AND(ISNUMBER(G2344),ISNUMBER(H2344),H2344&gt;0),G2344/H2344-1,"")</x:f>
      </x:c>
      <x:c r="J2344" s="27" t="str">
        <x:f>IF(AND(ISNUMBER(G2344),F2344&gt;0),G2344/F2344-1,"")</x:f>
      </x:c>
      <x:c r="K2344" s="19" t="str">
        <x:v>Exp_8/EXP071/results/seed1010_Fixed_rank_3.json</x:v>
      </x:c>
    </x:row>
    <x:row r="2345" ht="15" hidden="0" customHeight="1">
      <x:c r="A2345" s="3" t="str">
        <x:v>EXP071</x:v>
      </x:c>
      <x:c r="B2345" s="3" t="str">
        <x:v>Exp. 8</x:v>
      </x:c>
      <x:c r="C2345" s="18" t="n">
        <x:v>1010</x:v>
      </x:c>
      <x:c r="D2345" s="3" t="str">
        <x:v>Fixed rank 5</x:v>
      </x:c>
      <x:c r="E2345" s="18" t="n">
        <x:v>200</x:v>
      </x:c>
      <x:c r="F2345" s="21" t="n">
        <x:v>526.697040805572</x:v>
      </x:c>
      <x:c r="G2345" s="21" t="str">
        <x:f>""</x:f>
      </x:c>
      <x:c r="H2345" s="21" t="n">
        <x:f>F2346</x:f>
        <x:v>575.5427830571742</x:v>
      </x:c>
      <x:c r="I2345" s="27" t="str">
        <x:f>IF(AND(ISNUMBER(G2345),ISNUMBER(H2345),H2345&gt;0),G2345/H2345-1,"")</x:f>
      </x:c>
      <x:c r="J2345" s="27" t="str">
        <x:f>IF(AND(ISNUMBER(G2345),F2345&gt;0),G2345/F2345-1,"")</x:f>
      </x:c>
      <x:c r="K2345" s="19" t="str">
        <x:v>Exp_8/EXP071/results/seed1010_Fixed_rank_5.json</x:v>
      </x:c>
    </x:row>
    <x:row r="2346" ht="15" hidden="0" customHeight="1">
      <x:c r="A2346" s="3" t="str">
        <x:v>EXP071</x:v>
      </x:c>
      <x:c r="B2346" s="3" t="str">
        <x:v>Exp. 8</x:v>
      </x:c>
      <x:c r="C2346" s="18" t="n">
        <x:v>1010</x:v>
      </x:c>
      <x:c r="D2346" s="3" t="str">
        <x:v>Full</x:v>
      </x:c>
      <x:c r="E2346" s="18" t="n">
        <x:v>200</x:v>
      </x:c>
      <x:c r="F2346" s="21" t="n">
        <x:v>575.5427830571742</x:v>
      </x:c>
      <x:c r="G2346" s="21" t="str">
        <x:f>""</x:f>
      </x:c>
      <x:c r="H2346" s="21" t="n">
        <x:f>F2346</x:f>
        <x:v>575.5427830571742</x:v>
      </x:c>
      <x:c r="I2346" s="27" t="str">
        <x:f>IF(AND(ISNUMBER(G2346),ISNUMBER(H2346),H2346&gt;0),G2346/H2346-1,"")</x:f>
      </x:c>
      <x:c r="J2346" s="27" t="str">
        <x:f>IF(AND(ISNUMBER(G2346),F2346&gt;0),G2346/F2346-1,"")</x:f>
      </x:c>
      <x:c r="K2346" s="19" t="str">
        <x:v>Exp_8/EXP071/results/seed1010_Full.json</x:v>
      </x:c>
    </x:row>
    <x:row r="2347" ht="15" hidden="0" customHeight="1">
      <x:c r="A2347" s="3" t="str">
        <x:v>EXP071</x:v>
      </x:c>
      <x:c r="B2347" s="3" t="str">
        <x:v>Exp. 8</x:v>
      </x:c>
      <x:c r="C2347" s="18" t="n">
        <x:v>1010</x:v>
      </x:c>
      <x:c r="D2347" s="3" t="str">
        <x:v>Relative cutoff 1e-2</x:v>
      </x:c>
      <x:c r="E2347" s="18" t="n">
        <x:v>200</x:v>
      </x:c>
      <x:c r="F2347" s="21" t="n">
        <x:v>597.4599062997246</x:v>
      </x:c>
      <x:c r="G2347" s="21" t="str">
        <x:f>""</x:f>
      </x:c>
      <x:c r="H2347" s="21" t="n">
        <x:f>F2346</x:f>
        <x:v>575.5427830571742</x:v>
      </x:c>
      <x:c r="I2347" s="27" t="str">
        <x:f>IF(AND(ISNUMBER(G2347),ISNUMBER(H2347),H2347&gt;0),G2347/H2347-1,"")</x:f>
      </x:c>
      <x:c r="J2347" s="27" t="str">
        <x:f>IF(AND(ISNUMBER(G2347),F2347&gt;0),G2347/F2347-1,"")</x:f>
      </x:c>
      <x:c r="K2347" s="19" t="str">
        <x:v>Exp_8/EXP071/results/seed1010_Relative_cutoff_1e-2.json</x:v>
      </x:c>
    </x:row>
    <x:row r="2348" ht="15" hidden="0" customHeight="1">
      <x:c r="A2348" s="3" t="str">
        <x:v>EXP071</x:v>
      </x:c>
      <x:c r="B2348" s="3" t="str">
        <x:v>Exp. 8</x:v>
      </x:c>
      <x:c r="C2348" s="18" t="n">
        <x:v>1011</x:v>
      </x:c>
      <x:c r="D2348" s="3" t="str">
        <x:v>Fixed rank 10</x:v>
      </x:c>
      <x:c r="E2348" s="18" t="n">
        <x:v>200</x:v>
      </x:c>
      <x:c r="F2348" s="21" t="n">
        <x:v>710.0567210948819</x:v>
      </x:c>
      <x:c r="G2348" s="21" t="str">
        <x:f>""</x:f>
      </x:c>
      <x:c r="H2348" s="21" t="n">
        <x:f>F2351</x:f>
        <x:v>735.9566077262272</x:v>
      </x:c>
      <x:c r="I2348" s="27" t="str">
        <x:f>IF(AND(ISNUMBER(G2348),ISNUMBER(H2348),H2348&gt;0),G2348/H2348-1,"")</x:f>
      </x:c>
      <x:c r="J2348" s="27" t="str">
        <x:f>IF(AND(ISNUMBER(G2348),F2348&gt;0),G2348/F2348-1,"")</x:f>
      </x:c>
      <x:c r="K2348" s="19" t="str">
        <x:v>Exp_8/EXP071/results/seed1011_Fixed_rank_10.json</x:v>
      </x:c>
    </x:row>
    <x:row r="2349" ht="15" hidden="0" customHeight="1">
      <x:c r="A2349" s="3" t="str">
        <x:v>EXP071</x:v>
      </x:c>
      <x:c r="B2349" s="3" t="str">
        <x:v>Exp. 8</x:v>
      </x:c>
      <x:c r="C2349" s="18" t="n">
        <x:v>1011</x:v>
      </x:c>
      <x:c r="D2349" s="3" t="str">
        <x:v>Fixed rank 3</x:v>
      </x:c>
      <x:c r="E2349" s="18" t="n">
        <x:v>200</x:v>
      </x:c>
      <x:c r="F2349" s="21" t="n">
        <x:v>766.7425093027633</x:v>
      </x:c>
      <x:c r="G2349" s="21" t="str">
        <x:f>""</x:f>
      </x:c>
      <x:c r="H2349" s="21" t="n">
        <x:f>F2351</x:f>
        <x:v>735.9566077262272</x:v>
      </x:c>
      <x:c r="I2349" s="27" t="str">
        <x:f>IF(AND(ISNUMBER(G2349),ISNUMBER(H2349),H2349&gt;0),G2349/H2349-1,"")</x:f>
      </x:c>
      <x:c r="J2349" s="27" t="str">
        <x:f>IF(AND(ISNUMBER(G2349),F2349&gt;0),G2349/F2349-1,"")</x:f>
      </x:c>
      <x:c r="K2349" s="19" t="str">
        <x:v>Exp_8/EXP071/results/seed1011_Fixed_rank_3.json</x:v>
      </x:c>
    </x:row>
    <x:row r="2350" ht="15" hidden="0" customHeight="1">
      <x:c r="A2350" s="3" t="str">
        <x:v>EXP071</x:v>
      </x:c>
      <x:c r="B2350" s="3" t="str">
        <x:v>Exp. 8</x:v>
      </x:c>
      <x:c r="C2350" s="18" t="n">
        <x:v>1011</x:v>
      </x:c>
      <x:c r="D2350" s="3" t="str">
        <x:v>Fixed rank 5</x:v>
      </x:c>
      <x:c r="E2350" s="18" t="n">
        <x:v>200</x:v>
      </x:c>
      <x:c r="F2350" s="21" t="n">
        <x:v>715.3996526029376</x:v>
      </x:c>
      <x:c r="G2350" s="21" t="str">
        <x:f>""</x:f>
      </x:c>
      <x:c r="H2350" s="21" t="n">
        <x:f>F2351</x:f>
        <x:v>735.9566077262272</x:v>
      </x:c>
      <x:c r="I2350" s="27" t="str">
        <x:f>IF(AND(ISNUMBER(G2350),ISNUMBER(H2350),H2350&gt;0),G2350/H2350-1,"")</x:f>
      </x:c>
      <x:c r="J2350" s="27" t="str">
        <x:f>IF(AND(ISNUMBER(G2350),F2350&gt;0),G2350/F2350-1,"")</x:f>
      </x:c>
      <x:c r="K2350" s="19" t="str">
        <x:v>Exp_8/EXP071/results/seed1011_Fixed_rank_5.json</x:v>
      </x:c>
    </x:row>
    <x:row r="2351" ht="15" hidden="0" customHeight="1">
      <x:c r="A2351" s="3" t="str">
        <x:v>EXP071</x:v>
      </x:c>
      <x:c r="B2351" s="3" t="str">
        <x:v>Exp. 8</x:v>
      </x:c>
      <x:c r="C2351" s="18" t="n">
        <x:v>1011</x:v>
      </x:c>
      <x:c r="D2351" s="3" t="str">
        <x:v>Full</x:v>
      </x:c>
      <x:c r="E2351" s="18" t="n">
        <x:v>200</x:v>
      </x:c>
      <x:c r="F2351" s="21" t="n">
        <x:v>735.9566077262272</x:v>
      </x:c>
      <x:c r="G2351" s="21" t="str">
        <x:f>""</x:f>
      </x:c>
      <x:c r="H2351" s="21" t="n">
        <x:f>F2351</x:f>
        <x:v>735.9566077262272</x:v>
      </x:c>
      <x:c r="I2351" s="27" t="str">
        <x:f>IF(AND(ISNUMBER(G2351),ISNUMBER(H2351),H2351&gt;0),G2351/H2351-1,"")</x:f>
      </x:c>
      <x:c r="J2351" s="27" t="str">
        <x:f>IF(AND(ISNUMBER(G2351),F2351&gt;0),G2351/F2351-1,"")</x:f>
      </x:c>
      <x:c r="K2351" s="19" t="str">
        <x:v>Exp_8/EXP071/results/seed1011_Full.json</x:v>
      </x:c>
    </x:row>
    <x:row r="2352" ht="15" hidden="0" customHeight="1">
      <x:c r="A2352" s="3" t="str">
        <x:v>EXP071</x:v>
      </x:c>
      <x:c r="B2352" s="3" t="str">
        <x:v>Exp. 8</x:v>
      </x:c>
      <x:c r="C2352" s="18" t="n">
        <x:v>1011</x:v>
      </x:c>
      <x:c r="D2352" s="3" t="str">
        <x:v>Relative cutoff 1e-2</x:v>
      </x:c>
      <x:c r="E2352" s="18" t="n">
        <x:v>200</x:v>
      </x:c>
      <x:c r="F2352" s="21" t="n">
        <x:v>736.2496645947946</x:v>
      </x:c>
      <x:c r="G2352" s="21" t="str">
        <x:f>""</x:f>
      </x:c>
      <x:c r="H2352" s="21" t="n">
        <x:f>F2351</x:f>
        <x:v>735.9566077262272</x:v>
      </x:c>
      <x:c r="I2352" s="27" t="str">
        <x:f>IF(AND(ISNUMBER(G2352),ISNUMBER(H2352),H2352&gt;0),G2352/H2352-1,"")</x:f>
      </x:c>
      <x:c r="J2352" s="27" t="str">
        <x:f>IF(AND(ISNUMBER(G2352),F2352&gt;0),G2352/F2352-1,"")</x:f>
      </x:c>
      <x:c r="K2352" s="19" t="str">
        <x:v>Exp_8/EXP071/results/seed1011_Relative_cutoff_1e-2.json</x:v>
      </x:c>
    </x:row>
    <x:row r="2353" ht="15" hidden="0" customHeight="1">
      <x:c r="A2353" s="3" t="str">
        <x:v>EXP071</x:v>
      </x:c>
      <x:c r="B2353" s="3" t="str">
        <x:v>Exp. 8</x:v>
      </x:c>
      <x:c r="C2353" s="18" t="n">
        <x:v>1012</x:v>
      </x:c>
      <x:c r="D2353" s="3" t="str">
        <x:v>Fixed rank 10</x:v>
      </x:c>
      <x:c r="E2353" s="18" t="n">
        <x:v>200</x:v>
      </x:c>
      <x:c r="F2353" s="21" t="n">
        <x:v>835.6756806308166</x:v>
      </x:c>
      <x:c r="G2353" s="21" t="str">
        <x:f>""</x:f>
      </x:c>
      <x:c r="H2353" s="21" t="n">
        <x:f>F2356</x:f>
        <x:v>849.4589651973515</x:v>
      </x:c>
      <x:c r="I2353" s="27" t="str">
        <x:f>IF(AND(ISNUMBER(G2353),ISNUMBER(H2353),H2353&gt;0),G2353/H2353-1,"")</x:f>
      </x:c>
      <x:c r="J2353" s="27" t="str">
        <x:f>IF(AND(ISNUMBER(G2353),F2353&gt;0),G2353/F2353-1,"")</x:f>
      </x:c>
      <x:c r="K2353" s="19" t="str">
        <x:v>Exp_8/EXP071/results/seed1012_Fixed_rank_10.json</x:v>
      </x:c>
    </x:row>
    <x:row r="2354" ht="15" hidden="0" customHeight="1">
      <x:c r="A2354" s="3" t="str">
        <x:v>EXP071</x:v>
      </x:c>
      <x:c r="B2354" s="3" t="str">
        <x:v>Exp. 8</x:v>
      </x:c>
      <x:c r="C2354" s="18" t="n">
        <x:v>1012</x:v>
      </x:c>
      <x:c r="D2354" s="3" t="str">
        <x:v>Fixed rank 3</x:v>
      </x:c>
      <x:c r="E2354" s="18" t="n">
        <x:v>200</x:v>
      </x:c>
      <x:c r="F2354" s="21" t="n">
        <x:v>840.4841928285497</x:v>
      </x:c>
      <x:c r="G2354" s="21" t="str">
        <x:f>""</x:f>
      </x:c>
      <x:c r="H2354" s="21" t="n">
        <x:f>F2356</x:f>
        <x:v>849.4589651973515</x:v>
      </x:c>
      <x:c r="I2354" s="27" t="str">
        <x:f>IF(AND(ISNUMBER(G2354),ISNUMBER(H2354),H2354&gt;0),G2354/H2354-1,"")</x:f>
      </x:c>
      <x:c r="J2354" s="27" t="str">
        <x:f>IF(AND(ISNUMBER(G2354),F2354&gt;0),G2354/F2354-1,"")</x:f>
      </x:c>
      <x:c r="K2354" s="19" t="str">
        <x:v>Exp_8/EXP071/results/seed1012_Fixed_rank_3.json</x:v>
      </x:c>
    </x:row>
    <x:row r="2355" ht="15" hidden="0" customHeight="1">
      <x:c r="A2355" s="3" t="str">
        <x:v>EXP071</x:v>
      </x:c>
      <x:c r="B2355" s="3" t="str">
        <x:v>Exp. 8</x:v>
      </x:c>
      <x:c r="C2355" s="18" t="n">
        <x:v>1012</x:v>
      </x:c>
      <x:c r="D2355" s="3" t="str">
        <x:v>Fixed rank 5</x:v>
      </x:c>
      <x:c r="E2355" s="18" t="n">
        <x:v>200</x:v>
      </x:c>
      <x:c r="F2355" s="21" t="n">
        <x:v>837.4865820821992</x:v>
      </x:c>
      <x:c r="G2355" s="21" t="str">
        <x:f>""</x:f>
      </x:c>
      <x:c r="H2355" s="21" t="n">
        <x:f>F2356</x:f>
        <x:v>849.4589651973515</x:v>
      </x:c>
      <x:c r="I2355" s="27" t="str">
        <x:f>IF(AND(ISNUMBER(G2355),ISNUMBER(H2355),H2355&gt;0),G2355/H2355-1,"")</x:f>
      </x:c>
      <x:c r="J2355" s="27" t="str">
        <x:f>IF(AND(ISNUMBER(G2355),F2355&gt;0),G2355/F2355-1,"")</x:f>
      </x:c>
      <x:c r="K2355" s="19" t="str">
        <x:v>Exp_8/EXP071/results/seed1012_Fixed_rank_5.json</x:v>
      </x:c>
    </x:row>
    <x:row r="2356" ht="15" hidden="0" customHeight="1">
      <x:c r="A2356" s="3" t="str">
        <x:v>EXP071</x:v>
      </x:c>
      <x:c r="B2356" s="3" t="str">
        <x:v>Exp. 8</x:v>
      </x:c>
      <x:c r="C2356" s="18" t="n">
        <x:v>1012</x:v>
      </x:c>
      <x:c r="D2356" s="3" t="str">
        <x:v>Full</x:v>
      </x:c>
      <x:c r="E2356" s="18" t="n">
        <x:v>200</x:v>
      </x:c>
      <x:c r="F2356" s="21" t="n">
        <x:v>849.4589651973515</x:v>
      </x:c>
      <x:c r="G2356" s="21" t="str">
        <x:f>""</x:f>
      </x:c>
      <x:c r="H2356" s="21" t="n">
        <x:f>F2356</x:f>
        <x:v>849.4589651973515</x:v>
      </x:c>
      <x:c r="I2356" s="27" t="str">
        <x:f>IF(AND(ISNUMBER(G2356),ISNUMBER(H2356),H2356&gt;0),G2356/H2356-1,"")</x:f>
      </x:c>
      <x:c r="J2356" s="27" t="str">
        <x:f>IF(AND(ISNUMBER(G2356),F2356&gt;0),G2356/F2356-1,"")</x:f>
      </x:c>
      <x:c r="K2356" s="19" t="str">
        <x:v>Exp_8/EXP071/results/seed1012_Full.json</x:v>
      </x:c>
    </x:row>
    <x:row r="2357" ht="15" hidden="0" customHeight="1">
      <x:c r="A2357" s="3" t="str">
        <x:v>EXP071</x:v>
      </x:c>
      <x:c r="B2357" s="3" t="str">
        <x:v>Exp. 8</x:v>
      </x:c>
      <x:c r="C2357" s="18" t="n">
        <x:v>1012</x:v>
      </x:c>
      <x:c r="D2357" s="3" t="str">
        <x:v>Relative cutoff 1e-2</x:v>
      </x:c>
      <x:c r="E2357" s="18" t="n">
        <x:v>200</x:v>
      </x:c>
      <x:c r="F2357" s="21" t="n">
        <x:v>846.2842987010472</x:v>
      </x:c>
      <x:c r="G2357" s="21" t="str">
        <x:f>""</x:f>
      </x:c>
      <x:c r="H2357" s="21" t="n">
        <x:f>F2356</x:f>
        <x:v>849.4589651973515</x:v>
      </x:c>
      <x:c r="I2357" s="27" t="str">
        <x:f>IF(AND(ISNUMBER(G2357),ISNUMBER(H2357),H2357&gt;0),G2357/H2357-1,"")</x:f>
      </x:c>
      <x:c r="J2357" s="27" t="str">
        <x:f>IF(AND(ISNUMBER(G2357),F2357&gt;0),G2357/F2357-1,"")</x:f>
      </x:c>
      <x:c r="K2357" s="19" t="str">
        <x:v>Exp_8/EXP071/results/seed1012_Relative_cutoff_1e-2.json</x:v>
      </x:c>
    </x:row>
    <x:row r="2358" ht="15" hidden="0" customHeight="1">
      <x:c r="A2358" s="3" t="str">
        <x:v>EXP071</x:v>
      </x:c>
      <x:c r="B2358" s="3" t="str">
        <x:v>Exp. 8</x:v>
      </x:c>
      <x:c r="C2358" s="18" t="n">
        <x:v>1013</x:v>
      </x:c>
      <x:c r="D2358" s="3" t="str">
        <x:v>Fixed rank 10</x:v>
      </x:c>
      <x:c r="E2358" s="18" t="n">
        <x:v>200</x:v>
      </x:c>
      <x:c r="F2358" s="21" t="n">
        <x:v>846.7125156734388</x:v>
      </x:c>
      <x:c r="G2358" s="21" t="str">
        <x:f>""</x:f>
      </x:c>
      <x:c r="H2358" s="21" t="n">
        <x:f>F2361</x:f>
        <x:v>846.7125156734388</x:v>
      </x:c>
      <x:c r="I2358" s="27" t="str">
        <x:f>IF(AND(ISNUMBER(G2358),ISNUMBER(H2358),H2358&gt;0),G2358/H2358-1,"")</x:f>
      </x:c>
      <x:c r="J2358" s="27" t="str">
        <x:f>IF(AND(ISNUMBER(G2358),F2358&gt;0),G2358/F2358-1,"")</x:f>
      </x:c>
      <x:c r="K2358" s="19" t="str">
        <x:v>Exp_8/EXP071/results/seed1013_Fixed_rank_10.json</x:v>
      </x:c>
    </x:row>
    <x:row r="2359" ht="15" hidden="0" customHeight="1">
      <x:c r="A2359" s="3" t="str">
        <x:v>EXP071</x:v>
      </x:c>
      <x:c r="B2359" s="3" t="str">
        <x:v>Exp. 8</x:v>
      </x:c>
      <x:c r="C2359" s="18" t="n">
        <x:v>1013</x:v>
      </x:c>
      <x:c r="D2359" s="3" t="str">
        <x:v>Fixed rank 3</x:v>
      </x:c>
      <x:c r="E2359" s="18" t="n">
        <x:v>200</x:v>
      </x:c>
      <x:c r="F2359" s="21" t="n">
        <x:v>823.079377848272</x:v>
      </x:c>
      <x:c r="G2359" s="21" t="str">
        <x:f>""</x:f>
      </x:c>
      <x:c r="H2359" s="21" t="n">
        <x:f>F2361</x:f>
        <x:v>846.7125156734388</x:v>
      </x:c>
      <x:c r="I2359" s="27" t="str">
        <x:f>IF(AND(ISNUMBER(G2359),ISNUMBER(H2359),H2359&gt;0),G2359/H2359-1,"")</x:f>
      </x:c>
      <x:c r="J2359" s="27" t="str">
        <x:f>IF(AND(ISNUMBER(G2359),F2359&gt;0),G2359/F2359-1,"")</x:f>
      </x:c>
      <x:c r="K2359" s="19" t="str">
        <x:v>Exp_8/EXP071/results/seed1013_Fixed_rank_3.json</x:v>
      </x:c>
    </x:row>
    <x:row r="2360" ht="15" hidden="0" customHeight="1">
      <x:c r="A2360" s="3" t="str">
        <x:v>EXP071</x:v>
      </x:c>
      <x:c r="B2360" s="3" t="str">
        <x:v>Exp. 8</x:v>
      </x:c>
      <x:c r="C2360" s="18" t="n">
        <x:v>1013</x:v>
      </x:c>
      <x:c r="D2360" s="3" t="str">
        <x:v>Fixed rank 5</x:v>
      </x:c>
      <x:c r="E2360" s="18" t="n">
        <x:v>200</x:v>
      </x:c>
      <x:c r="F2360" s="21" t="n">
        <x:v>846.7125156734388</x:v>
      </x:c>
      <x:c r="G2360" s="21" t="str">
        <x:f>""</x:f>
      </x:c>
      <x:c r="H2360" s="21" t="n">
        <x:f>F2361</x:f>
        <x:v>846.7125156734388</x:v>
      </x:c>
      <x:c r="I2360" s="27" t="str">
        <x:f>IF(AND(ISNUMBER(G2360),ISNUMBER(H2360),H2360&gt;0),G2360/H2360-1,"")</x:f>
      </x:c>
      <x:c r="J2360" s="27" t="str">
        <x:f>IF(AND(ISNUMBER(G2360),F2360&gt;0),G2360/F2360-1,"")</x:f>
      </x:c>
      <x:c r="K2360" s="19" t="str">
        <x:v>Exp_8/EXP071/results/seed1013_Fixed_rank_5.json</x:v>
      </x:c>
    </x:row>
    <x:row r="2361" ht="15" hidden="0" customHeight="1">
      <x:c r="A2361" s="3" t="str">
        <x:v>EXP071</x:v>
      </x:c>
      <x:c r="B2361" s="3" t="str">
        <x:v>Exp. 8</x:v>
      </x:c>
      <x:c r="C2361" s="18" t="n">
        <x:v>1013</x:v>
      </x:c>
      <x:c r="D2361" s="3" t="str">
        <x:v>Full</x:v>
      </x:c>
      <x:c r="E2361" s="18" t="n">
        <x:v>200</x:v>
      </x:c>
      <x:c r="F2361" s="21" t="n">
        <x:v>846.7125156734388</x:v>
      </x:c>
      <x:c r="G2361" s="21" t="str">
        <x:f>""</x:f>
      </x:c>
      <x:c r="H2361" s="21" t="n">
        <x:f>F2361</x:f>
        <x:v>846.7125156734388</x:v>
      </x:c>
      <x:c r="I2361" s="27" t="str">
        <x:f>IF(AND(ISNUMBER(G2361),ISNUMBER(H2361),H2361&gt;0),G2361/H2361-1,"")</x:f>
      </x:c>
      <x:c r="J2361" s="27" t="str">
        <x:f>IF(AND(ISNUMBER(G2361),F2361&gt;0),G2361/F2361-1,"")</x:f>
      </x:c>
      <x:c r="K2361" s="19" t="str">
        <x:v>Exp_8/EXP071/results/seed1013_Full.json</x:v>
      </x:c>
    </x:row>
    <x:row r="2362" ht="15" hidden="0" customHeight="1">
      <x:c r="A2362" s="3" t="str">
        <x:v>EXP071</x:v>
      </x:c>
      <x:c r="B2362" s="3" t="str">
        <x:v>Exp. 8</x:v>
      </x:c>
      <x:c r="C2362" s="18" t="n">
        <x:v>1013</x:v>
      </x:c>
      <x:c r="D2362" s="3" t="str">
        <x:v>Relative cutoff 1e-2</x:v>
      </x:c>
      <x:c r="E2362" s="18" t="n">
        <x:v>200</x:v>
      </x:c>
      <x:c r="F2362" s="21" t="n">
        <x:v>855.650197355131</x:v>
      </x:c>
      <x:c r="G2362" s="21" t="str">
        <x:f>""</x:f>
      </x:c>
      <x:c r="H2362" s="21" t="n">
        <x:f>F2361</x:f>
        <x:v>846.7125156734388</x:v>
      </x:c>
      <x:c r="I2362" s="27" t="str">
        <x:f>IF(AND(ISNUMBER(G2362),ISNUMBER(H2362),H2362&gt;0),G2362/H2362-1,"")</x:f>
      </x:c>
      <x:c r="J2362" s="27" t="str">
        <x:f>IF(AND(ISNUMBER(G2362),F2362&gt;0),G2362/F2362-1,"")</x:f>
      </x:c>
      <x:c r="K2362" s="19" t="str">
        <x:v>Exp_8/EXP071/results/seed1013_Relative_cutoff_1e-2.json</x:v>
      </x:c>
    </x:row>
    <x:row r="2363" ht="15" hidden="0" customHeight="1">
      <x:c r="A2363" s="3" t="str">
        <x:v>EXP071</x:v>
      </x:c>
      <x:c r="B2363" s="3" t="str">
        <x:v>Exp. 8</x:v>
      </x:c>
      <x:c r="C2363" s="18" t="n">
        <x:v>1014</x:v>
      </x:c>
      <x:c r="D2363" s="3" t="str">
        <x:v>Fixed rank 10</x:v>
      </x:c>
      <x:c r="E2363" s="18" t="n">
        <x:v>200</x:v>
      </x:c>
      <x:c r="F2363" s="21" t="n">
        <x:v>612.0541769112655</x:v>
      </x:c>
      <x:c r="G2363" s="21" t="str">
        <x:f>""</x:f>
      </x:c>
      <x:c r="H2363" s="21" t="n">
        <x:f>F2366</x:f>
        <x:v>612.0541769112655</x:v>
      </x:c>
      <x:c r="I2363" s="27" t="str">
        <x:f>IF(AND(ISNUMBER(G2363),ISNUMBER(H2363),H2363&gt;0),G2363/H2363-1,"")</x:f>
      </x:c>
      <x:c r="J2363" s="27" t="str">
        <x:f>IF(AND(ISNUMBER(G2363),F2363&gt;0),G2363/F2363-1,"")</x:f>
      </x:c>
      <x:c r="K2363" s="19" t="str">
        <x:v>Exp_8/EXP071/results/seed1014_Fixed_rank_10.json</x:v>
      </x:c>
    </x:row>
    <x:row r="2364" ht="15" hidden="0" customHeight="1">
      <x:c r="A2364" s="3" t="str">
        <x:v>EXP071</x:v>
      </x:c>
      <x:c r="B2364" s="3" t="str">
        <x:v>Exp. 8</x:v>
      </x:c>
      <x:c r="C2364" s="18" t="n">
        <x:v>1014</x:v>
      </x:c>
      <x:c r="D2364" s="3" t="str">
        <x:v>Fixed rank 3</x:v>
      </x:c>
      <x:c r="E2364" s="18" t="n">
        <x:v>200</x:v>
      </x:c>
      <x:c r="F2364" s="21" t="n">
        <x:v>615.3699546744339</x:v>
      </x:c>
      <x:c r="G2364" s="21" t="str">
        <x:f>""</x:f>
      </x:c>
      <x:c r="H2364" s="21" t="n">
        <x:f>F2366</x:f>
        <x:v>612.0541769112655</x:v>
      </x:c>
      <x:c r="I2364" s="27" t="str">
        <x:f>IF(AND(ISNUMBER(G2364),ISNUMBER(H2364),H2364&gt;0),G2364/H2364-1,"")</x:f>
      </x:c>
      <x:c r="J2364" s="27" t="str">
        <x:f>IF(AND(ISNUMBER(G2364),F2364&gt;0),G2364/F2364-1,"")</x:f>
      </x:c>
      <x:c r="K2364" s="19" t="str">
        <x:v>Exp_8/EXP071/results/seed1014_Fixed_rank_3.json</x:v>
      </x:c>
    </x:row>
    <x:row r="2365" ht="15" hidden="0" customHeight="1">
      <x:c r="A2365" s="3" t="str">
        <x:v>EXP071</x:v>
      </x:c>
      <x:c r="B2365" s="3" t="str">
        <x:v>Exp. 8</x:v>
      </x:c>
      <x:c r="C2365" s="18" t="n">
        <x:v>1014</x:v>
      </x:c>
      <x:c r="D2365" s="3" t="str">
        <x:v>Fixed rank 5</x:v>
      </x:c>
      <x:c r="E2365" s="18" t="n">
        <x:v>200</x:v>
      </x:c>
      <x:c r="F2365" s="21" t="n">
        <x:v>612.0541769112655</x:v>
      </x:c>
      <x:c r="G2365" s="21" t="str">
        <x:f>""</x:f>
      </x:c>
      <x:c r="H2365" s="21" t="n">
        <x:f>F2366</x:f>
        <x:v>612.0541769112655</x:v>
      </x:c>
      <x:c r="I2365" s="27" t="str">
        <x:f>IF(AND(ISNUMBER(G2365),ISNUMBER(H2365),H2365&gt;0),G2365/H2365-1,"")</x:f>
      </x:c>
      <x:c r="J2365" s="27" t="str">
        <x:f>IF(AND(ISNUMBER(G2365),F2365&gt;0),G2365/F2365-1,"")</x:f>
      </x:c>
      <x:c r="K2365" s="19" t="str">
        <x:v>Exp_8/EXP071/results/seed1014_Fixed_rank_5.json</x:v>
      </x:c>
    </x:row>
    <x:row r="2366" ht="15" hidden="0" customHeight="1">
      <x:c r="A2366" s="3" t="str">
        <x:v>EXP071</x:v>
      </x:c>
      <x:c r="B2366" s="3" t="str">
        <x:v>Exp. 8</x:v>
      </x:c>
      <x:c r="C2366" s="18" t="n">
        <x:v>1014</x:v>
      </x:c>
      <x:c r="D2366" s="3" t="str">
        <x:v>Full</x:v>
      </x:c>
      <x:c r="E2366" s="18" t="n">
        <x:v>200</x:v>
      </x:c>
      <x:c r="F2366" s="21" t="n">
        <x:v>612.0541769112655</x:v>
      </x:c>
      <x:c r="G2366" s="21" t="str">
        <x:f>""</x:f>
      </x:c>
      <x:c r="H2366" s="21" t="n">
        <x:f>F2366</x:f>
        <x:v>612.0541769112655</x:v>
      </x:c>
      <x:c r="I2366" s="27" t="str">
        <x:f>IF(AND(ISNUMBER(G2366),ISNUMBER(H2366),H2366&gt;0),G2366/H2366-1,"")</x:f>
      </x:c>
      <x:c r="J2366" s="27" t="str">
        <x:f>IF(AND(ISNUMBER(G2366),F2366&gt;0),G2366/F2366-1,"")</x:f>
      </x:c>
      <x:c r="K2366" s="19" t="str">
        <x:v>Exp_8/EXP071/results/seed1014_Full.json</x:v>
      </x:c>
    </x:row>
    <x:row r="2367" ht="15" hidden="0" customHeight="1">
      <x:c r="A2367" s="3" t="str">
        <x:v>EXP071</x:v>
      </x:c>
      <x:c r="B2367" s="3" t="str">
        <x:v>Exp. 8</x:v>
      </x:c>
      <x:c r="C2367" s="18" t="n">
        <x:v>1014</x:v>
      </x:c>
      <x:c r="D2367" s="3" t="str">
        <x:v>Relative cutoff 1e-2</x:v>
      </x:c>
      <x:c r="E2367" s="18" t="n">
        <x:v>200</x:v>
      </x:c>
      <x:c r="F2367" s="21" t="n">
        <x:v>615.3699546744339</x:v>
      </x:c>
      <x:c r="G2367" s="21" t="str">
        <x:f>""</x:f>
      </x:c>
      <x:c r="H2367" s="21" t="n">
        <x:f>F2366</x:f>
        <x:v>612.0541769112655</x:v>
      </x:c>
      <x:c r="I2367" s="27" t="str">
        <x:f>IF(AND(ISNUMBER(G2367),ISNUMBER(H2367),H2367&gt;0),G2367/H2367-1,"")</x:f>
      </x:c>
      <x:c r="J2367" s="27" t="str">
        <x:f>IF(AND(ISNUMBER(G2367),F2367&gt;0),G2367/F2367-1,"")</x:f>
      </x:c>
      <x:c r="K2367" s="19" t="str">
        <x:v>Exp_8/EXP071/results/seed1014_Relative_cutoff_1e-2.json</x:v>
      </x:c>
    </x:row>
    <x:row r="2368" ht="15" hidden="0" customHeight="1">
      <x:c r="A2368" s="3" t="str">
        <x:v>EXP071</x:v>
      </x:c>
      <x:c r="B2368" s="3" t="str">
        <x:v>Exp. 8</x:v>
      </x:c>
      <x:c r="C2368" s="18" t="n">
        <x:v>1015</x:v>
      </x:c>
      <x:c r="D2368" s="3" t="str">
        <x:v>Fixed rank 10</x:v>
      </x:c>
      <x:c r="E2368" s="18" t="n">
        <x:v>200</x:v>
      </x:c>
      <x:c r="F2368" s="21" t="n">
        <x:v>727.1595032169831</x:v>
      </x:c>
      <x:c r="G2368" s="21" t="str">
        <x:f>""</x:f>
      </x:c>
      <x:c r="H2368" s="21" t="n">
        <x:f>F2371</x:f>
        <x:v>724.8719115376033</x:v>
      </x:c>
      <x:c r="I2368" s="27" t="str">
        <x:f>IF(AND(ISNUMBER(G2368),ISNUMBER(H2368),H2368&gt;0),G2368/H2368-1,"")</x:f>
      </x:c>
      <x:c r="J2368" s="27" t="str">
        <x:f>IF(AND(ISNUMBER(G2368),F2368&gt;0),G2368/F2368-1,"")</x:f>
      </x:c>
      <x:c r="K2368" s="19" t="str">
        <x:v>Exp_8/EXP071/results/seed1015_Fixed_rank_10.json</x:v>
      </x:c>
    </x:row>
    <x:row r="2369" ht="15" hidden="0" customHeight="1">
      <x:c r="A2369" s="3" t="str">
        <x:v>EXP071</x:v>
      </x:c>
      <x:c r="B2369" s="3" t="str">
        <x:v>Exp. 8</x:v>
      </x:c>
      <x:c r="C2369" s="18" t="n">
        <x:v>1015</x:v>
      </x:c>
      <x:c r="D2369" s="3" t="str">
        <x:v>Fixed rank 3</x:v>
      </x:c>
      <x:c r="E2369" s="18" t="n">
        <x:v>200</x:v>
      </x:c>
      <x:c r="F2369" s="21" t="n">
        <x:v>707.9528834543397</x:v>
      </x:c>
      <x:c r="G2369" s="21" t="str">
        <x:f>""</x:f>
      </x:c>
      <x:c r="H2369" s="21" t="n">
        <x:f>F2371</x:f>
        <x:v>724.8719115376033</x:v>
      </x:c>
      <x:c r="I2369" s="27" t="str">
        <x:f>IF(AND(ISNUMBER(G2369),ISNUMBER(H2369),H2369&gt;0),G2369/H2369-1,"")</x:f>
      </x:c>
      <x:c r="J2369" s="27" t="str">
        <x:f>IF(AND(ISNUMBER(G2369),F2369&gt;0),G2369/F2369-1,"")</x:f>
      </x:c>
      <x:c r="K2369" s="19" t="str">
        <x:v>Exp_8/EXP071/results/seed1015_Fixed_rank_3.json</x:v>
      </x:c>
    </x:row>
    <x:row r="2370" ht="15" hidden="0" customHeight="1">
      <x:c r="A2370" s="3" t="str">
        <x:v>EXP071</x:v>
      </x:c>
      <x:c r="B2370" s="3" t="str">
        <x:v>Exp. 8</x:v>
      </x:c>
      <x:c r="C2370" s="18" t="n">
        <x:v>1015</x:v>
      </x:c>
      <x:c r="D2370" s="3" t="str">
        <x:v>Fixed rank 5</x:v>
      </x:c>
      <x:c r="E2370" s="18" t="n">
        <x:v>200</x:v>
      </x:c>
      <x:c r="F2370" s="21" t="n">
        <x:v>707.9913556795907</x:v>
      </x:c>
      <x:c r="G2370" s="21" t="str">
        <x:f>""</x:f>
      </x:c>
      <x:c r="H2370" s="21" t="n">
        <x:f>F2371</x:f>
        <x:v>724.8719115376033</x:v>
      </x:c>
      <x:c r="I2370" s="27" t="str">
        <x:f>IF(AND(ISNUMBER(G2370),ISNUMBER(H2370),H2370&gt;0),G2370/H2370-1,"")</x:f>
      </x:c>
      <x:c r="J2370" s="27" t="str">
        <x:f>IF(AND(ISNUMBER(G2370),F2370&gt;0),G2370/F2370-1,"")</x:f>
      </x:c>
      <x:c r="K2370" s="19" t="str">
        <x:v>Exp_8/EXP071/results/seed1015_Fixed_rank_5.json</x:v>
      </x:c>
    </x:row>
    <x:row r="2371" ht="15" hidden="0" customHeight="1">
      <x:c r="A2371" s="3" t="str">
        <x:v>EXP071</x:v>
      </x:c>
      <x:c r="B2371" s="3" t="str">
        <x:v>Exp. 8</x:v>
      </x:c>
      <x:c r="C2371" s="18" t="n">
        <x:v>1015</x:v>
      </x:c>
      <x:c r="D2371" s="3" t="str">
        <x:v>Full</x:v>
      </x:c>
      <x:c r="E2371" s="18" t="n">
        <x:v>200</x:v>
      </x:c>
      <x:c r="F2371" s="21" t="n">
        <x:v>724.8719115376033</x:v>
      </x:c>
      <x:c r="G2371" s="21" t="str">
        <x:f>""</x:f>
      </x:c>
      <x:c r="H2371" s="21" t="n">
        <x:f>F2371</x:f>
        <x:v>724.8719115376033</x:v>
      </x:c>
      <x:c r="I2371" s="27" t="str">
        <x:f>IF(AND(ISNUMBER(G2371),ISNUMBER(H2371),H2371&gt;0),G2371/H2371-1,"")</x:f>
      </x:c>
      <x:c r="J2371" s="27" t="str">
        <x:f>IF(AND(ISNUMBER(G2371),F2371&gt;0),G2371/F2371-1,"")</x:f>
      </x:c>
      <x:c r="K2371" s="19" t="str">
        <x:v>Exp_8/EXP071/results/seed1015_Full.json</x:v>
      </x:c>
    </x:row>
    <x:row r="2372" ht="15" hidden="0" customHeight="1">
      <x:c r="A2372" s="3" t="str">
        <x:v>EXP071</x:v>
      </x:c>
      <x:c r="B2372" s="3" t="str">
        <x:v>Exp. 8</x:v>
      </x:c>
      <x:c r="C2372" s="18" t="n">
        <x:v>1015</x:v>
      </x:c>
      <x:c r="D2372" s="3" t="str">
        <x:v>Relative cutoff 1e-2</x:v>
      </x:c>
      <x:c r="E2372" s="18" t="n">
        <x:v>200</x:v>
      </x:c>
      <x:c r="F2372" s="21" t="n">
        <x:v>746.4346355958392</x:v>
      </x:c>
      <x:c r="G2372" s="21" t="str">
        <x:f>""</x:f>
      </x:c>
      <x:c r="H2372" s="21" t="n">
        <x:f>F2371</x:f>
        <x:v>724.8719115376033</x:v>
      </x:c>
      <x:c r="I2372" s="27" t="str">
        <x:f>IF(AND(ISNUMBER(G2372),ISNUMBER(H2372),H2372&gt;0),G2372/H2372-1,"")</x:f>
      </x:c>
      <x:c r="J2372" s="27" t="str">
        <x:f>IF(AND(ISNUMBER(G2372),F2372&gt;0),G2372/F2372-1,"")</x:f>
      </x:c>
      <x:c r="K2372" s="19" t="str">
        <x:v>Exp_8/EXP071/results/seed1015_Relative_cutoff_1e-2.json</x:v>
      </x:c>
    </x:row>
    <x:row r="2373" ht="15" hidden="0" customHeight="1">
      <x:c r="A2373" s="3" t="str">
        <x:v>EXP071</x:v>
      </x:c>
      <x:c r="B2373" s="3" t="str">
        <x:v>Exp. 8</x:v>
      </x:c>
      <x:c r="C2373" s="18" t="n">
        <x:v>1016</x:v>
      </x:c>
      <x:c r="D2373" s="3" t="str">
        <x:v>Fixed rank 10</x:v>
      </x:c>
      <x:c r="E2373" s="18" t="n">
        <x:v>200</x:v>
      </x:c>
      <x:c r="F2373" s="21" t="n">
        <x:v>581.6641325303024</x:v>
      </x:c>
      <x:c r="G2373" s="21" t="str">
        <x:f>""</x:f>
      </x:c>
      <x:c r="H2373" s="21" t="n">
        <x:f>F2376</x:f>
        <x:v>567.0865506791869</x:v>
      </x:c>
      <x:c r="I2373" s="27" t="str">
        <x:f>IF(AND(ISNUMBER(G2373),ISNUMBER(H2373),H2373&gt;0),G2373/H2373-1,"")</x:f>
      </x:c>
      <x:c r="J2373" s="27" t="str">
        <x:f>IF(AND(ISNUMBER(G2373),F2373&gt;0),G2373/F2373-1,"")</x:f>
      </x:c>
      <x:c r="K2373" s="19" t="str">
        <x:v>Exp_8/EXP071/results/seed1016_Fixed_rank_10.json</x:v>
      </x:c>
    </x:row>
    <x:row r="2374" ht="15" hidden="0" customHeight="1">
      <x:c r="A2374" s="3" t="str">
        <x:v>EXP071</x:v>
      </x:c>
      <x:c r="B2374" s="3" t="str">
        <x:v>Exp. 8</x:v>
      </x:c>
      <x:c r="C2374" s="18" t="n">
        <x:v>1016</x:v>
      </x:c>
      <x:c r="D2374" s="3" t="str">
        <x:v>Fixed rank 3</x:v>
      </x:c>
      <x:c r="E2374" s="18" t="n">
        <x:v>200</x:v>
      </x:c>
      <x:c r="F2374" s="21" t="n">
        <x:v>581.6641325303024</x:v>
      </x:c>
      <x:c r="G2374" s="21" t="str">
        <x:f>""</x:f>
      </x:c>
      <x:c r="H2374" s="21" t="n">
        <x:f>F2376</x:f>
        <x:v>567.0865506791869</x:v>
      </x:c>
      <x:c r="I2374" s="27" t="str">
        <x:f>IF(AND(ISNUMBER(G2374),ISNUMBER(H2374),H2374&gt;0),G2374/H2374-1,"")</x:f>
      </x:c>
      <x:c r="J2374" s="27" t="str">
        <x:f>IF(AND(ISNUMBER(G2374),F2374&gt;0),G2374/F2374-1,"")</x:f>
      </x:c>
      <x:c r="K2374" s="19" t="str">
        <x:v>Exp_8/EXP071/results/seed1016_Fixed_rank_3.json</x:v>
      </x:c>
    </x:row>
    <x:row r="2375" ht="15" hidden="0" customHeight="1">
      <x:c r="A2375" s="3" t="str">
        <x:v>EXP071</x:v>
      </x:c>
      <x:c r="B2375" s="3" t="str">
        <x:v>Exp. 8</x:v>
      </x:c>
      <x:c r="C2375" s="18" t="n">
        <x:v>1016</x:v>
      </x:c>
      <x:c r="D2375" s="3" t="str">
        <x:v>Fixed rank 5</x:v>
      </x:c>
      <x:c r="E2375" s="18" t="n">
        <x:v>200</x:v>
      </x:c>
      <x:c r="F2375" s="21" t="n">
        <x:v>581.6641325303024</x:v>
      </x:c>
      <x:c r="G2375" s="21" t="str">
        <x:f>""</x:f>
      </x:c>
      <x:c r="H2375" s="21" t="n">
        <x:f>F2376</x:f>
        <x:v>567.0865506791869</x:v>
      </x:c>
      <x:c r="I2375" s="27" t="str">
        <x:f>IF(AND(ISNUMBER(G2375),ISNUMBER(H2375),H2375&gt;0),G2375/H2375-1,"")</x:f>
      </x:c>
      <x:c r="J2375" s="27" t="str">
        <x:f>IF(AND(ISNUMBER(G2375),F2375&gt;0),G2375/F2375-1,"")</x:f>
      </x:c>
      <x:c r="K2375" s="19" t="str">
        <x:v>Exp_8/EXP071/results/seed1016_Fixed_rank_5.json</x:v>
      </x:c>
    </x:row>
    <x:row r="2376" ht="15" hidden="0" customHeight="1">
      <x:c r="A2376" s="3" t="str">
        <x:v>EXP071</x:v>
      </x:c>
      <x:c r="B2376" s="3" t="str">
        <x:v>Exp. 8</x:v>
      </x:c>
      <x:c r="C2376" s="18" t="n">
        <x:v>1016</x:v>
      </x:c>
      <x:c r="D2376" s="3" t="str">
        <x:v>Full</x:v>
      </x:c>
      <x:c r="E2376" s="18" t="n">
        <x:v>200</x:v>
      </x:c>
      <x:c r="F2376" s="21" t="n">
        <x:v>567.0865506791869</x:v>
      </x:c>
      <x:c r="G2376" s="21" t="str">
        <x:f>""</x:f>
      </x:c>
      <x:c r="H2376" s="21" t="n">
        <x:f>F2376</x:f>
        <x:v>567.0865506791869</x:v>
      </x:c>
      <x:c r="I2376" s="27" t="str">
        <x:f>IF(AND(ISNUMBER(G2376),ISNUMBER(H2376),H2376&gt;0),G2376/H2376-1,"")</x:f>
      </x:c>
      <x:c r="J2376" s="27" t="str">
        <x:f>IF(AND(ISNUMBER(G2376),F2376&gt;0),G2376/F2376-1,"")</x:f>
      </x:c>
      <x:c r="K2376" s="19" t="str">
        <x:v>Exp_8/EXP071/results/seed1016_Full.json</x:v>
      </x:c>
    </x:row>
    <x:row r="2377" ht="15" hidden="0" customHeight="1">
      <x:c r="A2377" s="3" t="str">
        <x:v>EXP071</x:v>
      </x:c>
      <x:c r="B2377" s="3" t="str">
        <x:v>Exp. 8</x:v>
      </x:c>
      <x:c r="C2377" s="18" t="n">
        <x:v>1016</x:v>
      </x:c>
      <x:c r="D2377" s="3" t="str">
        <x:v>Relative cutoff 1e-2</x:v>
      </x:c>
      <x:c r="E2377" s="18" t="n">
        <x:v>200</x:v>
      </x:c>
      <x:c r="F2377" s="21" t="n">
        <x:v>599.1091089611772</x:v>
      </x:c>
      <x:c r="G2377" s="21" t="str">
        <x:f>""</x:f>
      </x:c>
      <x:c r="H2377" s="21" t="n">
        <x:f>F2376</x:f>
        <x:v>567.0865506791869</x:v>
      </x:c>
      <x:c r="I2377" s="27" t="str">
        <x:f>IF(AND(ISNUMBER(G2377),ISNUMBER(H2377),H2377&gt;0),G2377/H2377-1,"")</x:f>
      </x:c>
      <x:c r="J2377" s="27" t="str">
        <x:f>IF(AND(ISNUMBER(G2377),F2377&gt;0),G2377/F2377-1,"")</x:f>
      </x:c>
      <x:c r="K2377" s="19" t="str">
        <x:v>Exp_8/EXP071/results/seed1016_Relative_cutoff_1e-2.json</x:v>
      </x:c>
    </x:row>
    <x:row r="2378" ht="15" hidden="0" customHeight="1">
      <x:c r="A2378" s="3" t="str">
        <x:v>EXP071</x:v>
      </x:c>
      <x:c r="B2378" s="3" t="str">
        <x:v>Exp. 8</x:v>
      </x:c>
      <x:c r="C2378" s="18" t="n">
        <x:v>1017</x:v>
      </x:c>
      <x:c r="D2378" s="3" t="str">
        <x:v>Fixed rank 10</x:v>
      </x:c>
      <x:c r="E2378" s="18" t="n">
        <x:v>200</x:v>
      </x:c>
      <x:c r="F2378" s="21" t="n">
        <x:v>691.579419394307</x:v>
      </x:c>
      <x:c r="G2378" s="21" t="str">
        <x:f>""</x:f>
      </x:c>
      <x:c r="H2378" s="21" t="n">
        <x:f>F2381</x:f>
        <x:v>691.579419394307</x:v>
      </x:c>
      <x:c r="I2378" s="27" t="str">
        <x:f>IF(AND(ISNUMBER(G2378),ISNUMBER(H2378),H2378&gt;0),G2378/H2378-1,"")</x:f>
      </x:c>
      <x:c r="J2378" s="27" t="str">
        <x:f>IF(AND(ISNUMBER(G2378),F2378&gt;0),G2378/F2378-1,"")</x:f>
      </x:c>
      <x:c r="K2378" s="19" t="str">
        <x:v>Exp_8/EXP071/results/seed1017_Fixed_rank_10.json</x:v>
      </x:c>
    </x:row>
    <x:row r="2379" ht="15" hidden="0" customHeight="1">
      <x:c r="A2379" s="3" t="str">
        <x:v>EXP071</x:v>
      </x:c>
      <x:c r="B2379" s="3" t="str">
        <x:v>Exp. 8</x:v>
      </x:c>
      <x:c r="C2379" s="18" t="n">
        <x:v>1017</x:v>
      </x:c>
      <x:c r="D2379" s="3" t="str">
        <x:v>Fixed rank 3</x:v>
      </x:c>
      <x:c r="E2379" s="18" t="n">
        <x:v>200</x:v>
      </x:c>
      <x:c r="F2379" s="21" t="n">
        <x:v>673.4935899148011</x:v>
      </x:c>
      <x:c r="G2379" s="21" t="str">
        <x:f>""</x:f>
      </x:c>
      <x:c r="H2379" s="21" t="n">
        <x:f>F2381</x:f>
        <x:v>691.579419394307</x:v>
      </x:c>
      <x:c r="I2379" s="27" t="str">
        <x:f>IF(AND(ISNUMBER(G2379),ISNUMBER(H2379),H2379&gt;0),G2379/H2379-1,"")</x:f>
      </x:c>
      <x:c r="J2379" s="27" t="str">
        <x:f>IF(AND(ISNUMBER(G2379),F2379&gt;0),G2379/F2379-1,"")</x:f>
      </x:c>
      <x:c r="K2379" s="19" t="str">
        <x:v>Exp_8/EXP071/results/seed1017_Fixed_rank_3.json</x:v>
      </x:c>
    </x:row>
    <x:row r="2380" ht="15" hidden="0" customHeight="1">
      <x:c r="A2380" s="3" t="str">
        <x:v>EXP071</x:v>
      </x:c>
      <x:c r="B2380" s="3" t="str">
        <x:v>Exp. 8</x:v>
      </x:c>
      <x:c r="C2380" s="18" t="n">
        <x:v>1017</x:v>
      </x:c>
      <x:c r="D2380" s="3" t="str">
        <x:v>Fixed rank 5</x:v>
      </x:c>
      <x:c r="E2380" s="18" t="n">
        <x:v>200</x:v>
      </x:c>
      <x:c r="F2380" s="21" t="n">
        <x:v>691.579419394307</x:v>
      </x:c>
      <x:c r="G2380" s="21" t="str">
        <x:f>""</x:f>
      </x:c>
      <x:c r="H2380" s="21" t="n">
        <x:f>F2381</x:f>
        <x:v>691.579419394307</x:v>
      </x:c>
      <x:c r="I2380" s="27" t="str">
        <x:f>IF(AND(ISNUMBER(G2380),ISNUMBER(H2380),H2380&gt;0),G2380/H2380-1,"")</x:f>
      </x:c>
      <x:c r="J2380" s="27" t="str">
        <x:f>IF(AND(ISNUMBER(G2380),F2380&gt;0),G2380/F2380-1,"")</x:f>
      </x:c>
      <x:c r="K2380" s="19" t="str">
        <x:v>Exp_8/EXP071/results/seed1017_Fixed_rank_5.json</x:v>
      </x:c>
    </x:row>
    <x:row r="2381" ht="15" hidden="0" customHeight="1">
      <x:c r="A2381" s="3" t="str">
        <x:v>EXP071</x:v>
      </x:c>
      <x:c r="B2381" s="3" t="str">
        <x:v>Exp. 8</x:v>
      </x:c>
      <x:c r="C2381" s="18" t="n">
        <x:v>1017</x:v>
      </x:c>
      <x:c r="D2381" s="3" t="str">
        <x:v>Full</x:v>
      </x:c>
      <x:c r="E2381" s="18" t="n">
        <x:v>200</x:v>
      </x:c>
      <x:c r="F2381" s="21" t="n">
        <x:v>691.579419394307</x:v>
      </x:c>
      <x:c r="G2381" s="21" t="str">
        <x:f>""</x:f>
      </x:c>
      <x:c r="H2381" s="21" t="n">
        <x:f>F2381</x:f>
        <x:v>691.579419394307</x:v>
      </x:c>
      <x:c r="I2381" s="27" t="str">
        <x:f>IF(AND(ISNUMBER(G2381),ISNUMBER(H2381),H2381&gt;0),G2381/H2381-1,"")</x:f>
      </x:c>
      <x:c r="J2381" s="27" t="str">
        <x:f>IF(AND(ISNUMBER(G2381),F2381&gt;0),G2381/F2381-1,"")</x:f>
      </x:c>
      <x:c r="K2381" s="19" t="str">
        <x:v>Exp_8/EXP071/results/seed1017_Full.json</x:v>
      </x:c>
    </x:row>
    <x:row r="2382" ht="15" hidden="0" customHeight="1">
      <x:c r="A2382" s="3" t="str">
        <x:v>EXP071</x:v>
      </x:c>
      <x:c r="B2382" s="3" t="str">
        <x:v>Exp. 8</x:v>
      </x:c>
      <x:c r="C2382" s="18" t="n">
        <x:v>1017</x:v>
      </x:c>
      <x:c r="D2382" s="3" t="str">
        <x:v>Relative cutoff 1e-2</x:v>
      </x:c>
      <x:c r="E2382" s="18" t="n">
        <x:v>200</x:v>
      </x:c>
      <x:c r="F2382" s="21" t="n">
        <x:v>673.4935899148011</x:v>
      </x:c>
      <x:c r="G2382" s="21" t="str">
        <x:f>""</x:f>
      </x:c>
      <x:c r="H2382" s="21" t="n">
        <x:f>F2381</x:f>
        <x:v>691.579419394307</x:v>
      </x:c>
      <x:c r="I2382" s="27" t="str">
        <x:f>IF(AND(ISNUMBER(G2382),ISNUMBER(H2382),H2382&gt;0),G2382/H2382-1,"")</x:f>
      </x:c>
      <x:c r="J2382" s="27" t="str">
        <x:f>IF(AND(ISNUMBER(G2382),F2382&gt;0),G2382/F2382-1,"")</x:f>
      </x:c>
      <x:c r="K2382" s="19" t="str">
        <x:v>Exp_8/EXP071/results/seed1017_Relative_cutoff_1e-2.json</x:v>
      </x:c>
    </x:row>
    <x:row r="2383" ht="15" hidden="0" customHeight="1">
      <x:c r="A2383" s="3" t="str">
        <x:v>EXP071</x:v>
      </x:c>
      <x:c r="B2383" s="3" t="str">
        <x:v>Exp. 8</x:v>
      </x:c>
      <x:c r="C2383" s="18" t="n">
        <x:v>1018</x:v>
      </x:c>
      <x:c r="D2383" s="3" t="str">
        <x:v>Fixed rank 10</x:v>
      </x:c>
      <x:c r="E2383" s="18" t="n">
        <x:v>200</x:v>
      </x:c>
      <x:c r="F2383" s="21" t="n">
        <x:v>664.6882272999835</x:v>
      </x:c>
      <x:c r="G2383" s="21" t="str">
        <x:f>""</x:f>
      </x:c>
      <x:c r="H2383" s="21" t="n">
        <x:f>F2386</x:f>
        <x:v>672.2510019150322</x:v>
      </x:c>
      <x:c r="I2383" s="27" t="str">
        <x:f>IF(AND(ISNUMBER(G2383),ISNUMBER(H2383),H2383&gt;0),G2383/H2383-1,"")</x:f>
      </x:c>
      <x:c r="J2383" s="27" t="str">
        <x:f>IF(AND(ISNUMBER(G2383),F2383&gt;0),G2383/F2383-1,"")</x:f>
      </x:c>
      <x:c r="K2383" s="19" t="str">
        <x:v>Exp_8/EXP071/results/seed1018_Fixed_rank_10.json</x:v>
      </x:c>
    </x:row>
    <x:row r="2384" ht="15" hidden="0" customHeight="1">
      <x:c r="A2384" s="3" t="str">
        <x:v>EXP071</x:v>
      </x:c>
      <x:c r="B2384" s="3" t="str">
        <x:v>Exp. 8</x:v>
      </x:c>
      <x:c r="C2384" s="18" t="n">
        <x:v>1018</x:v>
      </x:c>
      <x:c r="D2384" s="3" t="str">
        <x:v>Fixed rank 3</x:v>
      </x:c>
      <x:c r="E2384" s="18" t="n">
        <x:v>200</x:v>
      </x:c>
      <x:c r="F2384" s="21" t="n">
        <x:v>664.6882272999835</x:v>
      </x:c>
      <x:c r="G2384" s="21" t="str">
        <x:f>""</x:f>
      </x:c>
      <x:c r="H2384" s="21" t="n">
        <x:f>F2386</x:f>
        <x:v>672.2510019150322</x:v>
      </x:c>
      <x:c r="I2384" s="27" t="str">
        <x:f>IF(AND(ISNUMBER(G2384),ISNUMBER(H2384),H2384&gt;0),G2384/H2384-1,"")</x:f>
      </x:c>
      <x:c r="J2384" s="27" t="str">
        <x:f>IF(AND(ISNUMBER(G2384),F2384&gt;0),G2384/F2384-1,"")</x:f>
      </x:c>
      <x:c r="K2384" s="19" t="str">
        <x:v>Exp_8/EXP071/results/seed1018_Fixed_rank_3.json</x:v>
      </x:c>
    </x:row>
    <x:row r="2385" ht="15" hidden="0" customHeight="1">
      <x:c r="A2385" s="3" t="str">
        <x:v>EXP071</x:v>
      </x:c>
      <x:c r="B2385" s="3" t="str">
        <x:v>Exp. 8</x:v>
      </x:c>
      <x:c r="C2385" s="18" t="n">
        <x:v>1018</x:v>
      </x:c>
      <x:c r="D2385" s="3" t="str">
        <x:v>Fixed rank 5</x:v>
      </x:c>
      <x:c r="E2385" s="18" t="n">
        <x:v>200</x:v>
      </x:c>
      <x:c r="F2385" s="21" t="n">
        <x:v>694.6373584838637</x:v>
      </x:c>
      <x:c r="G2385" s="21" t="str">
        <x:f>""</x:f>
      </x:c>
      <x:c r="H2385" s="21" t="n">
        <x:f>F2386</x:f>
        <x:v>672.2510019150322</x:v>
      </x:c>
      <x:c r="I2385" s="27" t="str">
        <x:f>IF(AND(ISNUMBER(G2385),ISNUMBER(H2385),H2385&gt;0),G2385/H2385-1,"")</x:f>
      </x:c>
      <x:c r="J2385" s="27" t="str">
        <x:f>IF(AND(ISNUMBER(G2385),F2385&gt;0),G2385/F2385-1,"")</x:f>
      </x:c>
      <x:c r="K2385" s="19" t="str">
        <x:v>Exp_8/EXP071/results/seed1018_Fixed_rank_5.json</x:v>
      </x:c>
    </x:row>
    <x:row r="2386" ht="15" hidden="0" customHeight="1">
      <x:c r="A2386" s="3" t="str">
        <x:v>EXP071</x:v>
      </x:c>
      <x:c r="B2386" s="3" t="str">
        <x:v>Exp. 8</x:v>
      </x:c>
      <x:c r="C2386" s="18" t="n">
        <x:v>1018</x:v>
      </x:c>
      <x:c r="D2386" s="3" t="str">
        <x:v>Full</x:v>
      </x:c>
      <x:c r="E2386" s="18" t="n">
        <x:v>200</x:v>
      </x:c>
      <x:c r="F2386" s="21" t="n">
        <x:v>672.2510019150322</x:v>
      </x:c>
      <x:c r="G2386" s="21" t="str">
        <x:f>""</x:f>
      </x:c>
      <x:c r="H2386" s="21" t="n">
        <x:f>F2386</x:f>
        <x:v>672.2510019150322</x:v>
      </x:c>
      <x:c r="I2386" s="27" t="str">
        <x:f>IF(AND(ISNUMBER(G2386),ISNUMBER(H2386),H2386&gt;0),G2386/H2386-1,"")</x:f>
      </x:c>
      <x:c r="J2386" s="27" t="str">
        <x:f>IF(AND(ISNUMBER(G2386),F2386&gt;0),G2386/F2386-1,"")</x:f>
      </x:c>
      <x:c r="K2386" s="19" t="str">
        <x:v>Exp_8/EXP071/results/seed1018_Full.json</x:v>
      </x:c>
    </x:row>
    <x:row r="2387" ht="15" hidden="0" customHeight="1">
      <x:c r="A2387" s="3" t="str">
        <x:v>EXP071</x:v>
      </x:c>
      <x:c r="B2387" s="3" t="str">
        <x:v>Exp. 8</x:v>
      </x:c>
      <x:c r="C2387" s="18" t="n">
        <x:v>1018</x:v>
      </x:c>
      <x:c r="D2387" s="3" t="str">
        <x:v>Relative cutoff 1e-2</x:v>
      </x:c>
      <x:c r="E2387" s="18" t="n">
        <x:v>200</x:v>
      </x:c>
      <x:c r="F2387" s="21" t="n">
        <x:v>679.151128795483</x:v>
      </x:c>
      <x:c r="G2387" s="21" t="str">
        <x:f>""</x:f>
      </x:c>
      <x:c r="H2387" s="21" t="n">
        <x:f>F2386</x:f>
        <x:v>672.2510019150322</x:v>
      </x:c>
      <x:c r="I2387" s="27" t="str">
        <x:f>IF(AND(ISNUMBER(G2387),ISNUMBER(H2387),H2387&gt;0),G2387/H2387-1,"")</x:f>
      </x:c>
      <x:c r="J2387" s="27" t="str">
        <x:f>IF(AND(ISNUMBER(G2387),F2387&gt;0),G2387/F2387-1,"")</x:f>
      </x:c>
      <x:c r="K2387" s="19" t="str">
        <x:v>Exp_8/EXP071/results/seed1018_Relative_cutoff_1e-2.json</x:v>
      </x:c>
    </x:row>
    <x:row r="2388" ht="15" hidden="0" customHeight="1">
      <x:c r="A2388" s="3" t="str">
        <x:v>EXP071</x:v>
      </x:c>
      <x:c r="B2388" s="3" t="str">
        <x:v>Exp. 8</x:v>
      </x:c>
      <x:c r="C2388" s="18" t="n">
        <x:v>1019</x:v>
      </x:c>
      <x:c r="D2388" s="3" t="str">
        <x:v>Fixed rank 10</x:v>
      </x:c>
      <x:c r="E2388" s="18" t="n">
        <x:v>200</x:v>
      </x:c>
      <x:c r="F2388" s="21" t="n">
        <x:v>654.0533818543385</x:v>
      </x:c>
      <x:c r="G2388" s="21" t="str">
        <x:f>""</x:f>
      </x:c>
      <x:c r="H2388" s="21" t="n">
        <x:f>F2391</x:f>
        <x:v>670.2443747228068</x:v>
      </x:c>
      <x:c r="I2388" s="27" t="str">
        <x:f>IF(AND(ISNUMBER(G2388),ISNUMBER(H2388),H2388&gt;0),G2388/H2388-1,"")</x:f>
      </x:c>
      <x:c r="J2388" s="27" t="str">
        <x:f>IF(AND(ISNUMBER(G2388),F2388&gt;0),G2388/F2388-1,"")</x:f>
      </x:c>
      <x:c r="K2388" s="19" t="str">
        <x:v>Exp_8/EXP071/results/seed1019_Fixed_rank_10.json</x:v>
      </x:c>
    </x:row>
    <x:row r="2389" ht="15" hidden="0" customHeight="1">
      <x:c r="A2389" s="3" t="str">
        <x:v>EXP071</x:v>
      </x:c>
      <x:c r="B2389" s="3" t="str">
        <x:v>Exp. 8</x:v>
      </x:c>
      <x:c r="C2389" s="18" t="n">
        <x:v>1019</x:v>
      </x:c>
      <x:c r="D2389" s="3" t="str">
        <x:v>Fixed rank 3</x:v>
      </x:c>
      <x:c r="E2389" s="18" t="n">
        <x:v>200</x:v>
      </x:c>
      <x:c r="F2389" s="21" t="n">
        <x:v>659.6900802669813</x:v>
      </x:c>
      <x:c r="G2389" s="21" t="str">
        <x:f>""</x:f>
      </x:c>
      <x:c r="H2389" s="21" t="n">
        <x:f>F2391</x:f>
        <x:v>670.2443747228068</x:v>
      </x:c>
      <x:c r="I2389" s="27" t="str">
        <x:f>IF(AND(ISNUMBER(G2389),ISNUMBER(H2389),H2389&gt;0),G2389/H2389-1,"")</x:f>
      </x:c>
      <x:c r="J2389" s="27" t="str">
        <x:f>IF(AND(ISNUMBER(G2389),F2389&gt;0),G2389/F2389-1,"")</x:f>
      </x:c>
      <x:c r="K2389" s="19" t="str">
        <x:v>Exp_8/EXP071/results/seed1019_Fixed_rank_3.json</x:v>
      </x:c>
    </x:row>
    <x:row r="2390" ht="15" hidden="0" customHeight="1">
      <x:c r="A2390" s="3" t="str">
        <x:v>EXP071</x:v>
      </x:c>
      <x:c r="B2390" s="3" t="str">
        <x:v>Exp. 8</x:v>
      </x:c>
      <x:c r="C2390" s="18" t="n">
        <x:v>1019</x:v>
      </x:c>
      <x:c r="D2390" s="3" t="str">
        <x:v>Fixed rank 5</x:v>
      </x:c>
      <x:c r="E2390" s="18" t="n">
        <x:v>200</x:v>
      </x:c>
      <x:c r="F2390" s="21" t="n">
        <x:v>632.3273715069108</x:v>
      </x:c>
      <x:c r="G2390" s="21" t="str">
        <x:f>""</x:f>
      </x:c>
      <x:c r="H2390" s="21" t="n">
        <x:f>F2391</x:f>
        <x:v>670.2443747228068</x:v>
      </x:c>
      <x:c r="I2390" s="27" t="str">
        <x:f>IF(AND(ISNUMBER(G2390),ISNUMBER(H2390),H2390&gt;0),G2390/H2390-1,"")</x:f>
      </x:c>
      <x:c r="J2390" s="27" t="str">
        <x:f>IF(AND(ISNUMBER(G2390),F2390&gt;0),G2390/F2390-1,"")</x:f>
      </x:c>
      <x:c r="K2390" s="19" t="str">
        <x:v>Exp_8/EXP071/results/seed1019_Fixed_rank_5.json</x:v>
      </x:c>
    </x:row>
    <x:row r="2391" ht="15" hidden="0" customHeight="1">
      <x:c r="A2391" s="3" t="str">
        <x:v>EXP071</x:v>
      </x:c>
      <x:c r="B2391" s="3" t="str">
        <x:v>Exp. 8</x:v>
      </x:c>
      <x:c r="C2391" s="18" t="n">
        <x:v>1019</x:v>
      </x:c>
      <x:c r="D2391" s="3" t="str">
        <x:v>Full</x:v>
      </x:c>
      <x:c r="E2391" s="18" t="n">
        <x:v>200</x:v>
      </x:c>
      <x:c r="F2391" s="21" t="n">
        <x:v>670.2443747228068</x:v>
      </x:c>
      <x:c r="G2391" s="21" t="str">
        <x:f>""</x:f>
      </x:c>
      <x:c r="H2391" s="21" t="n">
        <x:f>F2391</x:f>
        <x:v>670.2443747228068</x:v>
      </x:c>
      <x:c r="I2391" s="27" t="str">
        <x:f>IF(AND(ISNUMBER(G2391),ISNUMBER(H2391),H2391&gt;0),G2391/H2391-1,"")</x:f>
      </x:c>
      <x:c r="J2391" s="27" t="str">
        <x:f>IF(AND(ISNUMBER(G2391),F2391&gt;0),G2391/F2391-1,"")</x:f>
      </x:c>
      <x:c r="K2391" s="19" t="str">
        <x:v>Exp_8/EXP071/results/seed1019_Full.json</x:v>
      </x:c>
    </x:row>
    <x:row r="2392" ht="15" hidden="0" customHeight="1">
      <x:c r="A2392" s="3" t="str">
        <x:v>EXP071</x:v>
      </x:c>
      <x:c r="B2392" s="3" t="str">
        <x:v>Exp. 8</x:v>
      </x:c>
      <x:c r="C2392" s="18" t="n">
        <x:v>1019</x:v>
      </x:c>
      <x:c r="D2392" s="3" t="str">
        <x:v>Relative cutoff 1e-2</x:v>
      </x:c>
      <x:c r="E2392" s="18" t="n">
        <x:v>200</x:v>
      </x:c>
      <x:c r="F2392" s="21" t="n">
        <x:v>625.1753035921711</x:v>
      </x:c>
      <x:c r="G2392" s="21" t="str">
        <x:f>""</x:f>
      </x:c>
      <x:c r="H2392" s="21" t="n">
        <x:f>F2391</x:f>
        <x:v>670.2443747228068</x:v>
      </x:c>
      <x:c r="I2392" s="27" t="str">
        <x:f>IF(AND(ISNUMBER(G2392),ISNUMBER(H2392),H2392&gt;0),G2392/H2392-1,"")</x:f>
      </x:c>
      <x:c r="J2392" s="27" t="str">
        <x:f>IF(AND(ISNUMBER(G2392),F2392&gt;0),G2392/F2392-1,"")</x:f>
      </x:c>
      <x:c r="K2392" s="19" t="str">
        <x:v>Exp_8/EXP071/results/seed1019_Relative_cutoff_1e-2.json</x:v>
      </x:c>
    </x:row>
    <x:row r="2393" ht="15" hidden="0" customHeight="1">
      <x:c r="A2393" s="3" t="str">
        <x:v>EXP075</x:v>
      </x:c>
      <x:c r="B2393" s="3" t="str">
        <x:v>Exp. 9</x:v>
      </x:c>
      <x:c r="C2393" s="18" t="n">
        <x:v>20284363</x:v>
      </x:c>
      <x:c r="D2393" s="3" t="str">
        <x:v>BBP</x:v>
      </x:c>
      <x:c r="E2393" s="18" t="n">
        <x:v>200</x:v>
      </x:c>
      <x:c r="F2393" s="21" t="n">
        <x:v>429.2085068813539</x:v>
      </x:c>
      <x:c r="G2393" s="21" t="n">
        <x:f>F2393</x:f>
        <x:v>429.2085068813539</x:v>
      </x:c>
      <x:c r="H2393" s="21" t="n">
        <x:f>F2398</x:f>
        <x:v>444.3608373497083</x:v>
      </x:c>
      <x:c r="I2393" s="27" t="n">
        <x:f>IF(AND(ISNUMBER(G2393),ISNUMBER(H2393),H2393&gt;0),G2393/H2393-1,"")</x:f>
        <x:v>-0.03409915814977549</x:v>
      </x:c>
      <x:c r="J2393" s="27" t="n">
        <x:f>IF(AND(ISNUMBER(G2393),F2393&gt;0),G2393/F2393-1,"")</x:f>
        <x:v>0</x:v>
      </x:c>
      <x:c r="K2393" s="19" t="str">
        <x:v>Exp_9/EXP075/results/seed20284363_BBP.json</x:v>
      </x:c>
    </x:row>
    <x:row r="2394" ht="15" hidden="0" customHeight="1">
      <x:c r="A2394" s="3" t="str">
        <x:v>EXP075</x:v>
      </x:c>
      <x:c r="B2394" s="3" t="str">
        <x:v>Exp. 9</x:v>
      </x:c>
      <x:c r="C2394" s="18" t="n">
        <x:v>20284363</x:v>
      </x:c>
      <x:c r="D2394" s="3" t="str">
        <x:v>Relative cutoff 1e-5</x:v>
      </x:c>
      <x:c r="E2394" s="18" t="n">
        <x:v>200</x:v>
      </x:c>
      <x:c r="F2394" s="21" t="n">
        <x:v>444.3608373497083</x:v>
      </x:c>
      <x:c r="G2394" s="21" t="n">
        <x:f>F2393</x:f>
        <x:v>429.2085068813539</x:v>
      </x:c>
      <x:c r="H2394" s="21" t="n">
        <x:f>F2398</x:f>
        <x:v>444.3608373497083</x:v>
      </x:c>
      <x:c r="I2394" s="27" t="n">
        <x:f>IF(AND(ISNUMBER(G2394),ISNUMBER(H2394),H2394&gt;0),G2394/H2394-1,"")</x:f>
        <x:v>-0.03409915814977549</x:v>
      </x:c>
      <x:c r="J2394" s="27" t="n">
        <x:f>IF(AND(ISNUMBER(G2394),F2394&gt;0),G2394/F2394-1,"")</x:f>
        <x:v>-0.03409915814977549</x:v>
      </x:c>
      <x:c r="K2394" s="19" t="str">
        <x:v>Exp_9/EXP075/results/seed20284363_Relative_cutoff_1e-5.json</x:v>
      </x:c>
    </x:row>
    <x:row r="2395" ht="15" hidden="0" customHeight="1">
      <x:c r="A2395" s="3" t="str">
        <x:v>EXP075</x:v>
      </x:c>
      <x:c r="B2395" s="3" t="str">
        <x:v>Exp. 9</x:v>
      </x:c>
      <x:c r="C2395" s="18" t="n">
        <x:v>20284363</x:v>
      </x:c>
      <x:c r="D2395" s="3" t="str">
        <x:v>Fixed rank 10</x:v>
      </x:c>
      <x:c r="E2395" s="18" t="n">
        <x:v>200</x:v>
      </x:c>
      <x:c r="F2395" s="21" t="n">
        <x:v>431.572455078729</x:v>
      </x:c>
      <x:c r="G2395" s="21" t="n">
        <x:f>F2393</x:f>
        <x:v>429.2085068813539</x:v>
      </x:c>
      <x:c r="H2395" s="21" t="n">
        <x:f>F2398</x:f>
        <x:v>444.3608373497083</x:v>
      </x:c>
      <x:c r="I2395" s="27" t="n">
        <x:f>IF(AND(ISNUMBER(G2395),ISNUMBER(H2395),H2395&gt;0),G2395/H2395-1,"")</x:f>
        <x:v>-0.03409915814977549</x:v>
      </x:c>
      <x:c r="J2395" s="27" t="n">
        <x:f>IF(AND(ISNUMBER(G2395),F2395&gt;0),G2395/F2395-1,"")</x:f>
        <x:v>-0.00547752334412499</x:v>
      </x:c>
      <x:c r="K2395" s="19" t="str">
        <x:v>Exp_9/EXP075/results/seed20284363_Fixed_rank_10.json</x:v>
      </x:c>
    </x:row>
    <x:row r="2396" ht="15" hidden="0" customHeight="1">
      <x:c r="A2396" s="3" t="str">
        <x:v>EXP075</x:v>
      </x:c>
      <x:c r="B2396" s="3" t="str">
        <x:v>Exp. 9</x:v>
      </x:c>
      <x:c r="C2396" s="18" t="n">
        <x:v>20284363</x:v>
      </x:c>
      <x:c r="D2396" s="3" t="str">
        <x:v>Fixed rank 25</x:v>
      </x:c>
      <x:c r="E2396" s="18" t="n">
        <x:v>200</x:v>
      </x:c>
      <x:c r="F2396" s="21" t="n">
        <x:v>429.2085068813539</x:v>
      </x:c>
      <x:c r="G2396" s="21" t="n">
        <x:f>F2393</x:f>
        <x:v>429.2085068813539</x:v>
      </x:c>
      <x:c r="H2396" s="21" t="n">
        <x:f>F2398</x:f>
        <x:v>444.3608373497083</x:v>
      </x:c>
      <x:c r="I2396" s="27" t="n">
        <x:f>IF(AND(ISNUMBER(G2396),ISNUMBER(H2396),H2396&gt;0),G2396/H2396-1,"")</x:f>
        <x:v>-0.03409915814977549</x:v>
      </x:c>
      <x:c r="J2396" s="27" t="n">
        <x:f>IF(AND(ISNUMBER(G2396),F2396&gt;0),G2396/F2396-1,"")</x:f>
        <x:v>0</x:v>
      </x:c>
      <x:c r="K2396" s="19" t="str">
        <x:v>Exp_9/EXP075/results/seed20284363_Fixed_rank_25.json</x:v>
      </x:c>
    </x:row>
    <x:row r="2397" ht="15" hidden="0" customHeight="1">
      <x:c r="A2397" s="3" t="str">
        <x:v>EXP075</x:v>
      </x:c>
      <x:c r="B2397" s="3" t="str">
        <x:v>Exp. 9</x:v>
      </x:c>
      <x:c r="C2397" s="18" t="n">
        <x:v>20284363</x:v>
      </x:c>
      <x:c r="D2397" s="3" t="str">
        <x:v>Relative cutoff 1e-6</x:v>
      </x:c>
      <x:c r="E2397" s="18" t="n">
        <x:v>200</x:v>
      </x:c>
      <x:c r="F2397" s="21" t="n">
        <x:v>444.3608373497083</x:v>
      </x:c>
      <x:c r="G2397" s="21" t="n">
        <x:f>F2393</x:f>
        <x:v>429.2085068813539</x:v>
      </x:c>
      <x:c r="H2397" s="21" t="n">
        <x:f>F2398</x:f>
        <x:v>444.3608373497083</x:v>
      </x:c>
      <x:c r="I2397" s="27" t="n">
        <x:f>IF(AND(ISNUMBER(G2397),ISNUMBER(H2397),H2397&gt;0),G2397/H2397-1,"")</x:f>
        <x:v>-0.03409915814977549</x:v>
      </x:c>
      <x:c r="J2397" s="27" t="n">
        <x:f>IF(AND(ISNUMBER(G2397),F2397&gt;0),G2397/F2397-1,"")</x:f>
        <x:v>-0.03409915814977549</x:v>
      </x:c>
      <x:c r="K2397" s="19" t="str">
        <x:v>Exp_9/EXP075/results/seed20284363_Relative_cutoff_1e-6.json</x:v>
      </x:c>
    </x:row>
    <x:row r="2398" ht="15" hidden="0" customHeight="1">
      <x:c r="A2398" s="3" t="str">
        <x:v>EXP075</x:v>
      </x:c>
      <x:c r="B2398" s="3" t="str">
        <x:v>Exp. 9</x:v>
      </x:c>
      <x:c r="C2398" s="18" t="n">
        <x:v>20284363</x:v>
      </x:c>
      <x:c r="D2398" s="3" t="str">
        <x:v>Full</x:v>
      </x:c>
      <x:c r="E2398" s="18" t="n">
        <x:v>200</x:v>
      </x:c>
      <x:c r="F2398" s="21" t="n">
        <x:v>444.3608373497083</x:v>
      </x:c>
      <x:c r="G2398" s="21" t="n">
        <x:f>F2393</x:f>
        <x:v>429.2085068813539</x:v>
      </x:c>
      <x:c r="H2398" s="21" t="n">
        <x:f>F2398</x:f>
        <x:v>444.3608373497083</x:v>
      </x:c>
      <x:c r="I2398" s="27" t="n">
        <x:f>IF(AND(ISNUMBER(G2398),ISNUMBER(H2398),H2398&gt;0),G2398/H2398-1,"")</x:f>
        <x:v>-0.03409915814977549</x:v>
      </x:c>
      <x:c r="J2398" s="27" t="n">
        <x:f>IF(AND(ISNUMBER(G2398),F2398&gt;0),G2398/F2398-1,"")</x:f>
        <x:v>-0.03409915814977549</x:v>
      </x:c>
      <x:c r="K2398" s="19" t="str">
        <x:v>Exp_9/EXP075/results/seed20284363_Full.json</x:v>
      </x:c>
    </x:row>
    <x:row r="2399" ht="15" hidden="0" customHeight="1">
      <x:c r="A2399" s="3" t="str">
        <x:v>EXP075</x:v>
      </x:c>
      <x:c r="B2399" s="3" t="str">
        <x:v>Exp. 9</x:v>
      </x:c>
      <x:c r="C2399" s="18" t="n">
        <x:v>20284363</x:v>
      </x:c>
      <x:c r="D2399" s="3" t="str">
        <x:v>Relative cutoff 1e-2</x:v>
      </x:c>
      <x:c r="E2399" s="18" t="n">
        <x:v>200</x:v>
      </x:c>
      <x:c r="F2399" s="21" t="n">
        <x:v>409.4530265439975</x:v>
      </x:c>
      <x:c r="G2399" s="21" t="n">
        <x:f>F2393</x:f>
        <x:v>429.2085068813539</x:v>
      </x:c>
      <x:c r="H2399" s="21" t="n">
        <x:f>F2398</x:f>
        <x:v>444.3608373497083</x:v>
      </x:c>
      <x:c r="I2399" s="27" t="n">
        <x:f>IF(AND(ISNUMBER(G2399),ISNUMBER(H2399),H2399&gt;0),G2399/H2399-1,"")</x:f>
        <x:v>-0.03409915814977549</x:v>
      </x:c>
      <x:c r="J2399" s="27" t="n">
        <x:f>IF(AND(ISNUMBER(G2399),F2399&gt;0),G2399/F2399-1,"")</x:f>
        <x:v>0.04824846577421393</x:v>
      </x:c>
      <x:c r="K2399" s="19" t="str">
        <x:v>Exp_9/EXP075/results/seed20284363_Relative_cutoff_1e-2.json</x:v>
      </x:c>
    </x:row>
    <x:row r="2400" ht="15" hidden="0" customHeight="1">
      <x:c r="A2400" s="3" t="str">
        <x:v>EXP075</x:v>
      </x:c>
      <x:c r="B2400" s="3" t="str">
        <x:v>Exp. 9</x:v>
      </x:c>
      <x:c r="C2400" s="18" t="n">
        <x:v>20284363</x:v>
      </x:c>
      <x:c r="D2400" s="3" t="str">
        <x:v>Relative cutoff 1e-4</x:v>
      </x:c>
      <x:c r="E2400" s="18" t="n">
        <x:v>200</x:v>
      </x:c>
      <x:c r="F2400" s="21" t="n">
        <x:v>431.572455078729</x:v>
      </x:c>
      <x:c r="G2400" s="21" t="n">
        <x:f>F2393</x:f>
        <x:v>429.2085068813539</x:v>
      </x:c>
      <x:c r="H2400" s="21" t="n">
        <x:f>F2398</x:f>
        <x:v>444.3608373497083</x:v>
      </x:c>
      <x:c r="I2400" s="27" t="n">
        <x:f>IF(AND(ISNUMBER(G2400),ISNUMBER(H2400),H2400&gt;0),G2400/H2400-1,"")</x:f>
        <x:v>-0.03409915814977549</x:v>
      </x:c>
      <x:c r="J2400" s="27" t="n">
        <x:f>IF(AND(ISNUMBER(G2400),F2400&gt;0),G2400/F2400-1,"")</x:f>
        <x:v>-0.00547752334412499</x:v>
      </x:c>
      <x:c r="K2400" s="19" t="str">
        <x:v>Exp_9/EXP075/results/seed20284363_Relative_cutoff_1e-4.json</x:v>
      </x:c>
    </x:row>
    <x:row r="2401" ht="15" hidden="0" customHeight="1">
      <x:c r="A2401" s="3" t="str">
        <x:v>EXP075</x:v>
      </x:c>
      <x:c r="B2401" s="3" t="str">
        <x:v>Exp. 9</x:v>
      </x:c>
      <x:c r="C2401" s="18" t="n">
        <x:v>151801615</x:v>
      </x:c>
      <x:c r="D2401" s="3" t="str">
        <x:v>BBP</x:v>
      </x:c>
      <x:c r="E2401" s="18" t="n">
        <x:v>200</x:v>
      </x:c>
      <x:c r="F2401" s="21" t="n">
        <x:v>404.5945222007262</x:v>
      </x:c>
      <x:c r="G2401" s="21" t="n">
        <x:f>F2401</x:f>
        <x:v>404.5945222007262</x:v>
      </x:c>
      <x:c r="H2401" s="21" t="n">
        <x:f>F2406</x:f>
        <x:v>404.5945222007262</x:v>
      </x:c>
      <x:c r="I2401" s="27" t="n">
        <x:f>IF(AND(ISNUMBER(G2401),ISNUMBER(H2401),H2401&gt;0),G2401/H2401-1,"")</x:f>
        <x:v>0</x:v>
      </x:c>
      <x:c r="J2401" s="27" t="n">
        <x:f>IF(AND(ISNUMBER(G2401),F2401&gt;0),G2401/F2401-1,"")</x:f>
        <x:v>0</x:v>
      </x:c>
      <x:c r="K2401" s="19" t="str">
        <x:v>Exp_9/EXP075/results/seed151801615_BBP.json</x:v>
      </x:c>
    </x:row>
    <x:row r="2402" ht="15" hidden="0" customHeight="1">
      <x:c r="A2402" s="3" t="str">
        <x:v>EXP075</x:v>
      </x:c>
      <x:c r="B2402" s="3" t="str">
        <x:v>Exp. 9</x:v>
      </x:c>
      <x:c r="C2402" s="18" t="n">
        <x:v>151801615</x:v>
      </x:c>
      <x:c r="D2402" s="3" t="str">
        <x:v>Relative cutoff 1e-5</x:v>
      </x:c>
      <x:c r="E2402" s="18" t="n">
        <x:v>200</x:v>
      </x:c>
      <x:c r="F2402" s="21" t="n">
        <x:v>404.5945222007262</x:v>
      </x:c>
      <x:c r="G2402" s="21" t="n">
        <x:f>F2401</x:f>
        <x:v>404.5945222007262</x:v>
      </x:c>
      <x:c r="H2402" s="21" t="n">
        <x:f>F2406</x:f>
        <x:v>404.5945222007262</x:v>
      </x:c>
      <x:c r="I2402" s="27" t="n">
        <x:f>IF(AND(ISNUMBER(G2402),ISNUMBER(H2402),H2402&gt;0),G2402/H2402-1,"")</x:f>
        <x:v>0</x:v>
      </x:c>
      <x:c r="J2402" s="27" t="n">
        <x:f>IF(AND(ISNUMBER(G2402),F2402&gt;0),G2402/F2402-1,"")</x:f>
        <x:v>0</x:v>
      </x:c>
      <x:c r="K2402" s="19" t="str">
        <x:v>Exp_9/EXP075/results/seed151801615_Relative_cutoff_1e-5.json</x:v>
      </x:c>
    </x:row>
    <x:row r="2403" ht="15" hidden="0" customHeight="1">
      <x:c r="A2403" s="3" t="str">
        <x:v>EXP075</x:v>
      </x:c>
      <x:c r="B2403" s="3" t="str">
        <x:v>Exp. 9</x:v>
      </x:c>
      <x:c r="C2403" s="18" t="n">
        <x:v>151801615</x:v>
      </x:c>
      <x:c r="D2403" s="3" t="str">
        <x:v>Fixed rank 10</x:v>
      </x:c>
      <x:c r="E2403" s="18" t="n">
        <x:v>200</x:v>
      </x:c>
      <x:c r="F2403" s="21" t="n">
        <x:v>404.5945222007262</x:v>
      </x:c>
      <x:c r="G2403" s="21" t="n">
        <x:f>F2401</x:f>
        <x:v>404.5945222007262</x:v>
      </x:c>
      <x:c r="H2403" s="21" t="n">
        <x:f>F2406</x:f>
        <x:v>404.5945222007262</x:v>
      </x:c>
      <x:c r="I2403" s="27" t="n">
        <x:f>IF(AND(ISNUMBER(G2403),ISNUMBER(H2403),H2403&gt;0),G2403/H2403-1,"")</x:f>
        <x:v>0</x:v>
      </x:c>
      <x:c r="J2403" s="27" t="n">
        <x:f>IF(AND(ISNUMBER(G2403),F2403&gt;0),G2403/F2403-1,"")</x:f>
        <x:v>0</x:v>
      </x:c>
      <x:c r="K2403" s="19" t="str">
        <x:v>Exp_9/EXP075/results/seed151801615_Fixed_rank_10.json</x:v>
      </x:c>
    </x:row>
    <x:row r="2404" ht="15" hidden="0" customHeight="1">
      <x:c r="A2404" s="3" t="str">
        <x:v>EXP075</x:v>
      </x:c>
      <x:c r="B2404" s="3" t="str">
        <x:v>Exp. 9</x:v>
      </x:c>
      <x:c r="C2404" s="18" t="n">
        <x:v>151801615</x:v>
      </x:c>
      <x:c r="D2404" s="3" t="str">
        <x:v>Fixed rank 25</x:v>
      </x:c>
      <x:c r="E2404" s="18" t="n">
        <x:v>200</x:v>
      </x:c>
      <x:c r="F2404" s="21" t="n">
        <x:v>404.5945222007262</x:v>
      </x:c>
      <x:c r="G2404" s="21" t="n">
        <x:f>F2401</x:f>
        <x:v>404.5945222007262</x:v>
      </x:c>
      <x:c r="H2404" s="21" t="n">
        <x:f>F2406</x:f>
        <x:v>404.5945222007262</x:v>
      </x:c>
      <x:c r="I2404" s="27" t="n">
        <x:f>IF(AND(ISNUMBER(G2404),ISNUMBER(H2404),H2404&gt;0),G2404/H2404-1,"")</x:f>
        <x:v>0</x:v>
      </x:c>
      <x:c r="J2404" s="27" t="n">
        <x:f>IF(AND(ISNUMBER(G2404),F2404&gt;0),G2404/F2404-1,"")</x:f>
        <x:v>0</x:v>
      </x:c>
      <x:c r="K2404" s="19" t="str">
        <x:v>Exp_9/EXP075/results/seed151801615_Fixed_rank_25.json</x:v>
      </x:c>
    </x:row>
    <x:row r="2405" ht="15" hidden="0" customHeight="1">
      <x:c r="A2405" s="3" t="str">
        <x:v>EXP075</x:v>
      </x:c>
      <x:c r="B2405" s="3" t="str">
        <x:v>Exp. 9</x:v>
      </x:c>
      <x:c r="C2405" s="18" t="n">
        <x:v>151801615</x:v>
      </x:c>
      <x:c r="D2405" s="3" t="str">
        <x:v>Relative cutoff 1e-6</x:v>
      </x:c>
      <x:c r="E2405" s="18" t="n">
        <x:v>200</x:v>
      </x:c>
      <x:c r="F2405" s="21" t="n">
        <x:v>404.5945222007262</x:v>
      </x:c>
      <x:c r="G2405" s="21" t="n">
        <x:f>F2401</x:f>
        <x:v>404.5945222007262</x:v>
      </x:c>
      <x:c r="H2405" s="21" t="n">
        <x:f>F2406</x:f>
        <x:v>404.5945222007262</x:v>
      </x:c>
      <x:c r="I2405" s="27" t="n">
        <x:f>IF(AND(ISNUMBER(G2405),ISNUMBER(H2405),H2405&gt;0),G2405/H2405-1,"")</x:f>
        <x:v>0</x:v>
      </x:c>
      <x:c r="J2405" s="27" t="n">
        <x:f>IF(AND(ISNUMBER(G2405),F2405&gt;0),G2405/F2405-1,"")</x:f>
        <x:v>0</x:v>
      </x:c>
      <x:c r="K2405" s="19" t="str">
        <x:v>Exp_9/EXP075/results/seed151801615_Relative_cutoff_1e-6.json</x:v>
      </x:c>
    </x:row>
    <x:row r="2406" ht="15" hidden="0" customHeight="1">
      <x:c r="A2406" s="3" t="str">
        <x:v>EXP075</x:v>
      </x:c>
      <x:c r="B2406" s="3" t="str">
        <x:v>Exp. 9</x:v>
      </x:c>
      <x:c r="C2406" s="18" t="n">
        <x:v>151801615</x:v>
      </x:c>
      <x:c r="D2406" s="3" t="str">
        <x:v>Full</x:v>
      </x:c>
      <x:c r="E2406" s="18" t="n">
        <x:v>200</x:v>
      </x:c>
      <x:c r="F2406" s="21" t="n">
        <x:v>404.5945222007262</x:v>
      </x:c>
      <x:c r="G2406" s="21" t="n">
        <x:f>F2401</x:f>
        <x:v>404.5945222007262</x:v>
      </x:c>
      <x:c r="H2406" s="21" t="n">
        <x:f>F2406</x:f>
        <x:v>404.5945222007262</x:v>
      </x:c>
      <x:c r="I2406" s="27" t="n">
        <x:f>IF(AND(ISNUMBER(G2406),ISNUMBER(H2406),H2406&gt;0),G2406/H2406-1,"")</x:f>
        <x:v>0</x:v>
      </x:c>
      <x:c r="J2406" s="27" t="n">
        <x:f>IF(AND(ISNUMBER(G2406),F2406&gt;0),G2406/F2406-1,"")</x:f>
        <x:v>0</x:v>
      </x:c>
      <x:c r="K2406" s="19" t="str">
        <x:v>Exp_9/EXP075/results/seed151801615_Full.json</x:v>
      </x:c>
    </x:row>
    <x:row r="2407" ht="15" hidden="0" customHeight="1">
      <x:c r="A2407" s="3" t="str">
        <x:v>EXP075</x:v>
      </x:c>
      <x:c r="B2407" s="3" t="str">
        <x:v>Exp. 9</x:v>
      </x:c>
      <x:c r="C2407" s="18" t="n">
        <x:v>151801615</x:v>
      </x:c>
      <x:c r="D2407" s="3" t="str">
        <x:v>Relative cutoff 1e-2</x:v>
      </x:c>
      <x:c r="E2407" s="18" t="n">
        <x:v>200</x:v>
      </x:c>
      <x:c r="F2407" s="21" t="n">
        <x:v>389.8676008700423</x:v>
      </x:c>
      <x:c r="G2407" s="21" t="n">
        <x:f>F2401</x:f>
        <x:v>404.5945222007262</x:v>
      </x:c>
      <x:c r="H2407" s="21" t="n">
        <x:f>F2406</x:f>
        <x:v>404.5945222007262</x:v>
      </x:c>
      <x:c r="I2407" s="27" t="n">
        <x:f>IF(AND(ISNUMBER(G2407),ISNUMBER(H2407),H2407&gt;0),G2407/H2407-1,"")</x:f>
        <x:v>0</x:v>
      </x:c>
      <x:c r="J2407" s="27" t="n">
        <x:f>IF(AND(ISNUMBER(G2407),F2407&gt;0),G2407/F2407-1,"")</x:f>
        <x:v>0.03777416050428095</x:v>
      </x:c>
      <x:c r="K2407" s="19" t="str">
        <x:v>Exp_9/EXP075/results/seed151801615_Relative_cutoff_1e-2.json</x:v>
      </x:c>
    </x:row>
    <x:row r="2408" ht="15" hidden="0" customHeight="1">
      <x:c r="A2408" s="3" t="str">
        <x:v>EXP075</x:v>
      </x:c>
      <x:c r="B2408" s="3" t="str">
        <x:v>Exp. 9</x:v>
      </x:c>
      <x:c r="C2408" s="18" t="n">
        <x:v>151801615</x:v>
      </x:c>
      <x:c r="D2408" s="3" t="str">
        <x:v>Relative cutoff 1e-4</x:v>
      </x:c>
      <x:c r="E2408" s="18" t="n">
        <x:v>200</x:v>
      </x:c>
      <x:c r="F2408" s="21" t="n">
        <x:v>404.5945222007262</x:v>
      </x:c>
      <x:c r="G2408" s="21" t="n">
        <x:f>F2401</x:f>
        <x:v>404.5945222007262</x:v>
      </x:c>
      <x:c r="H2408" s="21" t="n">
        <x:f>F2406</x:f>
        <x:v>404.5945222007262</x:v>
      </x:c>
      <x:c r="I2408" s="27" t="n">
        <x:f>IF(AND(ISNUMBER(G2408),ISNUMBER(H2408),H2408&gt;0),G2408/H2408-1,"")</x:f>
        <x:v>0</x:v>
      </x:c>
      <x:c r="J2408" s="27" t="n">
        <x:f>IF(AND(ISNUMBER(G2408),F2408&gt;0),G2408/F2408-1,"")</x:f>
        <x:v>0</x:v>
      </x:c>
      <x:c r="K2408" s="19" t="str">
        <x:v>Exp_9/EXP075/results/seed151801615_Relative_cutoff_1e-4.json</x:v>
      </x:c>
    </x:row>
    <x:row r="2409" ht="15" hidden="0" customHeight="1">
      <x:c r="A2409" s="3" t="str">
        <x:v>EXP075</x:v>
      </x:c>
      <x:c r="B2409" s="3" t="str">
        <x:v>Exp. 9</x:v>
      </x:c>
      <x:c r="C2409" s="18" t="n">
        <x:v>159359747</x:v>
      </x:c>
      <x:c r="D2409" s="3" t="str">
        <x:v>BBP</x:v>
      </x:c>
      <x:c r="E2409" s="18" t="n">
        <x:v>200</x:v>
      </x:c>
      <x:c r="F2409" s="21" t="n">
        <x:v>507.90883761378774</x:v>
      </x:c>
      <x:c r="G2409" s="21" t="n">
        <x:f>F2409</x:f>
        <x:v>507.90883761378774</x:v>
      </x:c>
      <x:c r="H2409" s="21" t="n">
        <x:f>F2414</x:f>
        <x:v>501.6510730628392</x:v>
      </x:c>
      <x:c r="I2409" s="27" t="n">
        <x:f>IF(AND(ISNUMBER(G2409),ISNUMBER(H2409),H2409&gt;0),G2409/H2409-1,"")</x:f>
        <x:v>0.012474337018241854</x:v>
      </x:c>
      <x:c r="J2409" s="27" t="n">
        <x:f>IF(AND(ISNUMBER(G2409),F2409&gt;0),G2409/F2409-1,"")</x:f>
        <x:v>0</x:v>
      </x:c>
      <x:c r="K2409" s="19" t="str">
        <x:v>Exp_9/EXP075/results/seed159359747_BBP.json</x:v>
      </x:c>
    </x:row>
    <x:row r="2410" ht="15" hidden="0" customHeight="1">
      <x:c r="A2410" s="3" t="str">
        <x:v>EXP075</x:v>
      </x:c>
      <x:c r="B2410" s="3" t="str">
        <x:v>Exp. 9</x:v>
      </x:c>
      <x:c r="C2410" s="18" t="n">
        <x:v>159359747</x:v>
      </x:c>
      <x:c r="D2410" s="3" t="str">
        <x:v>Relative cutoff 1e-5</x:v>
      </x:c>
      <x:c r="E2410" s="18" t="n">
        <x:v>200</x:v>
      </x:c>
      <x:c r="F2410" s="21" t="n">
        <x:v>494.69391327448494</x:v>
      </x:c>
      <x:c r="G2410" s="21" t="n">
        <x:f>F2409</x:f>
        <x:v>507.90883761378774</x:v>
      </x:c>
      <x:c r="H2410" s="21" t="n">
        <x:f>F2414</x:f>
        <x:v>501.6510730628392</x:v>
      </x:c>
      <x:c r="I2410" s="27" t="n">
        <x:f>IF(AND(ISNUMBER(G2410),ISNUMBER(H2410),H2410&gt;0),G2410/H2410-1,"")</x:f>
        <x:v>0.012474337018241854</x:v>
      </x:c>
      <x:c r="J2410" s="27" t="n">
        <x:f>IF(AND(ISNUMBER(G2410),F2410&gt;0),G2410/F2410-1,"")</x:f>
        <x:v>0.02671333522547381</x:v>
      </x:c>
      <x:c r="K2410" s="19" t="str">
        <x:v>Exp_9/EXP075/results/seed159359747_Relative_cutoff_1e-5.json</x:v>
      </x:c>
    </x:row>
    <x:row r="2411" ht="15" hidden="0" customHeight="1">
      <x:c r="A2411" s="3" t="str">
        <x:v>EXP075</x:v>
      </x:c>
      <x:c r="B2411" s="3" t="str">
        <x:v>Exp. 9</x:v>
      </x:c>
      <x:c r="C2411" s="18" t="n">
        <x:v>159359747</x:v>
      </x:c>
      <x:c r="D2411" s="3" t="str">
        <x:v>Fixed rank 10</x:v>
      </x:c>
      <x:c r="E2411" s="18" t="n">
        <x:v>200</x:v>
      </x:c>
      <x:c r="F2411" s="21" t="n">
        <x:v>512.8693085184138</x:v>
      </x:c>
      <x:c r="G2411" s="21" t="n">
        <x:f>F2409</x:f>
        <x:v>507.90883761378774</x:v>
      </x:c>
      <x:c r="H2411" s="21" t="n">
        <x:f>F2414</x:f>
        <x:v>501.6510730628392</x:v>
      </x:c>
      <x:c r="I2411" s="27" t="n">
        <x:f>IF(AND(ISNUMBER(G2411),ISNUMBER(H2411),H2411&gt;0),G2411/H2411-1,"")</x:f>
        <x:v>0.012474337018241854</x:v>
      </x:c>
      <x:c r="J2411" s="27" t="n">
        <x:f>IF(AND(ISNUMBER(G2411),F2411&gt;0),G2411/F2411-1,"")</x:f>
        <x:v>-0.009671997957834577</x:v>
      </x:c>
      <x:c r="K2411" s="19" t="str">
        <x:v>Exp_9/EXP075/results/seed159359747_Fixed_rank_10.json</x:v>
      </x:c>
    </x:row>
    <x:row r="2412" ht="15" hidden="0" customHeight="1">
      <x:c r="A2412" s="3" t="str">
        <x:v>EXP075</x:v>
      </x:c>
      <x:c r="B2412" s="3" t="str">
        <x:v>Exp. 9</x:v>
      </x:c>
      <x:c r="C2412" s="18" t="n">
        <x:v>159359747</x:v>
      </x:c>
      <x:c r="D2412" s="3" t="str">
        <x:v>Fixed rank 25</x:v>
      </x:c>
      <x:c r="E2412" s="18" t="n">
        <x:v>200</x:v>
      </x:c>
      <x:c r="F2412" s="21" t="n">
        <x:v>507.90883761378774</x:v>
      </x:c>
      <x:c r="G2412" s="21" t="n">
        <x:f>F2409</x:f>
        <x:v>507.90883761378774</x:v>
      </x:c>
      <x:c r="H2412" s="21" t="n">
        <x:f>F2414</x:f>
        <x:v>501.6510730628392</x:v>
      </x:c>
      <x:c r="I2412" s="27" t="n">
        <x:f>IF(AND(ISNUMBER(G2412),ISNUMBER(H2412),H2412&gt;0),G2412/H2412-1,"")</x:f>
        <x:v>0.012474337018241854</x:v>
      </x:c>
      <x:c r="J2412" s="27" t="n">
        <x:f>IF(AND(ISNUMBER(G2412),F2412&gt;0),G2412/F2412-1,"")</x:f>
        <x:v>0</x:v>
      </x:c>
      <x:c r="K2412" s="19" t="str">
        <x:v>Exp_9/EXP075/results/seed159359747_Fixed_rank_25.json</x:v>
      </x:c>
    </x:row>
    <x:row r="2413" ht="15" hidden="0" customHeight="1">
      <x:c r="A2413" s="3" t="str">
        <x:v>EXP075</x:v>
      </x:c>
      <x:c r="B2413" s="3" t="str">
        <x:v>Exp. 9</x:v>
      </x:c>
      <x:c r="C2413" s="18" t="n">
        <x:v>159359747</x:v>
      </x:c>
      <x:c r="D2413" s="3" t="str">
        <x:v>Relative cutoff 1e-6</x:v>
      </x:c>
      <x:c r="E2413" s="18" t="n">
        <x:v>200</x:v>
      </x:c>
      <x:c r="F2413" s="21" t="n">
        <x:v>501.6510730628392</x:v>
      </x:c>
      <x:c r="G2413" s="21" t="n">
        <x:f>F2409</x:f>
        <x:v>507.90883761378774</x:v>
      </x:c>
      <x:c r="H2413" s="21" t="n">
        <x:f>F2414</x:f>
        <x:v>501.6510730628392</x:v>
      </x:c>
      <x:c r="I2413" s="27" t="n">
        <x:f>IF(AND(ISNUMBER(G2413),ISNUMBER(H2413),H2413&gt;0),G2413/H2413-1,"")</x:f>
        <x:v>0.012474337018241854</x:v>
      </x:c>
      <x:c r="J2413" s="27" t="n">
        <x:f>IF(AND(ISNUMBER(G2413),F2413&gt;0),G2413/F2413-1,"")</x:f>
        <x:v>0.012474337018241854</x:v>
      </x:c>
      <x:c r="K2413" s="19" t="str">
        <x:v>Exp_9/EXP075/results/seed159359747_Relative_cutoff_1e-6.json</x:v>
      </x:c>
    </x:row>
    <x:row r="2414" ht="15" hidden="0" customHeight="1">
      <x:c r="A2414" s="3" t="str">
        <x:v>EXP075</x:v>
      </x:c>
      <x:c r="B2414" s="3" t="str">
        <x:v>Exp. 9</x:v>
      </x:c>
      <x:c r="C2414" s="18" t="n">
        <x:v>159359747</x:v>
      </x:c>
      <x:c r="D2414" s="3" t="str">
        <x:v>Full</x:v>
      </x:c>
      <x:c r="E2414" s="18" t="n">
        <x:v>200</x:v>
      </x:c>
      <x:c r="F2414" s="21" t="n">
        <x:v>501.6510730628392</x:v>
      </x:c>
      <x:c r="G2414" s="21" t="n">
        <x:f>F2409</x:f>
        <x:v>507.90883761378774</x:v>
      </x:c>
      <x:c r="H2414" s="21" t="n">
        <x:f>F2414</x:f>
        <x:v>501.6510730628392</x:v>
      </x:c>
      <x:c r="I2414" s="27" t="n">
        <x:f>IF(AND(ISNUMBER(G2414),ISNUMBER(H2414),H2414&gt;0),G2414/H2414-1,"")</x:f>
        <x:v>0.012474337018241854</x:v>
      </x:c>
      <x:c r="J2414" s="27" t="n">
        <x:f>IF(AND(ISNUMBER(G2414),F2414&gt;0),G2414/F2414-1,"")</x:f>
        <x:v>0.012474337018241854</x:v>
      </x:c>
      <x:c r="K2414" s="19" t="str">
        <x:v>Exp_9/EXP075/results/seed159359747_Full.json</x:v>
      </x:c>
    </x:row>
    <x:row r="2415" ht="15" hidden="0" customHeight="1">
      <x:c r="A2415" s="3" t="str">
        <x:v>EXP075</x:v>
      </x:c>
      <x:c r="B2415" s="3" t="str">
        <x:v>Exp. 9</x:v>
      </x:c>
      <x:c r="C2415" s="18" t="n">
        <x:v>159359747</x:v>
      </x:c>
      <x:c r="D2415" s="3" t="str">
        <x:v>Relative cutoff 1e-2</x:v>
      </x:c>
      <x:c r="E2415" s="18" t="n">
        <x:v>200</x:v>
      </x:c>
      <x:c r="F2415" s="21" t="n">
        <x:v>487.91053435367445</x:v>
      </x:c>
      <x:c r="G2415" s="21" t="n">
        <x:f>F2409</x:f>
        <x:v>507.90883761378774</x:v>
      </x:c>
      <x:c r="H2415" s="21" t="n">
        <x:f>F2414</x:f>
        <x:v>501.6510730628392</x:v>
      </x:c>
      <x:c r="I2415" s="27" t="n">
        <x:f>IF(AND(ISNUMBER(G2415),ISNUMBER(H2415),H2415&gt;0),G2415/H2415-1,"")</x:f>
        <x:v>0.012474337018241854</x:v>
      </x:c>
      <x:c r="J2415" s="27" t="n">
        <x:f>IF(AND(ISNUMBER(G2415),F2415&gt;0),G2415/F2415-1,"")</x:f>
        <x:v>0.04098764394707044</x:v>
      </x:c>
      <x:c r="K2415" s="19" t="str">
        <x:v>Exp_9/EXP075/results/seed159359747_Relative_cutoff_1e-2.json</x:v>
      </x:c>
    </x:row>
    <x:row r="2416" ht="15" hidden="0" customHeight="1">
      <x:c r="A2416" s="3" t="str">
        <x:v>EXP075</x:v>
      </x:c>
      <x:c r="B2416" s="3" t="str">
        <x:v>Exp. 9</x:v>
      </x:c>
      <x:c r="C2416" s="18" t="n">
        <x:v>159359747</x:v>
      </x:c>
      <x:c r="D2416" s="3" t="str">
        <x:v>Relative cutoff 1e-4</x:v>
      </x:c>
      <x:c r="E2416" s="18" t="n">
        <x:v>200</x:v>
      </x:c>
      <x:c r="F2416" s="21" t="n">
        <x:v>512.8693085184138</x:v>
      </x:c>
      <x:c r="G2416" s="21" t="n">
        <x:f>F2409</x:f>
        <x:v>507.90883761378774</x:v>
      </x:c>
      <x:c r="H2416" s="21" t="n">
        <x:f>F2414</x:f>
        <x:v>501.6510730628392</x:v>
      </x:c>
      <x:c r="I2416" s="27" t="n">
        <x:f>IF(AND(ISNUMBER(G2416),ISNUMBER(H2416),H2416&gt;0),G2416/H2416-1,"")</x:f>
        <x:v>0.012474337018241854</x:v>
      </x:c>
      <x:c r="J2416" s="27" t="n">
        <x:f>IF(AND(ISNUMBER(G2416),F2416&gt;0),G2416/F2416-1,"")</x:f>
        <x:v>-0.009671997957834577</x:v>
      </x:c>
      <x:c r="K2416" s="19" t="str">
        <x:v>Exp_9/EXP075/results/seed159359747_Relative_cutoff_1e-4.json</x:v>
      </x:c>
    </x:row>
    <x:row r="2417" ht="15" hidden="0" customHeight="1">
      <x:c r="A2417" s="3" t="str">
        <x:v>EXP075</x:v>
      </x:c>
      <x:c r="B2417" s="3" t="str">
        <x:v>Exp. 9</x:v>
      </x:c>
      <x:c r="C2417" s="18" t="n">
        <x:v>254786210</x:v>
      </x:c>
      <x:c r="D2417" s="3" t="str">
        <x:v>BBP</x:v>
      </x:c>
      <x:c r="E2417" s="18" t="n">
        <x:v>200</x:v>
      </x:c>
      <x:c r="F2417" s="21" t="n">
        <x:v>591.4851728376726</x:v>
      </x:c>
      <x:c r="G2417" s="21" t="n">
        <x:f>F2417</x:f>
        <x:v>591.4851728376726</x:v>
      </x:c>
      <x:c r="H2417" s="21" t="n">
        <x:f>F2422</x:f>
        <x:v>591.4851728376726</x:v>
      </x:c>
      <x:c r="I2417" s="27" t="n">
        <x:f>IF(AND(ISNUMBER(G2417),ISNUMBER(H2417),H2417&gt;0),G2417/H2417-1,"")</x:f>
        <x:v>0</x:v>
      </x:c>
      <x:c r="J2417" s="27" t="n">
        <x:f>IF(AND(ISNUMBER(G2417),F2417&gt;0),G2417/F2417-1,"")</x:f>
        <x:v>0</x:v>
      </x:c>
      <x:c r="K2417" s="19" t="str">
        <x:v>Exp_9/EXP075/results/seed254786210_BBP.json</x:v>
      </x:c>
    </x:row>
    <x:row r="2418" ht="15" hidden="0" customHeight="1">
      <x:c r="A2418" s="3" t="str">
        <x:v>EXP075</x:v>
      </x:c>
      <x:c r="B2418" s="3" t="str">
        <x:v>Exp. 9</x:v>
      </x:c>
      <x:c r="C2418" s="18" t="n">
        <x:v>254786210</x:v>
      </x:c>
      <x:c r="D2418" s="3" t="str">
        <x:v>Relative cutoff 1e-5</x:v>
      </x:c>
      <x:c r="E2418" s="18" t="n">
        <x:v>200</x:v>
      </x:c>
      <x:c r="F2418" s="21" t="n">
        <x:v>591.4851728376726</x:v>
      </x:c>
      <x:c r="G2418" s="21" t="n">
        <x:f>F2417</x:f>
        <x:v>591.4851728376726</x:v>
      </x:c>
      <x:c r="H2418" s="21" t="n">
        <x:f>F2422</x:f>
        <x:v>591.4851728376726</x:v>
      </x:c>
      <x:c r="I2418" s="27" t="n">
        <x:f>IF(AND(ISNUMBER(G2418),ISNUMBER(H2418),H2418&gt;0),G2418/H2418-1,"")</x:f>
        <x:v>0</x:v>
      </x:c>
      <x:c r="J2418" s="27" t="n">
        <x:f>IF(AND(ISNUMBER(G2418),F2418&gt;0),G2418/F2418-1,"")</x:f>
        <x:v>0</x:v>
      </x:c>
      <x:c r="K2418" s="19" t="str">
        <x:v>Exp_9/EXP075/results/seed254786210_Relative_cutoff_1e-5.json</x:v>
      </x:c>
    </x:row>
    <x:row r="2419" ht="15" hidden="0" customHeight="1">
      <x:c r="A2419" s="3" t="str">
        <x:v>EXP075</x:v>
      </x:c>
      <x:c r="B2419" s="3" t="str">
        <x:v>Exp. 9</x:v>
      </x:c>
      <x:c r="C2419" s="18" t="n">
        <x:v>254786210</x:v>
      </x:c>
      <x:c r="D2419" s="3" t="str">
        <x:v>Fixed rank 10</x:v>
      </x:c>
      <x:c r="E2419" s="18" t="n">
        <x:v>200</x:v>
      </x:c>
      <x:c r="F2419" s="21" t="n">
        <x:v>586.6103386584809</x:v>
      </x:c>
      <x:c r="G2419" s="21" t="n">
        <x:f>F2417</x:f>
        <x:v>591.4851728376726</x:v>
      </x:c>
      <x:c r="H2419" s="21" t="n">
        <x:f>F2422</x:f>
        <x:v>591.4851728376726</x:v>
      </x:c>
      <x:c r="I2419" s="27" t="n">
        <x:f>IF(AND(ISNUMBER(G2419),ISNUMBER(H2419),H2419&gt;0),G2419/H2419-1,"")</x:f>
        <x:v>0</x:v>
      </x:c>
      <x:c r="J2419" s="27" t="n">
        <x:f>IF(AND(ISNUMBER(G2419),F2419&gt;0),G2419/F2419-1,"")</x:f>
        <x:v>0.00831017433197645</x:v>
      </x:c>
      <x:c r="K2419" s="19" t="str">
        <x:v>Exp_9/EXP075/results/seed254786210_Fixed_rank_10.json</x:v>
      </x:c>
    </x:row>
    <x:row r="2420" ht="15" hidden="0" customHeight="1">
      <x:c r="A2420" s="3" t="str">
        <x:v>EXP075</x:v>
      </x:c>
      <x:c r="B2420" s="3" t="str">
        <x:v>Exp. 9</x:v>
      </x:c>
      <x:c r="C2420" s="18" t="n">
        <x:v>254786210</x:v>
      </x:c>
      <x:c r="D2420" s="3" t="str">
        <x:v>Fixed rank 25</x:v>
      </x:c>
      <x:c r="E2420" s="18" t="n">
        <x:v>200</x:v>
      </x:c>
      <x:c r="F2420" s="21" t="n">
        <x:v>591.4851728376726</x:v>
      </x:c>
      <x:c r="G2420" s="21" t="n">
        <x:f>F2417</x:f>
        <x:v>591.4851728376726</x:v>
      </x:c>
      <x:c r="H2420" s="21" t="n">
        <x:f>F2422</x:f>
        <x:v>591.4851728376726</x:v>
      </x:c>
      <x:c r="I2420" s="27" t="n">
        <x:f>IF(AND(ISNUMBER(G2420),ISNUMBER(H2420),H2420&gt;0),G2420/H2420-1,"")</x:f>
        <x:v>0</x:v>
      </x:c>
      <x:c r="J2420" s="27" t="n">
        <x:f>IF(AND(ISNUMBER(G2420),F2420&gt;0),G2420/F2420-1,"")</x:f>
        <x:v>0</x:v>
      </x:c>
      <x:c r="K2420" s="19" t="str">
        <x:v>Exp_9/EXP075/results/seed254786210_Fixed_rank_25.json</x:v>
      </x:c>
    </x:row>
    <x:row r="2421" ht="15" hidden="0" customHeight="1">
      <x:c r="A2421" s="3" t="str">
        <x:v>EXP075</x:v>
      </x:c>
      <x:c r="B2421" s="3" t="str">
        <x:v>Exp. 9</x:v>
      </x:c>
      <x:c r="C2421" s="18" t="n">
        <x:v>254786210</x:v>
      </x:c>
      <x:c r="D2421" s="3" t="str">
        <x:v>Relative cutoff 1e-6</x:v>
      </x:c>
      <x:c r="E2421" s="18" t="n">
        <x:v>200</x:v>
      </x:c>
      <x:c r="F2421" s="21" t="n">
        <x:v>591.4851728376726</x:v>
      </x:c>
      <x:c r="G2421" s="21" t="n">
        <x:f>F2417</x:f>
        <x:v>591.4851728376726</x:v>
      </x:c>
      <x:c r="H2421" s="21" t="n">
        <x:f>F2422</x:f>
        <x:v>591.4851728376726</x:v>
      </x:c>
      <x:c r="I2421" s="27" t="n">
        <x:f>IF(AND(ISNUMBER(G2421),ISNUMBER(H2421),H2421&gt;0),G2421/H2421-1,"")</x:f>
        <x:v>0</x:v>
      </x:c>
      <x:c r="J2421" s="27" t="n">
        <x:f>IF(AND(ISNUMBER(G2421),F2421&gt;0),G2421/F2421-1,"")</x:f>
        <x:v>0</x:v>
      </x:c>
      <x:c r="K2421" s="19" t="str">
        <x:v>Exp_9/EXP075/results/seed254786210_Relative_cutoff_1e-6.json</x:v>
      </x:c>
    </x:row>
    <x:row r="2422" ht="15" hidden="0" customHeight="1">
      <x:c r="A2422" s="3" t="str">
        <x:v>EXP075</x:v>
      </x:c>
      <x:c r="B2422" s="3" t="str">
        <x:v>Exp. 9</x:v>
      </x:c>
      <x:c r="C2422" s="18" t="n">
        <x:v>254786210</x:v>
      </x:c>
      <x:c r="D2422" s="3" t="str">
        <x:v>Full</x:v>
      </x:c>
      <x:c r="E2422" s="18" t="n">
        <x:v>200</x:v>
      </x:c>
      <x:c r="F2422" s="21" t="n">
        <x:v>591.4851728376726</x:v>
      </x:c>
      <x:c r="G2422" s="21" t="n">
        <x:f>F2417</x:f>
        <x:v>591.4851728376726</x:v>
      </x:c>
      <x:c r="H2422" s="21" t="n">
        <x:f>F2422</x:f>
        <x:v>591.4851728376726</x:v>
      </x:c>
      <x:c r="I2422" s="27" t="n">
        <x:f>IF(AND(ISNUMBER(G2422),ISNUMBER(H2422),H2422&gt;0),G2422/H2422-1,"")</x:f>
        <x:v>0</x:v>
      </x:c>
      <x:c r="J2422" s="27" t="n">
        <x:f>IF(AND(ISNUMBER(G2422),F2422&gt;0),G2422/F2422-1,"")</x:f>
        <x:v>0</x:v>
      </x:c>
      <x:c r="K2422" s="19" t="str">
        <x:v>Exp_9/EXP075/results/seed254786210_Full.json</x:v>
      </x:c>
    </x:row>
    <x:row r="2423" ht="15" hidden="0" customHeight="1">
      <x:c r="A2423" s="3" t="str">
        <x:v>EXP075</x:v>
      </x:c>
      <x:c r="B2423" s="3" t="str">
        <x:v>Exp. 9</x:v>
      </x:c>
      <x:c r="C2423" s="18" t="n">
        <x:v>254786210</x:v>
      </x:c>
      <x:c r="D2423" s="3" t="str">
        <x:v>Relative cutoff 1e-2</x:v>
      </x:c>
      <x:c r="E2423" s="18" t="n">
        <x:v>200</x:v>
      </x:c>
      <x:c r="F2423" s="21" t="n">
        <x:v>583.1578721983218</x:v>
      </x:c>
      <x:c r="G2423" s="21" t="n">
        <x:f>F2417</x:f>
        <x:v>591.4851728376726</x:v>
      </x:c>
      <x:c r="H2423" s="21" t="n">
        <x:f>F2422</x:f>
        <x:v>591.4851728376726</x:v>
      </x:c>
      <x:c r="I2423" s="27" t="n">
        <x:f>IF(AND(ISNUMBER(G2423),ISNUMBER(H2423),H2423&gt;0),G2423/H2423-1,"")</x:f>
        <x:v>0</x:v>
      </x:c>
      <x:c r="J2423" s="27" t="n">
        <x:f>IF(AND(ISNUMBER(G2423),F2423&gt;0),G2423/F2423-1,"")</x:f>
        <x:v>0.014279667713237743</x:v>
      </x:c>
      <x:c r="K2423" s="19" t="str">
        <x:v>Exp_9/EXP075/results/seed254786210_Relative_cutoff_1e-2.json</x:v>
      </x:c>
    </x:row>
    <x:row r="2424" ht="15" hidden="0" customHeight="1">
      <x:c r="A2424" s="3" t="str">
        <x:v>EXP075</x:v>
      </x:c>
      <x:c r="B2424" s="3" t="str">
        <x:v>Exp. 9</x:v>
      </x:c>
      <x:c r="C2424" s="18" t="n">
        <x:v>254786210</x:v>
      </x:c>
      <x:c r="D2424" s="3" t="str">
        <x:v>Relative cutoff 1e-4</x:v>
      </x:c>
      <x:c r="E2424" s="18" t="n">
        <x:v>200</x:v>
      </x:c>
      <x:c r="F2424" s="21" t="n">
        <x:v>579.4310898951163</x:v>
      </x:c>
      <x:c r="G2424" s="21" t="n">
        <x:f>F2417</x:f>
        <x:v>591.4851728376726</x:v>
      </x:c>
      <x:c r="H2424" s="21" t="n">
        <x:f>F2422</x:f>
        <x:v>591.4851728376726</x:v>
      </x:c>
      <x:c r="I2424" s="27" t="n">
        <x:f>IF(AND(ISNUMBER(G2424),ISNUMBER(H2424),H2424&gt;0),G2424/H2424-1,"")</x:f>
        <x:v>0</x:v>
      </x:c>
      <x:c r="J2424" s="27" t="n">
        <x:f>IF(AND(ISNUMBER(G2424),F2424&gt;0),G2424/F2424-1,"")</x:f>
        <x:v>0.020803307162441387</x:v>
      </x:c>
      <x:c r="K2424" s="19" t="str">
        <x:v>Exp_9/EXP075/results/seed254786210_Relative_cutoff_1e-4.json</x:v>
      </x:c>
    </x:row>
    <x:row r="2425" ht="15" hidden="0" customHeight="1">
      <x:c r="A2425" s="3" t="str">
        <x:v>EXP075</x:v>
      </x:c>
      <x:c r="B2425" s="3" t="str">
        <x:v>Exp. 9</x:v>
      </x:c>
      <x:c r="C2425" s="18" t="n">
        <x:v>280737676</x:v>
      </x:c>
      <x:c r="D2425" s="3" t="str">
        <x:v>BBP</x:v>
      </x:c>
      <x:c r="E2425" s="18" t="n">
        <x:v>200</x:v>
      </x:c>
      <x:c r="F2425" s="21" t="n">
        <x:v>359.66696254880407</x:v>
      </x:c>
      <x:c r="G2425" s="21" t="n">
        <x:f>F2425</x:f>
        <x:v>359.66696254880407</x:v>
      </x:c>
      <x:c r="H2425" s="21" t="n">
        <x:f>F2430</x:f>
        <x:v>372.36225254671047</x:v>
      </x:c>
      <x:c r="I2425" s="27" t="n">
        <x:f>IF(AND(ISNUMBER(G2425),ISNUMBER(H2425),H2425&gt;0),G2425/H2425-1,"")</x:f>
        <x:v>-0.03409392308452064</x:v>
      </x:c>
      <x:c r="J2425" s="27" t="n">
        <x:f>IF(AND(ISNUMBER(G2425),F2425&gt;0),G2425/F2425-1,"")</x:f>
        <x:v>0</x:v>
      </x:c>
      <x:c r="K2425" s="19" t="str">
        <x:v>Exp_9/EXP075/results/seed280737676_BBP.json</x:v>
      </x:c>
    </x:row>
    <x:row r="2426" ht="15" hidden="0" customHeight="1">
      <x:c r="A2426" s="3" t="str">
        <x:v>EXP075</x:v>
      </x:c>
      <x:c r="B2426" s="3" t="str">
        <x:v>Exp. 9</x:v>
      </x:c>
      <x:c r="C2426" s="18" t="n">
        <x:v>280737676</x:v>
      </x:c>
      <x:c r="D2426" s="3" t="str">
        <x:v>Relative cutoff 1e-5</x:v>
      </x:c>
      <x:c r="E2426" s="18" t="n">
        <x:v>200</x:v>
      </x:c>
      <x:c r="F2426" s="21" t="n">
        <x:v>359.66696254880407</x:v>
      </x:c>
      <x:c r="G2426" s="21" t="n">
        <x:f>F2425</x:f>
        <x:v>359.66696254880407</x:v>
      </x:c>
      <x:c r="H2426" s="21" t="n">
        <x:f>F2430</x:f>
        <x:v>372.36225254671047</x:v>
      </x:c>
      <x:c r="I2426" s="27" t="n">
        <x:f>IF(AND(ISNUMBER(G2426),ISNUMBER(H2426),H2426&gt;0),G2426/H2426-1,"")</x:f>
        <x:v>-0.03409392308452064</x:v>
      </x:c>
      <x:c r="J2426" s="27" t="n">
        <x:f>IF(AND(ISNUMBER(G2426),F2426&gt;0),G2426/F2426-1,"")</x:f>
        <x:v>0</x:v>
      </x:c>
      <x:c r="K2426" s="19" t="str">
        <x:v>Exp_9/EXP075/results/seed280737676_Relative_cutoff_1e-5.json</x:v>
      </x:c>
    </x:row>
    <x:row r="2427" ht="15" hidden="0" customHeight="1">
      <x:c r="A2427" s="3" t="str">
        <x:v>EXP075</x:v>
      </x:c>
      <x:c r="B2427" s="3" t="str">
        <x:v>Exp. 9</x:v>
      </x:c>
      <x:c r="C2427" s="18" t="n">
        <x:v>280737676</x:v>
      </x:c>
      <x:c r="D2427" s="3" t="str">
        <x:v>Fixed rank 10</x:v>
      </x:c>
      <x:c r="E2427" s="18" t="n">
        <x:v>200</x:v>
      </x:c>
      <x:c r="F2427" s="21" t="n">
        <x:v>359.66696254880407</x:v>
      </x:c>
      <x:c r="G2427" s="21" t="n">
        <x:f>F2425</x:f>
        <x:v>359.66696254880407</x:v>
      </x:c>
      <x:c r="H2427" s="21" t="n">
        <x:f>F2430</x:f>
        <x:v>372.36225254671047</x:v>
      </x:c>
      <x:c r="I2427" s="27" t="n">
        <x:f>IF(AND(ISNUMBER(G2427),ISNUMBER(H2427),H2427&gt;0),G2427/H2427-1,"")</x:f>
        <x:v>-0.03409392308452064</x:v>
      </x:c>
      <x:c r="J2427" s="27" t="n">
        <x:f>IF(AND(ISNUMBER(G2427),F2427&gt;0),G2427/F2427-1,"")</x:f>
        <x:v>0</x:v>
      </x:c>
      <x:c r="K2427" s="19" t="str">
        <x:v>Exp_9/EXP075/results/seed280737676_Fixed_rank_10.json</x:v>
      </x:c>
    </x:row>
    <x:row r="2428" ht="15" hidden="0" customHeight="1">
      <x:c r="A2428" s="3" t="str">
        <x:v>EXP075</x:v>
      </x:c>
      <x:c r="B2428" s="3" t="str">
        <x:v>Exp. 9</x:v>
      </x:c>
      <x:c r="C2428" s="18" t="n">
        <x:v>280737676</x:v>
      </x:c>
      <x:c r="D2428" s="3" t="str">
        <x:v>Fixed rank 25</x:v>
      </x:c>
      <x:c r="E2428" s="18" t="n">
        <x:v>200</x:v>
      </x:c>
      <x:c r="F2428" s="21" t="n">
        <x:v>359.66696254880407</x:v>
      </x:c>
      <x:c r="G2428" s="21" t="n">
        <x:f>F2425</x:f>
        <x:v>359.66696254880407</x:v>
      </x:c>
      <x:c r="H2428" s="21" t="n">
        <x:f>F2430</x:f>
        <x:v>372.36225254671047</x:v>
      </x:c>
      <x:c r="I2428" s="27" t="n">
        <x:f>IF(AND(ISNUMBER(G2428),ISNUMBER(H2428),H2428&gt;0),G2428/H2428-1,"")</x:f>
        <x:v>-0.03409392308452064</x:v>
      </x:c>
      <x:c r="J2428" s="27" t="n">
        <x:f>IF(AND(ISNUMBER(G2428),F2428&gt;0),G2428/F2428-1,"")</x:f>
        <x:v>0</x:v>
      </x:c>
      <x:c r="K2428" s="19" t="str">
        <x:v>Exp_9/EXP075/results/seed280737676_Fixed_rank_25.json</x:v>
      </x:c>
    </x:row>
    <x:row r="2429" ht="15" hidden="0" customHeight="1">
      <x:c r="A2429" s="3" t="str">
        <x:v>EXP075</x:v>
      </x:c>
      <x:c r="B2429" s="3" t="str">
        <x:v>Exp. 9</x:v>
      </x:c>
      <x:c r="C2429" s="18" t="n">
        <x:v>280737676</x:v>
      </x:c>
      <x:c r="D2429" s="3" t="str">
        <x:v>Relative cutoff 1e-6</x:v>
      </x:c>
      <x:c r="E2429" s="18" t="n">
        <x:v>200</x:v>
      </x:c>
      <x:c r="F2429" s="21" t="n">
        <x:v>352.4738653882799</x:v>
      </x:c>
      <x:c r="G2429" s="21" t="n">
        <x:f>F2425</x:f>
        <x:v>359.66696254880407</x:v>
      </x:c>
      <x:c r="H2429" s="21" t="n">
        <x:f>F2430</x:f>
        <x:v>372.36225254671047</x:v>
      </x:c>
      <x:c r="I2429" s="27" t="n">
        <x:f>IF(AND(ISNUMBER(G2429),ISNUMBER(H2429),H2429&gt;0),G2429/H2429-1,"")</x:f>
        <x:v>-0.03409392308452064</x:v>
      </x:c>
      <x:c r="J2429" s="27" t="n">
        <x:f>IF(AND(ISNUMBER(G2429),F2429&gt;0),G2429/F2429-1,"")</x:f>
        <x:v>0.020407462415973354</x:v>
      </x:c>
      <x:c r="K2429" s="19" t="str">
        <x:v>Exp_9/EXP075/results/seed280737676_Relative_cutoff_1e-6.json</x:v>
      </x:c>
    </x:row>
    <x:row r="2430" ht="15" hidden="0" customHeight="1">
      <x:c r="A2430" s="3" t="str">
        <x:v>EXP075</x:v>
      </x:c>
      <x:c r="B2430" s="3" t="str">
        <x:v>Exp. 9</x:v>
      </x:c>
      <x:c r="C2430" s="18" t="n">
        <x:v>280737676</x:v>
      </x:c>
      <x:c r="D2430" s="3" t="str">
        <x:v>Full</x:v>
      </x:c>
      <x:c r="E2430" s="18" t="n">
        <x:v>200</x:v>
      </x:c>
      <x:c r="F2430" s="21" t="n">
        <x:v>372.36225254671047</x:v>
      </x:c>
      <x:c r="G2430" s="21" t="n">
        <x:f>F2425</x:f>
        <x:v>359.66696254880407</x:v>
      </x:c>
      <x:c r="H2430" s="21" t="n">
        <x:f>F2430</x:f>
        <x:v>372.36225254671047</x:v>
      </x:c>
      <x:c r="I2430" s="27" t="n">
        <x:f>IF(AND(ISNUMBER(G2430),ISNUMBER(H2430),H2430&gt;0),G2430/H2430-1,"")</x:f>
        <x:v>-0.03409392308452064</x:v>
      </x:c>
      <x:c r="J2430" s="27" t="n">
        <x:f>IF(AND(ISNUMBER(G2430),F2430&gt;0),G2430/F2430-1,"")</x:f>
        <x:v>-0.03409392308452064</x:v>
      </x:c>
      <x:c r="K2430" s="19" t="str">
        <x:v>Exp_9/EXP075/results/seed280737676_Full.json</x:v>
      </x:c>
    </x:row>
    <x:row r="2431" ht="15" hidden="0" customHeight="1">
      <x:c r="A2431" s="3" t="str">
        <x:v>EXP075</x:v>
      </x:c>
      <x:c r="B2431" s="3" t="str">
        <x:v>Exp. 9</x:v>
      </x:c>
      <x:c r="C2431" s="18" t="n">
        <x:v>280737676</x:v>
      </x:c>
      <x:c r="D2431" s="3" t="str">
        <x:v>Relative cutoff 1e-2</x:v>
      </x:c>
      <x:c r="E2431" s="18" t="n">
        <x:v>200</x:v>
      </x:c>
      <x:c r="F2431" s="21" t="n">
        <x:v>389.7335777363272</x:v>
      </x:c>
      <x:c r="G2431" s="21" t="n">
        <x:f>F2425</x:f>
        <x:v>359.66696254880407</x:v>
      </x:c>
      <x:c r="H2431" s="21" t="n">
        <x:f>F2430</x:f>
        <x:v>372.36225254671047</x:v>
      </x:c>
      <x:c r="I2431" s="27" t="n">
        <x:f>IF(AND(ISNUMBER(G2431),ISNUMBER(H2431),H2431&gt;0),G2431/H2431-1,"")</x:f>
        <x:v>-0.03409392308452064</x:v>
      </x:c>
      <x:c r="J2431" s="27" t="n">
        <x:f>IF(AND(ISNUMBER(G2431),F2431&gt;0),G2431/F2431-1,"")</x:f>
        <x:v>-0.07714658655319817</x:v>
      </x:c>
      <x:c r="K2431" s="19" t="str">
        <x:v>Exp_9/EXP075/results/seed280737676_Relative_cutoff_1e-2.json</x:v>
      </x:c>
    </x:row>
    <x:row r="2432" ht="15" hidden="0" customHeight="1">
      <x:c r="A2432" s="3" t="str">
        <x:v>EXP075</x:v>
      </x:c>
      <x:c r="B2432" s="3" t="str">
        <x:v>Exp. 9</x:v>
      </x:c>
      <x:c r="C2432" s="18" t="n">
        <x:v>280737676</x:v>
      </x:c>
      <x:c r="D2432" s="3" t="str">
        <x:v>Relative cutoff 1e-4</x:v>
      </x:c>
      <x:c r="E2432" s="18" t="n">
        <x:v>200</x:v>
      </x:c>
      <x:c r="F2432" s="21" t="n">
        <x:v>359.66696254880407</x:v>
      </x:c>
      <x:c r="G2432" s="21" t="n">
        <x:f>F2425</x:f>
        <x:v>359.66696254880407</x:v>
      </x:c>
      <x:c r="H2432" s="21" t="n">
        <x:f>F2430</x:f>
        <x:v>372.36225254671047</x:v>
      </x:c>
      <x:c r="I2432" s="27" t="n">
        <x:f>IF(AND(ISNUMBER(G2432),ISNUMBER(H2432),H2432&gt;0),G2432/H2432-1,"")</x:f>
        <x:v>-0.03409392308452064</x:v>
      </x:c>
      <x:c r="J2432" s="27" t="n">
        <x:f>IF(AND(ISNUMBER(G2432),F2432&gt;0),G2432/F2432-1,"")</x:f>
        <x:v>0</x:v>
      </x:c>
      <x:c r="K2432" s="19" t="str">
        <x:v>Exp_9/EXP075/results/seed280737676_Relative_cutoff_1e-4.json</x:v>
      </x:c>
    </x:row>
    <x:row r="2433" ht="15" hidden="0" customHeight="1">
      <x:c r="A2433" s="3" t="str">
        <x:v>EXP075</x:v>
      </x:c>
      <x:c r="B2433" s="3" t="str">
        <x:v>Exp. 9</x:v>
      </x:c>
      <x:c r="C2433" s="18" t="n">
        <x:v>304444453</x:v>
      </x:c>
      <x:c r="D2433" s="3" t="str">
        <x:v>BBP</x:v>
      </x:c>
      <x:c r="E2433" s="18" t="n">
        <x:v>200</x:v>
      </x:c>
      <x:c r="F2433" s="21" t="n">
        <x:v>398.66415882226613</x:v>
      </x:c>
      <x:c r="G2433" s="21" t="n">
        <x:f>F2433</x:f>
        <x:v>398.66415882226613</x:v>
      </x:c>
      <x:c r="H2433" s="21" t="n">
        <x:f>F2438</x:f>
        <x:v>398.66415882226613</x:v>
      </x:c>
      <x:c r="I2433" s="27" t="n">
        <x:f>IF(AND(ISNUMBER(G2433),ISNUMBER(H2433),H2433&gt;0),G2433/H2433-1,"")</x:f>
        <x:v>0</x:v>
      </x:c>
      <x:c r="J2433" s="27" t="n">
        <x:f>IF(AND(ISNUMBER(G2433),F2433&gt;0),G2433/F2433-1,"")</x:f>
        <x:v>0</x:v>
      </x:c>
      <x:c r="K2433" s="19" t="str">
        <x:v>Exp_9/EXP075/results/seed304444453_BBP.json</x:v>
      </x:c>
    </x:row>
    <x:row r="2434" ht="15" hidden="0" customHeight="1">
      <x:c r="A2434" s="3" t="str">
        <x:v>EXP075</x:v>
      </x:c>
      <x:c r="B2434" s="3" t="str">
        <x:v>Exp. 9</x:v>
      </x:c>
      <x:c r="C2434" s="18" t="n">
        <x:v>304444453</x:v>
      </x:c>
      <x:c r="D2434" s="3" t="str">
        <x:v>Relative cutoff 1e-5</x:v>
      </x:c>
      <x:c r="E2434" s="18" t="n">
        <x:v>200</x:v>
      </x:c>
      <x:c r="F2434" s="21" t="n">
        <x:v>398.66415882226613</x:v>
      </x:c>
      <x:c r="G2434" s="21" t="n">
        <x:f>F2433</x:f>
        <x:v>398.66415882226613</x:v>
      </x:c>
      <x:c r="H2434" s="21" t="n">
        <x:f>F2438</x:f>
        <x:v>398.66415882226613</x:v>
      </x:c>
      <x:c r="I2434" s="27" t="n">
        <x:f>IF(AND(ISNUMBER(G2434),ISNUMBER(H2434),H2434&gt;0),G2434/H2434-1,"")</x:f>
        <x:v>0</x:v>
      </x:c>
      <x:c r="J2434" s="27" t="n">
        <x:f>IF(AND(ISNUMBER(G2434),F2434&gt;0),G2434/F2434-1,"")</x:f>
        <x:v>0</x:v>
      </x:c>
      <x:c r="K2434" s="19" t="str">
        <x:v>Exp_9/EXP075/results/seed304444453_Relative_cutoff_1e-5.json</x:v>
      </x:c>
    </x:row>
    <x:row r="2435" ht="15" hidden="0" customHeight="1">
      <x:c r="A2435" s="3" t="str">
        <x:v>EXP075</x:v>
      </x:c>
      <x:c r="B2435" s="3" t="str">
        <x:v>Exp. 9</x:v>
      </x:c>
      <x:c r="C2435" s="18" t="n">
        <x:v>304444453</x:v>
      </x:c>
      <x:c r="D2435" s="3" t="str">
        <x:v>Fixed rank 10</x:v>
      </x:c>
      <x:c r="E2435" s="18" t="n">
        <x:v>200</x:v>
      </x:c>
      <x:c r="F2435" s="21" t="n">
        <x:v>398.66415882226613</x:v>
      </x:c>
      <x:c r="G2435" s="21" t="n">
        <x:f>F2433</x:f>
        <x:v>398.66415882226613</x:v>
      </x:c>
      <x:c r="H2435" s="21" t="n">
        <x:f>F2438</x:f>
        <x:v>398.66415882226613</x:v>
      </x:c>
      <x:c r="I2435" s="27" t="n">
        <x:f>IF(AND(ISNUMBER(G2435),ISNUMBER(H2435),H2435&gt;0),G2435/H2435-1,"")</x:f>
        <x:v>0</x:v>
      </x:c>
      <x:c r="J2435" s="27" t="n">
        <x:f>IF(AND(ISNUMBER(G2435),F2435&gt;0),G2435/F2435-1,"")</x:f>
        <x:v>0</x:v>
      </x:c>
      <x:c r="K2435" s="19" t="str">
        <x:v>Exp_9/EXP075/results/seed304444453_Fixed_rank_10.json</x:v>
      </x:c>
    </x:row>
    <x:row r="2436" ht="15" hidden="0" customHeight="1">
      <x:c r="A2436" s="3" t="str">
        <x:v>EXP075</x:v>
      </x:c>
      <x:c r="B2436" s="3" t="str">
        <x:v>Exp. 9</x:v>
      </x:c>
      <x:c r="C2436" s="18" t="n">
        <x:v>304444453</x:v>
      </x:c>
      <x:c r="D2436" s="3" t="str">
        <x:v>Fixed rank 25</x:v>
      </x:c>
      <x:c r="E2436" s="18" t="n">
        <x:v>200</x:v>
      </x:c>
      <x:c r="F2436" s="21" t="n">
        <x:v>398.66415882226613</x:v>
      </x:c>
      <x:c r="G2436" s="21" t="n">
        <x:f>F2433</x:f>
        <x:v>398.66415882226613</x:v>
      </x:c>
      <x:c r="H2436" s="21" t="n">
        <x:f>F2438</x:f>
        <x:v>398.66415882226613</x:v>
      </x:c>
      <x:c r="I2436" s="27" t="n">
        <x:f>IF(AND(ISNUMBER(G2436),ISNUMBER(H2436),H2436&gt;0),G2436/H2436-1,"")</x:f>
        <x:v>0</x:v>
      </x:c>
      <x:c r="J2436" s="27" t="n">
        <x:f>IF(AND(ISNUMBER(G2436),F2436&gt;0),G2436/F2436-1,"")</x:f>
        <x:v>0</x:v>
      </x:c>
      <x:c r="K2436" s="19" t="str">
        <x:v>Exp_9/EXP075/results/seed304444453_Fixed_rank_25.json</x:v>
      </x:c>
    </x:row>
    <x:row r="2437" ht="15" hidden="0" customHeight="1">
      <x:c r="A2437" s="3" t="str">
        <x:v>EXP075</x:v>
      </x:c>
      <x:c r="B2437" s="3" t="str">
        <x:v>Exp. 9</x:v>
      </x:c>
      <x:c r="C2437" s="18" t="n">
        <x:v>304444453</x:v>
      </x:c>
      <x:c r="D2437" s="3" t="str">
        <x:v>Relative cutoff 1e-6</x:v>
      </x:c>
      <x:c r="E2437" s="18" t="n">
        <x:v>200</x:v>
      </x:c>
      <x:c r="F2437" s="21" t="n">
        <x:v>398.66415882226613</x:v>
      </x:c>
      <x:c r="G2437" s="21" t="n">
        <x:f>F2433</x:f>
        <x:v>398.66415882226613</x:v>
      </x:c>
      <x:c r="H2437" s="21" t="n">
        <x:f>F2438</x:f>
        <x:v>398.66415882226613</x:v>
      </x:c>
      <x:c r="I2437" s="27" t="n">
        <x:f>IF(AND(ISNUMBER(G2437),ISNUMBER(H2437),H2437&gt;0),G2437/H2437-1,"")</x:f>
        <x:v>0</x:v>
      </x:c>
      <x:c r="J2437" s="27" t="n">
        <x:f>IF(AND(ISNUMBER(G2437),F2437&gt;0),G2437/F2437-1,"")</x:f>
        <x:v>0</x:v>
      </x:c>
      <x:c r="K2437" s="19" t="str">
        <x:v>Exp_9/EXP075/results/seed304444453_Relative_cutoff_1e-6.json</x:v>
      </x:c>
    </x:row>
    <x:row r="2438" ht="15" hidden="0" customHeight="1">
      <x:c r="A2438" s="3" t="str">
        <x:v>EXP075</x:v>
      </x:c>
      <x:c r="B2438" s="3" t="str">
        <x:v>Exp. 9</x:v>
      </x:c>
      <x:c r="C2438" s="18" t="n">
        <x:v>304444453</x:v>
      </x:c>
      <x:c r="D2438" s="3" t="str">
        <x:v>Full</x:v>
      </x:c>
      <x:c r="E2438" s="18" t="n">
        <x:v>200</x:v>
      </x:c>
      <x:c r="F2438" s="21" t="n">
        <x:v>398.66415882226613</x:v>
      </x:c>
      <x:c r="G2438" s="21" t="n">
        <x:f>F2433</x:f>
        <x:v>398.66415882226613</x:v>
      </x:c>
      <x:c r="H2438" s="21" t="n">
        <x:f>F2438</x:f>
        <x:v>398.66415882226613</x:v>
      </x:c>
      <x:c r="I2438" s="27" t="n">
        <x:f>IF(AND(ISNUMBER(G2438),ISNUMBER(H2438),H2438&gt;0),G2438/H2438-1,"")</x:f>
        <x:v>0</x:v>
      </x:c>
      <x:c r="J2438" s="27" t="n">
        <x:f>IF(AND(ISNUMBER(G2438),F2438&gt;0),G2438/F2438-1,"")</x:f>
        <x:v>0</x:v>
      </x:c>
      <x:c r="K2438" s="19" t="str">
        <x:v>Exp_9/EXP075/results/seed304444453_Full.json</x:v>
      </x:c>
    </x:row>
    <x:row r="2439" ht="15" hidden="0" customHeight="1">
      <x:c r="A2439" s="3" t="str">
        <x:v>EXP075</x:v>
      </x:c>
      <x:c r="B2439" s="3" t="str">
        <x:v>Exp. 9</x:v>
      </x:c>
      <x:c r="C2439" s="18" t="n">
        <x:v>304444453</x:v>
      </x:c>
      <x:c r="D2439" s="3" t="str">
        <x:v>Relative cutoff 1e-2</x:v>
      </x:c>
      <x:c r="E2439" s="18" t="n">
        <x:v>200</x:v>
      </x:c>
      <x:c r="F2439" s="21" t="n">
        <x:v>389.8471886407298</x:v>
      </x:c>
      <x:c r="G2439" s="21" t="n">
        <x:f>F2433</x:f>
        <x:v>398.66415882226613</x:v>
      </x:c>
      <x:c r="H2439" s="21" t="n">
        <x:f>F2438</x:f>
        <x:v>398.66415882226613</x:v>
      </x:c>
      <x:c r="I2439" s="27" t="n">
        <x:f>IF(AND(ISNUMBER(G2439),ISNUMBER(H2439),H2439&gt;0),G2439/H2439-1,"")</x:f>
        <x:v>0</x:v>
      </x:c>
      <x:c r="J2439" s="27" t="n">
        <x:f>IF(AND(ISNUMBER(G2439),F2439&gt;0),G2439/F2439-1,"")</x:f>
        <x:v>0.022616477528742074</x:v>
      </x:c>
      <x:c r="K2439" s="19" t="str">
        <x:v>Exp_9/EXP075/results/seed304444453_Relative_cutoff_1e-2.json</x:v>
      </x:c>
    </x:row>
    <x:row r="2440" ht="15" hidden="0" customHeight="1">
      <x:c r="A2440" s="3" t="str">
        <x:v>EXP075</x:v>
      </x:c>
      <x:c r="B2440" s="3" t="str">
        <x:v>Exp. 9</x:v>
      </x:c>
      <x:c r="C2440" s="18" t="n">
        <x:v>304444453</x:v>
      </x:c>
      <x:c r="D2440" s="3" t="str">
        <x:v>Relative cutoff 1e-4</x:v>
      </x:c>
      <x:c r="E2440" s="18" t="n">
        <x:v>200</x:v>
      </x:c>
      <x:c r="F2440" s="21" t="n">
        <x:v>398.66415882226613</x:v>
      </x:c>
      <x:c r="G2440" s="21" t="n">
        <x:f>F2433</x:f>
        <x:v>398.66415882226613</x:v>
      </x:c>
      <x:c r="H2440" s="21" t="n">
        <x:f>F2438</x:f>
        <x:v>398.66415882226613</x:v>
      </x:c>
      <x:c r="I2440" s="27" t="n">
        <x:f>IF(AND(ISNUMBER(G2440),ISNUMBER(H2440),H2440&gt;0),G2440/H2440-1,"")</x:f>
        <x:v>0</x:v>
      </x:c>
      <x:c r="J2440" s="27" t="n">
        <x:f>IF(AND(ISNUMBER(G2440),F2440&gt;0),G2440/F2440-1,"")</x:f>
        <x:v>0</x:v>
      </x:c>
      <x:c r="K2440" s="19" t="str">
        <x:v>Exp_9/EXP075/results/seed304444453_Relative_cutoff_1e-4.json</x:v>
      </x:c>
    </x:row>
    <x:row r="2441" ht="15" hidden="0" customHeight="1">
      <x:c r="A2441" s="3" t="str">
        <x:v>EXP075</x:v>
      </x:c>
      <x:c r="B2441" s="3" t="str">
        <x:v>Exp. 9</x:v>
      </x:c>
      <x:c r="C2441" s="18" t="n">
        <x:v>319922324</x:v>
      </x:c>
      <x:c r="D2441" s="3" t="str">
        <x:v>BBP</x:v>
      </x:c>
      <x:c r="E2441" s="18" t="n">
        <x:v>200</x:v>
      </x:c>
      <x:c r="F2441" s="21" t="n">
        <x:v>433.37881038700374</x:v>
      </x:c>
      <x:c r="G2441" s="21" t="n">
        <x:f>F2441</x:f>
        <x:v>433.37881038700374</x:v>
      </x:c>
      <x:c r="H2441" s="21" t="n">
        <x:f>F2446</x:f>
        <x:v>433.37881038700374</x:v>
      </x:c>
      <x:c r="I2441" s="27" t="n">
        <x:f>IF(AND(ISNUMBER(G2441),ISNUMBER(H2441),H2441&gt;0),G2441/H2441-1,"")</x:f>
        <x:v>0</x:v>
      </x:c>
      <x:c r="J2441" s="27" t="n">
        <x:f>IF(AND(ISNUMBER(G2441),F2441&gt;0),G2441/F2441-1,"")</x:f>
        <x:v>0</x:v>
      </x:c>
      <x:c r="K2441" s="19" t="str">
        <x:v>Exp_9/EXP075/results/seed319922324_BBP.json</x:v>
      </x:c>
    </x:row>
    <x:row r="2442" ht="15" hidden="0" customHeight="1">
      <x:c r="A2442" s="3" t="str">
        <x:v>EXP075</x:v>
      </x:c>
      <x:c r="B2442" s="3" t="str">
        <x:v>Exp. 9</x:v>
      </x:c>
      <x:c r="C2442" s="18" t="n">
        <x:v>319922324</x:v>
      </x:c>
      <x:c r="D2442" s="3" t="str">
        <x:v>Relative cutoff 1e-5</x:v>
      </x:c>
      <x:c r="E2442" s="18" t="n">
        <x:v>200</x:v>
      </x:c>
      <x:c r="F2442" s="21" t="n">
        <x:v>433.37881038700374</x:v>
      </x:c>
      <x:c r="G2442" s="21" t="n">
        <x:f>F2441</x:f>
        <x:v>433.37881038700374</x:v>
      </x:c>
      <x:c r="H2442" s="21" t="n">
        <x:f>F2446</x:f>
        <x:v>433.37881038700374</x:v>
      </x:c>
      <x:c r="I2442" s="27" t="n">
        <x:f>IF(AND(ISNUMBER(G2442),ISNUMBER(H2442),H2442&gt;0),G2442/H2442-1,"")</x:f>
        <x:v>0</x:v>
      </x:c>
      <x:c r="J2442" s="27" t="n">
        <x:f>IF(AND(ISNUMBER(G2442),F2442&gt;0),G2442/F2442-1,"")</x:f>
        <x:v>0</x:v>
      </x:c>
      <x:c r="K2442" s="19" t="str">
        <x:v>Exp_9/EXP075/results/seed319922324_Relative_cutoff_1e-5.json</x:v>
      </x:c>
    </x:row>
    <x:row r="2443" ht="15" hidden="0" customHeight="1">
      <x:c r="A2443" s="3" t="str">
        <x:v>EXP075</x:v>
      </x:c>
      <x:c r="B2443" s="3" t="str">
        <x:v>Exp. 9</x:v>
      </x:c>
      <x:c r="C2443" s="18" t="n">
        <x:v>319922324</x:v>
      </x:c>
      <x:c r="D2443" s="3" t="str">
        <x:v>Fixed rank 10</x:v>
      </x:c>
      <x:c r="E2443" s="18" t="n">
        <x:v>200</x:v>
      </x:c>
      <x:c r="F2443" s="21" t="n">
        <x:v>429.1861114586266</x:v>
      </x:c>
      <x:c r="G2443" s="21" t="n">
        <x:f>F2441</x:f>
        <x:v>433.37881038700374</x:v>
      </x:c>
      <x:c r="H2443" s="21" t="n">
        <x:f>F2446</x:f>
        <x:v>433.37881038700374</x:v>
      </x:c>
      <x:c r="I2443" s="27" t="n">
        <x:f>IF(AND(ISNUMBER(G2443),ISNUMBER(H2443),H2443&gt;0),G2443/H2443-1,"")</x:f>
        <x:v>0</x:v>
      </x:c>
      <x:c r="J2443" s="27" t="n">
        <x:f>IF(AND(ISNUMBER(G2443),F2443&gt;0),G2443/F2443-1,"")</x:f>
        <x:v>0.00976895294707436</x:v>
      </x:c>
      <x:c r="K2443" s="19" t="str">
        <x:v>Exp_9/EXP075/results/seed319922324_Fixed_rank_10.json</x:v>
      </x:c>
    </x:row>
    <x:row r="2444" ht="15" hidden="0" customHeight="1">
      <x:c r="A2444" s="3" t="str">
        <x:v>EXP075</x:v>
      </x:c>
      <x:c r="B2444" s="3" t="str">
        <x:v>Exp. 9</x:v>
      </x:c>
      <x:c r="C2444" s="18" t="n">
        <x:v>319922324</x:v>
      </x:c>
      <x:c r="D2444" s="3" t="str">
        <x:v>Fixed rank 25</x:v>
      </x:c>
      <x:c r="E2444" s="18" t="n">
        <x:v>200</x:v>
      </x:c>
      <x:c r="F2444" s="21" t="n">
        <x:v>433.37881038700374</x:v>
      </x:c>
      <x:c r="G2444" s="21" t="n">
        <x:f>F2441</x:f>
        <x:v>433.37881038700374</x:v>
      </x:c>
      <x:c r="H2444" s="21" t="n">
        <x:f>F2446</x:f>
        <x:v>433.37881038700374</x:v>
      </x:c>
      <x:c r="I2444" s="27" t="n">
        <x:f>IF(AND(ISNUMBER(G2444),ISNUMBER(H2444),H2444&gt;0),G2444/H2444-1,"")</x:f>
        <x:v>0</x:v>
      </x:c>
      <x:c r="J2444" s="27" t="n">
        <x:f>IF(AND(ISNUMBER(G2444),F2444&gt;0),G2444/F2444-1,"")</x:f>
        <x:v>0</x:v>
      </x:c>
      <x:c r="K2444" s="19" t="str">
        <x:v>Exp_9/EXP075/results/seed319922324_Fixed_rank_25.json</x:v>
      </x:c>
    </x:row>
    <x:row r="2445" ht="15" hidden="0" customHeight="1">
      <x:c r="A2445" s="3" t="str">
        <x:v>EXP075</x:v>
      </x:c>
      <x:c r="B2445" s="3" t="str">
        <x:v>Exp. 9</x:v>
      </x:c>
      <x:c r="C2445" s="18" t="n">
        <x:v>319922324</x:v>
      </x:c>
      <x:c r="D2445" s="3" t="str">
        <x:v>Relative cutoff 1e-6</x:v>
      </x:c>
      <x:c r="E2445" s="18" t="n">
        <x:v>200</x:v>
      </x:c>
      <x:c r="F2445" s="21" t="n">
        <x:v>433.37881038700374</x:v>
      </x:c>
      <x:c r="G2445" s="21" t="n">
        <x:f>F2441</x:f>
        <x:v>433.37881038700374</x:v>
      </x:c>
      <x:c r="H2445" s="21" t="n">
        <x:f>F2446</x:f>
        <x:v>433.37881038700374</x:v>
      </x:c>
      <x:c r="I2445" s="27" t="n">
        <x:f>IF(AND(ISNUMBER(G2445),ISNUMBER(H2445),H2445&gt;0),G2445/H2445-1,"")</x:f>
        <x:v>0</x:v>
      </x:c>
      <x:c r="J2445" s="27" t="n">
        <x:f>IF(AND(ISNUMBER(G2445),F2445&gt;0),G2445/F2445-1,"")</x:f>
        <x:v>0</x:v>
      </x:c>
      <x:c r="K2445" s="19" t="str">
        <x:v>Exp_9/EXP075/results/seed319922324_Relative_cutoff_1e-6.json</x:v>
      </x:c>
    </x:row>
    <x:row r="2446" ht="15" hidden="0" customHeight="1">
      <x:c r="A2446" s="3" t="str">
        <x:v>EXP075</x:v>
      </x:c>
      <x:c r="B2446" s="3" t="str">
        <x:v>Exp. 9</x:v>
      </x:c>
      <x:c r="C2446" s="18" t="n">
        <x:v>319922324</x:v>
      </x:c>
      <x:c r="D2446" s="3" t="str">
        <x:v>Full</x:v>
      </x:c>
      <x:c r="E2446" s="18" t="n">
        <x:v>200</x:v>
      </x:c>
      <x:c r="F2446" s="21" t="n">
        <x:v>433.37881038700374</x:v>
      </x:c>
      <x:c r="G2446" s="21" t="n">
        <x:f>F2441</x:f>
        <x:v>433.37881038700374</x:v>
      </x:c>
      <x:c r="H2446" s="21" t="n">
        <x:f>F2446</x:f>
        <x:v>433.37881038700374</x:v>
      </x:c>
      <x:c r="I2446" s="27" t="n">
        <x:f>IF(AND(ISNUMBER(G2446),ISNUMBER(H2446),H2446&gt;0),G2446/H2446-1,"")</x:f>
        <x:v>0</x:v>
      </x:c>
      <x:c r="J2446" s="27" t="n">
        <x:f>IF(AND(ISNUMBER(G2446),F2446&gt;0),G2446/F2446-1,"")</x:f>
        <x:v>0</x:v>
      </x:c>
      <x:c r="K2446" s="19" t="str">
        <x:v>Exp_9/EXP075/results/seed319922324_Full.json</x:v>
      </x:c>
    </x:row>
    <x:row r="2447" ht="15" hidden="0" customHeight="1">
      <x:c r="A2447" s="3" t="str">
        <x:v>EXP075</x:v>
      </x:c>
      <x:c r="B2447" s="3" t="str">
        <x:v>Exp. 9</x:v>
      </x:c>
      <x:c r="C2447" s="18" t="n">
        <x:v>319922324</x:v>
      </x:c>
      <x:c r="D2447" s="3" t="str">
        <x:v>Relative cutoff 1e-2</x:v>
      </x:c>
      <x:c r="E2447" s="18" t="n">
        <x:v>200</x:v>
      </x:c>
      <x:c r="F2447" s="21" t="n">
        <x:v>444.22426153359356</x:v>
      </x:c>
      <x:c r="G2447" s="21" t="n">
        <x:f>F2441</x:f>
        <x:v>433.37881038700374</x:v>
      </x:c>
      <x:c r="H2447" s="21" t="n">
        <x:f>F2446</x:f>
        <x:v>433.37881038700374</x:v>
      </x:c>
      <x:c r="I2447" s="27" t="n">
        <x:f>IF(AND(ISNUMBER(G2447),ISNUMBER(H2447),H2447&gt;0),G2447/H2447-1,"")</x:f>
        <x:v>0</x:v>
      </x:c>
      <x:c r="J2447" s="27" t="n">
        <x:f>IF(AND(ISNUMBER(G2447),F2447&gt;0),G2447/F2447-1,"")</x:f>
        <x:v>-0.024414360235859522</x:v>
      </x:c>
      <x:c r="K2447" s="19" t="str">
        <x:v>Exp_9/EXP075/results/seed319922324_Relative_cutoff_1e-2.json</x:v>
      </x:c>
    </x:row>
    <x:row r="2448" ht="15" hidden="0" customHeight="1">
      <x:c r="A2448" s="3" t="str">
        <x:v>EXP075</x:v>
      </x:c>
      <x:c r="B2448" s="3" t="str">
        <x:v>Exp. 9</x:v>
      </x:c>
      <x:c r="C2448" s="18" t="n">
        <x:v>319922324</x:v>
      </x:c>
      <x:c r="D2448" s="3" t="str">
        <x:v>Relative cutoff 1e-4</x:v>
      </x:c>
      <x:c r="E2448" s="18" t="n">
        <x:v>200</x:v>
      </x:c>
      <x:c r="F2448" s="21" t="n">
        <x:v>429.3636002041345</x:v>
      </x:c>
      <x:c r="G2448" s="21" t="n">
        <x:f>F2441</x:f>
        <x:v>433.37881038700374</x:v>
      </x:c>
      <x:c r="H2448" s="21" t="n">
        <x:f>F2446</x:f>
        <x:v>433.37881038700374</x:v>
      </x:c>
      <x:c r="I2448" s="27" t="n">
        <x:f>IF(AND(ISNUMBER(G2448),ISNUMBER(H2448),H2448&gt;0),G2448/H2448-1,"")</x:f>
        <x:v>0</x:v>
      </x:c>
      <x:c r="J2448" s="27" t="n">
        <x:f>IF(AND(ISNUMBER(G2448),F2448&gt;0),G2448/F2448-1,"")</x:f>
        <x:v>0.009351538372047052</x:v>
      </x:c>
      <x:c r="K2448" s="19" t="str">
        <x:v>Exp_9/EXP075/results/seed319922324_Relative_cutoff_1e-4.json</x:v>
      </x:c>
    </x:row>
    <x:row r="2449" ht="15" hidden="0" customHeight="1">
      <x:c r="A2449" s="3" t="str">
        <x:v>EXP075</x:v>
      </x:c>
      <x:c r="B2449" s="3" t="str">
        <x:v>Exp. 9</x:v>
      </x:c>
      <x:c r="C2449" s="18" t="n">
        <x:v>560889375</x:v>
      </x:c>
      <x:c r="D2449" s="3" t="str">
        <x:v>BBP</x:v>
      </x:c>
      <x:c r="E2449" s="18" t="n">
        <x:v>200</x:v>
      </x:c>
      <x:c r="F2449" s="21" t="n">
        <x:v>497.880332425725</x:v>
      </x:c>
      <x:c r="G2449" s="21" t="n">
        <x:f>F2449</x:f>
        <x:v>497.880332425725</x:v>
      </x:c>
      <x:c r="H2449" s="21" t="n">
        <x:f>F2454</x:f>
        <x:v>501.1468002830593</x:v>
      </x:c>
      <x:c r="I2449" s="27" t="n">
        <x:f>IF(AND(ISNUMBER(G2449),ISNUMBER(H2449),H2449&gt;0),G2449/H2449-1,"")</x:f>
        <x:v>-0.006517986058155678</x:v>
      </x:c>
      <x:c r="J2449" s="27" t="n">
        <x:f>IF(AND(ISNUMBER(G2449),F2449&gt;0),G2449/F2449-1,"")</x:f>
        <x:v>0</x:v>
      </x:c>
      <x:c r="K2449" s="19" t="str">
        <x:v>Exp_9/EXP075/results/seed560889375_BBP.json</x:v>
      </x:c>
    </x:row>
    <x:row r="2450" ht="15" hidden="0" customHeight="1">
      <x:c r="A2450" s="3" t="str">
        <x:v>EXP075</x:v>
      </x:c>
      <x:c r="B2450" s="3" t="str">
        <x:v>Exp. 9</x:v>
      </x:c>
      <x:c r="C2450" s="18" t="n">
        <x:v>560889375</x:v>
      </x:c>
      <x:c r="D2450" s="3" t="str">
        <x:v>Relative cutoff 1e-5</x:v>
      </x:c>
      <x:c r="E2450" s="18" t="n">
        <x:v>200</x:v>
      </x:c>
      <x:c r="F2450" s="21" t="n">
        <x:v>497.880332425725</x:v>
      </x:c>
      <x:c r="G2450" s="21" t="n">
        <x:f>F2449</x:f>
        <x:v>497.880332425725</x:v>
      </x:c>
      <x:c r="H2450" s="21" t="n">
        <x:f>F2454</x:f>
        <x:v>501.1468002830593</x:v>
      </x:c>
      <x:c r="I2450" s="27" t="n">
        <x:f>IF(AND(ISNUMBER(G2450),ISNUMBER(H2450),H2450&gt;0),G2450/H2450-1,"")</x:f>
        <x:v>-0.006517986058155678</x:v>
      </x:c>
      <x:c r="J2450" s="27" t="n">
        <x:f>IF(AND(ISNUMBER(G2450),F2450&gt;0),G2450/F2450-1,"")</x:f>
        <x:v>0</x:v>
      </x:c>
      <x:c r="K2450" s="19" t="str">
        <x:v>Exp_9/EXP075/results/seed560889375_Relative_cutoff_1e-5.json</x:v>
      </x:c>
    </x:row>
    <x:row r="2451" ht="15" hidden="0" customHeight="1">
      <x:c r="A2451" s="3" t="str">
        <x:v>EXP075</x:v>
      </x:c>
      <x:c r="B2451" s="3" t="str">
        <x:v>Exp. 9</x:v>
      </x:c>
      <x:c r="C2451" s="18" t="n">
        <x:v>560889375</x:v>
      </x:c>
      <x:c r="D2451" s="3" t="str">
        <x:v>Fixed rank 10</x:v>
      </x:c>
      <x:c r="E2451" s="18" t="n">
        <x:v>200</x:v>
      </x:c>
      <x:c r="F2451" s="21" t="n">
        <x:v>497.880332425725</x:v>
      </x:c>
      <x:c r="G2451" s="21" t="n">
        <x:f>F2449</x:f>
        <x:v>497.880332425725</x:v>
      </x:c>
      <x:c r="H2451" s="21" t="n">
        <x:f>F2454</x:f>
        <x:v>501.1468002830593</x:v>
      </x:c>
      <x:c r="I2451" s="27" t="n">
        <x:f>IF(AND(ISNUMBER(G2451),ISNUMBER(H2451),H2451&gt;0),G2451/H2451-1,"")</x:f>
        <x:v>-0.006517986058155678</x:v>
      </x:c>
      <x:c r="J2451" s="27" t="n">
        <x:f>IF(AND(ISNUMBER(G2451),F2451&gt;0),G2451/F2451-1,"")</x:f>
        <x:v>0</x:v>
      </x:c>
      <x:c r="K2451" s="19" t="str">
        <x:v>Exp_9/EXP075/results/seed560889375_Fixed_rank_10.json</x:v>
      </x:c>
    </x:row>
    <x:row r="2452" ht="15" hidden="0" customHeight="1">
      <x:c r="A2452" s="3" t="str">
        <x:v>EXP075</x:v>
      </x:c>
      <x:c r="B2452" s="3" t="str">
        <x:v>Exp. 9</x:v>
      </x:c>
      <x:c r="C2452" s="18" t="n">
        <x:v>560889375</x:v>
      </x:c>
      <x:c r="D2452" s="3" t="str">
        <x:v>Fixed rank 25</x:v>
      </x:c>
      <x:c r="E2452" s="18" t="n">
        <x:v>200</x:v>
      </x:c>
      <x:c r="F2452" s="21" t="n">
        <x:v>497.880332425725</x:v>
      </x:c>
      <x:c r="G2452" s="21" t="n">
        <x:f>F2449</x:f>
        <x:v>497.880332425725</x:v>
      </x:c>
      <x:c r="H2452" s="21" t="n">
        <x:f>F2454</x:f>
        <x:v>501.1468002830593</x:v>
      </x:c>
      <x:c r="I2452" s="27" t="n">
        <x:f>IF(AND(ISNUMBER(G2452),ISNUMBER(H2452),H2452&gt;0),G2452/H2452-1,"")</x:f>
        <x:v>-0.006517986058155678</x:v>
      </x:c>
      <x:c r="J2452" s="27" t="n">
        <x:f>IF(AND(ISNUMBER(G2452),F2452&gt;0),G2452/F2452-1,"")</x:f>
        <x:v>0</x:v>
      </x:c>
      <x:c r="K2452" s="19" t="str">
        <x:v>Exp_9/EXP075/results/seed560889375_Fixed_rank_25.json</x:v>
      </x:c>
    </x:row>
    <x:row r="2453" ht="15" hidden="0" customHeight="1">
      <x:c r="A2453" s="3" t="str">
        <x:v>EXP075</x:v>
      </x:c>
      <x:c r="B2453" s="3" t="str">
        <x:v>Exp. 9</x:v>
      </x:c>
      <x:c r="C2453" s="18" t="n">
        <x:v>560889375</x:v>
      </x:c>
      <x:c r="D2453" s="3" t="str">
        <x:v>Relative cutoff 1e-6</x:v>
      </x:c>
      <x:c r="E2453" s="18" t="n">
        <x:v>200</x:v>
      </x:c>
      <x:c r="F2453" s="21" t="n">
        <x:v>501.1468002830593</x:v>
      </x:c>
      <x:c r="G2453" s="21" t="n">
        <x:f>F2449</x:f>
        <x:v>497.880332425725</x:v>
      </x:c>
      <x:c r="H2453" s="21" t="n">
        <x:f>F2454</x:f>
        <x:v>501.1468002830593</x:v>
      </x:c>
      <x:c r="I2453" s="27" t="n">
        <x:f>IF(AND(ISNUMBER(G2453),ISNUMBER(H2453),H2453&gt;0),G2453/H2453-1,"")</x:f>
        <x:v>-0.006517986058155678</x:v>
      </x:c>
      <x:c r="J2453" s="27" t="n">
        <x:f>IF(AND(ISNUMBER(G2453),F2453&gt;0),G2453/F2453-1,"")</x:f>
        <x:v>-0.006517986058155678</x:v>
      </x:c>
      <x:c r="K2453" s="19" t="str">
        <x:v>Exp_9/EXP075/results/seed560889375_Relative_cutoff_1e-6.json</x:v>
      </x:c>
    </x:row>
    <x:row r="2454" ht="15" hidden="0" customHeight="1">
      <x:c r="A2454" s="3" t="str">
        <x:v>EXP075</x:v>
      </x:c>
      <x:c r="B2454" s="3" t="str">
        <x:v>Exp. 9</x:v>
      </x:c>
      <x:c r="C2454" s="18" t="n">
        <x:v>560889375</x:v>
      </x:c>
      <x:c r="D2454" s="3" t="str">
        <x:v>Full</x:v>
      </x:c>
      <x:c r="E2454" s="18" t="n">
        <x:v>200</x:v>
      </x:c>
      <x:c r="F2454" s="21" t="n">
        <x:v>501.1468002830593</x:v>
      </x:c>
      <x:c r="G2454" s="21" t="n">
        <x:f>F2449</x:f>
        <x:v>497.880332425725</x:v>
      </x:c>
      <x:c r="H2454" s="21" t="n">
        <x:f>F2454</x:f>
        <x:v>501.1468002830593</x:v>
      </x:c>
      <x:c r="I2454" s="27" t="n">
        <x:f>IF(AND(ISNUMBER(G2454),ISNUMBER(H2454),H2454&gt;0),G2454/H2454-1,"")</x:f>
        <x:v>-0.006517986058155678</x:v>
      </x:c>
      <x:c r="J2454" s="27" t="n">
        <x:f>IF(AND(ISNUMBER(G2454),F2454&gt;0),G2454/F2454-1,"")</x:f>
        <x:v>-0.006517986058155678</x:v>
      </x:c>
      <x:c r="K2454" s="19" t="str">
        <x:v>Exp_9/EXP075/results/seed560889375_Full.json</x:v>
      </x:c>
    </x:row>
    <x:row r="2455" ht="15" hidden="0" customHeight="1">
      <x:c r="A2455" s="3" t="str">
        <x:v>EXP075</x:v>
      </x:c>
      <x:c r="B2455" s="3" t="str">
        <x:v>Exp. 9</x:v>
      </x:c>
      <x:c r="C2455" s="18" t="n">
        <x:v>560889375</x:v>
      </x:c>
      <x:c r="D2455" s="3" t="str">
        <x:v>Relative cutoff 1e-2</x:v>
      </x:c>
      <x:c r="E2455" s="18" t="n">
        <x:v>200</x:v>
      </x:c>
      <x:c r="F2455" s="21" t="n">
        <x:v>480.935148499492</x:v>
      </x:c>
      <x:c r="G2455" s="21" t="n">
        <x:f>F2449</x:f>
        <x:v>497.880332425725</x:v>
      </x:c>
      <x:c r="H2455" s="21" t="n">
        <x:f>F2454</x:f>
        <x:v>501.1468002830593</x:v>
      </x:c>
      <x:c r="I2455" s="27" t="n">
        <x:f>IF(AND(ISNUMBER(G2455),ISNUMBER(H2455),H2455&gt;0),G2455/H2455-1,"")</x:f>
        <x:v>-0.006517986058155678</x:v>
      </x:c>
      <x:c r="J2455" s="27" t="n">
        <x:f>IF(AND(ISNUMBER(G2455),F2455&gt;0),G2455/F2455-1,"")</x:f>
        <x:v>0.03523382306138689</x:v>
      </x:c>
      <x:c r="K2455" s="19" t="str">
        <x:v>Exp_9/EXP075/results/seed560889375_Relative_cutoff_1e-2.json</x:v>
      </x:c>
    </x:row>
    <x:row r="2456" ht="15" hidden="0" customHeight="1">
      <x:c r="A2456" s="3" t="str">
        <x:v>EXP075</x:v>
      </x:c>
      <x:c r="B2456" s="3" t="str">
        <x:v>Exp. 9</x:v>
      </x:c>
      <x:c r="C2456" s="18" t="n">
        <x:v>560889375</x:v>
      </x:c>
      <x:c r="D2456" s="3" t="str">
        <x:v>Relative cutoff 1e-4</x:v>
      </x:c>
      <x:c r="E2456" s="18" t="n">
        <x:v>200</x:v>
      </x:c>
      <x:c r="F2456" s="21" t="n">
        <x:v>497.880332425725</x:v>
      </x:c>
      <x:c r="G2456" s="21" t="n">
        <x:f>F2449</x:f>
        <x:v>497.880332425725</x:v>
      </x:c>
      <x:c r="H2456" s="21" t="n">
        <x:f>F2454</x:f>
        <x:v>501.1468002830593</x:v>
      </x:c>
      <x:c r="I2456" s="27" t="n">
        <x:f>IF(AND(ISNUMBER(G2456),ISNUMBER(H2456),H2456&gt;0),G2456/H2456-1,"")</x:f>
        <x:v>-0.006517986058155678</x:v>
      </x:c>
      <x:c r="J2456" s="27" t="n">
        <x:f>IF(AND(ISNUMBER(G2456),F2456&gt;0),G2456/F2456-1,"")</x:f>
        <x:v>0</x:v>
      </x:c>
      <x:c r="K2456" s="19" t="str">
        <x:v>Exp_9/EXP075/results/seed560889375_Relative_cutoff_1e-4.json</x:v>
      </x:c>
    </x:row>
    <x:row r="2457" ht="15" hidden="0" customHeight="1">
      <x:c r="A2457" s="3" t="str">
        <x:v>EXP075</x:v>
      </x:c>
      <x:c r="B2457" s="3" t="str">
        <x:v>Exp. 9</x:v>
      </x:c>
      <x:c r="C2457" s="18" t="n">
        <x:v>666829030</x:v>
      </x:c>
      <x:c r="D2457" s="3" t="str">
        <x:v>BBP</x:v>
      </x:c>
      <x:c r="E2457" s="18" t="n">
        <x:v>200</x:v>
      </x:c>
      <x:c r="F2457" s="21" t="n">
        <x:v>436.49846569486704</x:v>
      </x:c>
      <x:c r="G2457" s="21" t="n">
        <x:f>F2457</x:f>
        <x:v>436.49846569486704</x:v>
      </x:c>
      <x:c r="H2457" s="21" t="n">
        <x:f>F2462</x:f>
        <x:v>436.49846569486704</x:v>
      </x:c>
      <x:c r="I2457" s="27" t="n">
        <x:f>IF(AND(ISNUMBER(G2457),ISNUMBER(H2457),H2457&gt;0),G2457/H2457-1,"")</x:f>
        <x:v>0</x:v>
      </x:c>
      <x:c r="J2457" s="27" t="n">
        <x:f>IF(AND(ISNUMBER(G2457),F2457&gt;0),G2457/F2457-1,"")</x:f>
        <x:v>0</x:v>
      </x:c>
      <x:c r="K2457" s="19" t="str">
        <x:v>Exp_9/EXP075/results/seed666829030_BBP.json</x:v>
      </x:c>
    </x:row>
    <x:row r="2458" ht="15" hidden="0" customHeight="1">
      <x:c r="A2458" s="3" t="str">
        <x:v>EXP075</x:v>
      </x:c>
      <x:c r="B2458" s="3" t="str">
        <x:v>Exp. 9</x:v>
      </x:c>
      <x:c r="C2458" s="18" t="n">
        <x:v>666829030</x:v>
      </x:c>
      <x:c r="D2458" s="3" t="str">
        <x:v>Relative cutoff 1e-5</x:v>
      </x:c>
      <x:c r="E2458" s="18" t="n">
        <x:v>200</x:v>
      </x:c>
      <x:c r="F2458" s="21" t="n">
        <x:v>436.49846569486704</x:v>
      </x:c>
      <x:c r="G2458" s="21" t="n">
        <x:f>F2457</x:f>
        <x:v>436.49846569486704</x:v>
      </x:c>
      <x:c r="H2458" s="21" t="n">
        <x:f>F2462</x:f>
        <x:v>436.49846569486704</x:v>
      </x:c>
      <x:c r="I2458" s="27" t="n">
        <x:f>IF(AND(ISNUMBER(G2458),ISNUMBER(H2458),H2458&gt;0),G2458/H2458-1,"")</x:f>
        <x:v>0</x:v>
      </x:c>
      <x:c r="J2458" s="27" t="n">
        <x:f>IF(AND(ISNUMBER(G2458),F2458&gt;0),G2458/F2458-1,"")</x:f>
        <x:v>0</x:v>
      </x:c>
      <x:c r="K2458" s="19" t="str">
        <x:v>Exp_9/EXP075/results/seed666829030_Relative_cutoff_1e-5.json</x:v>
      </x:c>
    </x:row>
    <x:row r="2459" ht="15" hidden="0" customHeight="1">
      <x:c r="A2459" s="3" t="str">
        <x:v>EXP075</x:v>
      </x:c>
      <x:c r="B2459" s="3" t="str">
        <x:v>Exp. 9</x:v>
      </x:c>
      <x:c r="C2459" s="18" t="n">
        <x:v>666829030</x:v>
      </x:c>
      <x:c r="D2459" s="3" t="str">
        <x:v>Fixed rank 10</x:v>
      </x:c>
      <x:c r="E2459" s="18" t="n">
        <x:v>200</x:v>
      </x:c>
      <x:c r="F2459" s="21" t="n">
        <x:v>440.6790704256432</x:v>
      </x:c>
      <x:c r="G2459" s="21" t="n">
        <x:f>F2457</x:f>
        <x:v>436.49846569486704</x:v>
      </x:c>
      <x:c r="H2459" s="21" t="n">
        <x:f>F2462</x:f>
        <x:v>436.49846569486704</x:v>
      </x:c>
      <x:c r="I2459" s="27" t="n">
        <x:f>IF(AND(ISNUMBER(G2459),ISNUMBER(H2459),H2459&gt;0),G2459/H2459-1,"")</x:f>
        <x:v>0</x:v>
      </x:c>
      <x:c r="J2459" s="27" t="n">
        <x:f>IF(AND(ISNUMBER(G2459),F2459&gt;0),G2459/F2459-1,"")</x:f>
        <x:v>-0.009486733115639523</x:v>
      </x:c>
      <x:c r="K2459" s="19" t="str">
        <x:v>Exp_9/EXP075/results/seed666829030_Fixed_rank_10.json</x:v>
      </x:c>
    </x:row>
    <x:row r="2460" ht="15" hidden="0" customHeight="1">
      <x:c r="A2460" s="3" t="str">
        <x:v>EXP075</x:v>
      </x:c>
      <x:c r="B2460" s="3" t="str">
        <x:v>Exp. 9</x:v>
      </x:c>
      <x:c r="C2460" s="18" t="n">
        <x:v>666829030</x:v>
      </x:c>
      <x:c r="D2460" s="3" t="str">
        <x:v>Fixed rank 25</x:v>
      </x:c>
      <x:c r="E2460" s="18" t="n">
        <x:v>200</x:v>
      </x:c>
      <x:c r="F2460" s="21" t="n">
        <x:v>436.49846569486704</x:v>
      </x:c>
      <x:c r="G2460" s="21" t="n">
        <x:f>F2457</x:f>
        <x:v>436.49846569486704</x:v>
      </x:c>
      <x:c r="H2460" s="21" t="n">
        <x:f>F2462</x:f>
        <x:v>436.49846569486704</x:v>
      </x:c>
      <x:c r="I2460" s="27" t="n">
        <x:f>IF(AND(ISNUMBER(G2460),ISNUMBER(H2460),H2460&gt;0),G2460/H2460-1,"")</x:f>
        <x:v>0</x:v>
      </x:c>
      <x:c r="J2460" s="27" t="n">
        <x:f>IF(AND(ISNUMBER(G2460),F2460&gt;0),G2460/F2460-1,"")</x:f>
        <x:v>0</x:v>
      </x:c>
      <x:c r="K2460" s="19" t="str">
        <x:v>Exp_9/EXP075/results/seed666829030_Fixed_rank_25.json</x:v>
      </x:c>
    </x:row>
    <x:row r="2461" ht="15" hidden="0" customHeight="1">
      <x:c r="A2461" s="3" t="str">
        <x:v>EXP075</x:v>
      </x:c>
      <x:c r="B2461" s="3" t="str">
        <x:v>Exp. 9</x:v>
      </x:c>
      <x:c r="C2461" s="18" t="n">
        <x:v>666829030</x:v>
      </x:c>
      <x:c r="D2461" s="3" t="str">
        <x:v>Relative cutoff 1e-6</x:v>
      </x:c>
      <x:c r="E2461" s="18" t="n">
        <x:v>200</x:v>
      </x:c>
      <x:c r="F2461" s="21" t="n">
        <x:v>436.49846569486704</x:v>
      </x:c>
      <x:c r="G2461" s="21" t="n">
        <x:f>F2457</x:f>
        <x:v>436.49846569486704</x:v>
      </x:c>
      <x:c r="H2461" s="21" t="n">
        <x:f>F2462</x:f>
        <x:v>436.49846569486704</x:v>
      </x:c>
      <x:c r="I2461" s="27" t="n">
        <x:f>IF(AND(ISNUMBER(G2461),ISNUMBER(H2461),H2461&gt;0),G2461/H2461-1,"")</x:f>
        <x:v>0</x:v>
      </x:c>
      <x:c r="J2461" s="27" t="n">
        <x:f>IF(AND(ISNUMBER(G2461),F2461&gt;0),G2461/F2461-1,"")</x:f>
        <x:v>0</x:v>
      </x:c>
      <x:c r="K2461" s="19" t="str">
        <x:v>Exp_9/EXP075/results/seed666829030_Relative_cutoff_1e-6.json</x:v>
      </x:c>
    </x:row>
    <x:row r="2462" ht="15" hidden="0" customHeight="1">
      <x:c r="A2462" s="3" t="str">
        <x:v>EXP075</x:v>
      </x:c>
      <x:c r="B2462" s="3" t="str">
        <x:v>Exp. 9</x:v>
      </x:c>
      <x:c r="C2462" s="18" t="n">
        <x:v>666829030</x:v>
      </x:c>
      <x:c r="D2462" s="3" t="str">
        <x:v>Full</x:v>
      </x:c>
      <x:c r="E2462" s="18" t="n">
        <x:v>200</x:v>
      </x:c>
      <x:c r="F2462" s="21" t="n">
        <x:v>436.49846569486704</x:v>
      </x:c>
      <x:c r="G2462" s="21" t="n">
        <x:f>F2457</x:f>
        <x:v>436.49846569486704</x:v>
      </x:c>
      <x:c r="H2462" s="21" t="n">
        <x:f>F2462</x:f>
        <x:v>436.49846569486704</x:v>
      </x:c>
      <x:c r="I2462" s="27" t="n">
        <x:f>IF(AND(ISNUMBER(G2462),ISNUMBER(H2462),H2462&gt;0),G2462/H2462-1,"")</x:f>
        <x:v>0</x:v>
      </x:c>
      <x:c r="J2462" s="27" t="n">
        <x:f>IF(AND(ISNUMBER(G2462),F2462&gt;0),G2462/F2462-1,"")</x:f>
        <x:v>0</x:v>
      </x:c>
      <x:c r="K2462" s="19" t="str">
        <x:v>Exp_9/EXP075/results/seed666829030_Full.json</x:v>
      </x:c>
    </x:row>
    <x:row r="2463" ht="15" hidden="0" customHeight="1">
      <x:c r="A2463" s="3" t="str">
        <x:v>EXP075</x:v>
      </x:c>
      <x:c r="B2463" s="3" t="str">
        <x:v>Exp. 9</x:v>
      </x:c>
      <x:c r="C2463" s="18" t="n">
        <x:v>666829030</x:v>
      </x:c>
      <x:c r="D2463" s="3" t="str">
        <x:v>Relative cutoff 1e-2</x:v>
      </x:c>
      <x:c r="E2463" s="18" t="n">
        <x:v>200</x:v>
      </x:c>
      <x:c r="F2463" s="21" t="n">
        <x:v>449.3909661029712</x:v>
      </x:c>
      <x:c r="G2463" s="21" t="n">
        <x:f>F2457</x:f>
        <x:v>436.49846569486704</x:v>
      </x:c>
      <x:c r="H2463" s="21" t="n">
        <x:f>F2462</x:f>
        <x:v>436.49846569486704</x:v>
      </x:c>
      <x:c r="I2463" s="27" t="n">
        <x:f>IF(AND(ISNUMBER(G2463),ISNUMBER(H2463),H2463&gt;0),G2463/H2463-1,"")</x:f>
        <x:v>0</x:v>
      </x:c>
      <x:c r="J2463" s="27" t="n">
        <x:f>IF(AND(ISNUMBER(G2463),F2463&gt;0),G2463/F2463-1,"")</x:f>
        <x:v>-0.0286888286159942</x:v>
      </x:c>
      <x:c r="K2463" s="19" t="str">
        <x:v>Exp_9/EXP075/results/seed666829030_Relative_cutoff_1e-2.json</x:v>
      </x:c>
    </x:row>
    <x:row r="2464" ht="15" hidden="0" customHeight="1">
      <x:c r="A2464" s="3" t="str">
        <x:v>EXP075</x:v>
      </x:c>
      <x:c r="B2464" s="3" t="str">
        <x:v>Exp. 9</x:v>
      </x:c>
      <x:c r="C2464" s="18" t="n">
        <x:v>666829030</x:v>
      </x:c>
      <x:c r="D2464" s="3" t="str">
        <x:v>Relative cutoff 1e-4</x:v>
      </x:c>
      <x:c r="E2464" s="18" t="n">
        <x:v>200</x:v>
      </x:c>
      <x:c r="F2464" s="21" t="n">
        <x:v>440.6790704256432</x:v>
      </x:c>
      <x:c r="G2464" s="21" t="n">
        <x:f>F2457</x:f>
        <x:v>436.49846569486704</x:v>
      </x:c>
      <x:c r="H2464" s="21" t="n">
        <x:f>F2462</x:f>
        <x:v>436.49846569486704</x:v>
      </x:c>
      <x:c r="I2464" s="27" t="n">
        <x:f>IF(AND(ISNUMBER(G2464),ISNUMBER(H2464),H2464&gt;0),G2464/H2464-1,"")</x:f>
        <x:v>0</x:v>
      </x:c>
      <x:c r="J2464" s="27" t="n">
        <x:f>IF(AND(ISNUMBER(G2464),F2464&gt;0),G2464/F2464-1,"")</x:f>
        <x:v>-0.009486733115639523</x:v>
      </x:c>
      <x:c r="K2464" s="19" t="str">
        <x:v>Exp_9/EXP075/results/seed666829030_Relative_cutoff_1e-4.json</x:v>
      </x:c>
    </x:row>
    <x:row r="2465" ht="15" hidden="0" customHeight="1">
      <x:c r="A2465" s="3" t="str">
        <x:v>EXP075</x:v>
      </x:c>
      <x:c r="B2465" s="3" t="str">
        <x:v>Exp. 9</x:v>
      </x:c>
      <x:c r="C2465" s="18" t="n">
        <x:v>806884711</x:v>
      </x:c>
      <x:c r="D2465" s="3" t="str">
        <x:v>BBP</x:v>
      </x:c>
      <x:c r="E2465" s="18" t="n">
        <x:v>200</x:v>
      </x:c>
      <x:c r="F2465" s="21" t="n">
        <x:v>476.9485960236541</x:v>
      </x:c>
      <x:c r="G2465" s="21" t="n">
        <x:f>F2465</x:f>
        <x:v>476.9485960236541</x:v>
      </x:c>
      <x:c r="H2465" s="21" t="n">
        <x:f>F2470</x:f>
        <x:v>476.9485960236541</x:v>
      </x:c>
      <x:c r="I2465" s="27" t="n">
        <x:f>IF(AND(ISNUMBER(G2465),ISNUMBER(H2465),H2465&gt;0),G2465/H2465-1,"")</x:f>
        <x:v>0</x:v>
      </x:c>
      <x:c r="J2465" s="27" t="n">
        <x:f>IF(AND(ISNUMBER(G2465),F2465&gt;0),G2465/F2465-1,"")</x:f>
        <x:v>0</x:v>
      </x:c>
      <x:c r="K2465" s="19" t="str">
        <x:v>Exp_9/EXP075/results/seed806884711_BBP.json</x:v>
      </x:c>
    </x:row>
    <x:row r="2466" ht="15" hidden="0" customHeight="1">
      <x:c r="A2466" s="3" t="str">
        <x:v>EXP075</x:v>
      </x:c>
      <x:c r="B2466" s="3" t="str">
        <x:v>Exp. 9</x:v>
      </x:c>
      <x:c r="C2466" s="18" t="n">
        <x:v>806884711</x:v>
      </x:c>
      <x:c r="D2466" s="3" t="str">
        <x:v>Relative cutoff 1e-5</x:v>
      </x:c>
      <x:c r="E2466" s="18" t="n">
        <x:v>200</x:v>
      </x:c>
      <x:c r="F2466" s="21" t="n">
        <x:v>476.9485960236541</x:v>
      </x:c>
      <x:c r="G2466" s="21" t="n">
        <x:f>F2465</x:f>
        <x:v>476.9485960236541</x:v>
      </x:c>
      <x:c r="H2466" s="21" t="n">
        <x:f>F2470</x:f>
        <x:v>476.9485960236541</x:v>
      </x:c>
      <x:c r="I2466" s="27" t="n">
        <x:f>IF(AND(ISNUMBER(G2466),ISNUMBER(H2466),H2466&gt;0),G2466/H2466-1,"")</x:f>
        <x:v>0</x:v>
      </x:c>
      <x:c r="J2466" s="27" t="n">
        <x:f>IF(AND(ISNUMBER(G2466),F2466&gt;0),G2466/F2466-1,"")</x:f>
        <x:v>0</x:v>
      </x:c>
      <x:c r="K2466" s="19" t="str">
        <x:v>Exp_9/EXP075/results/seed806884711_Relative_cutoff_1e-5.json</x:v>
      </x:c>
    </x:row>
    <x:row r="2467" ht="15" hidden="0" customHeight="1">
      <x:c r="A2467" s="3" t="str">
        <x:v>EXP075</x:v>
      </x:c>
      <x:c r="B2467" s="3" t="str">
        <x:v>Exp. 9</x:v>
      </x:c>
      <x:c r="C2467" s="18" t="n">
        <x:v>806884711</x:v>
      </x:c>
      <x:c r="D2467" s="3" t="str">
        <x:v>Fixed rank 10</x:v>
      </x:c>
      <x:c r="E2467" s="18" t="n">
        <x:v>200</x:v>
      </x:c>
      <x:c r="F2467" s="21" t="n">
        <x:v>476.9485960236541</x:v>
      </x:c>
      <x:c r="G2467" s="21" t="n">
        <x:f>F2465</x:f>
        <x:v>476.9485960236541</x:v>
      </x:c>
      <x:c r="H2467" s="21" t="n">
        <x:f>F2470</x:f>
        <x:v>476.9485960236541</x:v>
      </x:c>
      <x:c r="I2467" s="27" t="n">
        <x:f>IF(AND(ISNUMBER(G2467),ISNUMBER(H2467),H2467&gt;0),G2467/H2467-1,"")</x:f>
        <x:v>0</x:v>
      </x:c>
      <x:c r="J2467" s="27" t="n">
        <x:f>IF(AND(ISNUMBER(G2467),F2467&gt;0),G2467/F2467-1,"")</x:f>
        <x:v>0</x:v>
      </x:c>
      <x:c r="K2467" s="19" t="str">
        <x:v>Exp_9/EXP075/results/seed806884711_Fixed_rank_10.json</x:v>
      </x:c>
    </x:row>
    <x:row r="2468" ht="15" hidden="0" customHeight="1">
      <x:c r="A2468" s="3" t="str">
        <x:v>EXP075</x:v>
      </x:c>
      <x:c r="B2468" s="3" t="str">
        <x:v>Exp. 9</x:v>
      </x:c>
      <x:c r="C2468" s="18" t="n">
        <x:v>806884711</x:v>
      </x:c>
      <x:c r="D2468" s="3" t="str">
        <x:v>Fixed rank 25</x:v>
      </x:c>
      <x:c r="E2468" s="18" t="n">
        <x:v>200</x:v>
      </x:c>
      <x:c r="F2468" s="21" t="n">
        <x:v>476.9485960236541</x:v>
      </x:c>
      <x:c r="G2468" s="21" t="n">
        <x:f>F2465</x:f>
        <x:v>476.9485960236541</x:v>
      </x:c>
      <x:c r="H2468" s="21" t="n">
        <x:f>F2470</x:f>
        <x:v>476.9485960236541</x:v>
      </x:c>
      <x:c r="I2468" s="27" t="n">
        <x:f>IF(AND(ISNUMBER(G2468),ISNUMBER(H2468),H2468&gt;0),G2468/H2468-1,"")</x:f>
        <x:v>0</x:v>
      </x:c>
      <x:c r="J2468" s="27" t="n">
        <x:f>IF(AND(ISNUMBER(G2468),F2468&gt;0),G2468/F2468-1,"")</x:f>
        <x:v>0</x:v>
      </x:c>
      <x:c r="K2468" s="19" t="str">
        <x:v>Exp_9/EXP075/results/seed806884711_Fixed_rank_25.json</x:v>
      </x:c>
    </x:row>
    <x:row r="2469" ht="15" hidden="0" customHeight="1">
      <x:c r="A2469" s="3" t="str">
        <x:v>EXP075</x:v>
      </x:c>
      <x:c r="B2469" s="3" t="str">
        <x:v>Exp. 9</x:v>
      </x:c>
      <x:c r="C2469" s="18" t="n">
        <x:v>806884711</x:v>
      </x:c>
      <x:c r="D2469" s="3" t="str">
        <x:v>Relative cutoff 1e-6</x:v>
      </x:c>
      <x:c r="E2469" s="18" t="n">
        <x:v>200</x:v>
      </x:c>
      <x:c r="F2469" s="21" t="n">
        <x:v>476.9485960236541</x:v>
      </x:c>
      <x:c r="G2469" s="21" t="n">
        <x:f>F2465</x:f>
        <x:v>476.9485960236541</x:v>
      </x:c>
      <x:c r="H2469" s="21" t="n">
        <x:f>F2470</x:f>
        <x:v>476.9485960236541</x:v>
      </x:c>
      <x:c r="I2469" s="27" t="n">
        <x:f>IF(AND(ISNUMBER(G2469),ISNUMBER(H2469),H2469&gt;0),G2469/H2469-1,"")</x:f>
        <x:v>0</x:v>
      </x:c>
      <x:c r="J2469" s="27" t="n">
        <x:f>IF(AND(ISNUMBER(G2469),F2469&gt;0),G2469/F2469-1,"")</x:f>
        <x:v>0</x:v>
      </x:c>
      <x:c r="K2469" s="19" t="str">
        <x:v>Exp_9/EXP075/results/seed806884711_Relative_cutoff_1e-6.json</x:v>
      </x:c>
    </x:row>
    <x:row r="2470" ht="15" hidden="0" customHeight="1">
      <x:c r="A2470" s="3" t="str">
        <x:v>EXP075</x:v>
      </x:c>
      <x:c r="B2470" s="3" t="str">
        <x:v>Exp. 9</x:v>
      </x:c>
      <x:c r="C2470" s="18" t="n">
        <x:v>806884711</x:v>
      </x:c>
      <x:c r="D2470" s="3" t="str">
        <x:v>Full</x:v>
      </x:c>
      <x:c r="E2470" s="18" t="n">
        <x:v>200</x:v>
      </x:c>
      <x:c r="F2470" s="21" t="n">
        <x:v>476.9485960236541</x:v>
      </x:c>
      <x:c r="G2470" s="21" t="n">
        <x:f>F2465</x:f>
        <x:v>476.9485960236541</x:v>
      </x:c>
      <x:c r="H2470" s="21" t="n">
        <x:f>F2470</x:f>
        <x:v>476.9485960236541</x:v>
      </x:c>
      <x:c r="I2470" s="27" t="n">
        <x:f>IF(AND(ISNUMBER(G2470),ISNUMBER(H2470),H2470&gt;0),G2470/H2470-1,"")</x:f>
        <x:v>0</x:v>
      </x:c>
      <x:c r="J2470" s="27" t="n">
        <x:f>IF(AND(ISNUMBER(G2470),F2470&gt;0),G2470/F2470-1,"")</x:f>
        <x:v>0</x:v>
      </x:c>
      <x:c r="K2470" s="19" t="str">
        <x:v>Exp_9/EXP075/results/seed806884711_Full.json</x:v>
      </x:c>
    </x:row>
    <x:row r="2471" ht="15" hidden="0" customHeight="1">
      <x:c r="A2471" s="3" t="str">
        <x:v>EXP075</x:v>
      </x:c>
      <x:c r="B2471" s="3" t="str">
        <x:v>Exp. 9</x:v>
      </x:c>
      <x:c r="C2471" s="18" t="n">
        <x:v>806884711</x:v>
      </x:c>
      <x:c r="D2471" s="3" t="str">
        <x:v>Relative cutoff 1e-2</x:v>
      </x:c>
      <x:c r="E2471" s="18" t="n">
        <x:v>200</x:v>
      </x:c>
      <x:c r="F2471" s="21" t="n">
        <x:v>496.04434114633386</x:v>
      </x:c>
      <x:c r="G2471" s="21" t="n">
        <x:f>F2465</x:f>
        <x:v>476.9485960236541</x:v>
      </x:c>
      <x:c r="H2471" s="21" t="n">
        <x:f>F2470</x:f>
        <x:v>476.9485960236541</x:v>
      </x:c>
      <x:c r="I2471" s="27" t="n">
        <x:f>IF(AND(ISNUMBER(G2471),ISNUMBER(H2471),H2471&gt;0),G2471/H2471-1,"")</x:f>
        <x:v>0</x:v>
      </x:c>
      <x:c r="J2471" s="27" t="n">
        <x:f>IF(AND(ISNUMBER(G2471),F2471&gt;0),G2471/F2471-1,"")</x:f>
        <x:v>-0.03849604468534096</x:v>
      </x:c>
      <x:c r="K2471" s="19" t="str">
        <x:v>Exp_9/EXP075/results/seed806884711_Relative_cutoff_1e-2.json</x:v>
      </x:c>
    </x:row>
    <x:row r="2472" ht="15" hidden="0" customHeight="1">
      <x:c r="A2472" s="3" t="str">
        <x:v>EXP075</x:v>
      </x:c>
      <x:c r="B2472" s="3" t="str">
        <x:v>Exp. 9</x:v>
      </x:c>
      <x:c r="C2472" s="18" t="n">
        <x:v>806884711</x:v>
      </x:c>
      <x:c r="D2472" s="3" t="str">
        <x:v>Relative cutoff 1e-4</x:v>
      </x:c>
      <x:c r="E2472" s="18" t="n">
        <x:v>200</x:v>
      </x:c>
      <x:c r="F2472" s="21" t="n">
        <x:v>476.9485960236541</x:v>
      </x:c>
      <x:c r="G2472" s="21" t="n">
        <x:f>F2465</x:f>
        <x:v>476.9485960236541</x:v>
      </x:c>
      <x:c r="H2472" s="21" t="n">
        <x:f>F2470</x:f>
        <x:v>476.9485960236541</x:v>
      </x:c>
      <x:c r="I2472" s="27" t="n">
        <x:f>IF(AND(ISNUMBER(G2472),ISNUMBER(H2472),H2472&gt;0),G2472/H2472-1,"")</x:f>
        <x:v>0</x:v>
      </x:c>
      <x:c r="J2472" s="27" t="n">
        <x:f>IF(AND(ISNUMBER(G2472),F2472&gt;0),G2472/F2472-1,"")</x:f>
        <x:v>0</x:v>
      </x:c>
      <x:c r="K2472" s="19" t="str">
        <x:v>Exp_9/EXP075/results/seed806884711_Relative_cutoff_1e-4.json</x:v>
      </x:c>
    </x:row>
    <x:row r="2473" ht="15" hidden="0" customHeight="1">
      <x:c r="A2473" s="3" t="str">
        <x:v>EXP075</x:v>
      </x:c>
      <x:c r="B2473" s="3" t="str">
        <x:v>Exp. 9</x:v>
      </x:c>
      <x:c r="C2473" s="18" t="n">
        <x:v>954779777</x:v>
      </x:c>
      <x:c r="D2473" s="3" t="str">
        <x:v>BBP</x:v>
      </x:c>
      <x:c r="E2473" s="18" t="n">
        <x:v>200</x:v>
      </x:c>
      <x:c r="F2473" s="21" t="n">
        <x:v>421.1051900029065</x:v>
      </x:c>
      <x:c r="G2473" s="21" t="n">
        <x:f>F2473</x:f>
        <x:v>421.1051900029065</x:v>
      </x:c>
      <x:c r="H2473" s="21" t="n">
        <x:f>F2478</x:f>
        <x:v>421.1051900029065</x:v>
      </x:c>
      <x:c r="I2473" s="27" t="n">
        <x:f>IF(AND(ISNUMBER(G2473),ISNUMBER(H2473),H2473&gt;0),G2473/H2473-1,"")</x:f>
        <x:v>0</x:v>
      </x:c>
      <x:c r="J2473" s="27" t="n">
        <x:f>IF(AND(ISNUMBER(G2473),F2473&gt;0),G2473/F2473-1,"")</x:f>
        <x:v>0</x:v>
      </x:c>
      <x:c r="K2473" s="19" t="str">
        <x:v>Exp_9/EXP075/results/seed954779777_BBP.json</x:v>
      </x:c>
    </x:row>
    <x:row r="2474" ht="15" hidden="0" customHeight="1">
      <x:c r="A2474" s="3" t="str">
        <x:v>EXP075</x:v>
      </x:c>
      <x:c r="B2474" s="3" t="str">
        <x:v>Exp. 9</x:v>
      </x:c>
      <x:c r="C2474" s="18" t="n">
        <x:v>954779777</x:v>
      </x:c>
      <x:c r="D2474" s="3" t="str">
        <x:v>Relative cutoff 1e-5</x:v>
      </x:c>
      <x:c r="E2474" s="18" t="n">
        <x:v>200</x:v>
      </x:c>
      <x:c r="F2474" s="21" t="n">
        <x:v>421.1051900029065</x:v>
      </x:c>
      <x:c r="G2474" s="21" t="n">
        <x:f>F2473</x:f>
        <x:v>421.1051900029065</x:v>
      </x:c>
      <x:c r="H2474" s="21" t="n">
        <x:f>F2478</x:f>
        <x:v>421.1051900029065</x:v>
      </x:c>
      <x:c r="I2474" s="27" t="n">
        <x:f>IF(AND(ISNUMBER(G2474),ISNUMBER(H2474),H2474&gt;0),G2474/H2474-1,"")</x:f>
        <x:v>0</x:v>
      </x:c>
      <x:c r="J2474" s="27" t="n">
        <x:f>IF(AND(ISNUMBER(G2474),F2474&gt;0),G2474/F2474-1,"")</x:f>
        <x:v>0</x:v>
      </x:c>
      <x:c r="K2474" s="19" t="str">
        <x:v>Exp_9/EXP075/results/seed954779777_Relative_cutoff_1e-5.json</x:v>
      </x:c>
    </x:row>
    <x:row r="2475" ht="15" hidden="0" customHeight="1">
      <x:c r="A2475" s="3" t="str">
        <x:v>EXP075</x:v>
      </x:c>
      <x:c r="B2475" s="3" t="str">
        <x:v>Exp. 9</x:v>
      </x:c>
      <x:c r="C2475" s="18" t="n">
        <x:v>954779777</x:v>
      </x:c>
      <x:c r="D2475" s="3" t="str">
        <x:v>Fixed rank 10</x:v>
      </x:c>
      <x:c r="E2475" s="18" t="n">
        <x:v>200</x:v>
      </x:c>
      <x:c r="F2475" s="21" t="n">
        <x:v>421.666787279807</x:v>
      </x:c>
      <x:c r="G2475" s="21" t="n">
        <x:f>F2473</x:f>
        <x:v>421.1051900029065</x:v>
      </x:c>
      <x:c r="H2475" s="21" t="n">
        <x:f>F2478</x:f>
        <x:v>421.1051900029065</x:v>
      </x:c>
      <x:c r="I2475" s="27" t="n">
        <x:f>IF(AND(ISNUMBER(G2475),ISNUMBER(H2475),H2475&gt;0),G2475/H2475-1,"")</x:f>
        <x:v>0</x:v>
      </x:c>
      <x:c r="J2475" s="27" t="n">
        <x:f>IF(AND(ISNUMBER(G2475),F2475&gt;0),G2475/F2475-1,"")</x:f>
        <x:v>-0.001331850868604989</x:v>
      </x:c>
      <x:c r="K2475" s="19" t="str">
        <x:v>Exp_9/EXP075/results/seed954779777_Fixed_rank_10.json</x:v>
      </x:c>
    </x:row>
    <x:row r="2476" ht="15" hidden="0" customHeight="1">
      <x:c r="A2476" s="3" t="str">
        <x:v>EXP075</x:v>
      </x:c>
      <x:c r="B2476" s="3" t="str">
        <x:v>Exp. 9</x:v>
      </x:c>
      <x:c r="C2476" s="18" t="n">
        <x:v>954779777</x:v>
      </x:c>
      <x:c r="D2476" s="3" t="str">
        <x:v>Fixed rank 25</x:v>
      </x:c>
      <x:c r="E2476" s="18" t="n">
        <x:v>200</x:v>
      </x:c>
      <x:c r="F2476" s="21" t="n">
        <x:v>421.1051900029065</x:v>
      </x:c>
      <x:c r="G2476" s="21" t="n">
        <x:f>F2473</x:f>
        <x:v>421.1051900029065</x:v>
      </x:c>
      <x:c r="H2476" s="21" t="n">
        <x:f>F2478</x:f>
        <x:v>421.1051900029065</x:v>
      </x:c>
      <x:c r="I2476" s="27" t="n">
        <x:f>IF(AND(ISNUMBER(G2476),ISNUMBER(H2476),H2476&gt;0),G2476/H2476-1,"")</x:f>
        <x:v>0</x:v>
      </x:c>
      <x:c r="J2476" s="27" t="n">
        <x:f>IF(AND(ISNUMBER(G2476),F2476&gt;0),G2476/F2476-1,"")</x:f>
        <x:v>0</x:v>
      </x:c>
      <x:c r="K2476" s="19" t="str">
        <x:v>Exp_9/EXP075/results/seed954779777_Fixed_rank_25.json</x:v>
      </x:c>
    </x:row>
    <x:row r="2477" ht="15" hidden="0" customHeight="1">
      <x:c r="A2477" s="3" t="str">
        <x:v>EXP075</x:v>
      </x:c>
      <x:c r="B2477" s="3" t="str">
        <x:v>Exp. 9</x:v>
      </x:c>
      <x:c r="C2477" s="18" t="n">
        <x:v>954779777</x:v>
      </x:c>
      <x:c r="D2477" s="3" t="str">
        <x:v>Relative cutoff 1e-6</x:v>
      </x:c>
      <x:c r="E2477" s="18" t="n">
        <x:v>200</x:v>
      </x:c>
      <x:c r="F2477" s="21" t="n">
        <x:v>421.1051900029065</x:v>
      </x:c>
      <x:c r="G2477" s="21" t="n">
        <x:f>F2473</x:f>
        <x:v>421.1051900029065</x:v>
      </x:c>
      <x:c r="H2477" s="21" t="n">
        <x:f>F2478</x:f>
        <x:v>421.1051900029065</x:v>
      </x:c>
      <x:c r="I2477" s="27" t="n">
        <x:f>IF(AND(ISNUMBER(G2477),ISNUMBER(H2477),H2477&gt;0),G2477/H2477-1,"")</x:f>
        <x:v>0</x:v>
      </x:c>
      <x:c r="J2477" s="27" t="n">
        <x:f>IF(AND(ISNUMBER(G2477),F2477&gt;0),G2477/F2477-1,"")</x:f>
        <x:v>0</x:v>
      </x:c>
      <x:c r="K2477" s="19" t="str">
        <x:v>Exp_9/EXP075/results/seed954779777_Relative_cutoff_1e-6.json</x:v>
      </x:c>
    </x:row>
    <x:row r="2478" ht="15" hidden="0" customHeight="1">
      <x:c r="A2478" s="3" t="str">
        <x:v>EXP075</x:v>
      </x:c>
      <x:c r="B2478" s="3" t="str">
        <x:v>Exp. 9</x:v>
      </x:c>
      <x:c r="C2478" s="18" t="n">
        <x:v>954779777</x:v>
      </x:c>
      <x:c r="D2478" s="3" t="str">
        <x:v>Full</x:v>
      </x:c>
      <x:c r="E2478" s="18" t="n">
        <x:v>200</x:v>
      </x:c>
      <x:c r="F2478" s="21" t="n">
        <x:v>421.1051900029065</x:v>
      </x:c>
      <x:c r="G2478" s="21" t="n">
        <x:f>F2473</x:f>
        <x:v>421.1051900029065</x:v>
      </x:c>
      <x:c r="H2478" s="21" t="n">
        <x:f>F2478</x:f>
        <x:v>421.1051900029065</x:v>
      </x:c>
      <x:c r="I2478" s="27" t="n">
        <x:f>IF(AND(ISNUMBER(G2478),ISNUMBER(H2478),H2478&gt;0),G2478/H2478-1,"")</x:f>
        <x:v>0</x:v>
      </x:c>
      <x:c r="J2478" s="27" t="n">
        <x:f>IF(AND(ISNUMBER(G2478),F2478&gt;0),G2478/F2478-1,"")</x:f>
        <x:v>0</x:v>
      </x:c>
      <x:c r="K2478" s="19" t="str">
        <x:v>Exp_9/EXP075/results/seed954779777_Full.json</x:v>
      </x:c>
    </x:row>
    <x:row r="2479" ht="15" hidden="0" customHeight="1">
      <x:c r="A2479" s="3" t="str">
        <x:v>EXP075</x:v>
      </x:c>
      <x:c r="B2479" s="3" t="str">
        <x:v>Exp. 9</x:v>
      </x:c>
      <x:c r="C2479" s="18" t="n">
        <x:v>954779777</x:v>
      </x:c>
      <x:c r="D2479" s="3" t="str">
        <x:v>Relative cutoff 1e-2</x:v>
      </x:c>
      <x:c r="E2479" s="18" t="n">
        <x:v>200</x:v>
      </x:c>
      <x:c r="F2479" s="21" t="n">
        <x:v>418.2165931899038</x:v>
      </x:c>
      <x:c r="G2479" s="21" t="n">
        <x:f>F2473</x:f>
        <x:v>421.1051900029065</x:v>
      </x:c>
      <x:c r="H2479" s="21" t="n">
        <x:f>F2478</x:f>
        <x:v>421.1051900029065</x:v>
      </x:c>
      <x:c r="I2479" s="27" t="n">
        <x:f>IF(AND(ISNUMBER(G2479),ISNUMBER(H2479),H2479&gt;0),G2479/H2479-1,"")</x:f>
        <x:v>0</x:v>
      </x:c>
      <x:c r="J2479" s="27" t="n">
        <x:f>IF(AND(ISNUMBER(G2479),F2479&gt;0),G2479/F2479-1,"")</x:f>
        <x:v>0.006906939753323238</x:v>
      </x:c>
      <x:c r="K2479" s="19" t="str">
        <x:v>Exp_9/EXP075/results/seed954779777_Relative_cutoff_1e-2.json</x:v>
      </x:c>
    </x:row>
    <x:row r="2480" ht="15" hidden="0" customHeight="1">
      <x:c r="A2480" s="3" t="str">
        <x:v>EXP075</x:v>
      </x:c>
      <x:c r="B2480" s="3" t="str">
        <x:v>Exp. 9</x:v>
      </x:c>
      <x:c r="C2480" s="18" t="n">
        <x:v>954779777</x:v>
      </x:c>
      <x:c r="D2480" s="3" t="str">
        <x:v>Relative cutoff 1e-4</x:v>
      </x:c>
      <x:c r="E2480" s="18" t="n">
        <x:v>200</x:v>
      </x:c>
      <x:c r="F2480" s="21" t="n">
        <x:v>421.666787279807</x:v>
      </x:c>
      <x:c r="G2480" s="21" t="n">
        <x:f>F2473</x:f>
        <x:v>421.1051900029065</x:v>
      </x:c>
      <x:c r="H2480" s="21" t="n">
        <x:f>F2478</x:f>
        <x:v>421.1051900029065</x:v>
      </x:c>
      <x:c r="I2480" s="27" t="n">
        <x:f>IF(AND(ISNUMBER(G2480),ISNUMBER(H2480),H2480&gt;0),G2480/H2480-1,"")</x:f>
        <x:v>0</x:v>
      </x:c>
      <x:c r="J2480" s="27" t="n">
        <x:f>IF(AND(ISNUMBER(G2480),F2480&gt;0),G2480/F2480-1,"")</x:f>
        <x:v>-0.001331850868604989</x:v>
      </x:c>
      <x:c r="K2480" s="19" t="str">
        <x:v>Exp_9/EXP075/results/seed954779777_Relative_cutoff_1e-4.json</x:v>
      </x:c>
    </x:row>
    <x:row r="2481" ht="15" hidden="0" customHeight="1">
      <x:c r="A2481" s="3" t="str">
        <x:v>EXP075</x:v>
      </x:c>
      <x:c r="B2481" s="3" t="str">
        <x:v>Exp. 9</x:v>
      </x:c>
      <x:c r="C2481" s="18" t="n">
        <x:v>1084613802</x:v>
      </x:c>
      <x:c r="D2481" s="3" t="str">
        <x:v>BBP</x:v>
      </x:c>
      <x:c r="E2481" s="18" t="n">
        <x:v>200</x:v>
      </x:c>
      <x:c r="F2481" s="21" t="n">
        <x:v>406.89284515518347</x:v>
      </x:c>
      <x:c r="G2481" s="21" t="n">
        <x:f>F2481</x:f>
        <x:v>406.89284515518347</x:v>
      </x:c>
      <x:c r="H2481" s="21" t="n">
        <x:f>F2486</x:f>
        <x:v>406.89284515518347</x:v>
      </x:c>
      <x:c r="I2481" s="27" t="n">
        <x:f>IF(AND(ISNUMBER(G2481),ISNUMBER(H2481),H2481&gt;0),G2481/H2481-1,"")</x:f>
        <x:v>0</x:v>
      </x:c>
      <x:c r="J2481" s="27" t="n">
        <x:f>IF(AND(ISNUMBER(G2481),F2481&gt;0),G2481/F2481-1,"")</x:f>
        <x:v>0</x:v>
      </x:c>
      <x:c r="K2481" s="19" t="str">
        <x:v>Exp_9/EXP075/results/seed1084613802_BBP.json</x:v>
      </x:c>
    </x:row>
    <x:row r="2482" ht="15" hidden="0" customHeight="1">
      <x:c r="A2482" s="3" t="str">
        <x:v>EXP075</x:v>
      </x:c>
      <x:c r="B2482" s="3" t="str">
        <x:v>Exp. 9</x:v>
      </x:c>
      <x:c r="C2482" s="18" t="n">
        <x:v>1084613802</x:v>
      </x:c>
      <x:c r="D2482" s="3" t="str">
        <x:v>Relative cutoff 1e-5</x:v>
      </x:c>
      <x:c r="E2482" s="18" t="n">
        <x:v>200</x:v>
      </x:c>
      <x:c r="F2482" s="21" t="n">
        <x:v>406.89284515518347</x:v>
      </x:c>
      <x:c r="G2482" s="21" t="n">
        <x:f>F2481</x:f>
        <x:v>406.89284515518347</x:v>
      </x:c>
      <x:c r="H2482" s="21" t="n">
        <x:f>F2486</x:f>
        <x:v>406.89284515518347</x:v>
      </x:c>
      <x:c r="I2482" s="27" t="n">
        <x:f>IF(AND(ISNUMBER(G2482),ISNUMBER(H2482),H2482&gt;0),G2482/H2482-1,"")</x:f>
        <x:v>0</x:v>
      </x:c>
      <x:c r="J2482" s="27" t="n">
        <x:f>IF(AND(ISNUMBER(G2482),F2482&gt;0),G2482/F2482-1,"")</x:f>
        <x:v>0</x:v>
      </x:c>
      <x:c r="K2482" s="19" t="str">
        <x:v>Exp_9/EXP075/results/seed1084613802_Relative_cutoff_1e-5.json</x:v>
      </x:c>
    </x:row>
    <x:row r="2483" ht="15" hidden="0" customHeight="1">
      <x:c r="A2483" s="3" t="str">
        <x:v>EXP075</x:v>
      </x:c>
      <x:c r="B2483" s="3" t="str">
        <x:v>Exp. 9</x:v>
      </x:c>
      <x:c r="C2483" s="18" t="n">
        <x:v>1084613802</x:v>
      </x:c>
      <x:c r="D2483" s="3" t="str">
        <x:v>Fixed rank 10</x:v>
      </x:c>
      <x:c r="E2483" s="18" t="n">
        <x:v>200</x:v>
      </x:c>
      <x:c r="F2483" s="21" t="n">
        <x:v>412.98908658342395</x:v>
      </x:c>
      <x:c r="G2483" s="21" t="n">
        <x:f>F2481</x:f>
        <x:v>406.89284515518347</x:v>
      </x:c>
      <x:c r="H2483" s="21" t="n">
        <x:f>F2486</x:f>
        <x:v>406.89284515518347</x:v>
      </x:c>
      <x:c r="I2483" s="27" t="n">
        <x:f>IF(AND(ISNUMBER(G2483),ISNUMBER(H2483),H2483&gt;0),G2483/H2483-1,"")</x:f>
        <x:v>0</x:v>
      </x:c>
      <x:c r="J2483" s="27" t="n">
        <x:f>IF(AND(ISNUMBER(G2483),F2483&gt;0),G2483/F2483-1,"")</x:f>
        <x:v>-0.01476126519146903</x:v>
      </x:c>
      <x:c r="K2483" s="19" t="str">
        <x:v>Exp_9/EXP075/results/seed1084613802_Fixed_rank_10.json</x:v>
      </x:c>
    </x:row>
    <x:row r="2484" ht="15" hidden="0" customHeight="1">
      <x:c r="A2484" s="3" t="str">
        <x:v>EXP075</x:v>
      </x:c>
      <x:c r="B2484" s="3" t="str">
        <x:v>Exp. 9</x:v>
      </x:c>
      <x:c r="C2484" s="18" t="n">
        <x:v>1084613802</x:v>
      </x:c>
      <x:c r="D2484" s="3" t="str">
        <x:v>Fixed rank 25</x:v>
      </x:c>
      <x:c r="E2484" s="18" t="n">
        <x:v>200</x:v>
      </x:c>
      <x:c r="F2484" s="21" t="n">
        <x:v>406.89284515518347</x:v>
      </x:c>
      <x:c r="G2484" s="21" t="n">
        <x:f>F2481</x:f>
        <x:v>406.89284515518347</x:v>
      </x:c>
      <x:c r="H2484" s="21" t="n">
        <x:f>F2486</x:f>
        <x:v>406.89284515518347</x:v>
      </x:c>
      <x:c r="I2484" s="27" t="n">
        <x:f>IF(AND(ISNUMBER(G2484),ISNUMBER(H2484),H2484&gt;0),G2484/H2484-1,"")</x:f>
        <x:v>0</x:v>
      </x:c>
      <x:c r="J2484" s="27" t="n">
        <x:f>IF(AND(ISNUMBER(G2484),F2484&gt;0),G2484/F2484-1,"")</x:f>
        <x:v>0</x:v>
      </x:c>
      <x:c r="K2484" s="19" t="str">
        <x:v>Exp_9/EXP075/results/seed1084613802_Fixed_rank_25.json</x:v>
      </x:c>
    </x:row>
    <x:row r="2485" ht="15" hidden="0" customHeight="1">
      <x:c r="A2485" s="3" t="str">
        <x:v>EXP075</x:v>
      </x:c>
      <x:c r="B2485" s="3" t="str">
        <x:v>Exp. 9</x:v>
      </x:c>
      <x:c r="C2485" s="18" t="n">
        <x:v>1084613802</x:v>
      </x:c>
      <x:c r="D2485" s="3" t="str">
        <x:v>Relative cutoff 1e-6</x:v>
      </x:c>
      <x:c r="E2485" s="18" t="n">
        <x:v>200</x:v>
      </x:c>
      <x:c r="F2485" s="21" t="n">
        <x:v>406.89284515518347</x:v>
      </x:c>
      <x:c r="G2485" s="21" t="n">
        <x:f>F2481</x:f>
        <x:v>406.89284515518347</x:v>
      </x:c>
      <x:c r="H2485" s="21" t="n">
        <x:f>F2486</x:f>
        <x:v>406.89284515518347</x:v>
      </x:c>
      <x:c r="I2485" s="27" t="n">
        <x:f>IF(AND(ISNUMBER(G2485),ISNUMBER(H2485),H2485&gt;0),G2485/H2485-1,"")</x:f>
        <x:v>0</x:v>
      </x:c>
      <x:c r="J2485" s="27" t="n">
        <x:f>IF(AND(ISNUMBER(G2485),F2485&gt;0),G2485/F2485-1,"")</x:f>
        <x:v>0</x:v>
      </x:c>
      <x:c r="K2485" s="19" t="str">
        <x:v>Exp_9/EXP075/results/seed1084613802_Relative_cutoff_1e-6.json</x:v>
      </x:c>
    </x:row>
    <x:row r="2486" ht="15" hidden="0" customHeight="1">
      <x:c r="A2486" s="3" t="str">
        <x:v>EXP075</x:v>
      </x:c>
      <x:c r="B2486" s="3" t="str">
        <x:v>Exp. 9</x:v>
      </x:c>
      <x:c r="C2486" s="18" t="n">
        <x:v>1084613802</x:v>
      </x:c>
      <x:c r="D2486" s="3" t="str">
        <x:v>Full</x:v>
      </x:c>
      <x:c r="E2486" s="18" t="n">
        <x:v>200</x:v>
      </x:c>
      <x:c r="F2486" s="21" t="n">
        <x:v>406.89284515518347</x:v>
      </x:c>
      <x:c r="G2486" s="21" t="n">
        <x:f>F2481</x:f>
        <x:v>406.89284515518347</x:v>
      </x:c>
      <x:c r="H2486" s="21" t="n">
        <x:f>F2486</x:f>
        <x:v>406.89284515518347</x:v>
      </x:c>
      <x:c r="I2486" s="27" t="n">
        <x:f>IF(AND(ISNUMBER(G2486),ISNUMBER(H2486),H2486&gt;0),G2486/H2486-1,"")</x:f>
        <x:v>0</x:v>
      </x:c>
      <x:c r="J2486" s="27" t="n">
        <x:f>IF(AND(ISNUMBER(G2486),F2486&gt;0),G2486/F2486-1,"")</x:f>
        <x:v>0</x:v>
      </x:c>
      <x:c r="K2486" s="19" t="str">
        <x:v>Exp_9/EXP075/results/seed1084613802_Full.json</x:v>
      </x:c>
    </x:row>
    <x:row r="2487" ht="15" hidden="0" customHeight="1">
      <x:c r="A2487" s="3" t="str">
        <x:v>EXP075</x:v>
      </x:c>
      <x:c r="B2487" s="3" t="str">
        <x:v>Exp. 9</x:v>
      </x:c>
      <x:c r="C2487" s="18" t="n">
        <x:v>1084613802</x:v>
      </x:c>
      <x:c r="D2487" s="3" t="str">
        <x:v>Relative cutoff 1e-2</x:v>
      </x:c>
      <x:c r="E2487" s="18" t="n">
        <x:v>200</x:v>
      </x:c>
      <x:c r="F2487" s="21" t="n">
        <x:v>434.24684734640425</x:v>
      </x:c>
      <x:c r="G2487" s="21" t="n">
        <x:f>F2481</x:f>
        <x:v>406.89284515518347</x:v>
      </x:c>
      <x:c r="H2487" s="21" t="n">
        <x:f>F2486</x:f>
        <x:v>406.89284515518347</x:v>
      </x:c>
      <x:c r="I2487" s="27" t="n">
        <x:f>IF(AND(ISNUMBER(G2487),ISNUMBER(H2487),H2487&gt;0),G2487/H2487-1,"")</x:f>
        <x:v>0</x:v>
      </x:c>
      <x:c r="J2487" s="27" t="n">
        <x:f>IF(AND(ISNUMBER(G2487),F2487&gt;0),G2487/F2487-1,"")</x:f>
        <x:v>-0.06299182678786419</x:v>
      </x:c>
      <x:c r="K2487" s="19" t="str">
        <x:v>Exp_9/EXP075/results/seed1084613802_Relative_cutoff_1e-2.json</x:v>
      </x:c>
    </x:row>
    <x:row r="2488" ht="15" hidden="0" customHeight="1">
      <x:c r="A2488" s="3" t="str">
        <x:v>EXP075</x:v>
      </x:c>
      <x:c r="B2488" s="3" t="str">
        <x:v>Exp. 9</x:v>
      </x:c>
      <x:c r="C2488" s="18" t="n">
        <x:v>1084613802</x:v>
      </x:c>
      <x:c r="D2488" s="3" t="str">
        <x:v>Relative cutoff 1e-4</x:v>
      </x:c>
      <x:c r="E2488" s="18" t="n">
        <x:v>200</x:v>
      </x:c>
      <x:c r="F2488" s="21" t="n">
        <x:v>412.98908658342395</x:v>
      </x:c>
      <x:c r="G2488" s="21" t="n">
        <x:f>F2481</x:f>
        <x:v>406.89284515518347</x:v>
      </x:c>
      <x:c r="H2488" s="21" t="n">
        <x:f>F2486</x:f>
        <x:v>406.89284515518347</x:v>
      </x:c>
      <x:c r="I2488" s="27" t="n">
        <x:f>IF(AND(ISNUMBER(G2488),ISNUMBER(H2488),H2488&gt;0),G2488/H2488-1,"")</x:f>
        <x:v>0</x:v>
      </x:c>
      <x:c r="J2488" s="27" t="n">
        <x:f>IF(AND(ISNUMBER(G2488),F2488&gt;0),G2488/F2488-1,"")</x:f>
        <x:v>-0.01476126519146903</x:v>
      </x:c>
      <x:c r="K2488" s="19" t="str">
        <x:v>Exp_9/EXP075/results/seed1084613802_Relative_cutoff_1e-4.json</x:v>
      </x:c>
    </x:row>
    <x:row r="2489" ht="15" hidden="0" customHeight="1">
      <x:c r="A2489" s="3" t="str">
        <x:v>EXP075</x:v>
      </x:c>
      <x:c r="B2489" s="3" t="str">
        <x:v>Exp. 9</x:v>
      </x:c>
      <x:c r="C2489" s="18" t="n">
        <x:v>1390358485</x:v>
      </x:c>
      <x:c r="D2489" s="3" t="str">
        <x:v>BBP</x:v>
      </x:c>
      <x:c r="E2489" s="18" t="n">
        <x:v>200</x:v>
      </x:c>
      <x:c r="F2489" s="21" t="n">
        <x:v>487.4990326300745</x:v>
      </x:c>
      <x:c r="G2489" s="21" t="n">
        <x:f>F2489</x:f>
        <x:v>487.4990326300745</x:v>
      </x:c>
      <x:c r="H2489" s="21" t="n">
        <x:f>F2494</x:f>
        <x:v>487.4990326300745</x:v>
      </x:c>
      <x:c r="I2489" s="27" t="n">
        <x:f>IF(AND(ISNUMBER(G2489),ISNUMBER(H2489),H2489&gt;0),G2489/H2489-1,"")</x:f>
        <x:v>0</x:v>
      </x:c>
      <x:c r="J2489" s="27" t="n">
        <x:f>IF(AND(ISNUMBER(G2489),F2489&gt;0),G2489/F2489-1,"")</x:f>
        <x:v>0</x:v>
      </x:c>
      <x:c r="K2489" s="19" t="str">
        <x:v>Exp_9/EXP075/results/seed1390358485_BBP.json</x:v>
      </x:c>
    </x:row>
    <x:row r="2490" ht="15" hidden="0" customHeight="1">
      <x:c r="A2490" s="3" t="str">
        <x:v>EXP075</x:v>
      </x:c>
      <x:c r="B2490" s="3" t="str">
        <x:v>Exp. 9</x:v>
      </x:c>
      <x:c r="C2490" s="18" t="n">
        <x:v>1390358485</x:v>
      </x:c>
      <x:c r="D2490" s="3" t="str">
        <x:v>Relative cutoff 1e-5</x:v>
      </x:c>
      <x:c r="E2490" s="18" t="n">
        <x:v>200</x:v>
      </x:c>
      <x:c r="F2490" s="21" t="n">
        <x:v>487.4990326300745</x:v>
      </x:c>
      <x:c r="G2490" s="21" t="n">
        <x:f>F2489</x:f>
        <x:v>487.4990326300745</x:v>
      </x:c>
      <x:c r="H2490" s="21" t="n">
        <x:f>F2494</x:f>
        <x:v>487.4990326300745</x:v>
      </x:c>
      <x:c r="I2490" s="27" t="n">
        <x:f>IF(AND(ISNUMBER(G2490),ISNUMBER(H2490),H2490&gt;0),G2490/H2490-1,"")</x:f>
        <x:v>0</x:v>
      </x:c>
      <x:c r="J2490" s="27" t="n">
        <x:f>IF(AND(ISNUMBER(G2490),F2490&gt;0),G2490/F2490-1,"")</x:f>
        <x:v>0</x:v>
      </x:c>
      <x:c r="K2490" s="19" t="str">
        <x:v>Exp_9/EXP075/results/seed1390358485_Relative_cutoff_1e-5.json</x:v>
      </x:c>
    </x:row>
    <x:row r="2491" ht="15" hidden="0" customHeight="1">
      <x:c r="A2491" s="3" t="str">
        <x:v>EXP075</x:v>
      </x:c>
      <x:c r="B2491" s="3" t="str">
        <x:v>Exp. 9</x:v>
      </x:c>
      <x:c r="C2491" s="18" t="n">
        <x:v>1390358485</x:v>
      </x:c>
      <x:c r="D2491" s="3" t="str">
        <x:v>Fixed rank 10</x:v>
      </x:c>
      <x:c r="E2491" s="18" t="n">
        <x:v>200</x:v>
      </x:c>
      <x:c r="F2491" s="21" t="n">
        <x:v>498.9599666476581</x:v>
      </x:c>
      <x:c r="G2491" s="21" t="n">
        <x:f>F2489</x:f>
        <x:v>487.4990326300745</x:v>
      </x:c>
      <x:c r="H2491" s="21" t="n">
        <x:f>F2494</x:f>
        <x:v>487.4990326300745</x:v>
      </x:c>
      <x:c r="I2491" s="27" t="n">
        <x:f>IF(AND(ISNUMBER(G2491),ISNUMBER(H2491),H2491&gt;0),G2491/H2491-1,"")</x:f>
        <x:v>0</x:v>
      </x:c>
      <x:c r="J2491" s="27" t="n">
        <x:f>IF(AND(ISNUMBER(G2491),F2491&gt;0),G2491/F2491-1,"")</x:f>
        <x:v>-0.02296964643192867</x:v>
      </x:c>
      <x:c r="K2491" s="19" t="str">
        <x:v>Exp_9/EXP075/results/seed1390358485_Fixed_rank_10.json</x:v>
      </x:c>
    </x:row>
    <x:row r="2492" ht="15" hidden="0" customHeight="1">
      <x:c r="A2492" s="3" t="str">
        <x:v>EXP075</x:v>
      </x:c>
      <x:c r="B2492" s="3" t="str">
        <x:v>Exp. 9</x:v>
      </x:c>
      <x:c r="C2492" s="18" t="n">
        <x:v>1390358485</x:v>
      </x:c>
      <x:c r="D2492" s="3" t="str">
        <x:v>Fixed rank 25</x:v>
      </x:c>
      <x:c r="E2492" s="18" t="n">
        <x:v>200</x:v>
      </x:c>
      <x:c r="F2492" s="21" t="n">
        <x:v>487.4990326300745</x:v>
      </x:c>
      <x:c r="G2492" s="21" t="n">
        <x:f>F2489</x:f>
        <x:v>487.4990326300745</x:v>
      </x:c>
      <x:c r="H2492" s="21" t="n">
        <x:f>F2494</x:f>
        <x:v>487.4990326300745</x:v>
      </x:c>
      <x:c r="I2492" s="27" t="n">
        <x:f>IF(AND(ISNUMBER(G2492),ISNUMBER(H2492),H2492&gt;0),G2492/H2492-1,"")</x:f>
        <x:v>0</x:v>
      </x:c>
      <x:c r="J2492" s="27" t="n">
        <x:f>IF(AND(ISNUMBER(G2492),F2492&gt;0),G2492/F2492-1,"")</x:f>
        <x:v>0</x:v>
      </x:c>
      <x:c r="K2492" s="19" t="str">
        <x:v>Exp_9/EXP075/results/seed1390358485_Fixed_rank_25.json</x:v>
      </x:c>
    </x:row>
    <x:row r="2493" ht="15" hidden="0" customHeight="1">
      <x:c r="A2493" s="3" t="str">
        <x:v>EXP075</x:v>
      </x:c>
      <x:c r="B2493" s="3" t="str">
        <x:v>Exp. 9</x:v>
      </x:c>
      <x:c r="C2493" s="18" t="n">
        <x:v>1390358485</x:v>
      </x:c>
      <x:c r="D2493" s="3" t="str">
        <x:v>Relative cutoff 1e-6</x:v>
      </x:c>
      <x:c r="E2493" s="18" t="n">
        <x:v>200</x:v>
      </x:c>
      <x:c r="F2493" s="21" t="n">
        <x:v>487.4990326300745</x:v>
      </x:c>
      <x:c r="G2493" s="21" t="n">
        <x:f>F2489</x:f>
        <x:v>487.4990326300745</x:v>
      </x:c>
      <x:c r="H2493" s="21" t="n">
        <x:f>F2494</x:f>
        <x:v>487.4990326300745</x:v>
      </x:c>
      <x:c r="I2493" s="27" t="n">
        <x:f>IF(AND(ISNUMBER(G2493),ISNUMBER(H2493),H2493&gt;0),G2493/H2493-1,"")</x:f>
        <x:v>0</x:v>
      </x:c>
      <x:c r="J2493" s="27" t="n">
        <x:f>IF(AND(ISNUMBER(G2493),F2493&gt;0),G2493/F2493-1,"")</x:f>
        <x:v>0</x:v>
      </x:c>
      <x:c r="K2493" s="19" t="str">
        <x:v>Exp_9/EXP075/results/seed1390358485_Relative_cutoff_1e-6.json</x:v>
      </x:c>
    </x:row>
    <x:row r="2494" ht="15" hidden="0" customHeight="1">
      <x:c r="A2494" s="3" t="str">
        <x:v>EXP075</x:v>
      </x:c>
      <x:c r="B2494" s="3" t="str">
        <x:v>Exp. 9</x:v>
      </x:c>
      <x:c r="C2494" s="18" t="n">
        <x:v>1390358485</x:v>
      </x:c>
      <x:c r="D2494" s="3" t="str">
        <x:v>Full</x:v>
      </x:c>
      <x:c r="E2494" s="18" t="n">
        <x:v>200</x:v>
      </x:c>
      <x:c r="F2494" s="21" t="n">
        <x:v>487.4990326300745</x:v>
      </x:c>
      <x:c r="G2494" s="21" t="n">
        <x:f>F2489</x:f>
        <x:v>487.4990326300745</x:v>
      </x:c>
      <x:c r="H2494" s="21" t="n">
        <x:f>F2494</x:f>
        <x:v>487.4990326300745</x:v>
      </x:c>
      <x:c r="I2494" s="27" t="n">
        <x:f>IF(AND(ISNUMBER(G2494),ISNUMBER(H2494),H2494&gt;0),G2494/H2494-1,"")</x:f>
        <x:v>0</x:v>
      </x:c>
      <x:c r="J2494" s="27" t="n">
        <x:f>IF(AND(ISNUMBER(G2494),F2494&gt;0),G2494/F2494-1,"")</x:f>
        <x:v>0</x:v>
      </x:c>
      <x:c r="K2494" s="19" t="str">
        <x:v>Exp_9/EXP075/results/seed1390358485_Full.json</x:v>
      </x:c>
    </x:row>
    <x:row r="2495" ht="15" hidden="0" customHeight="1">
      <x:c r="A2495" s="3" t="str">
        <x:v>EXP075</x:v>
      </x:c>
      <x:c r="B2495" s="3" t="str">
        <x:v>Exp. 9</x:v>
      </x:c>
      <x:c r="C2495" s="18" t="n">
        <x:v>1390358485</x:v>
      </x:c>
      <x:c r="D2495" s="3" t="str">
        <x:v>Relative cutoff 1e-2</x:v>
      </x:c>
      <x:c r="E2495" s="18" t="n">
        <x:v>200</x:v>
      </x:c>
      <x:c r="F2495" s="21" t="n">
        <x:v>507.2746204094108</x:v>
      </x:c>
      <x:c r="G2495" s="21" t="n">
        <x:f>F2489</x:f>
        <x:v>487.4990326300745</x:v>
      </x:c>
      <x:c r="H2495" s="21" t="n">
        <x:f>F2494</x:f>
        <x:v>487.4990326300745</x:v>
      </x:c>
      <x:c r="I2495" s="27" t="n">
        <x:f>IF(AND(ISNUMBER(G2495),ISNUMBER(H2495),H2495&gt;0),G2495/H2495-1,"")</x:f>
        <x:v>0</x:v>
      </x:c>
      <x:c r="J2495" s="27" t="n">
        <x:f>IF(AND(ISNUMBER(G2495),F2495&gt;0),G2495/F2495-1,"")</x:f>
        <x:v>-0.03898398812732995</x:v>
      </x:c>
      <x:c r="K2495" s="19" t="str">
        <x:v>Exp_9/EXP075/results/seed1390358485_Relative_cutoff_1e-2.json</x:v>
      </x:c>
    </x:row>
    <x:row r="2496" ht="15" hidden="0" customHeight="1">
      <x:c r="A2496" s="3" t="str">
        <x:v>EXP075</x:v>
      </x:c>
      <x:c r="B2496" s="3" t="str">
        <x:v>Exp. 9</x:v>
      </x:c>
      <x:c r="C2496" s="18" t="n">
        <x:v>1390358485</x:v>
      </x:c>
      <x:c r="D2496" s="3" t="str">
        <x:v>Relative cutoff 1e-4</x:v>
      </x:c>
      <x:c r="E2496" s="18" t="n">
        <x:v>200</x:v>
      </x:c>
      <x:c r="F2496" s="21" t="n">
        <x:v>503.2732813494098</x:v>
      </x:c>
      <x:c r="G2496" s="21" t="n">
        <x:f>F2489</x:f>
        <x:v>487.4990326300745</x:v>
      </x:c>
      <x:c r="H2496" s="21" t="n">
        <x:f>F2494</x:f>
        <x:v>487.4990326300745</x:v>
      </x:c>
      <x:c r="I2496" s="27" t="n">
        <x:f>IF(AND(ISNUMBER(G2496),ISNUMBER(H2496),H2496&gt;0),G2496/H2496-1,"")</x:f>
        <x:v>0</x:v>
      </x:c>
      <x:c r="J2496" s="27" t="n">
        <x:f>IF(AND(ISNUMBER(G2496),F2496&gt;0),G2496/F2496-1,"")</x:f>
        <x:v>-0.031343306517366276</x:v>
      </x:c>
      <x:c r="K2496" s="19" t="str">
        <x:v>Exp_9/EXP075/results/seed1390358485_Relative_cutoff_1e-4.json</x:v>
      </x:c>
    </x:row>
    <x:row r="2497" ht="15" hidden="0" customHeight="1">
      <x:c r="A2497" s="3" t="str">
        <x:v>EXP075</x:v>
      </x:c>
      <x:c r="B2497" s="3" t="str">
        <x:v>Exp. 9</x:v>
      </x:c>
      <x:c r="C2497" s="18" t="n">
        <x:v>1711112905</x:v>
      </x:c>
      <x:c r="D2497" s="3" t="str">
        <x:v>BBP</x:v>
      </x:c>
      <x:c r="E2497" s="18" t="n">
        <x:v>200</x:v>
      </x:c>
      <x:c r="F2497" s="21" t="n">
        <x:v>397.4426690542294</x:v>
      </x:c>
      <x:c r="G2497" s="21" t="n">
        <x:f>F2497</x:f>
        <x:v>397.4426690542294</x:v>
      </x:c>
      <x:c r="H2497" s="21" t="n">
        <x:f>F2502</x:f>
        <x:v>397.4426690542294</x:v>
      </x:c>
      <x:c r="I2497" s="27" t="n">
        <x:f>IF(AND(ISNUMBER(G2497),ISNUMBER(H2497),H2497&gt;0),G2497/H2497-1,"")</x:f>
        <x:v>0</x:v>
      </x:c>
      <x:c r="J2497" s="27" t="n">
        <x:f>IF(AND(ISNUMBER(G2497),F2497&gt;0),G2497/F2497-1,"")</x:f>
        <x:v>0</x:v>
      </x:c>
      <x:c r="K2497" s="19" t="str">
        <x:v>Exp_9/EXP075/results/seed1711112905_BBP.json</x:v>
      </x:c>
    </x:row>
    <x:row r="2498" ht="15" hidden="0" customHeight="1">
      <x:c r="A2498" s="3" t="str">
        <x:v>EXP075</x:v>
      </x:c>
      <x:c r="B2498" s="3" t="str">
        <x:v>Exp. 9</x:v>
      </x:c>
      <x:c r="C2498" s="18" t="n">
        <x:v>1711112905</x:v>
      </x:c>
      <x:c r="D2498" s="3" t="str">
        <x:v>Relative cutoff 1e-5</x:v>
      </x:c>
      <x:c r="E2498" s="18" t="n">
        <x:v>200</x:v>
      </x:c>
      <x:c r="F2498" s="21" t="n">
        <x:v>397.4426690542294</x:v>
      </x:c>
      <x:c r="G2498" s="21" t="n">
        <x:f>F2497</x:f>
        <x:v>397.4426690542294</x:v>
      </x:c>
      <x:c r="H2498" s="21" t="n">
        <x:f>F2502</x:f>
        <x:v>397.4426690542294</x:v>
      </x:c>
      <x:c r="I2498" s="27" t="n">
        <x:f>IF(AND(ISNUMBER(G2498),ISNUMBER(H2498),H2498&gt;0),G2498/H2498-1,"")</x:f>
        <x:v>0</x:v>
      </x:c>
      <x:c r="J2498" s="27" t="n">
        <x:f>IF(AND(ISNUMBER(G2498),F2498&gt;0),G2498/F2498-1,"")</x:f>
        <x:v>0</x:v>
      </x:c>
      <x:c r="K2498" s="19" t="str">
        <x:v>Exp_9/EXP075/results/seed1711112905_Relative_cutoff_1e-5.json</x:v>
      </x:c>
    </x:row>
    <x:row r="2499" ht="15" hidden="0" customHeight="1">
      <x:c r="A2499" s="3" t="str">
        <x:v>EXP075</x:v>
      </x:c>
      <x:c r="B2499" s="3" t="str">
        <x:v>Exp. 9</x:v>
      </x:c>
      <x:c r="C2499" s="18" t="n">
        <x:v>1711112905</x:v>
      </x:c>
      <x:c r="D2499" s="3" t="str">
        <x:v>Fixed rank 10</x:v>
      </x:c>
      <x:c r="E2499" s="18" t="n">
        <x:v>200</x:v>
      </x:c>
      <x:c r="F2499" s="21" t="n">
        <x:v>376.00613568160094</x:v>
      </x:c>
      <x:c r="G2499" s="21" t="n">
        <x:f>F2497</x:f>
        <x:v>397.4426690542294</x:v>
      </x:c>
      <x:c r="H2499" s="21" t="n">
        <x:f>F2502</x:f>
        <x:v>397.4426690542294</x:v>
      </x:c>
      <x:c r="I2499" s="27" t="n">
        <x:f>IF(AND(ISNUMBER(G2499),ISNUMBER(H2499),H2499&gt;0),G2499/H2499-1,"")</x:f>
        <x:v>0</x:v>
      </x:c>
      <x:c r="J2499" s="27" t="n">
        <x:f>IF(AND(ISNUMBER(G2499),F2499&gt;0),G2499/F2499-1,"")</x:f>
        <x:v>0.05701112651730966</x:v>
      </x:c>
      <x:c r="K2499" s="19" t="str">
        <x:v>Exp_9/EXP075/results/seed1711112905_Fixed_rank_10.json</x:v>
      </x:c>
    </x:row>
    <x:row r="2500" ht="15" hidden="0" customHeight="1">
      <x:c r="A2500" s="3" t="str">
        <x:v>EXP075</x:v>
      </x:c>
      <x:c r="B2500" s="3" t="str">
        <x:v>Exp. 9</x:v>
      </x:c>
      <x:c r="C2500" s="18" t="n">
        <x:v>1711112905</x:v>
      </x:c>
      <x:c r="D2500" s="3" t="str">
        <x:v>Fixed rank 25</x:v>
      </x:c>
      <x:c r="E2500" s="18" t="n">
        <x:v>200</x:v>
      </x:c>
      <x:c r="F2500" s="21" t="n">
        <x:v>397.4426690542294</x:v>
      </x:c>
      <x:c r="G2500" s="21" t="n">
        <x:f>F2497</x:f>
        <x:v>397.4426690542294</x:v>
      </x:c>
      <x:c r="H2500" s="21" t="n">
        <x:f>F2502</x:f>
        <x:v>397.4426690542294</x:v>
      </x:c>
      <x:c r="I2500" s="27" t="n">
        <x:f>IF(AND(ISNUMBER(G2500),ISNUMBER(H2500),H2500&gt;0),G2500/H2500-1,"")</x:f>
        <x:v>0</x:v>
      </x:c>
      <x:c r="J2500" s="27" t="n">
        <x:f>IF(AND(ISNUMBER(G2500),F2500&gt;0),G2500/F2500-1,"")</x:f>
        <x:v>0</x:v>
      </x:c>
      <x:c r="K2500" s="19" t="str">
        <x:v>Exp_9/EXP075/results/seed1711112905_Fixed_rank_25.json</x:v>
      </x:c>
    </x:row>
    <x:row r="2501" ht="15" hidden="0" customHeight="1">
      <x:c r="A2501" s="3" t="str">
        <x:v>EXP075</x:v>
      </x:c>
      <x:c r="B2501" s="3" t="str">
        <x:v>Exp. 9</x:v>
      </x:c>
      <x:c r="C2501" s="18" t="n">
        <x:v>1711112905</x:v>
      </x:c>
      <x:c r="D2501" s="3" t="str">
        <x:v>Relative cutoff 1e-6</x:v>
      </x:c>
      <x:c r="E2501" s="18" t="n">
        <x:v>200</x:v>
      </x:c>
      <x:c r="F2501" s="21" t="n">
        <x:v>397.4426690542294</x:v>
      </x:c>
      <x:c r="G2501" s="21" t="n">
        <x:f>F2497</x:f>
        <x:v>397.4426690542294</x:v>
      </x:c>
      <x:c r="H2501" s="21" t="n">
        <x:f>F2502</x:f>
        <x:v>397.4426690542294</x:v>
      </x:c>
      <x:c r="I2501" s="27" t="n">
        <x:f>IF(AND(ISNUMBER(G2501),ISNUMBER(H2501),H2501&gt;0),G2501/H2501-1,"")</x:f>
        <x:v>0</x:v>
      </x:c>
      <x:c r="J2501" s="27" t="n">
        <x:f>IF(AND(ISNUMBER(G2501),F2501&gt;0),G2501/F2501-1,"")</x:f>
        <x:v>0</x:v>
      </x:c>
      <x:c r="K2501" s="19" t="str">
        <x:v>Exp_9/EXP075/results/seed1711112905_Relative_cutoff_1e-6.json</x:v>
      </x:c>
    </x:row>
    <x:row r="2502" ht="15" hidden="0" customHeight="1">
      <x:c r="A2502" s="3" t="str">
        <x:v>EXP075</x:v>
      </x:c>
      <x:c r="B2502" s="3" t="str">
        <x:v>Exp. 9</x:v>
      </x:c>
      <x:c r="C2502" s="18" t="n">
        <x:v>1711112905</x:v>
      </x:c>
      <x:c r="D2502" s="3" t="str">
        <x:v>Full</x:v>
      </x:c>
      <x:c r="E2502" s="18" t="n">
        <x:v>200</x:v>
      </x:c>
      <x:c r="F2502" s="21" t="n">
        <x:v>397.4426690542294</x:v>
      </x:c>
      <x:c r="G2502" s="21" t="n">
        <x:f>F2497</x:f>
        <x:v>397.4426690542294</x:v>
      </x:c>
      <x:c r="H2502" s="21" t="n">
        <x:f>F2502</x:f>
        <x:v>397.4426690542294</x:v>
      </x:c>
      <x:c r="I2502" s="27" t="n">
        <x:f>IF(AND(ISNUMBER(G2502),ISNUMBER(H2502),H2502&gt;0),G2502/H2502-1,"")</x:f>
        <x:v>0</x:v>
      </x:c>
      <x:c r="J2502" s="27" t="n">
        <x:f>IF(AND(ISNUMBER(G2502),F2502&gt;0),G2502/F2502-1,"")</x:f>
        <x:v>0</x:v>
      </x:c>
      <x:c r="K2502" s="19" t="str">
        <x:v>Exp_9/EXP075/results/seed1711112905_Full.json</x:v>
      </x:c>
    </x:row>
    <x:row r="2503" ht="15" hidden="0" customHeight="1">
      <x:c r="A2503" s="3" t="str">
        <x:v>EXP075</x:v>
      </x:c>
      <x:c r="B2503" s="3" t="str">
        <x:v>Exp. 9</x:v>
      </x:c>
      <x:c r="C2503" s="18" t="n">
        <x:v>1711112905</x:v>
      </x:c>
      <x:c r="D2503" s="3" t="str">
        <x:v>Relative cutoff 1e-2</x:v>
      </x:c>
      <x:c r="E2503" s="18" t="n">
        <x:v>200</x:v>
      </x:c>
      <x:c r="F2503" s="21" t="n">
        <x:v>398.9465130620307</x:v>
      </x:c>
      <x:c r="G2503" s="21" t="n">
        <x:f>F2497</x:f>
        <x:v>397.4426690542294</x:v>
      </x:c>
      <x:c r="H2503" s="21" t="n">
        <x:f>F2502</x:f>
        <x:v>397.4426690542294</x:v>
      </x:c>
      <x:c r="I2503" s="27" t="n">
        <x:f>IF(AND(ISNUMBER(G2503),ISNUMBER(H2503),H2503&gt;0),G2503/H2503-1,"")</x:f>
        <x:v>0</x:v>
      </x:c>
      <x:c r="J2503" s="27" t="n">
        <x:f>IF(AND(ISNUMBER(G2503),F2503&gt;0),G2503/F2503-1,"")</x:f>
        <x:v>-0.003769537916897381</x:v>
      </x:c>
      <x:c r="K2503" s="19" t="str">
        <x:v>Exp_9/EXP075/results/seed1711112905_Relative_cutoff_1e-2.json</x:v>
      </x:c>
    </x:row>
    <x:row r="2504" ht="15" hidden="0" customHeight="1">
      <x:c r="A2504" s="3" t="str">
        <x:v>EXP075</x:v>
      </x:c>
      <x:c r="B2504" s="3" t="str">
        <x:v>Exp. 9</x:v>
      </x:c>
      <x:c r="C2504" s="18" t="n">
        <x:v>1711112905</x:v>
      </x:c>
      <x:c r="D2504" s="3" t="str">
        <x:v>Relative cutoff 1e-4</x:v>
      </x:c>
      <x:c r="E2504" s="18" t="n">
        <x:v>200</x:v>
      </x:c>
      <x:c r="F2504" s="21" t="n">
        <x:v>385.29892535158405</x:v>
      </x:c>
      <x:c r="G2504" s="21" t="n">
        <x:f>F2497</x:f>
        <x:v>397.4426690542294</x:v>
      </x:c>
      <x:c r="H2504" s="21" t="n">
        <x:f>F2502</x:f>
        <x:v>397.4426690542294</x:v>
      </x:c>
      <x:c r="I2504" s="27" t="n">
        <x:f>IF(AND(ISNUMBER(G2504),ISNUMBER(H2504),H2504&gt;0),G2504/H2504-1,"")</x:f>
        <x:v>0</x:v>
      </x:c>
      <x:c r="J2504" s="27" t="n">
        <x:f>IF(AND(ISNUMBER(G2504),F2504&gt;0),G2504/F2504-1,"")</x:f>
        <x:v>0.03151772014823084</x:v>
      </x:c>
      <x:c r="K2504" s="19" t="str">
        <x:v>Exp_9/EXP075/results/seed1711112905_Relative_cutoff_1e-4.json</x:v>
      </x:c>
    </x:row>
    <x:row r="2505" ht="15" hidden="0" customHeight="1">
      <x:c r="A2505" s="3" t="str">
        <x:v>EXP079</x:v>
      </x:c>
      <x:c r="B2505" s="3" t="str">
        <x:v>Exp. 9</x:v>
      </x:c>
      <x:c r="C2505" s="18" t="n">
        <x:v>1000</x:v>
      </x:c>
      <x:c r="D2505" s="3" t="str">
        <x:v>Fixed rank 10</x:v>
      </x:c>
      <x:c r="E2505" s="18" t="n">
        <x:v>200</x:v>
      </x:c>
      <x:c r="F2505" s="21" t="n">
        <x:v>431.48610101180327</x:v>
      </x:c>
      <x:c r="G2505" s="21" t="str">
        <x:f>""</x:f>
      </x:c>
      <x:c r="H2505" s="21" t="n">
        <x:f>F2508</x:f>
        <x:v>433.1079622475</x:v>
      </x:c>
      <x:c r="I2505" s="27" t="str">
        <x:f>IF(AND(ISNUMBER(G2505),ISNUMBER(H2505),H2505&gt;0),G2505/H2505-1,"")</x:f>
      </x:c>
      <x:c r="J2505" s="27" t="str">
        <x:f>IF(AND(ISNUMBER(G2505),F2505&gt;0),G2505/F2505-1,"")</x:f>
      </x:c>
      <x:c r="K2505" s="19" t="str">
        <x:v>Exp_9/EXP079/results/seed1000_Fixed_rank_10.json</x:v>
      </x:c>
    </x:row>
    <x:row r="2506" ht="15" hidden="0" customHeight="1">
      <x:c r="A2506" s="3" t="str">
        <x:v>EXP079</x:v>
      </x:c>
      <x:c r="B2506" s="3" t="str">
        <x:v>Exp. 9</x:v>
      </x:c>
      <x:c r="C2506" s="18" t="n">
        <x:v>1000</x:v>
      </x:c>
      <x:c r="D2506" s="3" t="str">
        <x:v>Fixed rank 3</x:v>
      </x:c>
      <x:c r="E2506" s="18" t="n">
        <x:v>200</x:v>
      </x:c>
      <x:c r="F2506" s="21" t="n">
        <x:v>434.84745717540017</x:v>
      </x:c>
      <x:c r="G2506" s="21" t="str">
        <x:f>""</x:f>
      </x:c>
      <x:c r="H2506" s="21" t="n">
        <x:f>F2508</x:f>
        <x:v>433.1079622475</x:v>
      </x:c>
      <x:c r="I2506" s="27" t="str">
        <x:f>IF(AND(ISNUMBER(G2506),ISNUMBER(H2506),H2506&gt;0),G2506/H2506-1,"")</x:f>
      </x:c>
      <x:c r="J2506" s="27" t="str">
        <x:f>IF(AND(ISNUMBER(G2506),F2506&gt;0),G2506/F2506-1,"")</x:f>
      </x:c>
      <x:c r="K2506" s="19" t="str">
        <x:v>Exp_9/EXP079/results/seed1000_Fixed_rank_3.json</x:v>
      </x:c>
    </x:row>
    <x:row r="2507" ht="15" hidden="0" customHeight="1">
      <x:c r="A2507" s="3" t="str">
        <x:v>EXP079</x:v>
      </x:c>
      <x:c r="B2507" s="3" t="str">
        <x:v>Exp. 9</x:v>
      </x:c>
      <x:c r="C2507" s="18" t="n">
        <x:v>1000</x:v>
      </x:c>
      <x:c r="D2507" s="3" t="str">
        <x:v>Fixed rank 5</x:v>
      </x:c>
      <x:c r="E2507" s="18" t="n">
        <x:v>200</x:v>
      </x:c>
      <x:c r="F2507" s="21" t="n">
        <x:v>451.5786217134693</x:v>
      </x:c>
      <x:c r="G2507" s="21" t="str">
        <x:f>""</x:f>
      </x:c>
      <x:c r="H2507" s="21" t="n">
        <x:f>F2508</x:f>
        <x:v>433.1079622475</x:v>
      </x:c>
      <x:c r="I2507" s="27" t="str">
        <x:f>IF(AND(ISNUMBER(G2507),ISNUMBER(H2507),H2507&gt;0),G2507/H2507-1,"")</x:f>
      </x:c>
      <x:c r="J2507" s="27" t="str">
        <x:f>IF(AND(ISNUMBER(G2507),F2507&gt;0),G2507/F2507-1,"")</x:f>
      </x:c>
      <x:c r="K2507" s="19" t="str">
        <x:v>Exp_9/EXP079/results/seed1000_Fixed_rank_5.json</x:v>
      </x:c>
    </x:row>
    <x:row r="2508" ht="15" hidden="0" customHeight="1">
      <x:c r="A2508" s="3" t="str">
        <x:v>EXP079</x:v>
      </x:c>
      <x:c r="B2508" s="3" t="str">
        <x:v>Exp. 9</x:v>
      </x:c>
      <x:c r="C2508" s="18" t="n">
        <x:v>1000</x:v>
      </x:c>
      <x:c r="D2508" s="3" t="str">
        <x:v>Full</x:v>
      </x:c>
      <x:c r="E2508" s="18" t="n">
        <x:v>200</x:v>
      </x:c>
      <x:c r="F2508" s="21" t="n">
        <x:v>433.1079622475</x:v>
      </x:c>
      <x:c r="G2508" s="21" t="str">
        <x:f>""</x:f>
      </x:c>
      <x:c r="H2508" s="21" t="n">
        <x:f>F2508</x:f>
        <x:v>433.1079622475</x:v>
      </x:c>
      <x:c r="I2508" s="27" t="str">
        <x:f>IF(AND(ISNUMBER(G2508),ISNUMBER(H2508),H2508&gt;0),G2508/H2508-1,"")</x:f>
      </x:c>
      <x:c r="J2508" s="27" t="str">
        <x:f>IF(AND(ISNUMBER(G2508),F2508&gt;0),G2508/F2508-1,"")</x:f>
      </x:c>
      <x:c r="K2508" s="19" t="str">
        <x:v>Exp_9/EXP079/results/seed1000_Full.json</x:v>
      </x:c>
    </x:row>
    <x:row r="2509" ht="15" hidden="0" customHeight="1">
      <x:c r="A2509" s="3" t="str">
        <x:v>EXP079</x:v>
      </x:c>
      <x:c r="B2509" s="3" t="str">
        <x:v>Exp. 9</x:v>
      </x:c>
      <x:c r="C2509" s="18" t="n">
        <x:v>1000</x:v>
      </x:c>
      <x:c r="D2509" s="3" t="str">
        <x:v>Relative cutoff 1e-2</x:v>
      </x:c>
      <x:c r="E2509" s="18" t="n">
        <x:v>200</x:v>
      </x:c>
      <x:c r="F2509" s="21" t="n">
        <x:v>434.9749741191815</x:v>
      </x:c>
      <x:c r="G2509" s="21" t="str">
        <x:f>""</x:f>
      </x:c>
      <x:c r="H2509" s="21" t="n">
        <x:f>F2508</x:f>
        <x:v>433.1079622475</x:v>
      </x:c>
      <x:c r="I2509" s="27" t="str">
        <x:f>IF(AND(ISNUMBER(G2509),ISNUMBER(H2509),H2509&gt;0),G2509/H2509-1,"")</x:f>
      </x:c>
      <x:c r="J2509" s="27" t="str">
        <x:f>IF(AND(ISNUMBER(G2509),F2509&gt;0),G2509/F2509-1,"")</x:f>
      </x:c>
      <x:c r="K2509" s="19" t="str">
        <x:v>Exp_9/EXP079/results/seed1000_Relative_cutoff_1e-2.json</x:v>
      </x:c>
    </x:row>
    <x:row r="2510" ht="15" hidden="0" customHeight="1">
      <x:c r="A2510" s="3" t="str">
        <x:v>EXP079</x:v>
      </x:c>
      <x:c r="B2510" s="3" t="str">
        <x:v>Exp. 9</x:v>
      </x:c>
      <x:c r="C2510" s="18" t="n">
        <x:v>1001</x:v>
      </x:c>
      <x:c r="D2510" s="3" t="str">
        <x:v>Fixed rank 10</x:v>
      </x:c>
      <x:c r="E2510" s="18" t="n">
        <x:v>200</x:v>
      </x:c>
      <x:c r="F2510" s="21" t="n">
        <x:v>458.9821996588894</x:v>
      </x:c>
      <x:c r="G2510" s="21" t="str">
        <x:f>""</x:f>
      </x:c>
      <x:c r="H2510" s="21" t="n">
        <x:f>F2513</x:f>
        <x:v>459.82234717479884</x:v>
      </x:c>
      <x:c r="I2510" s="27" t="str">
        <x:f>IF(AND(ISNUMBER(G2510),ISNUMBER(H2510),H2510&gt;0),G2510/H2510-1,"")</x:f>
      </x:c>
      <x:c r="J2510" s="27" t="str">
        <x:f>IF(AND(ISNUMBER(G2510),F2510&gt;0),G2510/F2510-1,"")</x:f>
      </x:c>
      <x:c r="K2510" s="19" t="str">
        <x:v>Exp_9/EXP079/results/seed1001_Fixed_rank_10.json</x:v>
      </x:c>
    </x:row>
    <x:row r="2511" ht="15" hidden="0" customHeight="1">
      <x:c r="A2511" s="3" t="str">
        <x:v>EXP079</x:v>
      </x:c>
      <x:c r="B2511" s="3" t="str">
        <x:v>Exp. 9</x:v>
      </x:c>
      <x:c r="C2511" s="18" t="n">
        <x:v>1001</x:v>
      </x:c>
      <x:c r="D2511" s="3" t="str">
        <x:v>Fixed rank 3</x:v>
      </x:c>
      <x:c r="E2511" s="18" t="n">
        <x:v>200</x:v>
      </x:c>
      <x:c r="F2511" s="21" t="n">
        <x:v>454.16004916700984</x:v>
      </x:c>
      <x:c r="G2511" s="21" t="str">
        <x:f>""</x:f>
      </x:c>
      <x:c r="H2511" s="21" t="n">
        <x:f>F2513</x:f>
        <x:v>459.82234717479884</x:v>
      </x:c>
      <x:c r="I2511" s="27" t="str">
        <x:f>IF(AND(ISNUMBER(G2511),ISNUMBER(H2511),H2511&gt;0),G2511/H2511-1,"")</x:f>
      </x:c>
      <x:c r="J2511" s="27" t="str">
        <x:f>IF(AND(ISNUMBER(G2511),F2511&gt;0),G2511/F2511-1,"")</x:f>
      </x:c>
      <x:c r="K2511" s="19" t="str">
        <x:v>Exp_9/EXP079/results/seed1001_Fixed_rank_3.json</x:v>
      </x:c>
    </x:row>
    <x:row r="2512" ht="15" hidden="0" customHeight="1">
      <x:c r="A2512" s="3" t="str">
        <x:v>EXP079</x:v>
      </x:c>
      <x:c r="B2512" s="3" t="str">
        <x:v>Exp. 9</x:v>
      </x:c>
      <x:c r="C2512" s="18" t="n">
        <x:v>1001</x:v>
      </x:c>
      <x:c r="D2512" s="3" t="str">
        <x:v>Fixed rank 5</x:v>
      </x:c>
      <x:c r="E2512" s="18" t="n">
        <x:v>200</x:v>
      </x:c>
      <x:c r="F2512" s="21" t="n">
        <x:v>451.94480286056546</x:v>
      </x:c>
      <x:c r="G2512" s="21" t="str">
        <x:f>""</x:f>
      </x:c>
      <x:c r="H2512" s="21" t="n">
        <x:f>F2513</x:f>
        <x:v>459.82234717479884</x:v>
      </x:c>
      <x:c r="I2512" s="27" t="str">
        <x:f>IF(AND(ISNUMBER(G2512),ISNUMBER(H2512),H2512&gt;0),G2512/H2512-1,"")</x:f>
      </x:c>
      <x:c r="J2512" s="27" t="str">
        <x:f>IF(AND(ISNUMBER(G2512),F2512&gt;0),G2512/F2512-1,"")</x:f>
      </x:c>
      <x:c r="K2512" s="19" t="str">
        <x:v>Exp_9/EXP079/results/seed1001_Fixed_rank_5.json</x:v>
      </x:c>
    </x:row>
    <x:row r="2513" ht="15" hidden="0" customHeight="1">
      <x:c r="A2513" s="3" t="str">
        <x:v>EXP079</x:v>
      </x:c>
      <x:c r="B2513" s="3" t="str">
        <x:v>Exp. 9</x:v>
      </x:c>
      <x:c r="C2513" s="18" t="n">
        <x:v>1001</x:v>
      </x:c>
      <x:c r="D2513" s="3" t="str">
        <x:v>Full</x:v>
      </x:c>
      <x:c r="E2513" s="18" t="n">
        <x:v>200</x:v>
      </x:c>
      <x:c r="F2513" s="21" t="n">
        <x:v>459.82234717479884</x:v>
      </x:c>
      <x:c r="G2513" s="21" t="str">
        <x:f>""</x:f>
      </x:c>
      <x:c r="H2513" s="21" t="n">
        <x:f>F2513</x:f>
        <x:v>459.82234717479884</x:v>
      </x:c>
      <x:c r="I2513" s="27" t="str">
        <x:f>IF(AND(ISNUMBER(G2513),ISNUMBER(H2513),H2513&gt;0),G2513/H2513-1,"")</x:f>
      </x:c>
      <x:c r="J2513" s="27" t="str">
        <x:f>IF(AND(ISNUMBER(G2513),F2513&gt;0),G2513/F2513-1,"")</x:f>
      </x:c>
      <x:c r="K2513" s="19" t="str">
        <x:v>Exp_9/EXP079/results/seed1001_Full.json</x:v>
      </x:c>
    </x:row>
    <x:row r="2514" ht="15" hidden="0" customHeight="1">
      <x:c r="A2514" s="3" t="str">
        <x:v>EXP079</x:v>
      </x:c>
      <x:c r="B2514" s="3" t="str">
        <x:v>Exp. 9</x:v>
      </x:c>
      <x:c r="C2514" s="18" t="n">
        <x:v>1001</x:v>
      </x:c>
      <x:c r="D2514" s="3" t="str">
        <x:v>Relative cutoff 1e-2</x:v>
      </x:c>
      <x:c r="E2514" s="18" t="n">
        <x:v>200</x:v>
      </x:c>
      <x:c r="F2514" s="21" t="n">
        <x:v>449.1207914883077</x:v>
      </x:c>
      <x:c r="G2514" s="21" t="str">
        <x:f>""</x:f>
      </x:c>
      <x:c r="H2514" s="21" t="n">
        <x:f>F2513</x:f>
        <x:v>459.82234717479884</x:v>
      </x:c>
      <x:c r="I2514" s="27" t="str">
        <x:f>IF(AND(ISNUMBER(G2514),ISNUMBER(H2514),H2514&gt;0),G2514/H2514-1,"")</x:f>
      </x:c>
      <x:c r="J2514" s="27" t="str">
        <x:f>IF(AND(ISNUMBER(G2514),F2514&gt;0),G2514/F2514-1,"")</x:f>
      </x:c>
      <x:c r="K2514" s="19" t="str">
        <x:v>Exp_9/EXP079/results/seed1001_Relative_cutoff_1e-2.json</x:v>
      </x:c>
    </x:row>
    <x:row r="2515" ht="15" hidden="0" customHeight="1">
      <x:c r="A2515" s="3" t="str">
        <x:v>EXP079</x:v>
      </x:c>
      <x:c r="B2515" s="3" t="str">
        <x:v>Exp. 9</x:v>
      </x:c>
      <x:c r="C2515" s="18" t="n">
        <x:v>1002</x:v>
      </x:c>
      <x:c r="D2515" s="3" t="str">
        <x:v>Fixed rank 10</x:v>
      </x:c>
      <x:c r="E2515" s="18" t="n">
        <x:v>200</x:v>
      </x:c>
      <x:c r="F2515" s="21" t="n">
        <x:v>375.13594946517577</x:v>
      </x:c>
      <x:c r="G2515" s="21" t="str">
        <x:f>""</x:f>
      </x:c>
      <x:c r="H2515" s="21" t="n">
        <x:f>F2518</x:f>
        <x:v>375.13594946517577</x:v>
      </x:c>
      <x:c r="I2515" s="27" t="str">
        <x:f>IF(AND(ISNUMBER(G2515),ISNUMBER(H2515),H2515&gt;0),G2515/H2515-1,"")</x:f>
      </x:c>
      <x:c r="J2515" s="27" t="str">
        <x:f>IF(AND(ISNUMBER(G2515),F2515&gt;0),G2515/F2515-1,"")</x:f>
      </x:c>
      <x:c r="K2515" s="19" t="str">
        <x:v>Exp_9/EXP079/results/seed1002_Fixed_rank_10.json</x:v>
      </x:c>
    </x:row>
    <x:row r="2516" ht="15" hidden="0" customHeight="1">
      <x:c r="A2516" s="3" t="str">
        <x:v>EXP079</x:v>
      </x:c>
      <x:c r="B2516" s="3" t="str">
        <x:v>Exp. 9</x:v>
      </x:c>
      <x:c r="C2516" s="18" t="n">
        <x:v>1002</x:v>
      </x:c>
      <x:c r="D2516" s="3" t="str">
        <x:v>Fixed rank 3</x:v>
      </x:c>
      <x:c r="E2516" s="18" t="n">
        <x:v>200</x:v>
      </x:c>
      <x:c r="F2516" s="21" t="n">
        <x:v>366.4367702220256</x:v>
      </x:c>
      <x:c r="G2516" s="21" t="str">
        <x:f>""</x:f>
      </x:c>
      <x:c r="H2516" s="21" t="n">
        <x:f>F2518</x:f>
        <x:v>375.13594946517577</x:v>
      </x:c>
      <x:c r="I2516" s="27" t="str">
        <x:f>IF(AND(ISNUMBER(G2516),ISNUMBER(H2516),H2516&gt;0),G2516/H2516-1,"")</x:f>
      </x:c>
      <x:c r="J2516" s="27" t="str">
        <x:f>IF(AND(ISNUMBER(G2516),F2516&gt;0),G2516/F2516-1,"")</x:f>
      </x:c>
      <x:c r="K2516" s="19" t="str">
        <x:v>Exp_9/EXP079/results/seed1002_Fixed_rank_3.json</x:v>
      </x:c>
    </x:row>
    <x:row r="2517" ht="15" hidden="0" customHeight="1">
      <x:c r="A2517" s="3" t="str">
        <x:v>EXP079</x:v>
      </x:c>
      <x:c r="B2517" s="3" t="str">
        <x:v>Exp. 9</x:v>
      </x:c>
      <x:c r="C2517" s="18" t="n">
        <x:v>1002</x:v>
      </x:c>
      <x:c r="D2517" s="3" t="str">
        <x:v>Fixed rank 5</x:v>
      </x:c>
      <x:c r="E2517" s="18" t="n">
        <x:v>200</x:v>
      </x:c>
      <x:c r="F2517" s="21" t="n">
        <x:v>375.59840903140906</x:v>
      </x:c>
      <x:c r="G2517" s="21" t="str">
        <x:f>""</x:f>
      </x:c>
      <x:c r="H2517" s="21" t="n">
        <x:f>F2518</x:f>
        <x:v>375.13594946517577</x:v>
      </x:c>
      <x:c r="I2517" s="27" t="str">
        <x:f>IF(AND(ISNUMBER(G2517),ISNUMBER(H2517),H2517&gt;0),G2517/H2517-1,"")</x:f>
      </x:c>
      <x:c r="J2517" s="27" t="str">
        <x:f>IF(AND(ISNUMBER(G2517),F2517&gt;0),G2517/F2517-1,"")</x:f>
      </x:c>
      <x:c r="K2517" s="19" t="str">
        <x:v>Exp_9/EXP079/results/seed1002_Fixed_rank_5.json</x:v>
      </x:c>
    </x:row>
    <x:row r="2518" ht="15" hidden="0" customHeight="1">
      <x:c r="A2518" s="3" t="str">
        <x:v>EXP079</x:v>
      </x:c>
      <x:c r="B2518" s="3" t="str">
        <x:v>Exp. 9</x:v>
      </x:c>
      <x:c r="C2518" s="18" t="n">
        <x:v>1002</x:v>
      </x:c>
      <x:c r="D2518" s="3" t="str">
        <x:v>Full</x:v>
      </x:c>
      <x:c r="E2518" s="18" t="n">
        <x:v>200</x:v>
      </x:c>
      <x:c r="F2518" s="21" t="n">
        <x:v>375.13594946517577</x:v>
      </x:c>
      <x:c r="G2518" s="21" t="str">
        <x:f>""</x:f>
      </x:c>
      <x:c r="H2518" s="21" t="n">
        <x:f>F2518</x:f>
        <x:v>375.13594946517577</x:v>
      </x:c>
      <x:c r="I2518" s="27" t="str">
        <x:f>IF(AND(ISNUMBER(G2518),ISNUMBER(H2518),H2518&gt;0),G2518/H2518-1,"")</x:f>
      </x:c>
      <x:c r="J2518" s="27" t="str">
        <x:f>IF(AND(ISNUMBER(G2518),F2518&gt;0),G2518/F2518-1,"")</x:f>
      </x:c>
      <x:c r="K2518" s="19" t="str">
        <x:v>Exp_9/EXP079/results/seed1002_Full.json</x:v>
      </x:c>
    </x:row>
    <x:row r="2519" ht="15" hidden="0" customHeight="1">
      <x:c r="A2519" s="3" t="str">
        <x:v>EXP079</x:v>
      </x:c>
      <x:c r="B2519" s="3" t="str">
        <x:v>Exp. 9</x:v>
      </x:c>
      <x:c r="C2519" s="18" t="n">
        <x:v>1002</x:v>
      </x:c>
      <x:c r="D2519" s="3" t="str">
        <x:v>Relative cutoff 1e-2</x:v>
      </x:c>
      <x:c r="E2519" s="18" t="n">
        <x:v>200</x:v>
      </x:c>
      <x:c r="F2519" s="21" t="n">
        <x:v>372.46020158795966</x:v>
      </x:c>
      <x:c r="G2519" s="21" t="str">
        <x:f>""</x:f>
      </x:c>
      <x:c r="H2519" s="21" t="n">
        <x:f>F2518</x:f>
        <x:v>375.13594946517577</x:v>
      </x:c>
      <x:c r="I2519" s="27" t="str">
        <x:f>IF(AND(ISNUMBER(G2519),ISNUMBER(H2519),H2519&gt;0),G2519/H2519-1,"")</x:f>
      </x:c>
      <x:c r="J2519" s="27" t="str">
        <x:f>IF(AND(ISNUMBER(G2519),F2519&gt;0),G2519/F2519-1,"")</x:f>
      </x:c>
      <x:c r="K2519" s="19" t="str">
        <x:v>Exp_9/EXP079/results/seed1002_Relative_cutoff_1e-2.json</x:v>
      </x:c>
    </x:row>
    <x:row r="2520" ht="15" hidden="0" customHeight="1">
      <x:c r="A2520" s="3" t="str">
        <x:v>EXP079</x:v>
      </x:c>
      <x:c r="B2520" s="3" t="str">
        <x:v>Exp. 9</x:v>
      </x:c>
      <x:c r="C2520" s="18" t="n">
        <x:v>1003</x:v>
      </x:c>
      <x:c r="D2520" s="3" t="str">
        <x:v>Fixed rank 10</x:v>
      </x:c>
      <x:c r="E2520" s="18" t="n">
        <x:v>200</x:v>
      </x:c>
      <x:c r="F2520" s="21" t="n">
        <x:v>456.7709235272067</x:v>
      </x:c>
      <x:c r="G2520" s="21" t="str">
        <x:f>""</x:f>
      </x:c>
      <x:c r="H2520" s="21" t="n">
        <x:f>F2523</x:f>
        <x:v>438.2755841050167</x:v>
      </x:c>
      <x:c r="I2520" s="27" t="str">
        <x:f>IF(AND(ISNUMBER(G2520),ISNUMBER(H2520),H2520&gt;0),G2520/H2520-1,"")</x:f>
      </x:c>
      <x:c r="J2520" s="27" t="str">
        <x:f>IF(AND(ISNUMBER(G2520),F2520&gt;0),G2520/F2520-1,"")</x:f>
      </x:c>
      <x:c r="K2520" s="19" t="str">
        <x:v>Exp_9/EXP079/results/seed1003_Fixed_rank_10.json</x:v>
      </x:c>
    </x:row>
    <x:row r="2521" ht="15" hidden="0" customHeight="1">
      <x:c r="A2521" s="3" t="str">
        <x:v>EXP079</x:v>
      </x:c>
      <x:c r="B2521" s="3" t="str">
        <x:v>Exp. 9</x:v>
      </x:c>
      <x:c r="C2521" s="18" t="n">
        <x:v>1003</x:v>
      </x:c>
      <x:c r="D2521" s="3" t="str">
        <x:v>Fixed rank 3</x:v>
      </x:c>
      <x:c r="E2521" s="18" t="n">
        <x:v>200</x:v>
      </x:c>
      <x:c r="F2521" s="21" t="n">
        <x:v>416.4216719574413</x:v>
      </x:c>
      <x:c r="G2521" s="21" t="str">
        <x:f>""</x:f>
      </x:c>
      <x:c r="H2521" s="21" t="n">
        <x:f>F2523</x:f>
        <x:v>438.2755841050167</x:v>
      </x:c>
      <x:c r="I2521" s="27" t="str">
        <x:f>IF(AND(ISNUMBER(G2521),ISNUMBER(H2521),H2521&gt;0),G2521/H2521-1,"")</x:f>
      </x:c>
      <x:c r="J2521" s="27" t="str">
        <x:f>IF(AND(ISNUMBER(G2521),F2521&gt;0),G2521/F2521-1,"")</x:f>
      </x:c>
      <x:c r="K2521" s="19" t="str">
        <x:v>Exp_9/EXP079/results/seed1003_Fixed_rank_3.json</x:v>
      </x:c>
    </x:row>
    <x:row r="2522" ht="15" hidden="0" customHeight="1">
      <x:c r="A2522" s="3" t="str">
        <x:v>EXP079</x:v>
      </x:c>
      <x:c r="B2522" s="3" t="str">
        <x:v>Exp. 9</x:v>
      </x:c>
      <x:c r="C2522" s="18" t="n">
        <x:v>1003</x:v>
      </x:c>
      <x:c r="D2522" s="3" t="str">
        <x:v>Fixed rank 5</x:v>
      </x:c>
      <x:c r="E2522" s="18" t="n">
        <x:v>200</x:v>
      </x:c>
      <x:c r="F2522" s="21" t="n">
        <x:v>436.9170441865513</x:v>
      </x:c>
      <x:c r="G2522" s="21" t="str">
        <x:f>""</x:f>
      </x:c>
      <x:c r="H2522" s="21" t="n">
        <x:f>F2523</x:f>
        <x:v>438.2755841050167</x:v>
      </x:c>
      <x:c r="I2522" s="27" t="str">
        <x:f>IF(AND(ISNUMBER(G2522),ISNUMBER(H2522),H2522&gt;0),G2522/H2522-1,"")</x:f>
      </x:c>
      <x:c r="J2522" s="27" t="str">
        <x:f>IF(AND(ISNUMBER(G2522),F2522&gt;0),G2522/F2522-1,"")</x:f>
      </x:c>
      <x:c r="K2522" s="19" t="str">
        <x:v>Exp_9/EXP079/results/seed1003_Fixed_rank_5.json</x:v>
      </x:c>
    </x:row>
    <x:row r="2523" ht="15" hidden="0" customHeight="1">
      <x:c r="A2523" s="3" t="str">
        <x:v>EXP079</x:v>
      </x:c>
      <x:c r="B2523" s="3" t="str">
        <x:v>Exp. 9</x:v>
      </x:c>
      <x:c r="C2523" s="18" t="n">
        <x:v>1003</x:v>
      </x:c>
      <x:c r="D2523" s="3" t="str">
        <x:v>Full</x:v>
      </x:c>
      <x:c r="E2523" s="18" t="n">
        <x:v>200</x:v>
      </x:c>
      <x:c r="F2523" s="21" t="n">
        <x:v>438.2755841050167</x:v>
      </x:c>
      <x:c r="G2523" s="21" t="str">
        <x:f>""</x:f>
      </x:c>
      <x:c r="H2523" s="21" t="n">
        <x:f>F2523</x:f>
        <x:v>438.2755841050167</x:v>
      </x:c>
      <x:c r="I2523" s="27" t="str">
        <x:f>IF(AND(ISNUMBER(G2523),ISNUMBER(H2523),H2523&gt;0),G2523/H2523-1,"")</x:f>
      </x:c>
      <x:c r="J2523" s="27" t="str">
        <x:f>IF(AND(ISNUMBER(G2523),F2523&gt;0),G2523/F2523-1,"")</x:f>
      </x:c>
      <x:c r="K2523" s="19" t="str">
        <x:v>Exp_9/EXP079/results/seed1003_Full.json</x:v>
      </x:c>
    </x:row>
    <x:row r="2524" ht="15" hidden="0" customHeight="1">
      <x:c r="A2524" s="3" t="str">
        <x:v>EXP079</x:v>
      </x:c>
      <x:c r="B2524" s="3" t="str">
        <x:v>Exp. 9</x:v>
      </x:c>
      <x:c r="C2524" s="18" t="n">
        <x:v>1003</x:v>
      </x:c>
      <x:c r="D2524" s="3" t="str">
        <x:v>Relative cutoff 1e-2</x:v>
      </x:c>
      <x:c r="E2524" s="18" t="n">
        <x:v>200</x:v>
      </x:c>
      <x:c r="F2524" s="21" t="n">
        <x:v>416.4216719574413</x:v>
      </x:c>
      <x:c r="G2524" s="21" t="str">
        <x:f>""</x:f>
      </x:c>
      <x:c r="H2524" s="21" t="n">
        <x:f>F2523</x:f>
        <x:v>438.2755841050167</x:v>
      </x:c>
      <x:c r="I2524" s="27" t="str">
        <x:f>IF(AND(ISNUMBER(G2524),ISNUMBER(H2524),H2524&gt;0),G2524/H2524-1,"")</x:f>
      </x:c>
      <x:c r="J2524" s="27" t="str">
        <x:f>IF(AND(ISNUMBER(G2524),F2524&gt;0),G2524/F2524-1,"")</x:f>
      </x:c>
      <x:c r="K2524" s="19" t="str">
        <x:v>Exp_9/EXP079/results/seed1003_Relative_cutoff_1e-2.json</x:v>
      </x:c>
    </x:row>
    <x:row r="2525" ht="15" hidden="0" customHeight="1">
      <x:c r="A2525" s="3" t="str">
        <x:v>EXP079</x:v>
      </x:c>
      <x:c r="B2525" s="3" t="str">
        <x:v>Exp. 9</x:v>
      </x:c>
      <x:c r="C2525" s="18" t="n">
        <x:v>1004</x:v>
      </x:c>
      <x:c r="D2525" s="3" t="str">
        <x:v>Fixed rank 10</x:v>
      </x:c>
      <x:c r="E2525" s="18" t="n">
        <x:v>200</x:v>
      </x:c>
      <x:c r="F2525" s="21" t="n">
        <x:v>444.3736041994179</x:v>
      </x:c>
      <x:c r="G2525" s="21" t="str">
        <x:f>""</x:f>
      </x:c>
      <x:c r="H2525" s="21" t="n">
        <x:f>F2528</x:f>
        <x:v>444.3736041994179</x:v>
      </x:c>
      <x:c r="I2525" s="27" t="str">
        <x:f>IF(AND(ISNUMBER(G2525),ISNUMBER(H2525),H2525&gt;0),G2525/H2525-1,"")</x:f>
      </x:c>
      <x:c r="J2525" s="27" t="str">
        <x:f>IF(AND(ISNUMBER(G2525),F2525&gt;0),G2525/F2525-1,"")</x:f>
      </x:c>
      <x:c r="K2525" s="19" t="str">
        <x:v>Exp_9/EXP079/results/seed1004_Fixed_rank_10.json</x:v>
      </x:c>
    </x:row>
    <x:row r="2526" ht="15" hidden="0" customHeight="1">
      <x:c r="A2526" s="3" t="str">
        <x:v>EXP079</x:v>
      </x:c>
      <x:c r="B2526" s="3" t="str">
        <x:v>Exp. 9</x:v>
      </x:c>
      <x:c r="C2526" s="18" t="n">
        <x:v>1004</x:v>
      </x:c>
      <x:c r="D2526" s="3" t="str">
        <x:v>Fixed rank 3</x:v>
      </x:c>
      <x:c r="E2526" s="18" t="n">
        <x:v>200</x:v>
      </x:c>
      <x:c r="F2526" s="21" t="n">
        <x:v>443.55914104717357</x:v>
      </x:c>
      <x:c r="G2526" s="21" t="str">
        <x:f>""</x:f>
      </x:c>
      <x:c r="H2526" s="21" t="n">
        <x:f>F2528</x:f>
        <x:v>444.3736041994179</x:v>
      </x:c>
      <x:c r="I2526" s="27" t="str">
        <x:f>IF(AND(ISNUMBER(G2526),ISNUMBER(H2526),H2526&gt;0),G2526/H2526-1,"")</x:f>
      </x:c>
      <x:c r="J2526" s="27" t="str">
        <x:f>IF(AND(ISNUMBER(G2526),F2526&gt;0),G2526/F2526-1,"")</x:f>
      </x:c>
      <x:c r="K2526" s="19" t="str">
        <x:v>Exp_9/EXP079/results/seed1004_Fixed_rank_3.json</x:v>
      </x:c>
    </x:row>
    <x:row r="2527" ht="15" hidden="0" customHeight="1">
      <x:c r="A2527" s="3" t="str">
        <x:v>EXP079</x:v>
      </x:c>
      <x:c r="B2527" s="3" t="str">
        <x:v>Exp. 9</x:v>
      </x:c>
      <x:c r="C2527" s="18" t="n">
        <x:v>1004</x:v>
      </x:c>
      <x:c r="D2527" s="3" t="str">
        <x:v>Fixed rank 5</x:v>
      </x:c>
      <x:c r="E2527" s="18" t="n">
        <x:v>200</x:v>
      </x:c>
      <x:c r="F2527" s="21" t="n">
        <x:v>444.3736041994179</x:v>
      </x:c>
      <x:c r="G2527" s="21" t="str">
        <x:f>""</x:f>
      </x:c>
      <x:c r="H2527" s="21" t="n">
        <x:f>F2528</x:f>
        <x:v>444.3736041994179</x:v>
      </x:c>
      <x:c r="I2527" s="27" t="str">
        <x:f>IF(AND(ISNUMBER(G2527),ISNUMBER(H2527),H2527&gt;0),G2527/H2527-1,"")</x:f>
      </x:c>
      <x:c r="J2527" s="27" t="str">
        <x:f>IF(AND(ISNUMBER(G2527),F2527&gt;0),G2527/F2527-1,"")</x:f>
      </x:c>
      <x:c r="K2527" s="19" t="str">
        <x:v>Exp_9/EXP079/results/seed1004_Fixed_rank_5.json</x:v>
      </x:c>
    </x:row>
    <x:row r="2528" ht="15" hidden="0" customHeight="1">
      <x:c r="A2528" s="3" t="str">
        <x:v>EXP079</x:v>
      </x:c>
      <x:c r="B2528" s="3" t="str">
        <x:v>Exp. 9</x:v>
      </x:c>
      <x:c r="C2528" s="18" t="n">
        <x:v>1004</x:v>
      </x:c>
      <x:c r="D2528" s="3" t="str">
        <x:v>Full</x:v>
      </x:c>
      <x:c r="E2528" s="18" t="n">
        <x:v>200</x:v>
      </x:c>
      <x:c r="F2528" s="21" t="n">
        <x:v>444.3736041994179</x:v>
      </x:c>
      <x:c r="G2528" s="21" t="str">
        <x:f>""</x:f>
      </x:c>
      <x:c r="H2528" s="21" t="n">
        <x:f>F2528</x:f>
        <x:v>444.3736041994179</x:v>
      </x:c>
      <x:c r="I2528" s="27" t="str">
        <x:f>IF(AND(ISNUMBER(G2528),ISNUMBER(H2528),H2528&gt;0),G2528/H2528-1,"")</x:f>
      </x:c>
      <x:c r="J2528" s="27" t="str">
        <x:f>IF(AND(ISNUMBER(G2528),F2528&gt;0),G2528/F2528-1,"")</x:f>
      </x:c>
      <x:c r="K2528" s="19" t="str">
        <x:v>Exp_9/EXP079/results/seed1004_Full.json</x:v>
      </x:c>
    </x:row>
    <x:row r="2529" ht="15" hidden="0" customHeight="1">
      <x:c r="A2529" s="3" t="str">
        <x:v>EXP079</x:v>
      </x:c>
      <x:c r="B2529" s="3" t="str">
        <x:v>Exp. 9</x:v>
      </x:c>
      <x:c r="C2529" s="18" t="n">
        <x:v>1004</x:v>
      </x:c>
      <x:c r="D2529" s="3" t="str">
        <x:v>Relative cutoff 1e-2</x:v>
      </x:c>
      <x:c r="E2529" s="18" t="n">
        <x:v>200</x:v>
      </x:c>
      <x:c r="F2529" s="21" t="n">
        <x:v>455.230405432631</x:v>
      </x:c>
      <x:c r="G2529" s="21" t="str">
        <x:f>""</x:f>
      </x:c>
      <x:c r="H2529" s="21" t="n">
        <x:f>F2528</x:f>
        <x:v>444.3736041994179</x:v>
      </x:c>
      <x:c r="I2529" s="27" t="str">
        <x:f>IF(AND(ISNUMBER(G2529),ISNUMBER(H2529),H2529&gt;0),G2529/H2529-1,"")</x:f>
      </x:c>
      <x:c r="J2529" s="27" t="str">
        <x:f>IF(AND(ISNUMBER(G2529),F2529&gt;0),G2529/F2529-1,"")</x:f>
      </x:c>
      <x:c r="K2529" s="19" t="str">
        <x:v>Exp_9/EXP079/results/seed1004_Relative_cutoff_1e-2.json</x:v>
      </x:c>
    </x:row>
    <x:row r="2530" ht="15" hidden="0" customHeight="1">
      <x:c r="A2530" s="3" t="str">
        <x:v>EXP079</x:v>
      </x:c>
      <x:c r="B2530" s="3" t="str">
        <x:v>Exp. 9</x:v>
      </x:c>
      <x:c r="C2530" s="18" t="n">
        <x:v>1005</x:v>
      </x:c>
      <x:c r="D2530" s="3" t="str">
        <x:v>Fixed rank 10</x:v>
      </x:c>
      <x:c r="E2530" s="18" t="n">
        <x:v>200</x:v>
      </x:c>
      <x:c r="F2530" s="21" t="n">
        <x:v>634.4039946256689</x:v>
      </x:c>
      <x:c r="G2530" s="21" t="str">
        <x:f>""</x:f>
      </x:c>
      <x:c r="H2530" s="21" t="n">
        <x:f>F2533</x:f>
        <x:v>597.261916939202</x:v>
      </x:c>
      <x:c r="I2530" s="27" t="str">
        <x:f>IF(AND(ISNUMBER(G2530),ISNUMBER(H2530),H2530&gt;0),G2530/H2530-1,"")</x:f>
      </x:c>
      <x:c r="J2530" s="27" t="str">
        <x:f>IF(AND(ISNUMBER(G2530),F2530&gt;0),G2530/F2530-1,"")</x:f>
      </x:c>
      <x:c r="K2530" s="19" t="str">
        <x:v>Exp_9/EXP079/results/seed1005_Fixed_rank_10.json</x:v>
      </x:c>
    </x:row>
    <x:row r="2531" ht="15" hidden="0" customHeight="1">
      <x:c r="A2531" s="3" t="str">
        <x:v>EXP079</x:v>
      </x:c>
      <x:c r="B2531" s="3" t="str">
        <x:v>Exp. 9</x:v>
      </x:c>
      <x:c r="C2531" s="18" t="n">
        <x:v>1005</x:v>
      </x:c>
      <x:c r="D2531" s="3" t="str">
        <x:v>Fixed rank 3</x:v>
      </x:c>
      <x:c r="E2531" s="18" t="n">
        <x:v>200</x:v>
      </x:c>
      <x:c r="F2531" s="21" t="n">
        <x:v>641.8445121337177</x:v>
      </x:c>
      <x:c r="G2531" s="21" t="str">
        <x:f>""</x:f>
      </x:c>
      <x:c r="H2531" s="21" t="n">
        <x:f>F2533</x:f>
        <x:v>597.261916939202</x:v>
      </x:c>
      <x:c r="I2531" s="27" t="str">
        <x:f>IF(AND(ISNUMBER(G2531),ISNUMBER(H2531),H2531&gt;0),G2531/H2531-1,"")</x:f>
      </x:c>
      <x:c r="J2531" s="27" t="str">
        <x:f>IF(AND(ISNUMBER(G2531),F2531&gt;0),G2531/F2531-1,"")</x:f>
      </x:c>
      <x:c r="K2531" s="19" t="str">
        <x:v>Exp_9/EXP079/results/seed1005_Fixed_rank_3.json</x:v>
      </x:c>
    </x:row>
    <x:row r="2532" ht="15" hidden="0" customHeight="1">
      <x:c r="A2532" s="3" t="str">
        <x:v>EXP079</x:v>
      </x:c>
      <x:c r="B2532" s="3" t="str">
        <x:v>Exp. 9</x:v>
      </x:c>
      <x:c r="C2532" s="18" t="n">
        <x:v>1005</x:v>
      </x:c>
      <x:c r="D2532" s="3" t="str">
        <x:v>Fixed rank 5</x:v>
      </x:c>
      <x:c r="E2532" s="18" t="n">
        <x:v>200</x:v>
      </x:c>
      <x:c r="F2532" s="21" t="n">
        <x:v>609.4521495260402</x:v>
      </x:c>
      <x:c r="G2532" s="21" t="str">
        <x:f>""</x:f>
      </x:c>
      <x:c r="H2532" s="21" t="n">
        <x:f>F2533</x:f>
        <x:v>597.261916939202</x:v>
      </x:c>
      <x:c r="I2532" s="27" t="str">
        <x:f>IF(AND(ISNUMBER(G2532),ISNUMBER(H2532),H2532&gt;0),G2532/H2532-1,"")</x:f>
      </x:c>
      <x:c r="J2532" s="27" t="str">
        <x:f>IF(AND(ISNUMBER(G2532),F2532&gt;0),G2532/F2532-1,"")</x:f>
      </x:c>
      <x:c r="K2532" s="19" t="str">
        <x:v>Exp_9/EXP079/results/seed1005_Fixed_rank_5.json</x:v>
      </x:c>
    </x:row>
    <x:row r="2533" ht="15" hidden="0" customHeight="1">
      <x:c r="A2533" s="3" t="str">
        <x:v>EXP079</x:v>
      </x:c>
      <x:c r="B2533" s="3" t="str">
        <x:v>Exp. 9</x:v>
      </x:c>
      <x:c r="C2533" s="18" t="n">
        <x:v>1005</x:v>
      </x:c>
      <x:c r="D2533" s="3" t="str">
        <x:v>Full</x:v>
      </x:c>
      <x:c r="E2533" s="18" t="n">
        <x:v>200</x:v>
      </x:c>
      <x:c r="F2533" s="21" t="n">
        <x:v>597.261916939202</x:v>
      </x:c>
      <x:c r="G2533" s="21" t="str">
        <x:f>""</x:f>
      </x:c>
      <x:c r="H2533" s="21" t="n">
        <x:f>F2533</x:f>
        <x:v>597.261916939202</x:v>
      </x:c>
      <x:c r="I2533" s="27" t="str">
        <x:f>IF(AND(ISNUMBER(G2533),ISNUMBER(H2533),H2533&gt;0),G2533/H2533-1,"")</x:f>
      </x:c>
      <x:c r="J2533" s="27" t="str">
        <x:f>IF(AND(ISNUMBER(G2533),F2533&gt;0),G2533/F2533-1,"")</x:f>
      </x:c>
      <x:c r="K2533" s="19" t="str">
        <x:v>Exp_9/EXP079/results/seed1005_Full.json</x:v>
      </x:c>
    </x:row>
    <x:row r="2534" ht="15" hidden="0" customHeight="1">
      <x:c r="A2534" s="3" t="str">
        <x:v>EXP079</x:v>
      </x:c>
      <x:c r="B2534" s="3" t="str">
        <x:v>Exp. 9</x:v>
      </x:c>
      <x:c r="C2534" s="18" t="n">
        <x:v>1005</x:v>
      </x:c>
      <x:c r="D2534" s="3" t="str">
        <x:v>Relative cutoff 1e-2</x:v>
      </x:c>
      <x:c r="E2534" s="18" t="n">
        <x:v>200</x:v>
      </x:c>
      <x:c r="F2534" s="21" t="n">
        <x:v>640.6131246663471</x:v>
      </x:c>
      <x:c r="G2534" s="21" t="str">
        <x:f>""</x:f>
      </x:c>
      <x:c r="H2534" s="21" t="n">
        <x:f>F2533</x:f>
        <x:v>597.261916939202</x:v>
      </x:c>
      <x:c r="I2534" s="27" t="str">
        <x:f>IF(AND(ISNUMBER(G2534),ISNUMBER(H2534),H2534&gt;0),G2534/H2534-1,"")</x:f>
      </x:c>
      <x:c r="J2534" s="27" t="str">
        <x:f>IF(AND(ISNUMBER(G2534),F2534&gt;0),G2534/F2534-1,"")</x:f>
      </x:c>
      <x:c r="K2534" s="19" t="str">
        <x:v>Exp_9/EXP079/results/seed1005_Relative_cutoff_1e-2.json</x:v>
      </x:c>
    </x:row>
    <x:row r="2535" ht="15" hidden="0" customHeight="1">
      <x:c r="A2535" s="3" t="str">
        <x:v>EXP079</x:v>
      </x:c>
      <x:c r="B2535" s="3" t="str">
        <x:v>Exp. 9</x:v>
      </x:c>
      <x:c r="C2535" s="18" t="n">
        <x:v>1006</x:v>
      </x:c>
      <x:c r="D2535" s="3" t="str">
        <x:v>Fixed rank 10</x:v>
      </x:c>
      <x:c r="E2535" s="18" t="n">
        <x:v>200</x:v>
      </x:c>
      <x:c r="F2535" s="21" t="n">
        <x:v>386.79592510903154</x:v>
      </x:c>
      <x:c r="G2535" s="21" t="str">
        <x:f>""</x:f>
      </x:c>
      <x:c r="H2535" s="21" t="n">
        <x:f>F2538</x:f>
        <x:v>386.79592510903154</x:v>
      </x:c>
      <x:c r="I2535" s="27" t="str">
        <x:f>IF(AND(ISNUMBER(G2535),ISNUMBER(H2535),H2535&gt;0),G2535/H2535-1,"")</x:f>
      </x:c>
      <x:c r="J2535" s="27" t="str">
        <x:f>IF(AND(ISNUMBER(G2535),F2535&gt;0),G2535/F2535-1,"")</x:f>
      </x:c>
      <x:c r="K2535" s="19" t="str">
        <x:v>Exp_9/EXP079/results/seed1006_Fixed_rank_10.json</x:v>
      </x:c>
    </x:row>
    <x:row r="2536" ht="15" hidden="0" customHeight="1">
      <x:c r="A2536" s="3" t="str">
        <x:v>EXP079</x:v>
      </x:c>
      <x:c r="B2536" s="3" t="str">
        <x:v>Exp. 9</x:v>
      </x:c>
      <x:c r="C2536" s="18" t="n">
        <x:v>1006</x:v>
      </x:c>
      <x:c r="D2536" s="3" t="str">
        <x:v>Fixed rank 3</x:v>
      </x:c>
      <x:c r="E2536" s="18" t="n">
        <x:v>200</x:v>
      </x:c>
      <x:c r="F2536" s="21" t="n">
        <x:v>403.4886816966081</x:v>
      </x:c>
      <x:c r="G2536" s="21" t="str">
        <x:f>""</x:f>
      </x:c>
      <x:c r="H2536" s="21" t="n">
        <x:f>F2538</x:f>
        <x:v>386.79592510903154</x:v>
      </x:c>
      <x:c r="I2536" s="27" t="str">
        <x:f>IF(AND(ISNUMBER(G2536),ISNUMBER(H2536),H2536&gt;0),G2536/H2536-1,"")</x:f>
      </x:c>
      <x:c r="J2536" s="27" t="str">
        <x:f>IF(AND(ISNUMBER(G2536),F2536&gt;0),G2536/F2536-1,"")</x:f>
      </x:c>
      <x:c r="K2536" s="19" t="str">
        <x:v>Exp_9/EXP079/results/seed1006_Fixed_rank_3.json</x:v>
      </x:c>
    </x:row>
    <x:row r="2537" ht="15" hidden="0" customHeight="1">
      <x:c r="A2537" s="3" t="str">
        <x:v>EXP079</x:v>
      </x:c>
      <x:c r="B2537" s="3" t="str">
        <x:v>Exp. 9</x:v>
      </x:c>
      <x:c r="C2537" s="18" t="n">
        <x:v>1006</x:v>
      </x:c>
      <x:c r="D2537" s="3" t="str">
        <x:v>Fixed rank 5</x:v>
      </x:c>
      <x:c r="E2537" s="18" t="n">
        <x:v>200</x:v>
      </x:c>
      <x:c r="F2537" s="21" t="n">
        <x:v>386.79592510903154</x:v>
      </x:c>
      <x:c r="G2537" s="21" t="str">
        <x:f>""</x:f>
      </x:c>
      <x:c r="H2537" s="21" t="n">
        <x:f>F2538</x:f>
        <x:v>386.79592510903154</x:v>
      </x:c>
      <x:c r="I2537" s="27" t="str">
        <x:f>IF(AND(ISNUMBER(G2537),ISNUMBER(H2537),H2537&gt;0),G2537/H2537-1,"")</x:f>
      </x:c>
      <x:c r="J2537" s="27" t="str">
        <x:f>IF(AND(ISNUMBER(G2537),F2537&gt;0),G2537/F2537-1,"")</x:f>
      </x:c>
      <x:c r="K2537" s="19" t="str">
        <x:v>Exp_9/EXP079/results/seed1006_Fixed_rank_5.json</x:v>
      </x:c>
    </x:row>
    <x:row r="2538" ht="15" hidden="0" customHeight="1">
      <x:c r="A2538" s="3" t="str">
        <x:v>EXP079</x:v>
      </x:c>
      <x:c r="B2538" s="3" t="str">
        <x:v>Exp. 9</x:v>
      </x:c>
      <x:c r="C2538" s="18" t="n">
        <x:v>1006</x:v>
      </x:c>
      <x:c r="D2538" s="3" t="str">
        <x:v>Full</x:v>
      </x:c>
      <x:c r="E2538" s="18" t="n">
        <x:v>200</x:v>
      </x:c>
      <x:c r="F2538" s="21" t="n">
        <x:v>386.79592510903154</x:v>
      </x:c>
      <x:c r="G2538" s="21" t="str">
        <x:f>""</x:f>
      </x:c>
      <x:c r="H2538" s="21" t="n">
        <x:f>F2538</x:f>
        <x:v>386.79592510903154</x:v>
      </x:c>
      <x:c r="I2538" s="27" t="str">
        <x:f>IF(AND(ISNUMBER(G2538),ISNUMBER(H2538),H2538&gt;0),G2538/H2538-1,"")</x:f>
      </x:c>
      <x:c r="J2538" s="27" t="str">
        <x:f>IF(AND(ISNUMBER(G2538),F2538&gt;0),G2538/F2538-1,"")</x:f>
      </x:c>
      <x:c r="K2538" s="19" t="str">
        <x:v>Exp_9/EXP079/results/seed1006_Full.json</x:v>
      </x:c>
    </x:row>
    <x:row r="2539" ht="15" hidden="0" customHeight="1">
      <x:c r="A2539" s="3" t="str">
        <x:v>EXP079</x:v>
      </x:c>
      <x:c r="B2539" s="3" t="str">
        <x:v>Exp. 9</x:v>
      </x:c>
      <x:c r="C2539" s="18" t="n">
        <x:v>1006</x:v>
      </x:c>
      <x:c r="D2539" s="3" t="str">
        <x:v>Relative cutoff 1e-2</x:v>
      </x:c>
      <x:c r="E2539" s="18" t="n">
        <x:v>200</x:v>
      </x:c>
      <x:c r="F2539" s="21" t="n">
        <x:v>397.6412041845036</x:v>
      </x:c>
      <x:c r="G2539" s="21" t="str">
        <x:f>""</x:f>
      </x:c>
      <x:c r="H2539" s="21" t="n">
        <x:f>F2538</x:f>
        <x:v>386.79592510903154</x:v>
      </x:c>
      <x:c r="I2539" s="27" t="str">
        <x:f>IF(AND(ISNUMBER(G2539),ISNUMBER(H2539),H2539&gt;0),G2539/H2539-1,"")</x:f>
      </x:c>
      <x:c r="J2539" s="27" t="str">
        <x:f>IF(AND(ISNUMBER(G2539),F2539&gt;0),G2539/F2539-1,"")</x:f>
      </x:c>
      <x:c r="K2539" s="19" t="str">
        <x:v>Exp_9/EXP079/results/seed1006_Relative_cutoff_1e-2.json</x:v>
      </x:c>
    </x:row>
    <x:row r="2540" ht="15" hidden="0" customHeight="1">
      <x:c r="A2540" s="3" t="str">
        <x:v>EXP079</x:v>
      </x:c>
      <x:c r="B2540" s="3" t="str">
        <x:v>Exp. 9</x:v>
      </x:c>
      <x:c r="C2540" s="18" t="n">
        <x:v>1007</x:v>
      </x:c>
      <x:c r="D2540" s="3" t="str">
        <x:v>Fixed rank 10</x:v>
      </x:c>
      <x:c r="E2540" s="18" t="n">
        <x:v>200</x:v>
      </x:c>
      <x:c r="F2540" s="21" t="n">
        <x:v>440.9635305030618</x:v>
      </x:c>
      <x:c r="G2540" s="21" t="str">
        <x:f>""</x:f>
      </x:c>
      <x:c r="H2540" s="21" t="n">
        <x:f>F2543</x:f>
        <x:v>444.66973358447063</x:v>
      </x:c>
      <x:c r="I2540" s="27" t="str">
        <x:f>IF(AND(ISNUMBER(G2540),ISNUMBER(H2540),H2540&gt;0),G2540/H2540-1,"")</x:f>
      </x:c>
      <x:c r="J2540" s="27" t="str">
        <x:f>IF(AND(ISNUMBER(G2540),F2540&gt;0),G2540/F2540-1,"")</x:f>
      </x:c>
      <x:c r="K2540" s="19" t="str">
        <x:v>Exp_9/EXP079/results/seed1007_Fixed_rank_10.json</x:v>
      </x:c>
    </x:row>
    <x:row r="2541" ht="15" hidden="0" customHeight="1">
      <x:c r="A2541" s="3" t="str">
        <x:v>EXP079</x:v>
      </x:c>
      <x:c r="B2541" s="3" t="str">
        <x:v>Exp. 9</x:v>
      </x:c>
      <x:c r="C2541" s="18" t="n">
        <x:v>1007</x:v>
      </x:c>
      <x:c r="D2541" s="3" t="str">
        <x:v>Fixed rank 3</x:v>
      </x:c>
      <x:c r="E2541" s="18" t="n">
        <x:v>200</x:v>
      </x:c>
      <x:c r="F2541" s="21" t="n">
        <x:v>442.30902525649753</x:v>
      </x:c>
      <x:c r="G2541" s="21" t="str">
        <x:f>""</x:f>
      </x:c>
      <x:c r="H2541" s="21" t="n">
        <x:f>F2543</x:f>
        <x:v>444.66973358447063</x:v>
      </x:c>
      <x:c r="I2541" s="27" t="str">
        <x:f>IF(AND(ISNUMBER(G2541),ISNUMBER(H2541),H2541&gt;0),G2541/H2541-1,"")</x:f>
      </x:c>
      <x:c r="J2541" s="27" t="str">
        <x:f>IF(AND(ISNUMBER(G2541),F2541&gt;0),G2541/F2541-1,"")</x:f>
      </x:c>
      <x:c r="K2541" s="19" t="str">
        <x:v>Exp_9/EXP079/results/seed1007_Fixed_rank_3.json</x:v>
      </x:c>
    </x:row>
    <x:row r="2542" ht="15" hidden="0" customHeight="1">
      <x:c r="A2542" s="3" t="str">
        <x:v>EXP079</x:v>
      </x:c>
      <x:c r="B2542" s="3" t="str">
        <x:v>Exp. 9</x:v>
      </x:c>
      <x:c r="C2542" s="18" t="n">
        <x:v>1007</x:v>
      </x:c>
      <x:c r="D2542" s="3" t="str">
        <x:v>Fixed rank 5</x:v>
      </x:c>
      <x:c r="E2542" s="18" t="n">
        <x:v>200</x:v>
      </x:c>
      <x:c r="F2542" s="21" t="n">
        <x:v>451.4418081093719</x:v>
      </x:c>
      <x:c r="G2542" s="21" t="str">
        <x:f>""</x:f>
      </x:c>
      <x:c r="H2542" s="21" t="n">
        <x:f>F2543</x:f>
        <x:v>444.66973358447063</x:v>
      </x:c>
      <x:c r="I2542" s="27" t="str">
        <x:f>IF(AND(ISNUMBER(G2542),ISNUMBER(H2542),H2542&gt;0),G2542/H2542-1,"")</x:f>
      </x:c>
      <x:c r="J2542" s="27" t="str">
        <x:f>IF(AND(ISNUMBER(G2542),F2542&gt;0),G2542/F2542-1,"")</x:f>
      </x:c>
      <x:c r="K2542" s="19" t="str">
        <x:v>Exp_9/EXP079/results/seed1007_Fixed_rank_5.json</x:v>
      </x:c>
    </x:row>
    <x:row r="2543" ht="15" hidden="0" customHeight="1">
      <x:c r="A2543" s="3" t="str">
        <x:v>EXP079</x:v>
      </x:c>
      <x:c r="B2543" s="3" t="str">
        <x:v>Exp. 9</x:v>
      </x:c>
      <x:c r="C2543" s="18" t="n">
        <x:v>1007</x:v>
      </x:c>
      <x:c r="D2543" s="3" t="str">
        <x:v>Full</x:v>
      </x:c>
      <x:c r="E2543" s="18" t="n">
        <x:v>200</x:v>
      </x:c>
      <x:c r="F2543" s="21" t="n">
        <x:v>444.66973358447063</x:v>
      </x:c>
      <x:c r="G2543" s="21" t="str">
        <x:f>""</x:f>
      </x:c>
      <x:c r="H2543" s="21" t="n">
        <x:f>F2543</x:f>
        <x:v>444.66973358447063</x:v>
      </x:c>
      <x:c r="I2543" s="27" t="str">
        <x:f>IF(AND(ISNUMBER(G2543),ISNUMBER(H2543),H2543&gt;0),G2543/H2543-1,"")</x:f>
      </x:c>
      <x:c r="J2543" s="27" t="str">
        <x:f>IF(AND(ISNUMBER(G2543),F2543&gt;0),G2543/F2543-1,"")</x:f>
      </x:c>
      <x:c r="K2543" s="19" t="str">
        <x:v>Exp_9/EXP079/results/seed1007_Full.json</x:v>
      </x:c>
    </x:row>
    <x:row r="2544" ht="15" hidden="0" customHeight="1">
      <x:c r="A2544" s="3" t="str">
        <x:v>EXP079</x:v>
      </x:c>
      <x:c r="B2544" s="3" t="str">
        <x:v>Exp. 9</x:v>
      </x:c>
      <x:c r="C2544" s="18" t="n">
        <x:v>1007</x:v>
      </x:c>
      <x:c r="D2544" s="3" t="str">
        <x:v>Relative cutoff 1e-2</x:v>
      </x:c>
      <x:c r="E2544" s="18" t="n">
        <x:v>200</x:v>
      </x:c>
      <x:c r="F2544" s="21" t="n">
        <x:v>434.876376876204</x:v>
      </x:c>
      <x:c r="G2544" s="21" t="str">
        <x:f>""</x:f>
      </x:c>
      <x:c r="H2544" s="21" t="n">
        <x:f>F2543</x:f>
        <x:v>444.66973358447063</x:v>
      </x:c>
      <x:c r="I2544" s="27" t="str">
        <x:f>IF(AND(ISNUMBER(G2544),ISNUMBER(H2544),H2544&gt;0),G2544/H2544-1,"")</x:f>
      </x:c>
      <x:c r="J2544" s="27" t="str">
        <x:f>IF(AND(ISNUMBER(G2544),F2544&gt;0),G2544/F2544-1,"")</x:f>
      </x:c>
      <x:c r="K2544" s="19" t="str">
        <x:v>Exp_9/EXP079/results/seed1007_Relative_cutoff_1e-2.json</x:v>
      </x:c>
    </x:row>
    <x:row r="2545" ht="15" hidden="0" customHeight="1">
      <x:c r="A2545" s="3" t="str">
        <x:v>EXP079</x:v>
      </x:c>
      <x:c r="B2545" s="3" t="str">
        <x:v>Exp. 9</x:v>
      </x:c>
      <x:c r="C2545" s="18" t="n">
        <x:v>1008</x:v>
      </x:c>
      <x:c r="D2545" s="3" t="str">
        <x:v>Fixed rank 10</x:v>
      </x:c>
      <x:c r="E2545" s="18" t="n">
        <x:v>200</x:v>
      </x:c>
      <x:c r="F2545" s="21" t="n">
        <x:v>436.8649623868168</x:v>
      </x:c>
      <x:c r="G2545" s="21" t="str">
        <x:f>""</x:f>
      </x:c>
      <x:c r="H2545" s="21" t="n">
        <x:f>F2548</x:f>
        <x:v>438.7518194711084</x:v>
      </x:c>
      <x:c r="I2545" s="27" t="str">
        <x:f>IF(AND(ISNUMBER(G2545),ISNUMBER(H2545),H2545&gt;0),G2545/H2545-1,"")</x:f>
      </x:c>
      <x:c r="J2545" s="27" t="str">
        <x:f>IF(AND(ISNUMBER(G2545),F2545&gt;0),G2545/F2545-1,"")</x:f>
      </x:c>
      <x:c r="K2545" s="19" t="str">
        <x:v>Exp_9/EXP079/results/seed1008_Fixed_rank_10.json</x:v>
      </x:c>
    </x:row>
    <x:row r="2546" ht="15" hidden="0" customHeight="1">
      <x:c r="A2546" s="3" t="str">
        <x:v>EXP079</x:v>
      </x:c>
      <x:c r="B2546" s="3" t="str">
        <x:v>Exp. 9</x:v>
      </x:c>
      <x:c r="C2546" s="18" t="n">
        <x:v>1008</x:v>
      </x:c>
      <x:c r="D2546" s="3" t="str">
        <x:v>Fixed rank 3</x:v>
      </x:c>
      <x:c r="E2546" s="18" t="n">
        <x:v>200</x:v>
      </x:c>
      <x:c r="F2546" s="21" t="n">
        <x:v>436.4484236456142</x:v>
      </x:c>
      <x:c r="G2546" s="21" t="str">
        <x:f>""</x:f>
      </x:c>
      <x:c r="H2546" s="21" t="n">
        <x:f>F2548</x:f>
        <x:v>438.7518194711084</x:v>
      </x:c>
      <x:c r="I2546" s="27" t="str">
        <x:f>IF(AND(ISNUMBER(G2546),ISNUMBER(H2546),H2546&gt;0),G2546/H2546-1,"")</x:f>
      </x:c>
      <x:c r="J2546" s="27" t="str">
        <x:f>IF(AND(ISNUMBER(G2546),F2546&gt;0),G2546/F2546-1,"")</x:f>
      </x:c>
      <x:c r="K2546" s="19" t="str">
        <x:v>Exp_9/EXP079/results/seed1008_Fixed_rank_3.json</x:v>
      </x:c>
    </x:row>
    <x:row r="2547" ht="15" hidden="0" customHeight="1">
      <x:c r="A2547" s="3" t="str">
        <x:v>EXP079</x:v>
      </x:c>
      <x:c r="B2547" s="3" t="str">
        <x:v>Exp. 9</x:v>
      </x:c>
      <x:c r="C2547" s="18" t="n">
        <x:v>1008</x:v>
      </x:c>
      <x:c r="D2547" s="3" t="str">
        <x:v>Fixed rank 5</x:v>
      </x:c>
      <x:c r="E2547" s="18" t="n">
        <x:v>200</x:v>
      </x:c>
      <x:c r="F2547" s="21" t="n">
        <x:v>431.2330264868334</x:v>
      </x:c>
      <x:c r="G2547" s="21" t="str">
        <x:f>""</x:f>
      </x:c>
      <x:c r="H2547" s="21" t="n">
        <x:f>F2548</x:f>
        <x:v>438.7518194711084</x:v>
      </x:c>
      <x:c r="I2547" s="27" t="str">
        <x:f>IF(AND(ISNUMBER(G2547),ISNUMBER(H2547),H2547&gt;0),G2547/H2547-1,"")</x:f>
      </x:c>
      <x:c r="J2547" s="27" t="str">
        <x:f>IF(AND(ISNUMBER(G2547),F2547&gt;0),G2547/F2547-1,"")</x:f>
      </x:c>
      <x:c r="K2547" s="19" t="str">
        <x:v>Exp_9/EXP079/results/seed1008_Fixed_rank_5.json</x:v>
      </x:c>
    </x:row>
    <x:row r="2548" ht="15" hidden="0" customHeight="1">
      <x:c r="A2548" s="3" t="str">
        <x:v>EXP079</x:v>
      </x:c>
      <x:c r="B2548" s="3" t="str">
        <x:v>Exp. 9</x:v>
      </x:c>
      <x:c r="C2548" s="18" t="n">
        <x:v>1008</x:v>
      </x:c>
      <x:c r="D2548" s="3" t="str">
        <x:v>Full</x:v>
      </x:c>
      <x:c r="E2548" s="18" t="n">
        <x:v>200</x:v>
      </x:c>
      <x:c r="F2548" s="21" t="n">
        <x:v>438.7518194711084</x:v>
      </x:c>
      <x:c r="G2548" s="21" t="str">
        <x:f>""</x:f>
      </x:c>
      <x:c r="H2548" s="21" t="n">
        <x:f>F2548</x:f>
        <x:v>438.7518194711084</x:v>
      </x:c>
      <x:c r="I2548" s="27" t="str">
        <x:f>IF(AND(ISNUMBER(G2548),ISNUMBER(H2548),H2548&gt;0),G2548/H2548-1,"")</x:f>
      </x:c>
      <x:c r="J2548" s="27" t="str">
        <x:f>IF(AND(ISNUMBER(G2548),F2548&gt;0),G2548/F2548-1,"")</x:f>
      </x:c>
      <x:c r="K2548" s="19" t="str">
        <x:v>Exp_9/EXP079/results/seed1008_Full.json</x:v>
      </x:c>
    </x:row>
    <x:row r="2549" ht="15" hidden="0" customHeight="1">
      <x:c r="A2549" s="3" t="str">
        <x:v>EXP079</x:v>
      </x:c>
      <x:c r="B2549" s="3" t="str">
        <x:v>Exp. 9</x:v>
      </x:c>
      <x:c r="C2549" s="18" t="n">
        <x:v>1008</x:v>
      </x:c>
      <x:c r="D2549" s="3" t="str">
        <x:v>Relative cutoff 1e-2</x:v>
      </x:c>
      <x:c r="E2549" s="18" t="n">
        <x:v>200</x:v>
      </x:c>
      <x:c r="F2549" s="21" t="n">
        <x:v>443.4082521549999</x:v>
      </x:c>
      <x:c r="G2549" s="21" t="str">
        <x:f>""</x:f>
      </x:c>
      <x:c r="H2549" s="21" t="n">
        <x:f>F2548</x:f>
        <x:v>438.7518194711084</x:v>
      </x:c>
      <x:c r="I2549" s="27" t="str">
        <x:f>IF(AND(ISNUMBER(G2549),ISNUMBER(H2549),H2549&gt;0),G2549/H2549-1,"")</x:f>
      </x:c>
      <x:c r="J2549" s="27" t="str">
        <x:f>IF(AND(ISNUMBER(G2549),F2549&gt;0),G2549/F2549-1,"")</x:f>
      </x:c>
      <x:c r="K2549" s="19" t="str">
        <x:v>Exp_9/EXP079/results/seed1008_Relative_cutoff_1e-2.json</x:v>
      </x:c>
    </x:row>
    <x:row r="2550" ht="15" hidden="0" customHeight="1">
      <x:c r="A2550" s="3" t="str">
        <x:v>EXP079</x:v>
      </x:c>
      <x:c r="B2550" s="3" t="str">
        <x:v>Exp. 9</x:v>
      </x:c>
      <x:c r="C2550" s="18" t="n">
        <x:v>1009</x:v>
      </x:c>
      <x:c r="D2550" s="3" t="str">
        <x:v>Fixed rank 10</x:v>
      </x:c>
      <x:c r="E2550" s="18" t="n">
        <x:v>200</x:v>
      </x:c>
      <x:c r="F2550" s="21" t="n">
        <x:v>463.4856013394157</x:v>
      </x:c>
      <x:c r="G2550" s="21" t="str">
        <x:f>""</x:f>
      </x:c>
      <x:c r="H2550" s="21" t="n">
        <x:f>F2553</x:f>
        <x:v>463.4856013394157</x:v>
      </x:c>
      <x:c r="I2550" s="27" t="str">
        <x:f>IF(AND(ISNUMBER(G2550),ISNUMBER(H2550),H2550&gt;0),G2550/H2550-1,"")</x:f>
      </x:c>
      <x:c r="J2550" s="27" t="str">
        <x:f>IF(AND(ISNUMBER(G2550),F2550&gt;0),G2550/F2550-1,"")</x:f>
      </x:c>
      <x:c r="K2550" s="19" t="str">
        <x:v>Exp_9/EXP079/results/seed1009_Fixed_rank_10.json</x:v>
      </x:c>
    </x:row>
    <x:row r="2551" ht="15" hidden="0" customHeight="1">
      <x:c r="A2551" s="3" t="str">
        <x:v>EXP079</x:v>
      </x:c>
      <x:c r="B2551" s="3" t="str">
        <x:v>Exp. 9</x:v>
      </x:c>
      <x:c r="C2551" s="18" t="n">
        <x:v>1009</x:v>
      </x:c>
      <x:c r="D2551" s="3" t="str">
        <x:v>Fixed rank 3</x:v>
      </x:c>
      <x:c r="E2551" s="18" t="n">
        <x:v>200</x:v>
      </x:c>
      <x:c r="F2551" s="21" t="n">
        <x:v>463.04556419464893</x:v>
      </x:c>
      <x:c r="G2551" s="21" t="str">
        <x:f>""</x:f>
      </x:c>
      <x:c r="H2551" s="21" t="n">
        <x:f>F2553</x:f>
        <x:v>463.4856013394157</x:v>
      </x:c>
      <x:c r="I2551" s="27" t="str">
        <x:f>IF(AND(ISNUMBER(G2551),ISNUMBER(H2551),H2551&gt;0),G2551/H2551-1,"")</x:f>
      </x:c>
      <x:c r="J2551" s="27" t="str">
        <x:f>IF(AND(ISNUMBER(G2551),F2551&gt;0),G2551/F2551-1,"")</x:f>
      </x:c>
      <x:c r="K2551" s="19" t="str">
        <x:v>Exp_9/EXP079/results/seed1009_Fixed_rank_3.json</x:v>
      </x:c>
    </x:row>
    <x:row r="2552" ht="15" hidden="0" customHeight="1">
      <x:c r="A2552" s="3" t="str">
        <x:v>EXP079</x:v>
      </x:c>
      <x:c r="B2552" s="3" t="str">
        <x:v>Exp. 9</x:v>
      </x:c>
      <x:c r="C2552" s="18" t="n">
        <x:v>1009</x:v>
      </x:c>
      <x:c r="D2552" s="3" t="str">
        <x:v>Fixed rank 5</x:v>
      </x:c>
      <x:c r="E2552" s="18" t="n">
        <x:v>200</x:v>
      </x:c>
      <x:c r="F2552" s="21" t="n">
        <x:v>435.8269996065759</x:v>
      </x:c>
      <x:c r="G2552" s="21" t="str">
        <x:f>""</x:f>
      </x:c>
      <x:c r="H2552" s="21" t="n">
        <x:f>F2553</x:f>
        <x:v>463.4856013394157</x:v>
      </x:c>
      <x:c r="I2552" s="27" t="str">
        <x:f>IF(AND(ISNUMBER(G2552),ISNUMBER(H2552),H2552&gt;0),G2552/H2552-1,"")</x:f>
      </x:c>
      <x:c r="J2552" s="27" t="str">
        <x:f>IF(AND(ISNUMBER(G2552),F2552&gt;0),G2552/F2552-1,"")</x:f>
      </x:c>
      <x:c r="K2552" s="19" t="str">
        <x:v>Exp_9/EXP079/results/seed1009_Fixed_rank_5.json</x:v>
      </x:c>
    </x:row>
    <x:row r="2553" ht="15" hidden="0" customHeight="1">
      <x:c r="A2553" s="3" t="str">
        <x:v>EXP079</x:v>
      </x:c>
      <x:c r="B2553" s="3" t="str">
        <x:v>Exp. 9</x:v>
      </x:c>
      <x:c r="C2553" s="18" t="n">
        <x:v>1009</x:v>
      </x:c>
      <x:c r="D2553" s="3" t="str">
        <x:v>Full</x:v>
      </x:c>
      <x:c r="E2553" s="18" t="n">
        <x:v>200</x:v>
      </x:c>
      <x:c r="F2553" s="21" t="n">
        <x:v>463.4856013394157</x:v>
      </x:c>
      <x:c r="G2553" s="21" t="str">
        <x:f>""</x:f>
      </x:c>
      <x:c r="H2553" s="21" t="n">
        <x:f>F2553</x:f>
        <x:v>463.4856013394157</x:v>
      </x:c>
      <x:c r="I2553" s="27" t="str">
        <x:f>IF(AND(ISNUMBER(G2553),ISNUMBER(H2553),H2553&gt;0),G2553/H2553-1,"")</x:f>
      </x:c>
      <x:c r="J2553" s="27" t="str">
        <x:f>IF(AND(ISNUMBER(G2553),F2553&gt;0),G2553/F2553-1,"")</x:f>
      </x:c>
      <x:c r="K2553" s="19" t="str">
        <x:v>Exp_9/EXP079/results/seed1009_Full.json</x:v>
      </x:c>
    </x:row>
    <x:row r="2554" ht="15" hidden="0" customHeight="1">
      <x:c r="A2554" s="3" t="str">
        <x:v>EXP079</x:v>
      </x:c>
      <x:c r="B2554" s="3" t="str">
        <x:v>Exp. 9</x:v>
      </x:c>
      <x:c r="C2554" s="18" t="n">
        <x:v>1009</x:v>
      </x:c>
      <x:c r="D2554" s="3" t="str">
        <x:v>Relative cutoff 1e-2</x:v>
      </x:c>
      <x:c r="E2554" s="18" t="n">
        <x:v>200</x:v>
      </x:c>
      <x:c r="F2554" s="21" t="n">
        <x:v>457.2662416107104</x:v>
      </x:c>
      <x:c r="G2554" s="21" t="str">
        <x:f>""</x:f>
      </x:c>
      <x:c r="H2554" s="21" t="n">
        <x:f>F2553</x:f>
        <x:v>463.4856013394157</x:v>
      </x:c>
      <x:c r="I2554" s="27" t="str">
        <x:f>IF(AND(ISNUMBER(G2554),ISNUMBER(H2554),H2554&gt;0),G2554/H2554-1,"")</x:f>
      </x:c>
      <x:c r="J2554" s="27" t="str">
        <x:f>IF(AND(ISNUMBER(G2554),F2554&gt;0),G2554/F2554-1,"")</x:f>
      </x:c>
      <x:c r="K2554" s="19" t="str">
        <x:v>Exp_9/EXP079/results/seed1009_Relative_cutoff_1e-2.json</x:v>
      </x:c>
    </x:row>
    <x:row r="2555" ht="15" hidden="0" customHeight="1">
      <x:c r="A2555" s="3" t="str">
        <x:v>EXP079</x:v>
      </x:c>
      <x:c r="B2555" s="3" t="str">
        <x:v>Exp. 9</x:v>
      </x:c>
      <x:c r="C2555" s="18" t="n">
        <x:v>1010</x:v>
      </x:c>
      <x:c r="D2555" s="3" t="str">
        <x:v>Fixed rank 10</x:v>
      </x:c>
      <x:c r="E2555" s="18" t="n">
        <x:v>200</x:v>
      </x:c>
      <x:c r="F2555" s="21" t="n">
        <x:v>454.68216695127296</x:v>
      </x:c>
      <x:c r="G2555" s="21" t="str">
        <x:f>""</x:f>
      </x:c>
      <x:c r="H2555" s="21" t="n">
        <x:f>F2558</x:f>
        <x:v>453.61620760208876</x:v>
      </x:c>
      <x:c r="I2555" s="27" t="str">
        <x:f>IF(AND(ISNUMBER(G2555),ISNUMBER(H2555),H2555&gt;0),G2555/H2555-1,"")</x:f>
      </x:c>
      <x:c r="J2555" s="27" t="str">
        <x:f>IF(AND(ISNUMBER(G2555),F2555&gt;0),G2555/F2555-1,"")</x:f>
      </x:c>
      <x:c r="K2555" s="19" t="str">
        <x:v>Exp_9/EXP079/results/seed1010_Fixed_rank_10.json</x:v>
      </x:c>
    </x:row>
    <x:row r="2556" ht="15" hidden="0" customHeight="1">
      <x:c r="A2556" s="3" t="str">
        <x:v>EXP079</x:v>
      </x:c>
      <x:c r="B2556" s="3" t="str">
        <x:v>Exp. 9</x:v>
      </x:c>
      <x:c r="C2556" s="18" t="n">
        <x:v>1010</x:v>
      </x:c>
      <x:c r="D2556" s="3" t="str">
        <x:v>Fixed rank 3</x:v>
      </x:c>
      <x:c r="E2556" s="18" t="n">
        <x:v>200</x:v>
      </x:c>
      <x:c r="F2556" s="21" t="n">
        <x:v>435.8710095638471</x:v>
      </x:c>
      <x:c r="G2556" s="21" t="str">
        <x:f>""</x:f>
      </x:c>
      <x:c r="H2556" s="21" t="n">
        <x:f>F2558</x:f>
        <x:v>453.61620760208876</x:v>
      </x:c>
      <x:c r="I2556" s="27" t="str">
        <x:f>IF(AND(ISNUMBER(G2556),ISNUMBER(H2556),H2556&gt;0),G2556/H2556-1,"")</x:f>
      </x:c>
      <x:c r="J2556" s="27" t="str">
        <x:f>IF(AND(ISNUMBER(G2556),F2556&gt;0),G2556/F2556-1,"")</x:f>
      </x:c>
      <x:c r="K2556" s="19" t="str">
        <x:v>Exp_9/EXP079/results/seed1010_Fixed_rank_3.json</x:v>
      </x:c>
    </x:row>
    <x:row r="2557" ht="15" hidden="0" customHeight="1">
      <x:c r="A2557" s="3" t="str">
        <x:v>EXP079</x:v>
      </x:c>
      <x:c r="B2557" s="3" t="str">
        <x:v>Exp. 9</x:v>
      </x:c>
      <x:c r="C2557" s="18" t="n">
        <x:v>1010</x:v>
      </x:c>
      <x:c r="D2557" s="3" t="str">
        <x:v>Fixed rank 5</x:v>
      </x:c>
      <x:c r="E2557" s="18" t="n">
        <x:v>200</x:v>
      </x:c>
      <x:c r="F2557" s="21" t="n">
        <x:v>454.68216695127296</x:v>
      </x:c>
      <x:c r="G2557" s="21" t="str">
        <x:f>""</x:f>
      </x:c>
      <x:c r="H2557" s="21" t="n">
        <x:f>F2558</x:f>
        <x:v>453.61620760208876</x:v>
      </x:c>
      <x:c r="I2557" s="27" t="str">
        <x:f>IF(AND(ISNUMBER(G2557),ISNUMBER(H2557),H2557&gt;0),G2557/H2557-1,"")</x:f>
      </x:c>
      <x:c r="J2557" s="27" t="str">
        <x:f>IF(AND(ISNUMBER(G2557),F2557&gt;0),G2557/F2557-1,"")</x:f>
      </x:c>
      <x:c r="K2557" s="19" t="str">
        <x:v>Exp_9/EXP079/results/seed1010_Fixed_rank_5.json</x:v>
      </x:c>
    </x:row>
    <x:row r="2558" ht="15" hidden="0" customHeight="1">
      <x:c r="A2558" s="3" t="str">
        <x:v>EXP079</x:v>
      </x:c>
      <x:c r="B2558" s="3" t="str">
        <x:v>Exp. 9</x:v>
      </x:c>
      <x:c r="C2558" s="18" t="n">
        <x:v>1010</x:v>
      </x:c>
      <x:c r="D2558" s="3" t="str">
        <x:v>Full</x:v>
      </x:c>
      <x:c r="E2558" s="18" t="n">
        <x:v>200</x:v>
      </x:c>
      <x:c r="F2558" s="21" t="n">
        <x:v>453.61620760208876</x:v>
      </x:c>
      <x:c r="G2558" s="21" t="str">
        <x:f>""</x:f>
      </x:c>
      <x:c r="H2558" s="21" t="n">
        <x:f>F2558</x:f>
        <x:v>453.61620760208876</x:v>
      </x:c>
      <x:c r="I2558" s="27" t="str">
        <x:f>IF(AND(ISNUMBER(G2558),ISNUMBER(H2558),H2558&gt;0),G2558/H2558-1,"")</x:f>
      </x:c>
      <x:c r="J2558" s="27" t="str">
        <x:f>IF(AND(ISNUMBER(G2558),F2558&gt;0),G2558/F2558-1,"")</x:f>
      </x:c>
      <x:c r="K2558" s="19" t="str">
        <x:v>Exp_9/EXP079/results/seed1010_Full.json</x:v>
      </x:c>
    </x:row>
    <x:row r="2559" ht="15" hidden="0" customHeight="1">
      <x:c r="A2559" s="3" t="str">
        <x:v>EXP079</x:v>
      </x:c>
      <x:c r="B2559" s="3" t="str">
        <x:v>Exp. 9</x:v>
      </x:c>
      <x:c r="C2559" s="18" t="n">
        <x:v>1010</x:v>
      </x:c>
      <x:c r="D2559" s="3" t="str">
        <x:v>Relative cutoff 1e-2</x:v>
      </x:c>
      <x:c r="E2559" s="18" t="n">
        <x:v>200</x:v>
      </x:c>
      <x:c r="F2559" s="21" t="n">
        <x:v>435.8710095638471</x:v>
      </x:c>
      <x:c r="G2559" s="21" t="str">
        <x:f>""</x:f>
      </x:c>
      <x:c r="H2559" s="21" t="n">
        <x:f>F2558</x:f>
        <x:v>453.61620760208876</x:v>
      </x:c>
      <x:c r="I2559" s="27" t="str">
        <x:f>IF(AND(ISNUMBER(G2559),ISNUMBER(H2559),H2559&gt;0),G2559/H2559-1,"")</x:f>
      </x:c>
      <x:c r="J2559" s="27" t="str">
        <x:f>IF(AND(ISNUMBER(G2559),F2559&gt;0),G2559/F2559-1,"")</x:f>
      </x:c>
      <x:c r="K2559" s="19" t="str">
        <x:v>Exp_9/EXP079/results/seed1010_Relative_cutoff_1e-2.json</x:v>
      </x:c>
    </x:row>
    <x:row r="2560" ht="15" hidden="0" customHeight="1">
      <x:c r="A2560" s="3" t="str">
        <x:v>EXP079</x:v>
      </x:c>
      <x:c r="B2560" s="3" t="str">
        <x:v>Exp. 9</x:v>
      </x:c>
      <x:c r="C2560" s="18" t="n">
        <x:v>1011</x:v>
      </x:c>
      <x:c r="D2560" s="3" t="str">
        <x:v>Fixed rank 10</x:v>
      </x:c>
      <x:c r="E2560" s="18" t="n">
        <x:v>200</x:v>
      </x:c>
      <x:c r="F2560" s="21" t="n">
        <x:v>503.2177092106686</x:v>
      </x:c>
      <x:c r="G2560" s="21" t="str">
        <x:f>""</x:f>
      </x:c>
      <x:c r="H2560" s="21" t="n">
        <x:f>F2563</x:f>
        <x:v>497.9312967091306</x:v>
      </x:c>
      <x:c r="I2560" s="27" t="str">
        <x:f>IF(AND(ISNUMBER(G2560),ISNUMBER(H2560),H2560&gt;0),G2560/H2560-1,"")</x:f>
      </x:c>
      <x:c r="J2560" s="27" t="str">
        <x:f>IF(AND(ISNUMBER(G2560),F2560&gt;0),G2560/F2560-1,"")</x:f>
      </x:c>
      <x:c r="K2560" s="19" t="str">
        <x:v>Exp_9/EXP079/results/seed1011_Fixed_rank_10.json</x:v>
      </x:c>
    </x:row>
    <x:row r="2561" ht="15" hidden="0" customHeight="1">
      <x:c r="A2561" s="3" t="str">
        <x:v>EXP079</x:v>
      </x:c>
      <x:c r="B2561" s="3" t="str">
        <x:v>Exp. 9</x:v>
      </x:c>
      <x:c r="C2561" s="18" t="n">
        <x:v>1011</x:v>
      </x:c>
      <x:c r="D2561" s="3" t="str">
        <x:v>Fixed rank 3</x:v>
      </x:c>
      <x:c r="E2561" s="18" t="n">
        <x:v>200</x:v>
      </x:c>
      <x:c r="F2561" s="21" t="n">
        <x:v>510.34997466660735</x:v>
      </x:c>
      <x:c r="G2561" s="21" t="str">
        <x:f>""</x:f>
      </x:c>
      <x:c r="H2561" s="21" t="n">
        <x:f>F2563</x:f>
        <x:v>497.9312967091306</x:v>
      </x:c>
      <x:c r="I2561" s="27" t="str">
        <x:f>IF(AND(ISNUMBER(G2561),ISNUMBER(H2561),H2561&gt;0),G2561/H2561-1,"")</x:f>
      </x:c>
      <x:c r="J2561" s="27" t="str">
        <x:f>IF(AND(ISNUMBER(G2561),F2561&gt;0),G2561/F2561-1,"")</x:f>
      </x:c>
      <x:c r="K2561" s="19" t="str">
        <x:v>Exp_9/EXP079/results/seed1011_Fixed_rank_3.json</x:v>
      </x:c>
    </x:row>
    <x:row r="2562" ht="15" hidden="0" customHeight="1">
      <x:c r="A2562" s="3" t="str">
        <x:v>EXP079</x:v>
      </x:c>
      <x:c r="B2562" s="3" t="str">
        <x:v>Exp. 9</x:v>
      </x:c>
      <x:c r="C2562" s="18" t="n">
        <x:v>1011</x:v>
      </x:c>
      <x:c r="D2562" s="3" t="str">
        <x:v>Fixed rank 5</x:v>
      </x:c>
      <x:c r="E2562" s="18" t="n">
        <x:v>200</x:v>
      </x:c>
      <x:c r="F2562" s="21" t="n">
        <x:v>498.8829132278531</x:v>
      </x:c>
      <x:c r="G2562" s="21" t="str">
        <x:f>""</x:f>
      </x:c>
      <x:c r="H2562" s="21" t="n">
        <x:f>F2563</x:f>
        <x:v>497.9312967091306</x:v>
      </x:c>
      <x:c r="I2562" s="27" t="str">
        <x:f>IF(AND(ISNUMBER(G2562),ISNUMBER(H2562),H2562&gt;0),G2562/H2562-1,"")</x:f>
      </x:c>
      <x:c r="J2562" s="27" t="str">
        <x:f>IF(AND(ISNUMBER(G2562),F2562&gt;0),G2562/F2562-1,"")</x:f>
      </x:c>
      <x:c r="K2562" s="19" t="str">
        <x:v>Exp_9/EXP079/results/seed1011_Fixed_rank_5.json</x:v>
      </x:c>
    </x:row>
    <x:row r="2563" ht="15" hidden="0" customHeight="1">
      <x:c r="A2563" s="3" t="str">
        <x:v>EXP079</x:v>
      </x:c>
      <x:c r="B2563" s="3" t="str">
        <x:v>Exp. 9</x:v>
      </x:c>
      <x:c r="C2563" s="18" t="n">
        <x:v>1011</x:v>
      </x:c>
      <x:c r="D2563" s="3" t="str">
        <x:v>Full</x:v>
      </x:c>
      <x:c r="E2563" s="18" t="n">
        <x:v>200</x:v>
      </x:c>
      <x:c r="F2563" s="21" t="n">
        <x:v>497.9312967091306</x:v>
      </x:c>
      <x:c r="G2563" s="21" t="str">
        <x:f>""</x:f>
      </x:c>
      <x:c r="H2563" s="21" t="n">
        <x:f>F2563</x:f>
        <x:v>497.9312967091306</x:v>
      </x:c>
      <x:c r="I2563" s="27" t="str">
        <x:f>IF(AND(ISNUMBER(G2563),ISNUMBER(H2563),H2563&gt;0),G2563/H2563-1,"")</x:f>
      </x:c>
      <x:c r="J2563" s="27" t="str">
        <x:f>IF(AND(ISNUMBER(G2563),F2563&gt;0),G2563/F2563-1,"")</x:f>
      </x:c>
      <x:c r="K2563" s="19" t="str">
        <x:v>Exp_9/EXP079/results/seed1011_Full.json</x:v>
      </x:c>
    </x:row>
    <x:row r="2564" ht="15" hidden="0" customHeight="1">
      <x:c r="A2564" s="3" t="str">
        <x:v>EXP079</x:v>
      </x:c>
      <x:c r="B2564" s="3" t="str">
        <x:v>Exp. 9</x:v>
      </x:c>
      <x:c r="C2564" s="18" t="n">
        <x:v>1011</x:v>
      </x:c>
      <x:c r="D2564" s="3" t="str">
        <x:v>Relative cutoff 1e-2</x:v>
      </x:c>
      <x:c r="E2564" s="18" t="n">
        <x:v>200</x:v>
      </x:c>
      <x:c r="F2564" s="21" t="n">
        <x:v>515.3814688708765</x:v>
      </x:c>
      <x:c r="G2564" s="21" t="str">
        <x:f>""</x:f>
      </x:c>
      <x:c r="H2564" s="21" t="n">
        <x:f>F2563</x:f>
        <x:v>497.9312967091306</x:v>
      </x:c>
      <x:c r="I2564" s="27" t="str">
        <x:f>IF(AND(ISNUMBER(G2564),ISNUMBER(H2564),H2564&gt;0),G2564/H2564-1,"")</x:f>
      </x:c>
      <x:c r="J2564" s="27" t="str">
        <x:f>IF(AND(ISNUMBER(G2564),F2564&gt;0),G2564/F2564-1,"")</x:f>
      </x:c>
      <x:c r="K2564" s="19" t="str">
        <x:v>Exp_9/EXP079/results/seed1011_Relative_cutoff_1e-2.json</x:v>
      </x:c>
    </x:row>
    <x:row r="2565" ht="15" hidden="0" customHeight="1">
      <x:c r="A2565" s="3" t="str">
        <x:v>EXP079</x:v>
      </x:c>
      <x:c r="B2565" s="3" t="str">
        <x:v>Exp. 9</x:v>
      </x:c>
      <x:c r="C2565" s="18" t="n">
        <x:v>1012</x:v>
      </x:c>
      <x:c r="D2565" s="3" t="str">
        <x:v>Fixed rank 10</x:v>
      </x:c>
      <x:c r="E2565" s="18" t="n">
        <x:v>200</x:v>
      </x:c>
      <x:c r="F2565" s="21" t="n">
        <x:v>427.3314808514826</x:v>
      </x:c>
      <x:c r="G2565" s="21" t="str">
        <x:f>""</x:f>
      </x:c>
      <x:c r="H2565" s="21" t="n">
        <x:f>F2568</x:f>
        <x:v>440.240391369029</x:v>
      </x:c>
      <x:c r="I2565" s="27" t="str">
        <x:f>IF(AND(ISNUMBER(G2565),ISNUMBER(H2565),H2565&gt;0),G2565/H2565-1,"")</x:f>
      </x:c>
      <x:c r="J2565" s="27" t="str">
        <x:f>IF(AND(ISNUMBER(G2565),F2565&gt;0),G2565/F2565-1,"")</x:f>
      </x:c>
      <x:c r="K2565" s="19" t="str">
        <x:v>Exp_9/EXP079/results/seed1012_Fixed_rank_10.json</x:v>
      </x:c>
    </x:row>
    <x:row r="2566" ht="15" hidden="0" customHeight="1">
      <x:c r="A2566" s="3" t="str">
        <x:v>EXP079</x:v>
      </x:c>
      <x:c r="B2566" s="3" t="str">
        <x:v>Exp. 9</x:v>
      </x:c>
      <x:c r="C2566" s="18" t="n">
        <x:v>1012</x:v>
      </x:c>
      <x:c r="D2566" s="3" t="str">
        <x:v>Fixed rank 3</x:v>
      </x:c>
      <x:c r="E2566" s="18" t="n">
        <x:v>200</x:v>
      </x:c>
      <x:c r="F2566" s="21" t="n">
        <x:v>450.13778093466124</x:v>
      </x:c>
      <x:c r="G2566" s="21" t="str">
        <x:f>""</x:f>
      </x:c>
      <x:c r="H2566" s="21" t="n">
        <x:f>F2568</x:f>
        <x:v>440.240391369029</x:v>
      </x:c>
      <x:c r="I2566" s="27" t="str">
        <x:f>IF(AND(ISNUMBER(G2566),ISNUMBER(H2566),H2566&gt;0),G2566/H2566-1,"")</x:f>
      </x:c>
      <x:c r="J2566" s="27" t="str">
        <x:f>IF(AND(ISNUMBER(G2566),F2566&gt;0),G2566/F2566-1,"")</x:f>
      </x:c>
      <x:c r="K2566" s="19" t="str">
        <x:v>Exp_9/EXP079/results/seed1012_Fixed_rank_3.json</x:v>
      </x:c>
    </x:row>
    <x:row r="2567" ht="15" hidden="0" customHeight="1">
      <x:c r="A2567" s="3" t="str">
        <x:v>EXP079</x:v>
      </x:c>
      <x:c r="B2567" s="3" t="str">
        <x:v>Exp. 9</x:v>
      </x:c>
      <x:c r="C2567" s="18" t="n">
        <x:v>1012</x:v>
      </x:c>
      <x:c r="D2567" s="3" t="str">
        <x:v>Fixed rank 5</x:v>
      </x:c>
      <x:c r="E2567" s="18" t="n">
        <x:v>200</x:v>
      </x:c>
      <x:c r="F2567" s="21" t="n">
        <x:v>427.3314808514826</x:v>
      </x:c>
      <x:c r="G2567" s="21" t="str">
        <x:f>""</x:f>
      </x:c>
      <x:c r="H2567" s="21" t="n">
        <x:f>F2568</x:f>
        <x:v>440.240391369029</x:v>
      </x:c>
      <x:c r="I2567" s="27" t="str">
        <x:f>IF(AND(ISNUMBER(G2567),ISNUMBER(H2567),H2567&gt;0),G2567/H2567-1,"")</x:f>
      </x:c>
      <x:c r="J2567" s="27" t="str">
        <x:f>IF(AND(ISNUMBER(G2567),F2567&gt;0),G2567/F2567-1,"")</x:f>
      </x:c>
      <x:c r="K2567" s="19" t="str">
        <x:v>Exp_9/EXP079/results/seed1012_Fixed_rank_5.json</x:v>
      </x:c>
    </x:row>
    <x:row r="2568" ht="15" hidden="0" customHeight="1">
      <x:c r="A2568" s="3" t="str">
        <x:v>EXP079</x:v>
      </x:c>
      <x:c r="B2568" s="3" t="str">
        <x:v>Exp. 9</x:v>
      </x:c>
      <x:c r="C2568" s="18" t="n">
        <x:v>1012</x:v>
      </x:c>
      <x:c r="D2568" s="3" t="str">
        <x:v>Full</x:v>
      </x:c>
      <x:c r="E2568" s="18" t="n">
        <x:v>200</x:v>
      </x:c>
      <x:c r="F2568" s="21" t="n">
        <x:v>440.240391369029</x:v>
      </x:c>
      <x:c r="G2568" s="21" t="str">
        <x:f>""</x:f>
      </x:c>
      <x:c r="H2568" s="21" t="n">
        <x:f>F2568</x:f>
        <x:v>440.240391369029</x:v>
      </x:c>
      <x:c r="I2568" s="27" t="str">
        <x:f>IF(AND(ISNUMBER(G2568),ISNUMBER(H2568),H2568&gt;0),G2568/H2568-1,"")</x:f>
      </x:c>
      <x:c r="J2568" s="27" t="str">
        <x:f>IF(AND(ISNUMBER(G2568),F2568&gt;0),G2568/F2568-1,"")</x:f>
      </x:c>
      <x:c r="K2568" s="19" t="str">
        <x:v>Exp_9/EXP079/results/seed1012_Full.json</x:v>
      </x:c>
    </x:row>
    <x:row r="2569" ht="15" hidden="0" customHeight="1">
      <x:c r="A2569" s="3" t="str">
        <x:v>EXP079</x:v>
      </x:c>
      <x:c r="B2569" s="3" t="str">
        <x:v>Exp. 9</x:v>
      </x:c>
      <x:c r="C2569" s="18" t="n">
        <x:v>1012</x:v>
      </x:c>
      <x:c r="D2569" s="3" t="str">
        <x:v>Relative cutoff 1e-2</x:v>
      </x:c>
      <x:c r="E2569" s="18" t="n">
        <x:v>200</x:v>
      </x:c>
      <x:c r="F2569" s="21" t="n">
        <x:v>444.11524774942535</x:v>
      </x:c>
      <x:c r="G2569" s="21" t="str">
        <x:f>""</x:f>
      </x:c>
      <x:c r="H2569" s="21" t="n">
        <x:f>F2568</x:f>
        <x:v>440.240391369029</x:v>
      </x:c>
      <x:c r="I2569" s="27" t="str">
        <x:f>IF(AND(ISNUMBER(G2569),ISNUMBER(H2569),H2569&gt;0),G2569/H2569-1,"")</x:f>
      </x:c>
      <x:c r="J2569" s="27" t="str">
        <x:f>IF(AND(ISNUMBER(G2569),F2569&gt;0),G2569/F2569-1,"")</x:f>
      </x:c>
      <x:c r="K2569" s="19" t="str">
        <x:v>Exp_9/EXP079/results/seed1012_Relative_cutoff_1e-2.json</x:v>
      </x:c>
    </x:row>
    <x:row r="2570" ht="15" hidden="0" customHeight="1">
      <x:c r="A2570" s="3" t="str">
        <x:v>EXP079</x:v>
      </x:c>
      <x:c r="B2570" s="3" t="str">
        <x:v>Exp. 9</x:v>
      </x:c>
      <x:c r="C2570" s="18" t="n">
        <x:v>1013</x:v>
      </x:c>
      <x:c r="D2570" s="3" t="str">
        <x:v>Fixed rank 10</x:v>
      </x:c>
      <x:c r="E2570" s="18" t="n">
        <x:v>200</x:v>
      </x:c>
      <x:c r="F2570" s="21" t="n">
        <x:v>612.8156161482711</x:v>
      </x:c>
      <x:c r="G2570" s="21" t="str">
        <x:f>""</x:f>
      </x:c>
      <x:c r="H2570" s="21" t="n">
        <x:f>F2573</x:f>
        <x:v>612.8156161482711</x:v>
      </x:c>
      <x:c r="I2570" s="27" t="str">
        <x:f>IF(AND(ISNUMBER(G2570),ISNUMBER(H2570),H2570&gt;0),G2570/H2570-1,"")</x:f>
      </x:c>
      <x:c r="J2570" s="27" t="str">
        <x:f>IF(AND(ISNUMBER(G2570),F2570&gt;0),G2570/F2570-1,"")</x:f>
      </x:c>
      <x:c r="K2570" s="19" t="str">
        <x:v>Exp_9/EXP079/results/seed1013_Fixed_rank_10.json</x:v>
      </x:c>
    </x:row>
    <x:row r="2571" ht="15" hidden="0" customHeight="1">
      <x:c r="A2571" s="3" t="str">
        <x:v>EXP079</x:v>
      </x:c>
      <x:c r="B2571" s="3" t="str">
        <x:v>Exp. 9</x:v>
      </x:c>
      <x:c r="C2571" s="18" t="n">
        <x:v>1013</x:v>
      </x:c>
      <x:c r="D2571" s="3" t="str">
        <x:v>Fixed rank 3</x:v>
      </x:c>
      <x:c r="E2571" s="18" t="n">
        <x:v>200</x:v>
      </x:c>
      <x:c r="F2571" s="21" t="n">
        <x:v>572.8375224295488</x:v>
      </x:c>
      <x:c r="G2571" s="21" t="str">
        <x:f>""</x:f>
      </x:c>
      <x:c r="H2571" s="21" t="n">
        <x:f>F2573</x:f>
        <x:v>612.8156161482711</x:v>
      </x:c>
      <x:c r="I2571" s="27" t="str">
        <x:f>IF(AND(ISNUMBER(G2571),ISNUMBER(H2571),H2571&gt;0),G2571/H2571-1,"")</x:f>
      </x:c>
      <x:c r="J2571" s="27" t="str">
        <x:f>IF(AND(ISNUMBER(G2571),F2571&gt;0),G2571/F2571-1,"")</x:f>
      </x:c>
      <x:c r="K2571" s="19" t="str">
        <x:v>Exp_9/EXP079/results/seed1013_Fixed_rank_3.json</x:v>
      </x:c>
    </x:row>
    <x:row r="2572" ht="15" hidden="0" customHeight="1">
      <x:c r="A2572" s="3" t="str">
        <x:v>EXP079</x:v>
      </x:c>
      <x:c r="B2572" s="3" t="str">
        <x:v>Exp. 9</x:v>
      </x:c>
      <x:c r="C2572" s="18" t="n">
        <x:v>1013</x:v>
      </x:c>
      <x:c r="D2572" s="3" t="str">
        <x:v>Fixed rank 5</x:v>
      </x:c>
      <x:c r="E2572" s="18" t="n">
        <x:v>200</x:v>
      </x:c>
      <x:c r="F2572" s="21" t="n">
        <x:v>612.8156161482711</x:v>
      </x:c>
      <x:c r="G2572" s="21" t="str">
        <x:f>""</x:f>
      </x:c>
      <x:c r="H2572" s="21" t="n">
        <x:f>F2573</x:f>
        <x:v>612.8156161482711</x:v>
      </x:c>
      <x:c r="I2572" s="27" t="str">
        <x:f>IF(AND(ISNUMBER(G2572),ISNUMBER(H2572),H2572&gt;0),G2572/H2572-1,"")</x:f>
      </x:c>
      <x:c r="J2572" s="27" t="str">
        <x:f>IF(AND(ISNUMBER(G2572),F2572&gt;0),G2572/F2572-1,"")</x:f>
      </x:c>
      <x:c r="K2572" s="19" t="str">
        <x:v>Exp_9/EXP079/results/seed1013_Fixed_rank_5.json</x:v>
      </x:c>
    </x:row>
    <x:row r="2573" ht="15" hidden="0" customHeight="1">
      <x:c r="A2573" s="3" t="str">
        <x:v>EXP079</x:v>
      </x:c>
      <x:c r="B2573" s="3" t="str">
        <x:v>Exp. 9</x:v>
      </x:c>
      <x:c r="C2573" s="18" t="n">
        <x:v>1013</x:v>
      </x:c>
      <x:c r="D2573" s="3" t="str">
        <x:v>Full</x:v>
      </x:c>
      <x:c r="E2573" s="18" t="n">
        <x:v>200</x:v>
      </x:c>
      <x:c r="F2573" s="21" t="n">
        <x:v>612.8156161482711</x:v>
      </x:c>
      <x:c r="G2573" s="21" t="str">
        <x:f>""</x:f>
      </x:c>
      <x:c r="H2573" s="21" t="n">
        <x:f>F2573</x:f>
        <x:v>612.8156161482711</x:v>
      </x:c>
      <x:c r="I2573" s="27" t="str">
        <x:f>IF(AND(ISNUMBER(G2573),ISNUMBER(H2573),H2573&gt;0),G2573/H2573-1,"")</x:f>
      </x:c>
      <x:c r="J2573" s="27" t="str">
        <x:f>IF(AND(ISNUMBER(G2573),F2573&gt;0),G2573/F2573-1,"")</x:f>
      </x:c>
      <x:c r="K2573" s="19" t="str">
        <x:v>Exp_9/EXP079/results/seed1013_Full.json</x:v>
      </x:c>
    </x:row>
    <x:row r="2574" ht="15" hidden="0" customHeight="1">
      <x:c r="A2574" s="3" t="str">
        <x:v>EXP079</x:v>
      </x:c>
      <x:c r="B2574" s="3" t="str">
        <x:v>Exp. 9</x:v>
      </x:c>
      <x:c r="C2574" s="18" t="n">
        <x:v>1013</x:v>
      </x:c>
      <x:c r="D2574" s="3" t="str">
        <x:v>Relative cutoff 1e-2</x:v>
      </x:c>
      <x:c r="E2574" s="18" t="n">
        <x:v>200</x:v>
      </x:c>
      <x:c r="F2574" s="21" t="n">
        <x:v>572.8375224295488</x:v>
      </x:c>
      <x:c r="G2574" s="21" t="str">
        <x:f>""</x:f>
      </x:c>
      <x:c r="H2574" s="21" t="n">
        <x:f>F2573</x:f>
        <x:v>612.8156161482711</x:v>
      </x:c>
      <x:c r="I2574" s="27" t="str">
        <x:f>IF(AND(ISNUMBER(G2574),ISNUMBER(H2574),H2574&gt;0),G2574/H2574-1,"")</x:f>
      </x:c>
      <x:c r="J2574" s="27" t="str">
        <x:f>IF(AND(ISNUMBER(G2574),F2574&gt;0),G2574/F2574-1,"")</x:f>
      </x:c>
      <x:c r="K2574" s="19" t="str">
        <x:v>Exp_9/EXP079/results/seed1013_Relative_cutoff_1e-2.json</x:v>
      </x:c>
    </x:row>
    <x:row r="2575" ht="15" hidden="0" customHeight="1">
      <x:c r="A2575" s="3" t="str">
        <x:v>EXP079</x:v>
      </x:c>
      <x:c r="B2575" s="3" t="str">
        <x:v>Exp. 9</x:v>
      </x:c>
      <x:c r="C2575" s="18" t="n">
        <x:v>1014</x:v>
      </x:c>
      <x:c r="D2575" s="3" t="str">
        <x:v>Fixed rank 10</x:v>
      </x:c>
      <x:c r="E2575" s="18" t="n">
        <x:v>200</x:v>
      </x:c>
      <x:c r="F2575" s="21" t="n">
        <x:v>547.8718868098923</x:v>
      </x:c>
      <x:c r="G2575" s="21" t="str">
        <x:f>""</x:f>
      </x:c>
      <x:c r="H2575" s="21" t="n">
        <x:f>F2578</x:f>
        <x:v>525.9967967373487</x:v>
      </x:c>
      <x:c r="I2575" s="27" t="str">
        <x:f>IF(AND(ISNUMBER(G2575),ISNUMBER(H2575),H2575&gt;0),G2575/H2575-1,"")</x:f>
      </x:c>
      <x:c r="J2575" s="27" t="str">
        <x:f>IF(AND(ISNUMBER(G2575),F2575&gt;0),G2575/F2575-1,"")</x:f>
      </x:c>
      <x:c r="K2575" s="19" t="str">
        <x:v>Exp_9/EXP079/results/seed1014_Fixed_rank_10.json</x:v>
      </x:c>
    </x:row>
    <x:row r="2576" ht="15" hidden="0" customHeight="1">
      <x:c r="A2576" s="3" t="str">
        <x:v>EXP079</x:v>
      </x:c>
      <x:c r="B2576" s="3" t="str">
        <x:v>Exp. 9</x:v>
      </x:c>
      <x:c r="C2576" s="18" t="n">
        <x:v>1014</x:v>
      </x:c>
      <x:c r="D2576" s="3" t="str">
        <x:v>Fixed rank 3</x:v>
      </x:c>
      <x:c r="E2576" s="18" t="n">
        <x:v>200</x:v>
      </x:c>
      <x:c r="F2576" s="21" t="n">
        <x:v>519.8558688958249</x:v>
      </x:c>
      <x:c r="G2576" s="21" t="str">
        <x:f>""</x:f>
      </x:c>
      <x:c r="H2576" s="21" t="n">
        <x:f>F2578</x:f>
        <x:v>525.9967967373487</x:v>
      </x:c>
      <x:c r="I2576" s="27" t="str">
        <x:f>IF(AND(ISNUMBER(G2576),ISNUMBER(H2576),H2576&gt;0),G2576/H2576-1,"")</x:f>
      </x:c>
      <x:c r="J2576" s="27" t="str">
        <x:f>IF(AND(ISNUMBER(G2576),F2576&gt;0),G2576/F2576-1,"")</x:f>
      </x:c>
      <x:c r="K2576" s="19" t="str">
        <x:v>Exp_9/EXP079/results/seed1014_Fixed_rank_3.json</x:v>
      </x:c>
    </x:row>
    <x:row r="2577" ht="15" hidden="0" customHeight="1">
      <x:c r="A2577" s="3" t="str">
        <x:v>EXP079</x:v>
      </x:c>
      <x:c r="B2577" s="3" t="str">
        <x:v>Exp. 9</x:v>
      </x:c>
      <x:c r="C2577" s="18" t="n">
        <x:v>1014</x:v>
      </x:c>
      <x:c r="D2577" s="3" t="str">
        <x:v>Fixed rank 5</x:v>
      </x:c>
      <x:c r="E2577" s="18" t="n">
        <x:v>200</x:v>
      </x:c>
      <x:c r="F2577" s="21" t="n">
        <x:v>547.8718868098923</x:v>
      </x:c>
      <x:c r="G2577" s="21" t="str">
        <x:f>""</x:f>
      </x:c>
      <x:c r="H2577" s="21" t="n">
        <x:f>F2578</x:f>
        <x:v>525.9967967373487</x:v>
      </x:c>
      <x:c r="I2577" s="27" t="str">
        <x:f>IF(AND(ISNUMBER(G2577),ISNUMBER(H2577),H2577&gt;0),G2577/H2577-1,"")</x:f>
      </x:c>
      <x:c r="J2577" s="27" t="str">
        <x:f>IF(AND(ISNUMBER(G2577),F2577&gt;0),G2577/F2577-1,"")</x:f>
      </x:c>
      <x:c r="K2577" s="19" t="str">
        <x:v>Exp_9/EXP079/results/seed1014_Fixed_rank_5.json</x:v>
      </x:c>
    </x:row>
    <x:row r="2578" ht="15" hidden="0" customHeight="1">
      <x:c r="A2578" s="3" t="str">
        <x:v>EXP079</x:v>
      </x:c>
      <x:c r="B2578" s="3" t="str">
        <x:v>Exp. 9</x:v>
      </x:c>
      <x:c r="C2578" s="18" t="n">
        <x:v>1014</x:v>
      </x:c>
      <x:c r="D2578" s="3" t="str">
        <x:v>Full</x:v>
      </x:c>
      <x:c r="E2578" s="18" t="n">
        <x:v>200</x:v>
      </x:c>
      <x:c r="F2578" s="21" t="n">
        <x:v>525.9967967373487</x:v>
      </x:c>
      <x:c r="G2578" s="21" t="str">
        <x:f>""</x:f>
      </x:c>
      <x:c r="H2578" s="21" t="n">
        <x:f>F2578</x:f>
        <x:v>525.9967967373487</x:v>
      </x:c>
      <x:c r="I2578" s="27" t="str">
        <x:f>IF(AND(ISNUMBER(G2578),ISNUMBER(H2578),H2578&gt;0),G2578/H2578-1,"")</x:f>
      </x:c>
      <x:c r="J2578" s="27" t="str">
        <x:f>IF(AND(ISNUMBER(G2578),F2578&gt;0),G2578/F2578-1,"")</x:f>
      </x:c>
      <x:c r="K2578" s="19" t="str">
        <x:v>Exp_9/EXP079/results/seed1014_Full.json</x:v>
      </x:c>
    </x:row>
    <x:row r="2579" ht="15" hidden="0" customHeight="1">
      <x:c r="A2579" s="3" t="str">
        <x:v>EXP079</x:v>
      </x:c>
      <x:c r="B2579" s="3" t="str">
        <x:v>Exp. 9</x:v>
      </x:c>
      <x:c r="C2579" s="18" t="n">
        <x:v>1014</x:v>
      </x:c>
      <x:c r="D2579" s="3" t="str">
        <x:v>Relative cutoff 1e-2</x:v>
      </x:c>
      <x:c r="E2579" s="18" t="n">
        <x:v>200</x:v>
      </x:c>
      <x:c r="F2579" s="21" t="n">
        <x:v>531.8356412794341</x:v>
      </x:c>
      <x:c r="G2579" s="21" t="str">
        <x:f>""</x:f>
      </x:c>
      <x:c r="H2579" s="21" t="n">
        <x:f>F2578</x:f>
        <x:v>525.9967967373487</x:v>
      </x:c>
      <x:c r="I2579" s="27" t="str">
        <x:f>IF(AND(ISNUMBER(G2579),ISNUMBER(H2579),H2579&gt;0),G2579/H2579-1,"")</x:f>
      </x:c>
      <x:c r="J2579" s="27" t="str">
        <x:f>IF(AND(ISNUMBER(G2579),F2579&gt;0),G2579/F2579-1,"")</x:f>
      </x:c>
      <x:c r="K2579" s="19" t="str">
        <x:v>Exp_9/EXP079/results/seed1014_Relative_cutoff_1e-2.json</x:v>
      </x:c>
    </x:row>
    <x:row r="2580" ht="15" hidden="0" customHeight="1">
      <x:c r="A2580" s="3" t="str">
        <x:v>EXP079</x:v>
      </x:c>
      <x:c r="B2580" s="3" t="str">
        <x:v>Exp. 9</x:v>
      </x:c>
      <x:c r="C2580" s="18" t="n">
        <x:v>1015</x:v>
      </x:c>
      <x:c r="D2580" s="3" t="str">
        <x:v>Fixed rank 10</x:v>
      </x:c>
      <x:c r="E2580" s="18" t="n">
        <x:v>200</x:v>
      </x:c>
      <x:c r="F2580" s="21" t="n">
        <x:v>417.23059114219654</x:v>
      </x:c>
      <x:c r="G2580" s="21" t="str">
        <x:f>""</x:f>
      </x:c>
      <x:c r="H2580" s="21" t="n">
        <x:f>F2583</x:f>
        <x:v>387.89155614848835</x:v>
      </x:c>
      <x:c r="I2580" s="27" t="str">
        <x:f>IF(AND(ISNUMBER(G2580),ISNUMBER(H2580),H2580&gt;0),G2580/H2580-1,"")</x:f>
      </x:c>
      <x:c r="J2580" s="27" t="str">
        <x:f>IF(AND(ISNUMBER(G2580),F2580&gt;0),G2580/F2580-1,"")</x:f>
      </x:c>
      <x:c r="K2580" s="19" t="str">
        <x:v>Exp_9/EXP079/results/seed1015_Fixed_rank_10.json</x:v>
      </x:c>
    </x:row>
    <x:row r="2581" ht="15" hidden="0" customHeight="1">
      <x:c r="A2581" s="3" t="str">
        <x:v>EXP079</x:v>
      </x:c>
      <x:c r="B2581" s="3" t="str">
        <x:v>Exp. 9</x:v>
      </x:c>
      <x:c r="C2581" s="18" t="n">
        <x:v>1015</x:v>
      </x:c>
      <x:c r="D2581" s="3" t="str">
        <x:v>Fixed rank 3</x:v>
      </x:c>
      <x:c r="E2581" s="18" t="n">
        <x:v>200</x:v>
      </x:c>
      <x:c r="F2581" s="21" t="n">
        <x:v>392.2469676210312</x:v>
      </x:c>
      <x:c r="G2581" s="21" t="str">
        <x:f>""</x:f>
      </x:c>
      <x:c r="H2581" s="21" t="n">
        <x:f>F2583</x:f>
        <x:v>387.89155614848835</x:v>
      </x:c>
      <x:c r="I2581" s="27" t="str">
        <x:f>IF(AND(ISNUMBER(G2581),ISNUMBER(H2581),H2581&gt;0),G2581/H2581-1,"")</x:f>
      </x:c>
      <x:c r="J2581" s="27" t="str">
        <x:f>IF(AND(ISNUMBER(G2581),F2581&gt;0),G2581/F2581-1,"")</x:f>
      </x:c>
      <x:c r="K2581" s="19" t="str">
        <x:v>Exp_9/EXP079/results/seed1015_Fixed_rank_3.json</x:v>
      </x:c>
    </x:row>
    <x:row r="2582" ht="15" hidden="0" customHeight="1">
      <x:c r="A2582" s="3" t="str">
        <x:v>EXP079</x:v>
      </x:c>
      <x:c r="B2582" s="3" t="str">
        <x:v>Exp. 9</x:v>
      </x:c>
      <x:c r="C2582" s="18" t="n">
        <x:v>1015</x:v>
      </x:c>
      <x:c r="D2582" s="3" t="str">
        <x:v>Fixed rank 5</x:v>
      </x:c>
      <x:c r="E2582" s="18" t="n">
        <x:v>200</x:v>
      </x:c>
      <x:c r="F2582" s="21" t="n">
        <x:v>402.8584310960243</x:v>
      </x:c>
      <x:c r="G2582" s="21" t="str">
        <x:f>""</x:f>
      </x:c>
      <x:c r="H2582" s="21" t="n">
        <x:f>F2583</x:f>
        <x:v>387.89155614848835</x:v>
      </x:c>
      <x:c r="I2582" s="27" t="str">
        <x:f>IF(AND(ISNUMBER(G2582),ISNUMBER(H2582),H2582&gt;0),G2582/H2582-1,"")</x:f>
      </x:c>
      <x:c r="J2582" s="27" t="str">
        <x:f>IF(AND(ISNUMBER(G2582),F2582&gt;0),G2582/F2582-1,"")</x:f>
      </x:c>
      <x:c r="K2582" s="19" t="str">
        <x:v>Exp_9/EXP079/results/seed1015_Fixed_rank_5.json</x:v>
      </x:c>
    </x:row>
    <x:row r="2583" ht="15" hidden="0" customHeight="1">
      <x:c r="A2583" s="3" t="str">
        <x:v>EXP079</x:v>
      </x:c>
      <x:c r="B2583" s="3" t="str">
        <x:v>Exp. 9</x:v>
      </x:c>
      <x:c r="C2583" s="18" t="n">
        <x:v>1015</x:v>
      </x:c>
      <x:c r="D2583" s="3" t="str">
        <x:v>Full</x:v>
      </x:c>
      <x:c r="E2583" s="18" t="n">
        <x:v>200</x:v>
      </x:c>
      <x:c r="F2583" s="21" t="n">
        <x:v>387.89155614848835</x:v>
      </x:c>
      <x:c r="G2583" s="21" t="str">
        <x:f>""</x:f>
      </x:c>
      <x:c r="H2583" s="21" t="n">
        <x:f>F2583</x:f>
        <x:v>387.89155614848835</x:v>
      </x:c>
      <x:c r="I2583" s="27" t="str">
        <x:f>IF(AND(ISNUMBER(G2583),ISNUMBER(H2583),H2583&gt;0),G2583/H2583-1,"")</x:f>
      </x:c>
      <x:c r="J2583" s="27" t="str">
        <x:f>IF(AND(ISNUMBER(G2583),F2583&gt;0),G2583/F2583-1,"")</x:f>
      </x:c>
      <x:c r="K2583" s="19" t="str">
        <x:v>Exp_9/EXP079/results/seed1015_Full.json</x:v>
      </x:c>
    </x:row>
    <x:row r="2584" ht="15" hidden="0" customHeight="1">
      <x:c r="A2584" s="3" t="str">
        <x:v>EXP079</x:v>
      </x:c>
      <x:c r="B2584" s="3" t="str">
        <x:v>Exp. 9</x:v>
      </x:c>
      <x:c r="C2584" s="18" t="n">
        <x:v>1015</x:v>
      </x:c>
      <x:c r="D2584" s="3" t="str">
        <x:v>Relative cutoff 1e-2</x:v>
      </x:c>
      <x:c r="E2584" s="18" t="n">
        <x:v>200</x:v>
      </x:c>
      <x:c r="F2584" s="21" t="n">
        <x:v>380.16688728421224</x:v>
      </x:c>
      <x:c r="G2584" s="21" t="str">
        <x:f>""</x:f>
      </x:c>
      <x:c r="H2584" s="21" t="n">
        <x:f>F2583</x:f>
        <x:v>387.89155614848835</x:v>
      </x:c>
      <x:c r="I2584" s="27" t="str">
        <x:f>IF(AND(ISNUMBER(G2584),ISNUMBER(H2584),H2584&gt;0),G2584/H2584-1,"")</x:f>
      </x:c>
      <x:c r="J2584" s="27" t="str">
        <x:f>IF(AND(ISNUMBER(G2584),F2584&gt;0),G2584/F2584-1,"")</x:f>
      </x:c>
      <x:c r="K2584" s="19" t="str">
        <x:v>Exp_9/EXP079/results/seed1015_Relative_cutoff_1e-2.json</x:v>
      </x:c>
    </x:row>
    <x:row r="2585" ht="15" hidden="0" customHeight="1">
      <x:c r="A2585" s="3" t="str">
        <x:v>EXP079</x:v>
      </x:c>
      <x:c r="B2585" s="3" t="str">
        <x:v>Exp. 9</x:v>
      </x:c>
      <x:c r="C2585" s="18" t="n">
        <x:v>1016</x:v>
      </x:c>
      <x:c r="D2585" s="3" t="str">
        <x:v>Fixed rank 10</x:v>
      </x:c>
      <x:c r="E2585" s="18" t="n">
        <x:v>200</x:v>
      </x:c>
      <x:c r="F2585" s="21" t="n">
        <x:v>413.8983839856342</x:v>
      </x:c>
      <x:c r="G2585" s="21" t="str">
        <x:f>""</x:f>
      </x:c>
      <x:c r="H2585" s="21" t="n">
        <x:f>F2588</x:f>
        <x:v>414.39426518252645</x:v>
      </x:c>
      <x:c r="I2585" s="27" t="str">
        <x:f>IF(AND(ISNUMBER(G2585),ISNUMBER(H2585),H2585&gt;0),G2585/H2585-1,"")</x:f>
      </x:c>
      <x:c r="J2585" s="27" t="str">
        <x:f>IF(AND(ISNUMBER(G2585),F2585&gt;0),G2585/F2585-1,"")</x:f>
      </x:c>
      <x:c r="K2585" s="19" t="str">
        <x:v>Exp_9/EXP079/results/seed1016_Fixed_rank_10.json</x:v>
      </x:c>
    </x:row>
    <x:row r="2586" ht="15" hidden="0" customHeight="1">
      <x:c r="A2586" s="3" t="str">
        <x:v>EXP079</x:v>
      </x:c>
      <x:c r="B2586" s="3" t="str">
        <x:v>Exp. 9</x:v>
      </x:c>
      <x:c r="C2586" s="18" t="n">
        <x:v>1016</x:v>
      </x:c>
      <x:c r="D2586" s="3" t="str">
        <x:v>Fixed rank 3</x:v>
      </x:c>
      <x:c r="E2586" s="18" t="n">
        <x:v>200</x:v>
      </x:c>
      <x:c r="F2586" s="21" t="n">
        <x:v>402.48935009321025</x:v>
      </x:c>
      <x:c r="G2586" s="21" t="str">
        <x:f>""</x:f>
      </x:c>
      <x:c r="H2586" s="21" t="n">
        <x:f>F2588</x:f>
        <x:v>414.39426518252645</x:v>
      </x:c>
      <x:c r="I2586" s="27" t="str">
        <x:f>IF(AND(ISNUMBER(G2586),ISNUMBER(H2586),H2586&gt;0),G2586/H2586-1,"")</x:f>
      </x:c>
      <x:c r="J2586" s="27" t="str">
        <x:f>IF(AND(ISNUMBER(G2586),F2586&gt;0),G2586/F2586-1,"")</x:f>
      </x:c>
      <x:c r="K2586" s="19" t="str">
        <x:v>Exp_9/EXP079/results/seed1016_Fixed_rank_3.json</x:v>
      </x:c>
    </x:row>
    <x:row r="2587" ht="15" hidden="0" customHeight="1">
      <x:c r="A2587" s="3" t="str">
        <x:v>EXP079</x:v>
      </x:c>
      <x:c r="B2587" s="3" t="str">
        <x:v>Exp. 9</x:v>
      </x:c>
      <x:c r="C2587" s="18" t="n">
        <x:v>1016</x:v>
      </x:c>
      <x:c r="D2587" s="3" t="str">
        <x:v>Fixed rank 5</x:v>
      </x:c>
      <x:c r="E2587" s="18" t="n">
        <x:v>200</x:v>
      </x:c>
      <x:c r="F2587" s="21" t="n">
        <x:v>413.8983839856342</x:v>
      </x:c>
      <x:c r="G2587" s="21" t="str">
        <x:f>""</x:f>
      </x:c>
      <x:c r="H2587" s="21" t="n">
        <x:f>F2588</x:f>
        <x:v>414.39426518252645</x:v>
      </x:c>
      <x:c r="I2587" s="27" t="str">
        <x:f>IF(AND(ISNUMBER(G2587),ISNUMBER(H2587),H2587&gt;0),G2587/H2587-1,"")</x:f>
      </x:c>
      <x:c r="J2587" s="27" t="str">
        <x:f>IF(AND(ISNUMBER(G2587),F2587&gt;0),G2587/F2587-1,"")</x:f>
      </x:c>
      <x:c r="K2587" s="19" t="str">
        <x:v>Exp_9/EXP079/results/seed1016_Fixed_rank_5.json</x:v>
      </x:c>
    </x:row>
    <x:row r="2588" ht="15" hidden="0" customHeight="1">
      <x:c r="A2588" s="3" t="str">
        <x:v>EXP079</x:v>
      </x:c>
      <x:c r="B2588" s="3" t="str">
        <x:v>Exp. 9</x:v>
      </x:c>
      <x:c r="C2588" s="18" t="n">
        <x:v>1016</x:v>
      </x:c>
      <x:c r="D2588" s="3" t="str">
        <x:v>Full</x:v>
      </x:c>
      <x:c r="E2588" s="18" t="n">
        <x:v>200</x:v>
      </x:c>
      <x:c r="F2588" s="21" t="n">
        <x:v>414.39426518252645</x:v>
      </x:c>
      <x:c r="G2588" s="21" t="str">
        <x:f>""</x:f>
      </x:c>
      <x:c r="H2588" s="21" t="n">
        <x:f>F2588</x:f>
        <x:v>414.39426518252645</x:v>
      </x:c>
      <x:c r="I2588" s="27" t="str">
        <x:f>IF(AND(ISNUMBER(G2588),ISNUMBER(H2588),H2588&gt;0),G2588/H2588-1,"")</x:f>
      </x:c>
      <x:c r="J2588" s="27" t="str">
        <x:f>IF(AND(ISNUMBER(G2588),F2588&gt;0),G2588/F2588-1,"")</x:f>
      </x:c>
      <x:c r="K2588" s="19" t="str">
        <x:v>Exp_9/EXP079/results/seed1016_Full.json</x:v>
      </x:c>
    </x:row>
    <x:row r="2589" ht="15" hidden="0" customHeight="1">
      <x:c r="A2589" s="3" t="str">
        <x:v>EXP079</x:v>
      </x:c>
      <x:c r="B2589" s="3" t="str">
        <x:v>Exp. 9</x:v>
      </x:c>
      <x:c r="C2589" s="18" t="n">
        <x:v>1016</x:v>
      </x:c>
      <x:c r="D2589" s="3" t="str">
        <x:v>Relative cutoff 1e-2</x:v>
      </x:c>
      <x:c r="E2589" s="18" t="n">
        <x:v>200</x:v>
      </x:c>
      <x:c r="F2589" s="21" t="n">
        <x:v>402.48935009321025</x:v>
      </x:c>
      <x:c r="G2589" s="21" t="str">
        <x:f>""</x:f>
      </x:c>
      <x:c r="H2589" s="21" t="n">
        <x:f>F2588</x:f>
        <x:v>414.39426518252645</x:v>
      </x:c>
      <x:c r="I2589" s="27" t="str">
        <x:f>IF(AND(ISNUMBER(G2589),ISNUMBER(H2589),H2589&gt;0),G2589/H2589-1,"")</x:f>
      </x:c>
      <x:c r="J2589" s="27" t="str">
        <x:f>IF(AND(ISNUMBER(G2589),F2589&gt;0),G2589/F2589-1,"")</x:f>
      </x:c>
      <x:c r="K2589" s="19" t="str">
        <x:v>Exp_9/EXP079/results/seed1016_Relative_cutoff_1e-2.json</x:v>
      </x:c>
    </x:row>
    <x:row r="2590" ht="15" hidden="0" customHeight="1">
      <x:c r="A2590" s="3" t="str">
        <x:v>EXP079</x:v>
      </x:c>
      <x:c r="B2590" s="3" t="str">
        <x:v>Exp. 9</x:v>
      </x:c>
      <x:c r="C2590" s="18" t="n">
        <x:v>1017</x:v>
      </x:c>
      <x:c r="D2590" s="3" t="str">
        <x:v>Fixed rank 10</x:v>
      </x:c>
      <x:c r="E2590" s="18" t="n">
        <x:v>200</x:v>
      </x:c>
      <x:c r="F2590" s="21" t="n">
        <x:v>386.2803538006141</x:v>
      </x:c>
      <x:c r="G2590" s="21" t="str">
        <x:f>""</x:f>
      </x:c>
      <x:c r="H2590" s="21" t="n">
        <x:f>F2593</x:f>
        <x:v>394.44766575291885</x:v>
      </x:c>
      <x:c r="I2590" s="27" t="str">
        <x:f>IF(AND(ISNUMBER(G2590),ISNUMBER(H2590),H2590&gt;0),G2590/H2590-1,"")</x:f>
      </x:c>
      <x:c r="J2590" s="27" t="str">
        <x:f>IF(AND(ISNUMBER(G2590),F2590&gt;0),G2590/F2590-1,"")</x:f>
      </x:c>
      <x:c r="K2590" s="19" t="str">
        <x:v>Exp_9/EXP079/results/seed1017_Fixed_rank_10.json</x:v>
      </x:c>
    </x:row>
    <x:row r="2591" ht="15" hidden="0" customHeight="1">
      <x:c r="A2591" s="3" t="str">
        <x:v>EXP079</x:v>
      </x:c>
      <x:c r="B2591" s="3" t="str">
        <x:v>Exp. 9</x:v>
      </x:c>
      <x:c r="C2591" s="18" t="n">
        <x:v>1017</x:v>
      </x:c>
      <x:c r="D2591" s="3" t="str">
        <x:v>Fixed rank 3</x:v>
      </x:c>
      <x:c r="E2591" s="18" t="n">
        <x:v>200</x:v>
      </x:c>
      <x:c r="F2591" s="21" t="n">
        <x:v>410.87822537984255</x:v>
      </x:c>
      <x:c r="G2591" s="21" t="str">
        <x:f>""</x:f>
      </x:c>
      <x:c r="H2591" s="21" t="n">
        <x:f>F2593</x:f>
        <x:v>394.44766575291885</x:v>
      </x:c>
      <x:c r="I2591" s="27" t="str">
        <x:f>IF(AND(ISNUMBER(G2591),ISNUMBER(H2591),H2591&gt;0),G2591/H2591-1,"")</x:f>
      </x:c>
      <x:c r="J2591" s="27" t="str">
        <x:f>IF(AND(ISNUMBER(G2591),F2591&gt;0),G2591/F2591-1,"")</x:f>
      </x:c>
      <x:c r="K2591" s="19" t="str">
        <x:v>Exp_9/EXP079/results/seed1017_Fixed_rank_3.json</x:v>
      </x:c>
    </x:row>
    <x:row r="2592" ht="15" hidden="0" customHeight="1">
      <x:c r="A2592" s="3" t="str">
        <x:v>EXP079</x:v>
      </x:c>
      <x:c r="B2592" s="3" t="str">
        <x:v>Exp. 9</x:v>
      </x:c>
      <x:c r="C2592" s="18" t="n">
        <x:v>1017</x:v>
      </x:c>
      <x:c r="D2592" s="3" t="str">
        <x:v>Fixed rank 5</x:v>
      </x:c>
      <x:c r="E2592" s="18" t="n">
        <x:v>200</x:v>
      </x:c>
      <x:c r="F2592" s="21" t="n">
        <x:v>374.7263345918746</x:v>
      </x:c>
      <x:c r="G2592" s="21" t="str">
        <x:f>""</x:f>
      </x:c>
      <x:c r="H2592" s="21" t="n">
        <x:f>F2593</x:f>
        <x:v>394.44766575291885</x:v>
      </x:c>
      <x:c r="I2592" s="27" t="str">
        <x:f>IF(AND(ISNUMBER(G2592),ISNUMBER(H2592),H2592&gt;0),G2592/H2592-1,"")</x:f>
      </x:c>
      <x:c r="J2592" s="27" t="str">
        <x:f>IF(AND(ISNUMBER(G2592),F2592&gt;0),G2592/F2592-1,"")</x:f>
      </x:c>
      <x:c r="K2592" s="19" t="str">
        <x:v>Exp_9/EXP079/results/seed1017_Fixed_rank_5.json</x:v>
      </x:c>
    </x:row>
    <x:row r="2593" ht="15" hidden="0" customHeight="1">
      <x:c r="A2593" s="3" t="str">
        <x:v>EXP079</x:v>
      </x:c>
      <x:c r="B2593" s="3" t="str">
        <x:v>Exp. 9</x:v>
      </x:c>
      <x:c r="C2593" s="18" t="n">
        <x:v>1017</x:v>
      </x:c>
      <x:c r="D2593" s="3" t="str">
        <x:v>Full</x:v>
      </x:c>
      <x:c r="E2593" s="18" t="n">
        <x:v>200</x:v>
      </x:c>
      <x:c r="F2593" s="21" t="n">
        <x:v>394.44766575291885</x:v>
      </x:c>
      <x:c r="G2593" s="21" t="str">
        <x:f>""</x:f>
      </x:c>
      <x:c r="H2593" s="21" t="n">
        <x:f>F2593</x:f>
        <x:v>394.44766575291885</x:v>
      </x:c>
      <x:c r="I2593" s="27" t="str">
        <x:f>IF(AND(ISNUMBER(G2593),ISNUMBER(H2593),H2593&gt;0),G2593/H2593-1,"")</x:f>
      </x:c>
      <x:c r="J2593" s="27" t="str">
        <x:f>IF(AND(ISNUMBER(G2593),F2593&gt;0),G2593/F2593-1,"")</x:f>
      </x:c>
      <x:c r="K2593" s="19" t="str">
        <x:v>Exp_9/EXP079/results/seed1017_Full.json</x:v>
      </x:c>
    </x:row>
    <x:row r="2594" ht="15" hidden="0" customHeight="1">
      <x:c r="A2594" s="3" t="str">
        <x:v>EXP079</x:v>
      </x:c>
      <x:c r="B2594" s="3" t="str">
        <x:v>Exp. 9</x:v>
      </x:c>
      <x:c r="C2594" s="18" t="n">
        <x:v>1017</x:v>
      </x:c>
      <x:c r="D2594" s="3" t="str">
        <x:v>Relative cutoff 1e-2</x:v>
      </x:c>
      <x:c r="E2594" s="18" t="n">
        <x:v>200</x:v>
      </x:c>
      <x:c r="F2594" s="21" t="n">
        <x:v>416.42396380910566</x:v>
      </x:c>
      <x:c r="G2594" s="21" t="str">
        <x:f>""</x:f>
      </x:c>
      <x:c r="H2594" s="21" t="n">
        <x:f>F2593</x:f>
        <x:v>394.44766575291885</x:v>
      </x:c>
      <x:c r="I2594" s="27" t="str">
        <x:f>IF(AND(ISNUMBER(G2594),ISNUMBER(H2594),H2594&gt;0),G2594/H2594-1,"")</x:f>
      </x:c>
      <x:c r="J2594" s="27" t="str">
        <x:f>IF(AND(ISNUMBER(G2594),F2594&gt;0),G2594/F2594-1,"")</x:f>
      </x:c>
      <x:c r="K2594" s="19" t="str">
        <x:v>Exp_9/EXP079/results/seed1017_Relative_cutoff_1e-2.json</x:v>
      </x:c>
    </x:row>
    <x:row r="2595" ht="15" hidden="0" customHeight="1">
      <x:c r="A2595" s="3" t="str">
        <x:v>EXP079</x:v>
      </x:c>
      <x:c r="B2595" s="3" t="str">
        <x:v>Exp. 9</x:v>
      </x:c>
      <x:c r="C2595" s="18" t="n">
        <x:v>1018</x:v>
      </x:c>
      <x:c r="D2595" s="3" t="str">
        <x:v>Fixed rank 10</x:v>
      </x:c>
      <x:c r="E2595" s="18" t="n">
        <x:v>200</x:v>
      </x:c>
      <x:c r="F2595" s="21" t="n">
        <x:v>466.60788248003604</x:v>
      </x:c>
      <x:c r="G2595" s="21" t="str">
        <x:f>""</x:f>
      </x:c>
      <x:c r="H2595" s="21" t="n">
        <x:f>F2598</x:f>
        <x:v>466.60788248003604</x:v>
      </x:c>
      <x:c r="I2595" s="27" t="str">
        <x:f>IF(AND(ISNUMBER(G2595),ISNUMBER(H2595),H2595&gt;0),G2595/H2595-1,"")</x:f>
      </x:c>
      <x:c r="J2595" s="27" t="str">
        <x:f>IF(AND(ISNUMBER(G2595),F2595&gt;0),G2595/F2595-1,"")</x:f>
      </x:c>
      <x:c r="K2595" s="19" t="str">
        <x:v>Exp_9/EXP079/results/seed1018_Fixed_rank_10.json</x:v>
      </x:c>
    </x:row>
    <x:row r="2596" ht="15" hidden="0" customHeight="1">
      <x:c r="A2596" s="3" t="str">
        <x:v>EXP079</x:v>
      </x:c>
      <x:c r="B2596" s="3" t="str">
        <x:v>Exp. 9</x:v>
      </x:c>
      <x:c r="C2596" s="18" t="n">
        <x:v>1018</x:v>
      </x:c>
      <x:c r="D2596" s="3" t="str">
        <x:v>Fixed rank 3</x:v>
      </x:c>
      <x:c r="E2596" s="18" t="n">
        <x:v>200</x:v>
      </x:c>
      <x:c r="F2596" s="21" t="n">
        <x:v>578.8698861664863</x:v>
      </x:c>
      <x:c r="G2596" s="21" t="str">
        <x:f>""</x:f>
      </x:c>
      <x:c r="H2596" s="21" t="n">
        <x:f>F2598</x:f>
        <x:v>466.60788248003604</x:v>
      </x:c>
      <x:c r="I2596" s="27" t="str">
        <x:f>IF(AND(ISNUMBER(G2596),ISNUMBER(H2596),H2596&gt;0),G2596/H2596-1,"")</x:f>
      </x:c>
      <x:c r="J2596" s="27" t="str">
        <x:f>IF(AND(ISNUMBER(G2596),F2596&gt;0),G2596/F2596-1,"")</x:f>
      </x:c>
      <x:c r="K2596" s="19" t="str">
        <x:v>Exp_9/EXP079/results/seed1018_Fixed_rank_3.json</x:v>
      </x:c>
    </x:row>
    <x:row r="2597" ht="15" hidden="0" customHeight="1">
      <x:c r="A2597" s="3" t="str">
        <x:v>EXP079</x:v>
      </x:c>
      <x:c r="B2597" s="3" t="str">
        <x:v>Exp. 9</x:v>
      </x:c>
      <x:c r="C2597" s="18" t="n">
        <x:v>1018</x:v>
      </x:c>
      <x:c r="D2597" s="3" t="str">
        <x:v>Fixed rank 5</x:v>
      </x:c>
      <x:c r="E2597" s="18" t="n">
        <x:v>200</x:v>
      </x:c>
      <x:c r="F2597" s="21" t="n">
        <x:v>466.60788248003604</x:v>
      </x:c>
      <x:c r="G2597" s="21" t="str">
        <x:f>""</x:f>
      </x:c>
      <x:c r="H2597" s="21" t="n">
        <x:f>F2598</x:f>
        <x:v>466.60788248003604</x:v>
      </x:c>
      <x:c r="I2597" s="27" t="str">
        <x:f>IF(AND(ISNUMBER(G2597),ISNUMBER(H2597),H2597&gt;0),G2597/H2597-1,"")</x:f>
      </x:c>
      <x:c r="J2597" s="27" t="str">
        <x:f>IF(AND(ISNUMBER(G2597),F2597&gt;0),G2597/F2597-1,"")</x:f>
      </x:c>
      <x:c r="K2597" s="19" t="str">
        <x:v>Exp_9/EXP079/results/seed1018_Fixed_rank_5.json</x:v>
      </x:c>
    </x:row>
    <x:row r="2598" ht="15" hidden="0" customHeight="1">
      <x:c r="A2598" s="3" t="str">
        <x:v>EXP079</x:v>
      </x:c>
      <x:c r="B2598" s="3" t="str">
        <x:v>Exp. 9</x:v>
      </x:c>
      <x:c r="C2598" s="18" t="n">
        <x:v>1018</x:v>
      </x:c>
      <x:c r="D2598" s="3" t="str">
        <x:v>Full</x:v>
      </x:c>
      <x:c r="E2598" s="18" t="n">
        <x:v>200</x:v>
      </x:c>
      <x:c r="F2598" s="21" t="n">
        <x:v>466.60788248003604</x:v>
      </x:c>
      <x:c r="G2598" s="21" t="str">
        <x:f>""</x:f>
      </x:c>
      <x:c r="H2598" s="21" t="n">
        <x:f>F2598</x:f>
        <x:v>466.60788248003604</x:v>
      </x:c>
      <x:c r="I2598" s="27" t="str">
        <x:f>IF(AND(ISNUMBER(G2598),ISNUMBER(H2598),H2598&gt;0),G2598/H2598-1,"")</x:f>
      </x:c>
      <x:c r="J2598" s="27" t="str">
        <x:f>IF(AND(ISNUMBER(G2598),F2598&gt;0),G2598/F2598-1,"")</x:f>
      </x:c>
      <x:c r="K2598" s="19" t="str">
        <x:v>Exp_9/EXP079/results/seed1018_Full.json</x:v>
      </x:c>
    </x:row>
    <x:row r="2599" ht="15" hidden="0" customHeight="1">
      <x:c r="A2599" s="3" t="str">
        <x:v>EXP079</x:v>
      </x:c>
      <x:c r="B2599" s="3" t="str">
        <x:v>Exp. 9</x:v>
      </x:c>
      <x:c r="C2599" s="18" t="n">
        <x:v>1018</x:v>
      </x:c>
      <x:c r="D2599" s="3" t="str">
        <x:v>Relative cutoff 1e-2</x:v>
      </x:c>
      <x:c r="E2599" s="18" t="n">
        <x:v>200</x:v>
      </x:c>
      <x:c r="F2599" s="21" t="n">
        <x:v>493.21679254745413</x:v>
      </x:c>
      <x:c r="G2599" s="21" t="str">
        <x:f>""</x:f>
      </x:c>
      <x:c r="H2599" s="21" t="n">
        <x:f>F2598</x:f>
        <x:v>466.60788248003604</x:v>
      </x:c>
      <x:c r="I2599" s="27" t="str">
        <x:f>IF(AND(ISNUMBER(G2599),ISNUMBER(H2599),H2599&gt;0),G2599/H2599-1,"")</x:f>
      </x:c>
      <x:c r="J2599" s="27" t="str">
        <x:f>IF(AND(ISNUMBER(G2599),F2599&gt;0),G2599/F2599-1,"")</x:f>
      </x:c>
      <x:c r="K2599" s="19" t="str">
        <x:v>Exp_9/EXP079/results/seed1018_Relative_cutoff_1e-2.json</x:v>
      </x:c>
    </x:row>
    <x:row r="2600" ht="15" hidden="0" customHeight="1">
      <x:c r="A2600" s="3" t="str">
        <x:v>EXP079</x:v>
      </x:c>
      <x:c r="B2600" s="3" t="str">
        <x:v>Exp. 9</x:v>
      </x:c>
      <x:c r="C2600" s="18" t="n">
        <x:v>1019</x:v>
      </x:c>
      <x:c r="D2600" s="3" t="str">
        <x:v>Fixed rank 10</x:v>
      </x:c>
      <x:c r="E2600" s="18" t="n">
        <x:v>200</x:v>
      </x:c>
      <x:c r="F2600" s="21" t="n">
        <x:v>519.3251491011513</x:v>
      </x:c>
      <x:c r="G2600" s="21" t="str">
        <x:f>""</x:f>
      </x:c>
      <x:c r="H2600" s="21" t="n">
        <x:f>F2603</x:f>
        <x:v>499.86994505818626</x:v>
      </x:c>
      <x:c r="I2600" s="27" t="str">
        <x:f>IF(AND(ISNUMBER(G2600),ISNUMBER(H2600),H2600&gt;0),G2600/H2600-1,"")</x:f>
      </x:c>
      <x:c r="J2600" s="27" t="str">
        <x:f>IF(AND(ISNUMBER(G2600),F2600&gt;0),G2600/F2600-1,"")</x:f>
      </x:c>
      <x:c r="K2600" s="19" t="str">
        <x:v>Exp_9/EXP079/results/seed1019_Fixed_rank_10.json</x:v>
      </x:c>
    </x:row>
    <x:row r="2601" ht="15" hidden="0" customHeight="1">
      <x:c r="A2601" s="3" t="str">
        <x:v>EXP079</x:v>
      </x:c>
      <x:c r="B2601" s="3" t="str">
        <x:v>Exp. 9</x:v>
      </x:c>
      <x:c r="C2601" s="18" t="n">
        <x:v>1019</x:v>
      </x:c>
      <x:c r="D2601" s="3" t="str">
        <x:v>Fixed rank 3</x:v>
      </x:c>
      <x:c r="E2601" s="18" t="n">
        <x:v>200</x:v>
      </x:c>
      <x:c r="F2601" s="21" t="n">
        <x:v>500.39718879580755</x:v>
      </x:c>
      <x:c r="G2601" s="21" t="str">
        <x:f>""</x:f>
      </x:c>
      <x:c r="H2601" s="21" t="n">
        <x:f>F2603</x:f>
        <x:v>499.86994505818626</x:v>
      </x:c>
      <x:c r="I2601" s="27" t="str">
        <x:f>IF(AND(ISNUMBER(G2601),ISNUMBER(H2601),H2601&gt;0),G2601/H2601-1,"")</x:f>
      </x:c>
      <x:c r="J2601" s="27" t="str">
        <x:f>IF(AND(ISNUMBER(G2601),F2601&gt;0),G2601/F2601-1,"")</x:f>
      </x:c>
      <x:c r="K2601" s="19" t="str">
        <x:v>Exp_9/EXP079/results/seed1019_Fixed_rank_3.json</x:v>
      </x:c>
    </x:row>
    <x:row r="2602" ht="15" hidden="0" customHeight="1">
      <x:c r="A2602" s="3" t="str">
        <x:v>EXP079</x:v>
      </x:c>
      <x:c r="B2602" s="3" t="str">
        <x:v>Exp. 9</x:v>
      </x:c>
      <x:c r="C2602" s="18" t="n">
        <x:v>1019</x:v>
      </x:c>
      <x:c r="D2602" s="3" t="str">
        <x:v>Fixed rank 5</x:v>
      </x:c>
      <x:c r="E2602" s="18" t="n">
        <x:v>200</x:v>
      </x:c>
      <x:c r="F2602" s="21" t="n">
        <x:v>519.3251491011513</x:v>
      </x:c>
      <x:c r="G2602" s="21" t="str">
        <x:f>""</x:f>
      </x:c>
      <x:c r="H2602" s="21" t="n">
        <x:f>F2603</x:f>
        <x:v>499.86994505818626</x:v>
      </x:c>
      <x:c r="I2602" s="27" t="str">
        <x:f>IF(AND(ISNUMBER(G2602),ISNUMBER(H2602),H2602&gt;0),G2602/H2602-1,"")</x:f>
      </x:c>
      <x:c r="J2602" s="27" t="str">
        <x:f>IF(AND(ISNUMBER(G2602),F2602&gt;0),G2602/F2602-1,"")</x:f>
      </x:c>
      <x:c r="K2602" s="19" t="str">
        <x:v>Exp_9/EXP079/results/seed1019_Fixed_rank_5.json</x:v>
      </x:c>
    </x:row>
    <x:row r="2603" ht="15" hidden="0" customHeight="1">
      <x:c r="A2603" s="3" t="str">
        <x:v>EXP079</x:v>
      </x:c>
      <x:c r="B2603" s="3" t="str">
        <x:v>Exp. 9</x:v>
      </x:c>
      <x:c r="C2603" s="18" t="n">
        <x:v>1019</x:v>
      </x:c>
      <x:c r="D2603" s="3" t="str">
        <x:v>Full</x:v>
      </x:c>
      <x:c r="E2603" s="18" t="n">
        <x:v>200</x:v>
      </x:c>
      <x:c r="F2603" s="21" t="n">
        <x:v>499.86994505818626</x:v>
      </x:c>
      <x:c r="G2603" s="21" t="str">
        <x:f>""</x:f>
      </x:c>
      <x:c r="H2603" s="21" t="n">
        <x:f>F2603</x:f>
        <x:v>499.86994505818626</x:v>
      </x:c>
      <x:c r="I2603" s="27" t="str">
        <x:f>IF(AND(ISNUMBER(G2603),ISNUMBER(H2603),H2603&gt;0),G2603/H2603-1,"")</x:f>
      </x:c>
      <x:c r="J2603" s="27" t="str">
        <x:f>IF(AND(ISNUMBER(G2603),F2603&gt;0),G2603/F2603-1,"")</x:f>
      </x:c>
      <x:c r="K2603" s="19" t="str">
        <x:v>Exp_9/EXP079/results/seed1019_Full.json</x:v>
      </x:c>
    </x:row>
    <x:row r="2604" ht="15" hidden="0" customHeight="1">
      <x:c r="A2604" s="3" t="str">
        <x:v>EXP079</x:v>
      </x:c>
      <x:c r="B2604" s="3" t="str">
        <x:v>Exp. 9</x:v>
      </x:c>
      <x:c r="C2604" s="18" t="n">
        <x:v>1019</x:v>
      </x:c>
      <x:c r="D2604" s="3" t="str">
        <x:v>Relative cutoff 1e-2</x:v>
      </x:c>
      <x:c r="E2604" s="18" t="n">
        <x:v>200</x:v>
      </x:c>
      <x:c r="F2604" s="21" t="n">
        <x:v>537.3434301175217</x:v>
      </x:c>
      <x:c r="G2604" s="21" t="str">
        <x:f>""</x:f>
      </x:c>
      <x:c r="H2604" s="21" t="n">
        <x:f>F2603</x:f>
        <x:v>499.86994505818626</x:v>
      </x:c>
      <x:c r="I2604" s="27" t="str">
        <x:f>IF(AND(ISNUMBER(G2604),ISNUMBER(H2604),H2604&gt;0),G2604/H2604-1,"")</x:f>
      </x:c>
      <x:c r="J2604" s="27" t="str">
        <x:f>IF(AND(ISNUMBER(G2604),F2604&gt;0),G2604/F2604-1,"")</x:f>
      </x:c>
      <x:c r="K2604" s="19" t="str">
        <x:v>Exp_9/EXP079/results/seed1019_Relative_cutoff_1e-2.json</x:v>
      </x:c>
    </x:row>
    <x:row r="2605" ht="15" hidden="0" customHeight="1">
      <x:c r="A2605" s="3" t="str">
        <x:v>EXP083</x:v>
      </x:c>
      <x:c r="B2605" s="3" t="str">
        <x:v>Exp. 10</x:v>
      </x:c>
      <x:c r="C2605" s="18" t="n">
        <x:v>20284363</x:v>
      </x:c>
      <x:c r="D2605" s="3" t="str">
        <x:v>BBP</x:v>
      </x:c>
      <x:c r="E2605" s="18" t="n">
        <x:v>200</x:v>
      </x:c>
      <x:c r="F2605" s="21" t="n">
        <x:v>317.5747534697689</x:v>
      </x:c>
      <x:c r="G2605" s="21" t="n">
        <x:f>F2605</x:f>
        <x:v>317.5747534697689</x:v>
      </x:c>
      <x:c r="H2605" s="21" t="n">
        <x:f>F2610</x:f>
        <x:v>317.5747534697689</x:v>
      </x:c>
      <x:c r="I2605" s="27" t="n">
        <x:f>IF(AND(ISNUMBER(G2605),ISNUMBER(H2605),H2605&gt;0),G2605/H2605-1,"")</x:f>
        <x:v>0</x:v>
      </x:c>
      <x:c r="J2605" s="27" t="n">
        <x:f>IF(AND(ISNUMBER(G2605),F2605&gt;0),G2605/F2605-1,"")</x:f>
        <x:v>0</x:v>
      </x:c>
      <x:c r="K2605" s="19" t="str">
        <x:v>Exp_10/EXP083/results/seed20284363_BBP.json</x:v>
      </x:c>
    </x:row>
    <x:row r="2606" ht="15" hidden="0" customHeight="1">
      <x:c r="A2606" s="3" t="str">
        <x:v>EXP083</x:v>
      </x:c>
      <x:c r="B2606" s="3" t="str">
        <x:v>Exp. 10</x:v>
      </x:c>
      <x:c r="C2606" s="18" t="n">
        <x:v>20284363</x:v>
      </x:c>
      <x:c r="D2606" s="3" t="str">
        <x:v>Relative cutoff 1e-5</x:v>
      </x:c>
      <x:c r="E2606" s="18" t="n">
        <x:v>200</x:v>
      </x:c>
      <x:c r="F2606" s="21" t="n">
        <x:v>317.5747534697689</x:v>
      </x:c>
      <x:c r="G2606" s="21" t="n">
        <x:f>F2605</x:f>
        <x:v>317.5747534697689</x:v>
      </x:c>
      <x:c r="H2606" s="21" t="n">
        <x:f>F2610</x:f>
        <x:v>317.5747534697689</x:v>
      </x:c>
      <x:c r="I2606" s="27" t="n">
        <x:f>IF(AND(ISNUMBER(G2606),ISNUMBER(H2606),H2606&gt;0),G2606/H2606-1,"")</x:f>
        <x:v>0</x:v>
      </x:c>
      <x:c r="J2606" s="27" t="n">
        <x:f>IF(AND(ISNUMBER(G2606),F2606&gt;0),G2606/F2606-1,"")</x:f>
        <x:v>0</x:v>
      </x:c>
      <x:c r="K2606" s="19" t="str">
        <x:v>Exp_10/EXP083/results/seed20284363_Relative_cutoff_1e-5.json</x:v>
      </x:c>
    </x:row>
    <x:row r="2607" ht="15" hidden="0" customHeight="1">
      <x:c r="A2607" s="3" t="str">
        <x:v>EXP083</x:v>
      </x:c>
      <x:c r="B2607" s="3" t="str">
        <x:v>Exp. 10</x:v>
      </x:c>
      <x:c r="C2607" s="18" t="n">
        <x:v>20284363</x:v>
      </x:c>
      <x:c r="D2607" s="3" t="str">
        <x:v>Fixed rank 10</x:v>
      </x:c>
      <x:c r="E2607" s="18" t="n">
        <x:v>200</x:v>
      </x:c>
      <x:c r="F2607" s="21" t="n">
        <x:v>306.1940136062582</x:v>
      </x:c>
      <x:c r="G2607" s="21" t="n">
        <x:f>F2605</x:f>
        <x:v>317.5747534697689</x:v>
      </x:c>
      <x:c r="H2607" s="21" t="n">
        <x:f>F2610</x:f>
        <x:v>317.5747534697689</x:v>
      </x:c>
      <x:c r="I2607" s="27" t="n">
        <x:f>IF(AND(ISNUMBER(G2607),ISNUMBER(H2607),H2607&gt;0),G2607/H2607-1,"")</x:f>
        <x:v>0</x:v>
      </x:c>
      <x:c r="J2607" s="27" t="n">
        <x:f>IF(AND(ISNUMBER(G2607),F2607&gt;0),G2607/F2607-1,"")</x:f>
        <x:v>0.03716839440938724</x:v>
      </x:c>
      <x:c r="K2607" s="19" t="str">
        <x:v>Exp_10/EXP083/results/seed20284363_Fixed_rank_10.json</x:v>
      </x:c>
    </x:row>
    <x:row r="2608" ht="15" hidden="0" customHeight="1">
      <x:c r="A2608" s="3" t="str">
        <x:v>EXP083</x:v>
      </x:c>
      <x:c r="B2608" s="3" t="str">
        <x:v>Exp. 10</x:v>
      </x:c>
      <x:c r="C2608" s="18" t="n">
        <x:v>20284363</x:v>
      </x:c>
      <x:c r="D2608" s="3" t="str">
        <x:v>Fixed rank 25</x:v>
      </x:c>
      <x:c r="E2608" s="18" t="n">
        <x:v>200</x:v>
      </x:c>
      <x:c r="F2608" s="21" t="n">
        <x:v>317.5747534697689</x:v>
      </x:c>
      <x:c r="G2608" s="21" t="n">
        <x:f>F2605</x:f>
        <x:v>317.5747534697689</x:v>
      </x:c>
      <x:c r="H2608" s="21" t="n">
        <x:f>F2610</x:f>
        <x:v>317.5747534697689</x:v>
      </x:c>
      <x:c r="I2608" s="27" t="n">
        <x:f>IF(AND(ISNUMBER(G2608),ISNUMBER(H2608),H2608&gt;0),G2608/H2608-1,"")</x:f>
        <x:v>0</x:v>
      </x:c>
      <x:c r="J2608" s="27" t="n">
        <x:f>IF(AND(ISNUMBER(G2608),F2608&gt;0),G2608/F2608-1,"")</x:f>
        <x:v>0</x:v>
      </x:c>
      <x:c r="K2608" s="19" t="str">
        <x:v>Exp_10/EXP083/results/seed20284363_Fixed_rank_25.json</x:v>
      </x:c>
    </x:row>
    <x:row r="2609" ht="15" hidden="0" customHeight="1">
      <x:c r="A2609" s="3" t="str">
        <x:v>EXP083</x:v>
      </x:c>
      <x:c r="B2609" s="3" t="str">
        <x:v>Exp. 10</x:v>
      </x:c>
      <x:c r="C2609" s="18" t="n">
        <x:v>20284363</x:v>
      </x:c>
      <x:c r="D2609" s="3" t="str">
        <x:v>Relative cutoff 1e-6</x:v>
      </x:c>
      <x:c r="E2609" s="18" t="n">
        <x:v>200</x:v>
      </x:c>
      <x:c r="F2609" s="21" t="n">
        <x:v>317.5747534697689</x:v>
      </x:c>
      <x:c r="G2609" s="21" t="n">
        <x:f>F2605</x:f>
        <x:v>317.5747534697689</x:v>
      </x:c>
      <x:c r="H2609" s="21" t="n">
        <x:f>F2610</x:f>
        <x:v>317.5747534697689</x:v>
      </x:c>
      <x:c r="I2609" s="27" t="n">
        <x:f>IF(AND(ISNUMBER(G2609),ISNUMBER(H2609),H2609&gt;0),G2609/H2609-1,"")</x:f>
        <x:v>0</x:v>
      </x:c>
      <x:c r="J2609" s="27" t="n">
        <x:f>IF(AND(ISNUMBER(G2609),F2609&gt;0),G2609/F2609-1,"")</x:f>
        <x:v>0</x:v>
      </x:c>
      <x:c r="K2609" s="19" t="str">
        <x:v>Exp_10/EXP083/results/seed20284363_Relative_cutoff_1e-6.json</x:v>
      </x:c>
    </x:row>
    <x:row r="2610" ht="15" hidden="0" customHeight="1">
      <x:c r="A2610" s="3" t="str">
        <x:v>EXP083</x:v>
      </x:c>
      <x:c r="B2610" s="3" t="str">
        <x:v>Exp. 10</x:v>
      </x:c>
      <x:c r="C2610" s="18" t="n">
        <x:v>20284363</x:v>
      </x:c>
      <x:c r="D2610" s="3" t="str">
        <x:v>Full</x:v>
      </x:c>
      <x:c r="E2610" s="18" t="n">
        <x:v>200</x:v>
      </x:c>
      <x:c r="F2610" s="21" t="n">
        <x:v>317.5747534697689</x:v>
      </x:c>
      <x:c r="G2610" s="21" t="n">
        <x:f>F2605</x:f>
        <x:v>317.5747534697689</x:v>
      </x:c>
      <x:c r="H2610" s="21" t="n">
        <x:f>F2610</x:f>
        <x:v>317.5747534697689</x:v>
      </x:c>
      <x:c r="I2610" s="27" t="n">
        <x:f>IF(AND(ISNUMBER(G2610),ISNUMBER(H2610),H2610&gt;0),G2610/H2610-1,"")</x:f>
        <x:v>0</x:v>
      </x:c>
      <x:c r="J2610" s="27" t="n">
        <x:f>IF(AND(ISNUMBER(G2610),F2610&gt;0),G2610/F2610-1,"")</x:f>
        <x:v>0</x:v>
      </x:c>
      <x:c r="K2610" s="19" t="str">
        <x:v>Exp_10/EXP083/results/seed20284363_Full.json</x:v>
      </x:c>
    </x:row>
    <x:row r="2611" ht="15" hidden="0" customHeight="1">
      <x:c r="A2611" s="3" t="str">
        <x:v>EXP083</x:v>
      </x:c>
      <x:c r="B2611" s="3" t="str">
        <x:v>Exp. 10</x:v>
      </x:c>
      <x:c r="C2611" s="18" t="n">
        <x:v>20284363</x:v>
      </x:c>
      <x:c r="D2611" s="3" t="str">
        <x:v>Relative cutoff 1e-2</x:v>
      </x:c>
      <x:c r="E2611" s="18" t="n">
        <x:v>200</x:v>
      </x:c>
      <x:c r="F2611" s="21" t="n">
        <x:v>315.5076862311325</x:v>
      </x:c>
      <x:c r="G2611" s="21" t="n">
        <x:f>F2605</x:f>
        <x:v>317.5747534697689</x:v>
      </x:c>
      <x:c r="H2611" s="21" t="n">
        <x:f>F2610</x:f>
        <x:v>317.5747534697689</x:v>
      </x:c>
      <x:c r="I2611" s="27" t="n">
        <x:f>IF(AND(ISNUMBER(G2611),ISNUMBER(H2611),H2611&gt;0),G2611/H2611-1,"")</x:f>
        <x:v>0</x:v>
      </x:c>
      <x:c r="J2611" s="27" t="n">
        <x:f>IF(AND(ISNUMBER(G2611),F2611&gt;0),G2611/F2611-1,"")</x:f>
        <x:v>0.006551559054957856</x:v>
      </x:c>
      <x:c r="K2611" s="19" t="str">
        <x:v>Exp_10/EXP083/results/seed20284363_Relative_cutoff_1e-2.json</x:v>
      </x:c>
    </x:row>
    <x:row r="2612" ht="15" hidden="0" customHeight="1">
      <x:c r="A2612" s="3" t="str">
        <x:v>EXP083</x:v>
      </x:c>
      <x:c r="B2612" s="3" t="str">
        <x:v>Exp. 10</x:v>
      </x:c>
      <x:c r="C2612" s="18" t="n">
        <x:v>20284363</x:v>
      </x:c>
      <x:c r="D2612" s="3" t="str">
        <x:v>Relative cutoff 1e-4</x:v>
      </x:c>
      <x:c r="E2612" s="18" t="n">
        <x:v>200</x:v>
      </x:c>
      <x:c r="F2612" s="21" t="n">
        <x:v>306.1940136062582</x:v>
      </x:c>
      <x:c r="G2612" s="21" t="n">
        <x:f>F2605</x:f>
        <x:v>317.5747534697689</x:v>
      </x:c>
      <x:c r="H2612" s="21" t="n">
        <x:f>F2610</x:f>
        <x:v>317.5747534697689</x:v>
      </x:c>
      <x:c r="I2612" s="27" t="n">
        <x:f>IF(AND(ISNUMBER(G2612),ISNUMBER(H2612),H2612&gt;0),G2612/H2612-1,"")</x:f>
        <x:v>0</x:v>
      </x:c>
      <x:c r="J2612" s="27" t="n">
        <x:f>IF(AND(ISNUMBER(G2612),F2612&gt;0),G2612/F2612-1,"")</x:f>
        <x:v>0.03716839440938724</x:v>
      </x:c>
      <x:c r="K2612" s="19" t="str">
        <x:v>Exp_10/EXP083/results/seed20284363_Relative_cutoff_1e-4.json</x:v>
      </x:c>
    </x:row>
    <x:row r="2613" ht="15" hidden="0" customHeight="1">
      <x:c r="A2613" s="3" t="str">
        <x:v>EXP083</x:v>
      </x:c>
      <x:c r="B2613" s="3" t="str">
        <x:v>Exp. 10</x:v>
      </x:c>
      <x:c r="C2613" s="18" t="n">
        <x:v>151801615</x:v>
      </x:c>
      <x:c r="D2613" s="3" t="str">
        <x:v>BBP</x:v>
      </x:c>
      <x:c r="E2613" s="18" t="n">
        <x:v>200</x:v>
      </x:c>
      <x:c r="F2613" s="21" t="n">
        <x:v>396.7243877159425</x:v>
      </x:c>
      <x:c r="G2613" s="21" t="n">
        <x:f>F2613</x:f>
        <x:v>396.7243877159425</x:v>
      </x:c>
      <x:c r="H2613" s="21" t="n">
        <x:f>F2618</x:f>
        <x:v>396.7243877159425</x:v>
      </x:c>
      <x:c r="I2613" s="27" t="n">
        <x:f>IF(AND(ISNUMBER(G2613),ISNUMBER(H2613),H2613&gt;0),G2613/H2613-1,"")</x:f>
        <x:v>0</x:v>
      </x:c>
      <x:c r="J2613" s="27" t="n">
        <x:f>IF(AND(ISNUMBER(G2613),F2613&gt;0),G2613/F2613-1,"")</x:f>
        <x:v>0</x:v>
      </x:c>
      <x:c r="K2613" s="19" t="str">
        <x:v>Exp_10/EXP083/results/seed151801615_BBP.json</x:v>
      </x:c>
    </x:row>
    <x:row r="2614" ht="15" hidden="0" customHeight="1">
      <x:c r="A2614" s="3" t="str">
        <x:v>EXP083</x:v>
      </x:c>
      <x:c r="B2614" s="3" t="str">
        <x:v>Exp. 10</x:v>
      </x:c>
      <x:c r="C2614" s="18" t="n">
        <x:v>151801615</x:v>
      </x:c>
      <x:c r="D2614" s="3" t="str">
        <x:v>Relative cutoff 1e-5</x:v>
      </x:c>
      <x:c r="E2614" s="18" t="n">
        <x:v>200</x:v>
      </x:c>
      <x:c r="F2614" s="21" t="n">
        <x:v>396.7243877159425</x:v>
      </x:c>
      <x:c r="G2614" s="21" t="n">
        <x:f>F2613</x:f>
        <x:v>396.7243877159425</x:v>
      </x:c>
      <x:c r="H2614" s="21" t="n">
        <x:f>F2618</x:f>
        <x:v>396.7243877159425</x:v>
      </x:c>
      <x:c r="I2614" s="27" t="n">
        <x:f>IF(AND(ISNUMBER(G2614),ISNUMBER(H2614),H2614&gt;0),G2614/H2614-1,"")</x:f>
        <x:v>0</x:v>
      </x:c>
      <x:c r="J2614" s="27" t="n">
        <x:f>IF(AND(ISNUMBER(G2614),F2614&gt;0),G2614/F2614-1,"")</x:f>
        <x:v>0</x:v>
      </x:c>
      <x:c r="K2614" s="19" t="str">
        <x:v>Exp_10/EXP083/results/seed151801615_Relative_cutoff_1e-5.json</x:v>
      </x:c>
    </x:row>
    <x:row r="2615" ht="15" hidden="0" customHeight="1">
      <x:c r="A2615" s="3" t="str">
        <x:v>EXP083</x:v>
      </x:c>
      <x:c r="B2615" s="3" t="str">
        <x:v>Exp. 10</x:v>
      </x:c>
      <x:c r="C2615" s="18" t="n">
        <x:v>151801615</x:v>
      </x:c>
      <x:c r="D2615" s="3" t="str">
        <x:v>Fixed rank 10</x:v>
      </x:c>
      <x:c r="E2615" s="18" t="n">
        <x:v>200</x:v>
      </x:c>
      <x:c r="F2615" s="21" t="n">
        <x:v>396.7243877159425</x:v>
      </x:c>
      <x:c r="G2615" s="21" t="n">
        <x:f>F2613</x:f>
        <x:v>396.7243877159425</x:v>
      </x:c>
      <x:c r="H2615" s="21" t="n">
        <x:f>F2618</x:f>
        <x:v>396.7243877159425</x:v>
      </x:c>
      <x:c r="I2615" s="27" t="n">
        <x:f>IF(AND(ISNUMBER(G2615),ISNUMBER(H2615),H2615&gt;0),G2615/H2615-1,"")</x:f>
        <x:v>0</x:v>
      </x:c>
      <x:c r="J2615" s="27" t="n">
        <x:f>IF(AND(ISNUMBER(G2615),F2615&gt;0),G2615/F2615-1,"")</x:f>
        <x:v>0</x:v>
      </x:c>
      <x:c r="K2615" s="19" t="str">
        <x:v>Exp_10/EXP083/results/seed151801615_Fixed_rank_10.json</x:v>
      </x:c>
    </x:row>
    <x:row r="2616" ht="15" hidden="0" customHeight="1">
      <x:c r="A2616" s="3" t="str">
        <x:v>EXP083</x:v>
      </x:c>
      <x:c r="B2616" s="3" t="str">
        <x:v>Exp. 10</x:v>
      </x:c>
      <x:c r="C2616" s="18" t="n">
        <x:v>151801615</x:v>
      </x:c>
      <x:c r="D2616" s="3" t="str">
        <x:v>Fixed rank 25</x:v>
      </x:c>
      <x:c r="E2616" s="18" t="n">
        <x:v>200</x:v>
      </x:c>
      <x:c r="F2616" s="21" t="n">
        <x:v>396.7243877159425</x:v>
      </x:c>
      <x:c r="G2616" s="21" t="n">
        <x:f>F2613</x:f>
        <x:v>396.7243877159425</x:v>
      </x:c>
      <x:c r="H2616" s="21" t="n">
        <x:f>F2618</x:f>
        <x:v>396.7243877159425</x:v>
      </x:c>
      <x:c r="I2616" s="27" t="n">
        <x:f>IF(AND(ISNUMBER(G2616),ISNUMBER(H2616),H2616&gt;0),G2616/H2616-1,"")</x:f>
        <x:v>0</x:v>
      </x:c>
      <x:c r="J2616" s="27" t="n">
        <x:f>IF(AND(ISNUMBER(G2616),F2616&gt;0),G2616/F2616-1,"")</x:f>
        <x:v>0</x:v>
      </x:c>
      <x:c r="K2616" s="19" t="str">
        <x:v>Exp_10/EXP083/results/seed151801615_Fixed_rank_25.json</x:v>
      </x:c>
    </x:row>
    <x:row r="2617" ht="15" hidden="0" customHeight="1">
      <x:c r="A2617" s="3" t="str">
        <x:v>EXP083</x:v>
      </x:c>
      <x:c r="B2617" s="3" t="str">
        <x:v>Exp. 10</x:v>
      </x:c>
      <x:c r="C2617" s="18" t="n">
        <x:v>151801615</x:v>
      </x:c>
      <x:c r="D2617" s="3" t="str">
        <x:v>Relative cutoff 1e-6</x:v>
      </x:c>
      <x:c r="E2617" s="18" t="n">
        <x:v>200</x:v>
      </x:c>
      <x:c r="F2617" s="21" t="n">
        <x:v>396.7243877159425</x:v>
      </x:c>
      <x:c r="G2617" s="21" t="n">
        <x:f>F2613</x:f>
        <x:v>396.7243877159425</x:v>
      </x:c>
      <x:c r="H2617" s="21" t="n">
        <x:f>F2618</x:f>
        <x:v>396.7243877159425</x:v>
      </x:c>
      <x:c r="I2617" s="27" t="n">
        <x:f>IF(AND(ISNUMBER(G2617),ISNUMBER(H2617),H2617&gt;0),G2617/H2617-1,"")</x:f>
        <x:v>0</x:v>
      </x:c>
      <x:c r="J2617" s="27" t="n">
        <x:f>IF(AND(ISNUMBER(G2617),F2617&gt;0),G2617/F2617-1,"")</x:f>
        <x:v>0</x:v>
      </x:c>
      <x:c r="K2617" s="19" t="str">
        <x:v>Exp_10/EXP083/results/seed151801615_Relative_cutoff_1e-6.json</x:v>
      </x:c>
    </x:row>
    <x:row r="2618" ht="15" hidden="0" customHeight="1">
      <x:c r="A2618" s="3" t="str">
        <x:v>EXP083</x:v>
      </x:c>
      <x:c r="B2618" s="3" t="str">
        <x:v>Exp. 10</x:v>
      </x:c>
      <x:c r="C2618" s="18" t="n">
        <x:v>151801615</x:v>
      </x:c>
      <x:c r="D2618" s="3" t="str">
        <x:v>Full</x:v>
      </x:c>
      <x:c r="E2618" s="18" t="n">
        <x:v>200</x:v>
      </x:c>
      <x:c r="F2618" s="21" t="n">
        <x:v>396.7243877159425</x:v>
      </x:c>
      <x:c r="G2618" s="21" t="n">
        <x:f>F2613</x:f>
        <x:v>396.7243877159425</x:v>
      </x:c>
      <x:c r="H2618" s="21" t="n">
        <x:f>F2618</x:f>
        <x:v>396.7243877159425</x:v>
      </x:c>
      <x:c r="I2618" s="27" t="n">
        <x:f>IF(AND(ISNUMBER(G2618),ISNUMBER(H2618),H2618&gt;0),G2618/H2618-1,"")</x:f>
        <x:v>0</x:v>
      </x:c>
      <x:c r="J2618" s="27" t="n">
        <x:f>IF(AND(ISNUMBER(G2618),F2618&gt;0),G2618/F2618-1,"")</x:f>
        <x:v>0</x:v>
      </x:c>
      <x:c r="K2618" s="19" t="str">
        <x:v>Exp_10/EXP083/results/seed151801615_Full.json</x:v>
      </x:c>
    </x:row>
    <x:row r="2619" ht="15" hidden="0" customHeight="1">
      <x:c r="A2619" s="3" t="str">
        <x:v>EXP083</x:v>
      </x:c>
      <x:c r="B2619" s="3" t="str">
        <x:v>Exp. 10</x:v>
      </x:c>
      <x:c r="C2619" s="18" t="n">
        <x:v>151801615</x:v>
      </x:c>
      <x:c r="D2619" s="3" t="str">
        <x:v>Relative cutoff 1e-2</x:v>
      </x:c>
      <x:c r="E2619" s="18" t="n">
        <x:v>200</x:v>
      </x:c>
      <x:c r="F2619" s="21" t="n">
        <x:v>405.17947580692964</x:v>
      </x:c>
      <x:c r="G2619" s="21" t="n">
        <x:f>F2613</x:f>
        <x:v>396.7243877159425</x:v>
      </x:c>
      <x:c r="H2619" s="21" t="n">
        <x:f>F2618</x:f>
        <x:v>396.7243877159425</x:v>
      </x:c>
      <x:c r="I2619" s="27" t="n">
        <x:f>IF(AND(ISNUMBER(G2619),ISNUMBER(H2619),H2619&gt;0),G2619/H2619-1,"")</x:f>
        <x:v>0</x:v>
      </x:c>
      <x:c r="J2619" s="27" t="n">
        <x:f>IF(AND(ISNUMBER(G2619),F2619&gt;0),G2619/F2619-1,"")</x:f>
        <x:v>-0.020867513277044725</x:v>
      </x:c>
      <x:c r="K2619" s="19" t="str">
        <x:v>Exp_10/EXP083/results/seed151801615_Relative_cutoff_1e-2.json</x:v>
      </x:c>
    </x:row>
    <x:row r="2620" ht="15" hidden="0" customHeight="1">
      <x:c r="A2620" s="3" t="str">
        <x:v>EXP083</x:v>
      </x:c>
      <x:c r="B2620" s="3" t="str">
        <x:v>Exp. 10</x:v>
      </x:c>
      <x:c r="C2620" s="18" t="n">
        <x:v>151801615</x:v>
      </x:c>
      <x:c r="D2620" s="3" t="str">
        <x:v>Relative cutoff 1e-4</x:v>
      </x:c>
      <x:c r="E2620" s="18" t="n">
        <x:v>200</x:v>
      </x:c>
      <x:c r="F2620" s="21" t="n">
        <x:v>396.7243877159425</x:v>
      </x:c>
      <x:c r="G2620" s="21" t="n">
        <x:f>F2613</x:f>
        <x:v>396.7243877159425</x:v>
      </x:c>
      <x:c r="H2620" s="21" t="n">
        <x:f>F2618</x:f>
        <x:v>396.7243877159425</x:v>
      </x:c>
      <x:c r="I2620" s="27" t="n">
        <x:f>IF(AND(ISNUMBER(G2620),ISNUMBER(H2620),H2620&gt;0),G2620/H2620-1,"")</x:f>
        <x:v>0</x:v>
      </x:c>
      <x:c r="J2620" s="27" t="n">
        <x:f>IF(AND(ISNUMBER(G2620),F2620&gt;0),G2620/F2620-1,"")</x:f>
        <x:v>0</x:v>
      </x:c>
      <x:c r="K2620" s="19" t="str">
        <x:v>Exp_10/EXP083/results/seed151801615_Relative_cutoff_1e-4.json</x:v>
      </x:c>
    </x:row>
    <x:row r="2621" ht="15" hidden="0" customHeight="1">
      <x:c r="A2621" s="3" t="str">
        <x:v>EXP083</x:v>
      </x:c>
      <x:c r="B2621" s="3" t="str">
        <x:v>Exp. 10</x:v>
      </x:c>
      <x:c r="C2621" s="18" t="n">
        <x:v>159359747</x:v>
      </x:c>
      <x:c r="D2621" s="3" t="str">
        <x:v>BBP</x:v>
      </x:c>
      <x:c r="E2621" s="18" t="n">
        <x:v>200</x:v>
      </x:c>
      <x:c r="F2621" s="21" t="n">
        <x:v>375.29808542809275</x:v>
      </x:c>
      <x:c r="G2621" s="21" t="n">
        <x:f>F2621</x:f>
        <x:v>375.29808542809275</x:v>
      </x:c>
      <x:c r="H2621" s="21" t="n">
        <x:f>F2626</x:f>
        <x:v>375.37188440744814</x:v>
      </x:c>
      <x:c r="I2621" s="27" t="n">
        <x:f>IF(AND(ISNUMBER(G2621),ISNUMBER(H2621),H2621&gt;0),G2621/H2621-1,"")</x:f>
        <x:v>-0.0001966023093921132</x:v>
      </x:c>
      <x:c r="J2621" s="27" t="n">
        <x:f>IF(AND(ISNUMBER(G2621),F2621&gt;0),G2621/F2621-1,"")</x:f>
        <x:v>0</x:v>
      </x:c>
      <x:c r="K2621" s="19" t="str">
        <x:v>Exp_10/EXP083/results/seed159359747_BBP.json</x:v>
      </x:c>
    </x:row>
    <x:row r="2622" ht="15" hidden="0" customHeight="1">
      <x:c r="A2622" s="3" t="str">
        <x:v>EXP083</x:v>
      </x:c>
      <x:c r="B2622" s="3" t="str">
        <x:v>Exp. 10</x:v>
      </x:c>
      <x:c r="C2622" s="18" t="n">
        <x:v>159359747</x:v>
      </x:c>
      <x:c r="D2622" s="3" t="str">
        <x:v>Relative cutoff 1e-5</x:v>
      </x:c>
      <x:c r="E2622" s="18" t="n">
        <x:v>200</x:v>
      </x:c>
      <x:c r="F2622" s="21" t="n">
        <x:v>385.3043079987325</x:v>
      </x:c>
      <x:c r="G2622" s="21" t="n">
        <x:f>F2621</x:f>
        <x:v>375.29808542809275</x:v>
      </x:c>
      <x:c r="H2622" s="21" t="n">
        <x:f>F2626</x:f>
        <x:v>375.37188440744814</x:v>
      </x:c>
      <x:c r="I2622" s="27" t="n">
        <x:f>IF(AND(ISNUMBER(G2622),ISNUMBER(H2622),H2622&gt;0),G2622/H2622-1,"")</x:f>
        <x:v>-0.0001966023093921132</x:v>
      </x:c>
      <x:c r="J2622" s="27" t="n">
        <x:f>IF(AND(ISNUMBER(G2622),F2622&gt;0),G2622/F2622-1,"")</x:f>
        <x:v>-0.02596966180474858</x:v>
      </x:c>
      <x:c r="K2622" s="19" t="str">
        <x:v>Exp_10/EXP083/results/seed159359747_Relative_cutoff_1e-5.json</x:v>
      </x:c>
    </x:row>
    <x:row r="2623" ht="15" hidden="0" customHeight="1">
      <x:c r="A2623" s="3" t="str">
        <x:v>EXP083</x:v>
      </x:c>
      <x:c r="B2623" s="3" t="str">
        <x:v>Exp. 10</x:v>
      </x:c>
      <x:c r="C2623" s="18" t="n">
        <x:v>159359747</x:v>
      </x:c>
      <x:c r="D2623" s="3" t="str">
        <x:v>Fixed rank 10</x:v>
      </x:c>
      <x:c r="E2623" s="18" t="n">
        <x:v>200</x:v>
      </x:c>
      <x:c r="F2623" s="21" t="n">
        <x:v>381.6474506870462</x:v>
      </x:c>
      <x:c r="G2623" s="21" t="n">
        <x:f>F2621</x:f>
        <x:v>375.29808542809275</x:v>
      </x:c>
      <x:c r="H2623" s="21" t="n">
        <x:f>F2626</x:f>
        <x:v>375.37188440744814</x:v>
      </x:c>
      <x:c r="I2623" s="27" t="n">
        <x:f>IF(AND(ISNUMBER(G2623),ISNUMBER(H2623),H2623&gt;0),G2623/H2623-1,"")</x:f>
        <x:v>-0.0001966023093921132</x:v>
      </x:c>
      <x:c r="J2623" s="27" t="n">
        <x:f>IF(AND(ISNUMBER(G2623),F2623&gt;0),G2623/F2623-1,"")</x:f>
        <x:v>-0.016636729126641048</x:v>
      </x:c>
      <x:c r="K2623" s="19" t="str">
        <x:v>Exp_10/EXP083/results/seed159359747_Fixed_rank_10.json</x:v>
      </x:c>
    </x:row>
    <x:row r="2624" ht="15" hidden="0" customHeight="1">
      <x:c r="A2624" s="3" t="str">
        <x:v>EXP083</x:v>
      </x:c>
      <x:c r="B2624" s="3" t="str">
        <x:v>Exp. 10</x:v>
      </x:c>
      <x:c r="C2624" s="18" t="n">
        <x:v>159359747</x:v>
      </x:c>
      <x:c r="D2624" s="3" t="str">
        <x:v>Fixed rank 25</x:v>
      </x:c>
      <x:c r="E2624" s="18" t="n">
        <x:v>200</x:v>
      </x:c>
      <x:c r="F2624" s="21" t="n">
        <x:v>375.29808542809275</x:v>
      </x:c>
      <x:c r="G2624" s="21" t="n">
        <x:f>F2621</x:f>
        <x:v>375.29808542809275</x:v>
      </x:c>
      <x:c r="H2624" s="21" t="n">
        <x:f>F2626</x:f>
        <x:v>375.37188440744814</x:v>
      </x:c>
      <x:c r="I2624" s="27" t="n">
        <x:f>IF(AND(ISNUMBER(G2624),ISNUMBER(H2624),H2624&gt;0),G2624/H2624-1,"")</x:f>
        <x:v>-0.0001966023093921132</x:v>
      </x:c>
      <x:c r="J2624" s="27" t="n">
        <x:f>IF(AND(ISNUMBER(G2624),F2624&gt;0),G2624/F2624-1,"")</x:f>
        <x:v>0</x:v>
      </x:c>
      <x:c r="K2624" s="19" t="str">
        <x:v>Exp_10/EXP083/results/seed159359747_Fixed_rank_25.json</x:v>
      </x:c>
    </x:row>
    <x:row r="2625" ht="15" hidden="0" customHeight="1">
      <x:c r="A2625" s="3" t="str">
        <x:v>EXP083</x:v>
      </x:c>
      <x:c r="B2625" s="3" t="str">
        <x:v>Exp. 10</x:v>
      </x:c>
      <x:c r="C2625" s="18" t="n">
        <x:v>159359747</x:v>
      </x:c>
      <x:c r="D2625" s="3" t="str">
        <x:v>Relative cutoff 1e-6</x:v>
      </x:c>
      <x:c r="E2625" s="18" t="n">
        <x:v>200</x:v>
      </x:c>
      <x:c r="F2625" s="21" t="n">
        <x:v>375.37188440744814</x:v>
      </x:c>
      <x:c r="G2625" s="21" t="n">
        <x:f>F2621</x:f>
        <x:v>375.29808542809275</x:v>
      </x:c>
      <x:c r="H2625" s="21" t="n">
        <x:f>F2626</x:f>
        <x:v>375.37188440744814</x:v>
      </x:c>
      <x:c r="I2625" s="27" t="n">
        <x:f>IF(AND(ISNUMBER(G2625),ISNUMBER(H2625),H2625&gt;0),G2625/H2625-1,"")</x:f>
        <x:v>-0.0001966023093921132</x:v>
      </x:c>
      <x:c r="J2625" s="27" t="n">
        <x:f>IF(AND(ISNUMBER(G2625),F2625&gt;0),G2625/F2625-1,"")</x:f>
        <x:v>-0.0001966023093921132</x:v>
      </x:c>
      <x:c r="K2625" s="19" t="str">
        <x:v>Exp_10/EXP083/results/seed159359747_Relative_cutoff_1e-6.json</x:v>
      </x:c>
    </x:row>
    <x:row r="2626" ht="15" hidden="0" customHeight="1">
      <x:c r="A2626" s="3" t="str">
        <x:v>EXP083</x:v>
      </x:c>
      <x:c r="B2626" s="3" t="str">
        <x:v>Exp. 10</x:v>
      </x:c>
      <x:c r="C2626" s="18" t="n">
        <x:v>159359747</x:v>
      </x:c>
      <x:c r="D2626" s="3" t="str">
        <x:v>Full</x:v>
      </x:c>
      <x:c r="E2626" s="18" t="n">
        <x:v>200</x:v>
      </x:c>
      <x:c r="F2626" s="21" t="n">
        <x:v>375.37188440744814</x:v>
      </x:c>
      <x:c r="G2626" s="21" t="n">
        <x:f>F2621</x:f>
        <x:v>375.29808542809275</x:v>
      </x:c>
      <x:c r="H2626" s="21" t="n">
        <x:f>F2626</x:f>
        <x:v>375.37188440744814</x:v>
      </x:c>
      <x:c r="I2626" s="27" t="n">
        <x:f>IF(AND(ISNUMBER(G2626),ISNUMBER(H2626),H2626&gt;0),G2626/H2626-1,"")</x:f>
        <x:v>-0.0001966023093921132</x:v>
      </x:c>
      <x:c r="J2626" s="27" t="n">
        <x:f>IF(AND(ISNUMBER(G2626),F2626&gt;0),G2626/F2626-1,"")</x:f>
        <x:v>-0.0001966023093921132</x:v>
      </x:c>
      <x:c r="K2626" s="19" t="str">
        <x:v>Exp_10/EXP083/results/seed159359747_Full.json</x:v>
      </x:c>
    </x:row>
    <x:row r="2627" ht="15" hidden="0" customHeight="1">
      <x:c r="A2627" s="3" t="str">
        <x:v>EXP083</x:v>
      </x:c>
      <x:c r="B2627" s="3" t="str">
        <x:v>Exp. 10</x:v>
      </x:c>
      <x:c r="C2627" s="18" t="n">
        <x:v>159359747</x:v>
      </x:c>
      <x:c r="D2627" s="3" t="str">
        <x:v>Relative cutoff 1e-2</x:v>
      </x:c>
      <x:c r="E2627" s="18" t="n">
        <x:v>200</x:v>
      </x:c>
      <x:c r="F2627" s="21" t="n">
        <x:v>385.61435377826785</x:v>
      </x:c>
      <x:c r="G2627" s="21" t="n">
        <x:f>F2621</x:f>
        <x:v>375.29808542809275</x:v>
      </x:c>
      <x:c r="H2627" s="21" t="n">
        <x:f>F2626</x:f>
        <x:v>375.37188440744814</x:v>
      </x:c>
      <x:c r="I2627" s="27" t="n">
        <x:f>IF(AND(ISNUMBER(G2627),ISNUMBER(H2627),H2627&gt;0),G2627/H2627-1,"")</x:f>
        <x:v>-0.0001966023093921132</x:v>
      </x:c>
      <x:c r="J2627" s="27" t="n">
        <x:f>IF(AND(ISNUMBER(G2627),F2627&gt;0),G2627/F2627-1,"")</x:f>
        <x:v>-0.026752812101250467</x:v>
      </x:c>
      <x:c r="K2627" s="19" t="str">
        <x:v>Exp_10/EXP083/results/seed159359747_Relative_cutoff_1e-2.json</x:v>
      </x:c>
    </x:row>
    <x:row r="2628" ht="15" hidden="0" customHeight="1">
      <x:c r="A2628" s="3" t="str">
        <x:v>EXP083</x:v>
      </x:c>
      <x:c r="B2628" s="3" t="str">
        <x:v>Exp. 10</x:v>
      </x:c>
      <x:c r="C2628" s="18" t="n">
        <x:v>159359747</x:v>
      </x:c>
      <x:c r="D2628" s="3" t="str">
        <x:v>Relative cutoff 1e-4</x:v>
      </x:c>
      <x:c r="E2628" s="18" t="n">
        <x:v>200</x:v>
      </x:c>
      <x:c r="F2628" s="21" t="n">
        <x:v>375.29808542809275</x:v>
      </x:c>
      <x:c r="G2628" s="21" t="n">
        <x:f>F2621</x:f>
        <x:v>375.29808542809275</x:v>
      </x:c>
      <x:c r="H2628" s="21" t="n">
        <x:f>F2626</x:f>
        <x:v>375.37188440744814</x:v>
      </x:c>
      <x:c r="I2628" s="27" t="n">
        <x:f>IF(AND(ISNUMBER(G2628),ISNUMBER(H2628),H2628&gt;0),G2628/H2628-1,"")</x:f>
        <x:v>-0.0001966023093921132</x:v>
      </x:c>
      <x:c r="J2628" s="27" t="n">
        <x:f>IF(AND(ISNUMBER(G2628),F2628&gt;0),G2628/F2628-1,"")</x:f>
        <x:v>0</x:v>
      </x:c>
      <x:c r="K2628" s="19" t="str">
        <x:v>Exp_10/EXP083/results/seed159359747_Relative_cutoff_1e-4.json</x:v>
      </x:c>
    </x:row>
    <x:row r="2629" ht="15" hidden="0" customHeight="1">
      <x:c r="A2629" s="3" t="str">
        <x:v>EXP083</x:v>
      </x:c>
      <x:c r="B2629" s="3" t="str">
        <x:v>Exp. 10</x:v>
      </x:c>
      <x:c r="C2629" s="18" t="n">
        <x:v>254786210</x:v>
      </x:c>
      <x:c r="D2629" s="3" t="str">
        <x:v>BBP</x:v>
      </x:c>
      <x:c r="E2629" s="18" t="n">
        <x:v>200</x:v>
      </x:c>
      <x:c r="F2629" s="21" t="n">
        <x:v>446.8128543514273</x:v>
      </x:c>
      <x:c r="G2629" s="21" t="n">
        <x:f>F2629</x:f>
        <x:v>446.8128543514273</x:v>
      </x:c>
      <x:c r="H2629" s="21" t="n">
        <x:f>F2634</x:f>
        <x:v>453.4636434246628</x:v>
      </x:c>
      <x:c r="I2629" s="27" t="n">
        <x:f>IF(AND(ISNUMBER(G2629),ISNUMBER(H2629),H2629&gt;0),G2629/H2629-1,"")</x:f>
        <x:v>-0.014666642342056835</x:v>
      </x:c>
      <x:c r="J2629" s="27" t="n">
        <x:f>IF(AND(ISNUMBER(G2629),F2629&gt;0),G2629/F2629-1,"")</x:f>
        <x:v>0</x:v>
      </x:c>
      <x:c r="K2629" s="19" t="str">
        <x:v>Exp_10/EXP083/results/seed254786210_BBP.json</x:v>
      </x:c>
    </x:row>
    <x:row r="2630" ht="15" hidden="0" customHeight="1">
      <x:c r="A2630" s="3" t="str">
        <x:v>EXP083</x:v>
      </x:c>
      <x:c r="B2630" s="3" t="str">
        <x:v>Exp. 10</x:v>
      </x:c>
      <x:c r="C2630" s="18" t="n">
        <x:v>254786210</x:v>
      </x:c>
      <x:c r="D2630" s="3" t="str">
        <x:v>Relative cutoff 1e-5</x:v>
      </x:c>
      <x:c r="E2630" s="18" t="n">
        <x:v>200</x:v>
      </x:c>
      <x:c r="F2630" s="21" t="n">
        <x:v>446.8128543514273</x:v>
      </x:c>
      <x:c r="G2630" s="21" t="n">
        <x:f>F2629</x:f>
        <x:v>446.8128543514273</x:v>
      </x:c>
      <x:c r="H2630" s="21" t="n">
        <x:f>F2634</x:f>
        <x:v>453.4636434246628</x:v>
      </x:c>
      <x:c r="I2630" s="27" t="n">
        <x:f>IF(AND(ISNUMBER(G2630),ISNUMBER(H2630),H2630&gt;0),G2630/H2630-1,"")</x:f>
        <x:v>-0.014666642342056835</x:v>
      </x:c>
      <x:c r="J2630" s="27" t="n">
        <x:f>IF(AND(ISNUMBER(G2630),F2630&gt;0),G2630/F2630-1,"")</x:f>
        <x:v>0</x:v>
      </x:c>
      <x:c r="K2630" s="19" t="str">
        <x:v>Exp_10/EXP083/results/seed254786210_Relative_cutoff_1e-5.json</x:v>
      </x:c>
    </x:row>
    <x:row r="2631" ht="15" hidden="0" customHeight="1">
      <x:c r="A2631" s="3" t="str">
        <x:v>EXP083</x:v>
      </x:c>
      <x:c r="B2631" s="3" t="str">
        <x:v>Exp. 10</x:v>
      </x:c>
      <x:c r="C2631" s="18" t="n">
        <x:v>254786210</x:v>
      </x:c>
      <x:c r="D2631" s="3" t="str">
        <x:v>Fixed rank 10</x:v>
      </x:c>
      <x:c r="E2631" s="18" t="n">
        <x:v>200</x:v>
      </x:c>
      <x:c r="F2631" s="21" t="n">
        <x:v>448.1783316303979</x:v>
      </x:c>
      <x:c r="G2631" s="21" t="n">
        <x:f>F2629</x:f>
        <x:v>446.8128543514273</x:v>
      </x:c>
      <x:c r="H2631" s="21" t="n">
        <x:f>F2634</x:f>
        <x:v>453.4636434246628</x:v>
      </x:c>
      <x:c r="I2631" s="27" t="n">
        <x:f>IF(AND(ISNUMBER(G2631),ISNUMBER(H2631),H2631&gt;0),G2631/H2631-1,"")</x:f>
        <x:v>-0.014666642342056835</x:v>
      </x:c>
      <x:c r="J2631" s="27" t="n">
        <x:f>IF(AND(ISNUMBER(G2631),F2631&gt;0),G2631/F2631-1,"")</x:f>
        <x:v>-0.003046727569365637</x:v>
      </x:c>
      <x:c r="K2631" s="19" t="str">
        <x:v>Exp_10/EXP083/results/seed254786210_Fixed_rank_10.json</x:v>
      </x:c>
    </x:row>
    <x:row r="2632" ht="15" hidden="0" customHeight="1">
      <x:c r="A2632" s="3" t="str">
        <x:v>EXP083</x:v>
      </x:c>
      <x:c r="B2632" s="3" t="str">
        <x:v>Exp. 10</x:v>
      </x:c>
      <x:c r="C2632" s="18" t="n">
        <x:v>254786210</x:v>
      </x:c>
      <x:c r="D2632" s="3" t="str">
        <x:v>Fixed rank 25</x:v>
      </x:c>
      <x:c r="E2632" s="18" t="n">
        <x:v>200</x:v>
      </x:c>
      <x:c r="F2632" s="21" t="n">
        <x:v>446.8128543514273</x:v>
      </x:c>
      <x:c r="G2632" s="21" t="n">
        <x:f>F2629</x:f>
        <x:v>446.8128543514273</x:v>
      </x:c>
      <x:c r="H2632" s="21" t="n">
        <x:f>F2634</x:f>
        <x:v>453.4636434246628</x:v>
      </x:c>
      <x:c r="I2632" s="27" t="n">
        <x:f>IF(AND(ISNUMBER(G2632),ISNUMBER(H2632),H2632&gt;0),G2632/H2632-1,"")</x:f>
        <x:v>-0.014666642342056835</x:v>
      </x:c>
      <x:c r="J2632" s="27" t="n">
        <x:f>IF(AND(ISNUMBER(G2632),F2632&gt;0),G2632/F2632-1,"")</x:f>
        <x:v>0</x:v>
      </x:c>
      <x:c r="K2632" s="19" t="str">
        <x:v>Exp_10/EXP083/results/seed254786210_Fixed_rank_25.json</x:v>
      </x:c>
    </x:row>
    <x:row r="2633" ht="15" hidden="0" customHeight="1">
      <x:c r="A2633" s="3" t="str">
        <x:v>EXP083</x:v>
      </x:c>
      <x:c r="B2633" s="3" t="str">
        <x:v>Exp. 10</x:v>
      </x:c>
      <x:c r="C2633" s="18" t="n">
        <x:v>254786210</x:v>
      </x:c>
      <x:c r="D2633" s="3" t="str">
        <x:v>Relative cutoff 1e-6</x:v>
      </x:c>
      <x:c r="E2633" s="18" t="n">
        <x:v>200</x:v>
      </x:c>
      <x:c r="F2633" s="21" t="n">
        <x:v>446.8128543514273</x:v>
      </x:c>
      <x:c r="G2633" s="21" t="n">
        <x:f>F2629</x:f>
        <x:v>446.8128543514273</x:v>
      </x:c>
      <x:c r="H2633" s="21" t="n">
        <x:f>F2634</x:f>
        <x:v>453.4636434246628</x:v>
      </x:c>
      <x:c r="I2633" s="27" t="n">
        <x:f>IF(AND(ISNUMBER(G2633),ISNUMBER(H2633),H2633&gt;0),G2633/H2633-1,"")</x:f>
        <x:v>-0.014666642342056835</x:v>
      </x:c>
      <x:c r="J2633" s="27" t="n">
        <x:f>IF(AND(ISNUMBER(G2633),F2633&gt;0),G2633/F2633-1,"")</x:f>
        <x:v>0</x:v>
      </x:c>
      <x:c r="K2633" s="19" t="str">
        <x:v>Exp_10/EXP083/results/seed254786210_Relative_cutoff_1e-6.json</x:v>
      </x:c>
    </x:row>
    <x:row r="2634" ht="15" hidden="0" customHeight="1">
      <x:c r="A2634" s="3" t="str">
        <x:v>EXP083</x:v>
      </x:c>
      <x:c r="B2634" s="3" t="str">
        <x:v>Exp. 10</x:v>
      </x:c>
      <x:c r="C2634" s="18" t="n">
        <x:v>254786210</x:v>
      </x:c>
      <x:c r="D2634" s="3" t="str">
        <x:v>Full</x:v>
      </x:c>
      <x:c r="E2634" s="18" t="n">
        <x:v>200</x:v>
      </x:c>
      <x:c r="F2634" s="21" t="n">
        <x:v>453.4636434246628</x:v>
      </x:c>
      <x:c r="G2634" s="21" t="n">
        <x:f>F2629</x:f>
        <x:v>446.8128543514273</x:v>
      </x:c>
      <x:c r="H2634" s="21" t="n">
        <x:f>F2634</x:f>
        <x:v>453.4636434246628</x:v>
      </x:c>
      <x:c r="I2634" s="27" t="n">
        <x:f>IF(AND(ISNUMBER(G2634),ISNUMBER(H2634),H2634&gt;0),G2634/H2634-1,"")</x:f>
        <x:v>-0.014666642342056835</x:v>
      </x:c>
      <x:c r="J2634" s="27" t="n">
        <x:f>IF(AND(ISNUMBER(G2634),F2634&gt;0),G2634/F2634-1,"")</x:f>
        <x:v>-0.014666642342056835</x:v>
      </x:c>
      <x:c r="K2634" s="19" t="str">
        <x:v>Exp_10/EXP083/results/seed254786210_Full.json</x:v>
      </x:c>
    </x:row>
    <x:row r="2635" ht="15" hidden="0" customHeight="1">
      <x:c r="A2635" s="3" t="str">
        <x:v>EXP083</x:v>
      </x:c>
      <x:c r="B2635" s="3" t="str">
        <x:v>Exp. 10</x:v>
      </x:c>
      <x:c r="C2635" s="18" t="n">
        <x:v>254786210</x:v>
      </x:c>
      <x:c r="D2635" s="3" t="str">
        <x:v>Relative cutoff 1e-2</x:v>
      </x:c>
      <x:c r="E2635" s="18" t="n">
        <x:v>200</x:v>
      </x:c>
      <x:c r="F2635" s="21" t="n">
        <x:v>459.9047571225368</x:v>
      </x:c>
      <x:c r="G2635" s="21" t="n">
        <x:f>F2629</x:f>
        <x:v>446.8128543514273</x:v>
      </x:c>
      <x:c r="H2635" s="21" t="n">
        <x:f>F2634</x:f>
        <x:v>453.4636434246628</x:v>
      </x:c>
      <x:c r="I2635" s="27" t="n">
        <x:f>IF(AND(ISNUMBER(G2635),ISNUMBER(H2635),H2635&gt;0),G2635/H2635-1,"")</x:f>
        <x:v>-0.014666642342056835</x:v>
      </x:c>
      <x:c r="J2635" s="27" t="n">
        <x:f>IF(AND(ISNUMBER(G2635),F2635&gt;0),G2635/F2635-1,"")</x:f>
        <x:v>-0.02846655219011207</x:v>
      </x:c>
      <x:c r="K2635" s="19" t="str">
        <x:v>Exp_10/EXP083/results/seed254786210_Relative_cutoff_1e-2.json</x:v>
      </x:c>
    </x:row>
    <x:row r="2636" ht="15" hidden="0" customHeight="1">
      <x:c r="A2636" s="3" t="str">
        <x:v>EXP083</x:v>
      </x:c>
      <x:c r="B2636" s="3" t="str">
        <x:v>Exp. 10</x:v>
      </x:c>
      <x:c r="C2636" s="18" t="n">
        <x:v>254786210</x:v>
      </x:c>
      <x:c r="D2636" s="3" t="str">
        <x:v>Relative cutoff 1e-4</x:v>
      </x:c>
      <x:c r="E2636" s="18" t="n">
        <x:v>200</x:v>
      </x:c>
      <x:c r="F2636" s="21" t="n">
        <x:v>432.8876487816911</x:v>
      </x:c>
      <x:c r="G2636" s="21" t="n">
        <x:f>F2629</x:f>
        <x:v>446.8128543514273</x:v>
      </x:c>
      <x:c r="H2636" s="21" t="n">
        <x:f>F2634</x:f>
        <x:v>453.4636434246628</x:v>
      </x:c>
      <x:c r="I2636" s="27" t="n">
        <x:f>IF(AND(ISNUMBER(G2636),ISNUMBER(H2636),H2636&gt;0),G2636/H2636-1,"")</x:f>
        <x:v>-0.014666642342056835</x:v>
      </x:c>
      <x:c r="J2636" s="27" t="n">
        <x:f>IF(AND(ISNUMBER(G2636),F2636&gt;0),G2636/F2636-1,"")</x:f>
        <x:v>0.032168174834571905</x:v>
      </x:c>
      <x:c r="K2636" s="19" t="str">
        <x:v>Exp_10/EXP083/results/seed254786210_Relative_cutoff_1e-4.json</x:v>
      </x:c>
    </x:row>
    <x:row r="2637" ht="15" hidden="0" customHeight="1">
      <x:c r="A2637" s="3" t="str">
        <x:v>EXP083</x:v>
      </x:c>
      <x:c r="B2637" s="3" t="str">
        <x:v>Exp. 10</x:v>
      </x:c>
      <x:c r="C2637" s="18" t="n">
        <x:v>280737676</x:v>
      </x:c>
      <x:c r="D2637" s="3" t="str">
        <x:v>BBP</x:v>
      </x:c>
      <x:c r="E2637" s="18" t="n">
        <x:v>200</x:v>
      </x:c>
      <x:c r="F2637" s="21" t="n">
        <x:v>426.2359589208457</x:v>
      </x:c>
      <x:c r="G2637" s="21" t="n">
        <x:f>F2637</x:f>
        <x:v>426.2359589208457</x:v>
      </x:c>
      <x:c r="H2637" s="21" t="n">
        <x:f>F2642</x:f>
        <x:v>426.2359589208457</x:v>
      </x:c>
      <x:c r="I2637" s="27" t="n">
        <x:f>IF(AND(ISNUMBER(G2637),ISNUMBER(H2637),H2637&gt;0),G2637/H2637-1,"")</x:f>
        <x:v>0</x:v>
      </x:c>
      <x:c r="J2637" s="27" t="n">
        <x:f>IF(AND(ISNUMBER(G2637),F2637&gt;0),G2637/F2637-1,"")</x:f>
        <x:v>0</x:v>
      </x:c>
      <x:c r="K2637" s="19" t="str">
        <x:v>Exp_10/EXP083/results/seed280737676_BBP.json</x:v>
      </x:c>
    </x:row>
    <x:row r="2638" ht="15" hidden="0" customHeight="1">
      <x:c r="A2638" s="3" t="str">
        <x:v>EXP083</x:v>
      </x:c>
      <x:c r="B2638" s="3" t="str">
        <x:v>Exp. 10</x:v>
      </x:c>
      <x:c r="C2638" s="18" t="n">
        <x:v>280737676</x:v>
      </x:c>
      <x:c r="D2638" s="3" t="str">
        <x:v>Relative cutoff 1e-5</x:v>
      </x:c>
      <x:c r="E2638" s="18" t="n">
        <x:v>200</x:v>
      </x:c>
      <x:c r="F2638" s="21" t="n">
        <x:v>426.2359589208457</x:v>
      </x:c>
      <x:c r="G2638" s="21" t="n">
        <x:f>F2637</x:f>
        <x:v>426.2359589208457</x:v>
      </x:c>
      <x:c r="H2638" s="21" t="n">
        <x:f>F2642</x:f>
        <x:v>426.2359589208457</x:v>
      </x:c>
      <x:c r="I2638" s="27" t="n">
        <x:f>IF(AND(ISNUMBER(G2638),ISNUMBER(H2638),H2638&gt;0),G2638/H2638-1,"")</x:f>
        <x:v>0</x:v>
      </x:c>
      <x:c r="J2638" s="27" t="n">
        <x:f>IF(AND(ISNUMBER(G2638),F2638&gt;0),G2638/F2638-1,"")</x:f>
        <x:v>0</x:v>
      </x:c>
      <x:c r="K2638" s="19" t="str">
        <x:v>Exp_10/EXP083/results/seed280737676_Relative_cutoff_1e-5.json</x:v>
      </x:c>
    </x:row>
    <x:row r="2639" ht="15" hidden="0" customHeight="1">
      <x:c r="A2639" s="3" t="str">
        <x:v>EXP083</x:v>
      </x:c>
      <x:c r="B2639" s="3" t="str">
        <x:v>Exp. 10</x:v>
      </x:c>
      <x:c r="C2639" s="18" t="n">
        <x:v>280737676</x:v>
      </x:c>
      <x:c r="D2639" s="3" t="str">
        <x:v>Fixed rank 10</x:v>
      </x:c>
      <x:c r="E2639" s="18" t="n">
        <x:v>200</x:v>
      </x:c>
      <x:c r="F2639" s="21" t="n">
        <x:v>404.8038165836244</x:v>
      </x:c>
      <x:c r="G2639" s="21" t="n">
        <x:f>F2637</x:f>
        <x:v>426.2359589208457</x:v>
      </x:c>
      <x:c r="H2639" s="21" t="n">
        <x:f>F2642</x:f>
        <x:v>426.2359589208457</x:v>
      </x:c>
      <x:c r="I2639" s="27" t="n">
        <x:f>IF(AND(ISNUMBER(G2639),ISNUMBER(H2639),H2639&gt;0),G2639/H2639-1,"")</x:f>
        <x:v>0</x:v>
      </x:c>
      <x:c r="J2639" s="27" t="n">
        <x:f>IF(AND(ISNUMBER(G2639),F2639&gt;0),G2639/F2639-1,"")</x:f>
        <x:v>0.05294451647738807</x:v>
      </x:c>
      <x:c r="K2639" s="19" t="str">
        <x:v>Exp_10/EXP083/results/seed280737676_Fixed_rank_10.json</x:v>
      </x:c>
    </x:row>
    <x:row r="2640" ht="15" hidden="0" customHeight="1">
      <x:c r="A2640" s="3" t="str">
        <x:v>EXP083</x:v>
      </x:c>
      <x:c r="B2640" s="3" t="str">
        <x:v>Exp. 10</x:v>
      </x:c>
      <x:c r="C2640" s="18" t="n">
        <x:v>280737676</x:v>
      </x:c>
      <x:c r="D2640" s="3" t="str">
        <x:v>Fixed rank 25</x:v>
      </x:c>
      <x:c r="E2640" s="18" t="n">
        <x:v>200</x:v>
      </x:c>
      <x:c r="F2640" s="21" t="n">
        <x:v>426.2359589208457</x:v>
      </x:c>
      <x:c r="G2640" s="21" t="n">
        <x:f>F2637</x:f>
        <x:v>426.2359589208457</x:v>
      </x:c>
      <x:c r="H2640" s="21" t="n">
        <x:f>F2642</x:f>
        <x:v>426.2359589208457</x:v>
      </x:c>
      <x:c r="I2640" s="27" t="n">
        <x:f>IF(AND(ISNUMBER(G2640),ISNUMBER(H2640),H2640&gt;0),G2640/H2640-1,"")</x:f>
        <x:v>0</x:v>
      </x:c>
      <x:c r="J2640" s="27" t="n">
        <x:f>IF(AND(ISNUMBER(G2640),F2640&gt;0),G2640/F2640-1,"")</x:f>
        <x:v>0</x:v>
      </x:c>
      <x:c r="K2640" s="19" t="str">
        <x:v>Exp_10/EXP083/results/seed280737676_Fixed_rank_25.json</x:v>
      </x:c>
    </x:row>
    <x:row r="2641" ht="15" hidden="0" customHeight="1">
      <x:c r="A2641" s="3" t="str">
        <x:v>EXP083</x:v>
      </x:c>
      <x:c r="B2641" s="3" t="str">
        <x:v>Exp. 10</x:v>
      </x:c>
      <x:c r="C2641" s="18" t="n">
        <x:v>280737676</x:v>
      </x:c>
      <x:c r="D2641" s="3" t="str">
        <x:v>Relative cutoff 1e-6</x:v>
      </x:c>
      <x:c r="E2641" s="18" t="n">
        <x:v>200</x:v>
      </x:c>
      <x:c r="F2641" s="21" t="n">
        <x:v>426.2359589208457</x:v>
      </x:c>
      <x:c r="G2641" s="21" t="n">
        <x:f>F2637</x:f>
        <x:v>426.2359589208457</x:v>
      </x:c>
      <x:c r="H2641" s="21" t="n">
        <x:f>F2642</x:f>
        <x:v>426.2359589208457</x:v>
      </x:c>
      <x:c r="I2641" s="27" t="n">
        <x:f>IF(AND(ISNUMBER(G2641),ISNUMBER(H2641),H2641&gt;0),G2641/H2641-1,"")</x:f>
        <x:v>0</x:v>
      </x:c>
      <x:c r="J2641" s="27" t="n">
        <x:f>IF(AND(ISNUMBER(G2641),F2641&gt;0),G2641/F2641-1,"")</x:f>
        <x:v>0</x:v>
      </x:c>
      <x:c r="K2641" s="19" t="str">
        <x:v>Exp_10/EXP083/results/seed280737676_Relative_cutoff_1e-6.json</x:v>
      </x:c>
    </x:row>
    <x:row r="2642" ht="15" hidden="0" customHeight="1">
      <x:c r="A2642" s="3" t="str">
        <x:v>EXP083</x:v>
      </x:c>
      <x:c r="B2642" s="3" t="str">
        <x:v>Exp. 10</x:v>
      </x:c>
      <x:c r="C2642" s="18" t="n">
        <x:v>280737676</x:v>
      </x:c>
      <x:c r="D2642" s="3" t="str">
        <x:v>Full</x:v>
      </x:c>
      <x:c r="E2642" s="18" t="n">
        <x:v>200</x:v>
      </x:c>
      <x:c r="F2642" s="21" t="n">
        <x:v>426.2359589208457</x:v>
      </x:c>
      <x:c r="G2642" s="21" t="n">
        <x:f>F2637</x:f>
        <x:v>426.2359589208457</x:v>
      </x:c>
      <x:c r="H2642" s="21" t="n">
        <x:f>F2642</x:f>
        <x:v>426.2359589208457</x:v>
      </x:c>
      <x:c r="I2642" s="27" t="n">
        <x:f>IF(AND(ISNUMBER(G2642),ISNUMBER(H2642),H2642&gt;0),G2642/H2642-1,"")</x:f>
        <x:v>0</x:v>
      </x:c>
      <x:c r="J2642" s="27" t="n">
        <x:f>IF(AND(ISNUMBER(G2642),F2642&gt;0),G2642/F2642-1,"")</x:f>
        <x:v>0</x:v>
      </x:c>
      <x:c r="K2642" s="19" t="str">
        <x:v>Exp_10/EXP083/results/seed280737676_Full.json</x:v>
      </x:c>
    </x:row>
    <x:row r="2643" ht="15" hidden="0" customHeight="1">
      <x:c r="A2643" s="3" t="str">
        <x:v>EXP083</x:v>
      </x:c>
      <x:c r="B2643" s="3" t="str">
        <x:v>Exp. 10</x:v>
      </x:c>
      <x:c r="C2643" s="18" t="n">
        <x:v>280737676</x:v>
      </x:c>
      <x:c r="D2643" s="3" t="str">
        <x:v>Relative cutoff 1e-2</x:v>
      </x:c>
      <x:c r="E2643" s="18" t="n">
        <x:v>200</x:v>
      </x:c>
      <x:c r="F2643" s="21" t="n">
        <x:v>432.0621273685381</x:v>
      </x:c>
      <x:c r="G2643" s="21" t="n">
        <x:f>F2637</x:f>
        <x:v>426.2359589208457</x:v>
      </x:c>
      <x:c r="H2643" s="21" t="n">
        <x:f>F2642</x:f>
        <x:v>426.2359589208457</x:v>
      </x:c>
      <x:c r="I2643" s="27" t="n">
        <x:f>IF(AND(ISNUMBER(G2643),ISNUMBER(H2643),H2643&gt;0),G2643/H2643-1,"")</x:f>
        <x:v>0</x:v>
      </x:c>
      <x:c r="J2643" s="27" t="n">
        <x:f>IF(AND(ISNUMBER(G2643),F2643&gt;0),G2643/F2643-1,"")</x:f>
        <x:v>-0.013484561776280879</x:v>
      </x:c>
      <x:c r="K2643" s="19" t="str">
        <x:v>Exp_10/EXP083/results/seed280737676_Relative_cutoff_1e-2.json</x:v>
      </x:c>
    </x:row>
    <x:row r="2644" ht="15" hidden="0" customHeight="1">
      <x:c r="A2644" s="3" t="str">
        <x:v>EXP083</x:v>
      </x:c>
      <x:c r="B2644" s="3" t="str">
        <x:v>Exp. 10</x:v>
      </x:c>
      <x:c r="C2644" s="18" t="n">
        <x:v>280737676</x:v>
      </x:c>
      <x:c r="D2644" s="3" t="str">
        <x:v>Relative cutoff 1e-4</x:v>
      </x:c>
      <x:c r="E2644" s="18" t="n">
        <x:v>200</x:v>
      </x:c>
      <x:c r="F2644" s="21" t="n">
        <x:v>404.8038165836244</x:v>
      </x:c>
      <x:c r="G2644" s="21" t="n">
        <x:f>F2637</x:f>
        <x:v>426.2359589208457</x:v>
      </x:c>
      <x:c r="H2644" s="21" t="n">
        <x:f>F2642</x:f>
        <x:v>426.2359589208457</x:v>
      </x:c>
      <x:c r="I2644" s="27" t="n">
        <x:f>IF(AND(ISNUMBER(G2644),ISNUMBER(H2644),H2644&gt;0),G2644/H2644-1,"")</x:f>
        <x:v>0</x:v>
      </x:c>
      <x:c r="J2644" s="27" t="n">
        <x:f>IF(AND(ISNUMBER(G2644),F2644&gt;0),G2644/F2644-1,"")</x:f>
        <x:v>0.05294451647738807</x:v>
      </x:c>
      <x:c r="K2644" s="19" t="str">
        <x:v>Exp_10/EXP083/results/seed280737676_Relative_cutoff_1e-4.json</x:v>
      </x:c>
    </x:row>
    <x:row r="2645" ht="15" hidden="0" customHeight="1">
      <x:c r="A2645" s="3" t="str">
        <x:v>EXP083</x:v>
      </x:c>
      <x:c r="B2645" s="3" t="str">
        <x:v>Exp. 10</x:v>
      </x:c>
      <x:c r="C2645" s="18" t="n">
        <x:v>304444453</x:v>
      </x:c>
      <x:c r="D2645" s="3" t="str">
        <x:v>BBP</x:v>
      </x:c>
      <x:c r="E2645" s="18" t="n">
        <x:v>200</x:v>
      </x:c>
      <x:c r="F2645" s="21" t="n">
        <x:v>375.6921802991811</x:v>
      </x:c>
      <x:c r="G2645" s="21" t="n">
        <x:f>F2645</x:f>
        <x:v>375.6921802991811</x:v>
      </x:c>
      <x:c r="H2645" s="21" t="n">
        <x:f>F2650</x:f>
        <x:v>346.433765373659</x:v>
      </x:c>
      <x:c r="I2645" s="27" t="n">
        <x:f>IF(AND(ISNUMBER(G2645),ISNUMBER(H2645),H2645&gt;0),G2645/H2645-1,"")</x:f>
        <x:v>0.08445601396262381</x:v>
      </x:c>
      <x:c r="J2645" s="27" t="n">
        <x:f>IF(AND(ISNUMBER(G2645),F2645&gt;0),G2645/F2645-1,"")</x:f>
        <x:v>0</x:v>
      </x:c>
      <x:c r="K2645" s="19" t="str">
        <x:v>Exp_10/EXP083/results/seed304444453_BBP.json</x:v>
      </x:c>
    </x:row>
    <x:row r="2646" ht="15" hidden="0" customHeight="1">
      <x:c r="A2646" s="3" t="str">
        <x:v>EXP083</x:v>
      </x:c>
      <x:c r="B2646" s="3" t="str">
        <x:v>Exp. 10</x:v>
      </x:c>
      <x:c r="C2646" s="18" t="n">
        <x:v>304444453</x:v>
      </x:c>
      <x:c r="D2646" s="3" t="str">
        <x:v>Relative cutoff 1e-5</x:v>
      </x:c>
      <x:c r="E2646" s="18" t="n">
        <x:v>200</x:v>
      </x:c>
      <x:c r="F2646" s="21" t="n">
        <x:v>377.8013946451072</x:v>
      </x:c>
      <x:c r="G2646" s="21" t="n">
        <x:f>F2645</x:f>
        <x:v>375.6921802991811</x:v>
      </x:c>
      <x:c r="H2646" s="21" t="n">
        <x:f>F2650</x:f>
        <x:v>346.433765373659</x:v>
      </x:c>
      <x:c r="I2646" s="27" t="n">
        <x:f>IF(AND(ISNUMBER(G2646),ISNUMBER(H2646),H2646&gt;0),G2646/H2646-1,"")</x:f>
        <x:v>0.08445601396262381</x:v>
      </x:c>
      <x:c r="J2646" s="27" t="n">
        <x:f>IF(AND(ISNUMBER(G2646),F2646&gt;0),G2646/F2646-1,"")</x:f>
        <x:v>-0.005582865430942774</x:v>
      </x:c>
      <x:c r="K2646" s="19" t="str">
        <x:v>Exp_10/EXP083/results/seed304444453_Relative_cutoff_1e-5.json</x:v>
      </x:c>
    </x:row>
    <x:row r="2647" ht="15" hidden="0" customHeight="1">
      <x:c r="A2647" s="3" t="str">
        <x:v>EXP083</x:v>
      </x:c>
      <x:c r="B2647" s="3" t="str">
        <x:v>Exp. 10</x:v>
      </x:c>
      <x:c r="C2647" s="18" t="n">
        <x:v>304444453</x:v>
      </x:c>
      <x:c r="D2647" s="3" t="str">
        <x:v>Fixed rank 10</x:v>
      </x:c>
      <x:c r="E2647" s="18" t="n">
        <x:v>200</x:v>
      </x:c>
      <x:c r="F2647" s="21" t="n">
        <x:v>366.9784688631496</x:v>
      </x:c>
      <x:c r="G2647" s="21" t="n">
        <x:f>F2645</x:f>
        <x:v>375.6921802991811</x:v>
      </x:c>
      <x:c r="H2647" s="21" t="n">
        <x:f>F2650</x:f>
        <x:v>346.433765373659</x:v>
      </x:c>
      <x:c r="I2647" s="27" t="n">
        <x:f>IF(AND(ISNUMBER(G2647),ISNUMBER(H2647),H2647&gt;0),G2647/H2647-1,"")</x:f>
        <x:v>0.08445601396262381</x:v>
      </x:c>
      <x:c r="J2647" s="27" t="n">
        <x:f>IF(AND(ISNUMBER(G2647),F2647&gt;0),G2647/F2647-1,"")</x:f>
        <x:v>0.023744475971643197</x:v>
      </x:c>
      <x:c r="K2647" s="19" t="str">
        <x:v>Exp_10/EXP083/results/seed304444453_Fixed_rank_10.json</x:v>
      </x:c>
    </x:row>
    <x:row r="2648" ht="15" hidden="0" customHeight="1">
      <x:c r="A2648" s="3" t="str">
        <x:v>EXP083</x:v>
      </x:c>
      <x:c r="B2648" s="3" t="str">
        <x:v>Exp. 10</x:v>
      </x:c>
      <x:c r="C2648" s="18" t="n">
        <x:v>304444453</x:v>
      </x:c>
      <x:c r="D2648" s="3" t="str">
        <x:v>Fixed rank 25</x:v>
      </x:c>
      <x:c r="E2648" s="18" t="n">
        <x:v>200</x:v>
      </x:c>
      <x:c r="F2648" s="21" t="n">
        <x:v>375.6921802991811</x:v>
      </x:c>
      <x:c r="G2648" s="21" t="n">
        <x:f>F2645</x:f>
        <x:v>375.6921802991811</x:v>
      </x:c>
      <x:c r="H2648" s="21" t="n">
        <x:f>F2650</x:f>
        <x:v>346.433765373659</x:v>
      </x:c>
      <x:c r="I2648" s="27" t="n">
        <x:f>IF(AND(ISNUMBER(G2648),ISNUMBER(H2648),H2648&gt;0),G2648/H2648-1,"")</x:f>
        <x:v>0.08445601396262381</x:v>
      </x:c>
      <x:c r="J2648" s="27" t="n">
        <x:f>IF(AND(ISNUMBER(G2648),F2648&gt;0),G2648/F2648-1,"")</x:f>
        <x:v>0</x:v>
      </x:c>
      <x:c r="K2648" s="19" t="str">
        <x:v>Exp_10/EXP083/results/seed304444453_Fixed_rank_25.json</x:v>
      </x:c>
    </x:row>
    <x:row r="2649" ht="15" hidden="0" customHeight="1">
      <x:c r="A2649" s="3" t="str">
        <x:v>EXP083</x:v>
      </x:c>
      <x:c r="B2649" s="3" t="str">
        <x:v>Exp. 10</x:v>
      </x:c>
      <x:c r="C2649" s="18" t="n">
        <x:v>304444453</x:v>
      </x:c>
      <x:c r="D2649" s="3" t="str">
        <x:v>Relative cutoff 1e-6</x:v>
      </x:c>
      <x:c r="E2649" s="18" t="n">
        <x:v>200</x:v>
      </x:c>
      <x:c r="F2649" s="21" t="n">
        <x:v>375.6921802991811</x:v>
      </x:c>
      <x:c r="G2649" s="21" t="n">
        <x:f>F2645</x:f>
        <x:v>375.6921802991811</x:v>
      </x:c>
      <x:c r="H2649" s="21" t="n">
        <x:f>F2650</x:f>
        <x:v>346.433765373659</x:v>
      </x:c>
      <x:c r="I2649" s="27" t="n">
        <x:f>IF(AND(ISNUMBER(G2649),ISNUMBER(H2649),H2649&gt;0),G2649/H2649-1,"")</x:f>
        <x:v>0.08445601396262381</x:v>
      </x:c>
      <x:c r="J2649" s="27" t="n">
        <x:f>IF(AND(ISNUMBER(G2649),F2649&gt;0),G2649/F2649-1,"")</x:f>
        <x:v>0</x:v>
      </x:c>
      <x:c r="K2649" s="19" t="str">
        <x:v>Exp_10/EXP083/results/seed304444453_Relative_cutoff_1e-6.json</x:v>
      </x:c>
    </x:row>
    <x:row r="2650" ht="15" hidden="0" customHeight="1">
      <x:c r="A2650" s="3" t="str">
        <x:v>EXP083</x:v>
      </x:c>
      <x:c r="B2650" s="3" t="str">
        <x:v>Exp. 10</x:v>
      </x:c>
      <x:c r="C2650" s="18" t="n">
        <x:v>304444453</x:v>
      </x:c>
      <x:c r="D2650" s="3" t="str">
        <x:v>Full</x:v>
      </x:c>
      <x:c r="E2650" s="18" t="n">
        <x:v>200</x:v>
      </x:c>
      <x:c r="F2650" s="21" t="n">
        <x:v>346.433765373659</x:v>
      </x:c>
      <x:c r="G2650" s="21" t="n">
        <x:f>F2645</x:f>
        <x:v>375.6921802991811</x:v>
      </x:c>
      <x:c r="H2650" s="21" t="n">
        <x:f>F2650</x:f>
        <x:v>346.433765373659</x:v>
      </x:c>
      <x:c r="I2650" s="27" t="n">
        <x:f>IF(AND(ISNUMBER(G2650),ISNUMBER(H2650),H2650&gt;0),G2650/H2650-1,"")</x:f>
        <x:v>0.08445601396262381</x:v>
      </x:c>
      <x:c r="J2650" s="27" t="n">
        <x:f>IF(AND(ISNUMBER(G2650),F2650&gt;0),G2650/F2650-1,"")</x:f>
        <x:v>0.08445601396262381</x:v>
      </x:c>
      <x:c r="K2650" s="19" t="str">
        <x:v>Exp_10/EXP083/results/seed304444453_Full.json</x:v>
      </x:c>
    </x:row>
    <x:row r="2651" ht="15" hidden="0" customHeight="1">
      <x:c r="A2651" s="3" t="str">
        <x:v>EXP083</x:v>
      </x:c>
      <x:c r="B2651" s="3" t="str">
        <x:v>Exp. 10</x:v>
      </x:c>
      <x:c r="C2651" s="18" t="n">
        <x:v>304444453</x:v>
      </x:c>
      <x:c r="D2651" s="3" t="str">
        <x:v>Relative cutoff 1e-2</x:v>
      </x:c>
      <x:c r="E2651" s="18" t="n">
        <x:v>200</x:v>
      </x:c>
      <x:c r="F2651" s="21" t="n">
        <x:v>367.5275747509526</x:v>
      </x:c>
      <x:c r="G2651" s="21" t="n">
        <x:f>F2645</x:f>
        <x:v>375.6921802991811</x:v>
      </x:c>
      <x:c r="H2651" s="21" t="n">
        <x:f>F2650</x:f>
        <x:v>346.433765373659</x:v>
      </x:c>
      <x:c r="I2651" s="27" t="n">
        <x:f>IF(AND(ISNUMBER(G2651),ISNUMBER(H2651),H2651&gt;0),G2651/H2651-1,"")</x:f>
        <x:v>0.08445601396262381</x:v>
      </x:c>
      <x:c r="J2651" s="27" t="n">
        <x:f>IF(AND(ISNUMBER(G2651),F2651&gt;0),G2651/F2651-1,"")</x:f>
        <x:v>0.022214946875104502</x:v>
      </x:c>
      <x:c r="K2651" s="19" t="str">
        <x:v>Exp_10/EXP083/results/seed304444453_Relative_cutoff_1e-2.json</x:v>
      </x:c>
    </x:row>
    <x:row r="2652" ht="15" hidden="0" customHeight="1">
      <x:c r="A2652" s="3" t="str">
        <x:v>EXP083</x:v>
      </x:c>
      <x:c r="B2652" s="3" t="str">
        <x:v>Exp. 10</x:v>
      </x:c>
      <x:c r="C2652" s="18" t="n">
        <x:v>304444453</x:v>
      </x:c>
      <x:c r="D2652" s="3" t="str">
        <x:v>Relative cutoff 1e-4</x:v>
      </x:c>
      <x:c r="E2652" s="18" t="n">
        <x:v>200</x:v>
      </x:c>
      <x:c r="F2652" s="21" t="n">
        <x:v>378.260662181965</x:v>
      </x:c>
      <x:c r="G2652" s="21" t="n">
        <x:f>F2645</x:f>
        <x:v>375.6921802991811</x:v>
      </x:c>
      <x:c r="H2652" s="21" t="n">
        <x:f>F2650</x:f>
        <x:v>346.433765373659</x:v>
      </x:c>
      <x:c r="I2652" s="27" t="n">
        <x:f>IF(AND(ISNUMBER(G2652),ISNUMBER(H2652),H2652&gt;0),G2652/H2652-1,"")</x:f>
        <x:v>0.08445601396262381</x:v>
      </x:c>
      <x:c r="J2652" s="27" t="n">
        <x:f>IF(AND(ISNUMBER(G2652),F2652&gt;0),G2652/F2652-1,"")</x:f>
        <x:v>-0.006790243183015354</x:v>
      </x:c>
      <x:c r="K2652" s="19" t="str">
        <x:v>Exp_10/EXP083/results/seed304444453_Relative_cutoff_1e-4.json</x:v>
      </x:c>
    </x:row>
    <x:row r="2653" ht="15" hidden="0" customHeight="1">
      <x:c r="A2653" s="3" t="str">
        <x:v>EXP083</x:v>
      </x:c>
      <x:c r="B2653" s="3" t="str">
        <x:v>Exp. 10</x:v>
      </x:c>
      <x:c r="C2653" s="18" t="n">
        <x:v>319922324</x:v>
      </x:c>
      <x:c r="D2653" s="3" t="str">
        <x:v>BBP</x:v>
      </x:c>
      <x:c r="E2653" s="18" t="n">
        <x:v>200</x:v>
      </x:c>
      <x:c r="F2653" s="21" t="n">
        <x:v>373.9326461744248</x:v>
      </x:c>
      <x:c r="G2653" s="21" t="n">
        <x:f>F2653</x:f>
        <x:v>373.9326461744248</x:v>
      </x:c>
      <x:c r="H2653" s="21" t="n">
        <x:f>F2658</x:f>
        <x:v>373.9326461744248</x:v>
      </x:c>
      <x:c r="I2653" s="27" t="n">
        <x:f>IF(AND(ISNUMBER(G2653),ISNUMBER(H2653),H2653&gt;0),G2653/H2653-1,"")</x:f>
        <x:v>0</x:v>
      </x:c>
      <x:c r="J2653" s="27" t="n">
        <x:f>IF(AND(ISNUMBER(G2653),F2653&gt;0),G2653/F2653-1,"")</x:f>
        <x:v>0</x:v>
      </x:c>
      <x:c r="K2653" s="19" t="str">
        <x:v>Exp_10/EXP083/results/seed319922324_BBP.json</x:v>
      </x:c>
    </x:row>
    <x:row r="2654" ht="15" hidden="0" customHeight="1">
      <x:c r="A2654" s="3" t="str">
        <x:v>EXP083</x:v>
      </x:c>
      <x:c r="B2654" s="3" t="str">
        <x:v>Exp. 10</x:v>
      </x:c>
      <x:c r="C2654" s="18" t="n">
        <x:v>319922324</x:v>
      </x:c>
      <x:c r="D2654" s="3" t="str">
        <x:v>Relative cutoff 1e-5</x:v>
      </x:c>
      <x:c r="E2654" s="18" t="n">
        <x:v>200</x:v>
      </x:c>
      <x:c r="F2654" s="21" t="n">
        <x:v>373.9326461744248</x:v>
      </x:c>
      <x:c r="G2654" s="21" t="n">
        <x:f>F2653</x:f>
        <x:v>373.9326461744248</x:v>
      </x:c>
      <x:c r="H2654" s="21" t="n">
        <x:f>F2658</x:f>
        <x:v>373.9326461744248</x:v>
      </x:c>
      <x:c r="I2654" s="27" t="n">
        <x:f>IF(AND(ISNUMBER(G2654),ISNUMBER(H2654),H2654&gt;0),G2654/H2654-1,"")</x:f>
        <x:v>0</x:v>
      </x:c>
      <x:c r="J2654" s="27" t="n">
        <x:f>IF(AND(ISNUMBER(G2654),F2654&gt;0),G2654/F2654-1,"")</x:f>
        <x:v>0</x:v>
      </x:c>
      <x:c r="K2654" s="19" t="str">
        <x:v>Exp_10/EXP083/results/seed319922324_Relative_cutoff_1e-5.json</x:v>
      </x:c>
    </x:row>
    <x:row r="2655" ht="15" hidden="0" customHeight="1">
      <x:c r="A2655" s="3" t="str">
        <x:v>EXP083</x:v>
      </x:c>
      <x:c r="B2655" s="3" t="str">
        <x:v>Exp. 10</x:v>
      </x:c>
      <x:c r="C2655" s="18" t="n">
        <x:v>319922324</x:v>
      </x:c>
      <x:c r="D2655" s="3" t="str">
        <x:v>Fixed rank 10</x:v>
      </x:c>
      <x:c r="E2655" s="18" t="n">
        <x:v>200</x:v>
      </x:c>
      <x:c r="F2655" s="21" t="n">
        <x:v>370.1894716446582</x:v>
      </x:c>
      <x:c r="G2655" s="21" t="n">
        <x:f>F2653</x:f>
        <x:v>373.9326461744248</x:v>
      </x:c>
      <x:c r="H2655" s="21" t="n">
        <x:f>F2658</x:f>
        <x:v>373.9326461744248</x:v>
      </x:c>
      <x:c r="I2655" s="27" t="n">
        <x:f>IF(AND(ISNUMBER(G2655),ISNUMBER(H2655),H2655&gt;0),G2655/H2655-1,"")</x:f>
        <x:v>0</x:v>
      </x:c>
      <x:c r="J2655" s="27" t="n">
        <x:f>IF(AND(ISNUMBER(G2655),F2655&gt;0),G2655/F2655-1,"")</x:f>
        <x:v>0.010111509960390341</x:v>
      </x:c>
      <x:c r="K2655" s="19" t="str">
        <x:v>Exp_10/EXP083/results/seed319922324_Fixed_rank_10.json</x:v>
      </x:c>
    </x:row>
    <x:row r="2656" ht="15" hidden="0" customHeight="1">
      <x:c r="A2656" s="3" t="str">
        <x:v>EXP083</x:v>
      </x:c>
      <x:c r="B2656" s="3" t="str">
        <x:v>Exp. 10</x:v>
      </x:c>
      <x:c r="C2656" s="18" t="n">
        <x:v>319922324</x:v>
      </x:c>
      <x:c r="D2656" s="3" t="str">
        <x:v>Fixed rank 25</x:v>
      </x:c>
      <x:c r="E2656" s="18" t="n">
        <x:v>200</x:v>
      </x:c>
      <x:c r="F2656" s="21" t="n">
        <x:v>373.9326461744248</x:v>
      </x:c>
      <x:c r="G2656" s="21" t="n">
        <x:f>F2653</x:f>
        <x:v>373.9326461744248</x:v>
      </x:c>
      <x:c r="H2656" s="21" t="n">
        <x:f>F2658</x:f>
        <x:v>373.9326461744248</x:v>
      </x:c>
      <x:c r="I2656" s="27" t="n">
        <x:f>IF(AND(ISNUMBER(G2656),ISNUMBER(H2656),H2656&gt;0),G2656/H2656-1,"")</x:f>
        <x:v>0</x:v>
      </x:c>
      <x:c r="J2656" s="27" t="n">
        <x:f>IF(AND(ISNUMBER(G2656),F2656&gt;0),G2656/F2656-1,"")</x:f>
        <x:v>0</x:v>
      </x:c>
      <x:c r="K2656" s="19" t="str">
        <x:v>Exp_10/EXP083/results/seed319922324_Fixed_rank_25.json</x:v>
      </x:c>
    </x:row>
    <x:row r="2657" ht="15" hidden="0" customHeight="1">
      <x:c r="A2657" s="3" t="str">
        <x:v>EXP083</x:v>
      </x:c>
      <x:c r="B2657" s="3" t="str">
        <x:v>Exp. 10</x:v>
      </x:c>
      <x:c r="C2657" s="18" t="n">
        <x:v>319922324</x:v>
      </x:c>
      <x:c r="D2657" s="3" t="str">
        <x:v>Relative cutoff 1e-6</x:v>
      </x:c>
      <x:c r="E2657" s="18" t="n">
        <x:v>200</x:v>
      </x:c>
      <x:c r="F2657" s="21" t="n">
        <x:v>373.9326461744248</x:v>
      </x:c>
      <x:c r="G2657" s="21" t="n">
        <x:f>F2653</x:f>
        <x:v>373.9326461744248</x:v>
      </x:c>
      <x:c r="H2657" s="21" t="n">
        <x:f>F2658</x:f>
        <x:v>373.9326461744248</x:v>
      </x:c>
      <x:c r="I2657" s="27" t="n">
        <x:f>IF(AND(ISNUMBER(G2657),ISNUMBER(H2657),H2657&gt;0),G2657/H2657-1,"")</x:f>
        <x:v>0</x:v>
      </x:c>
      <x:c r="J2657" s="27" t="n">
        <x:f>IF(AND(ISNUMBER(G2657),F2657&gt;0),G2657/F2657-1,"")</x:f>
        <x:v>0</x:v>
      </x:c>
      <x:c r="K2657" s="19" t="str">
        <x:v>Exp_10/EXP083/results/seed319922324_Relative_cutoff_1e-6.json</x:v>
      </x:c>
    </x:row>
    <x:row r="2658" ht="15" hidden="0" customHeight="1">
      <x:c r="A2658" s="3" t="str">
        <x:v>EXP083</x:v>
      </x:c>
      <x:c r="B2658" s="3" t="str">
        <x:v>Exp. 10</x:v>
      </x:c>
      <x:c r="C2658" s="18" t="n">
        <x:v>319922324</x:v>
      </x:c>
      <x:c r="D2658" s="3" t="str">
        <x:v>Full</x:v>
      </x:c>
      <x:c r="E2658" s="18" t="n">
        <x:v>200</x:v>
      </x:c>
      <x:c r="F2658" s="21" t="n">
        <x:v>373.9326461744248</x:v>
      </x:c>
      <x:c r="G2658" s="21" t="n">
        <x:f>F2653</x:f>
        <x:v>373.9326461744248</x:v>
      </x:c>
      <x:c r="H2658" s="21" t="n">
        <x:f>F2658</x:f>
        <x:v>373.9326461744248</x:v>
      </x:c>
      <x:c r="I2658" s="27" t="n">
        <x:f>IF(AND(ISNUMBER(G2658),ISNUMBER(H2658),H2658&gt;0),G2658/H2658-1,"")</x:f>
        <x:v>0</x:v>
      </x:c>
      <x:c r="J2658" s="27" t="n">
        <x:f>IF(AND(ISNUMBER(G2658),F2658&gt;0),G2658/F2658-1,"")</x:f>
        <x:v>0</x:v>
      </x:c>
      <x:c r="K2658" s="19" t="str">
        <x:v>Exp_10/EXP083/results/seed319922324_Full.json</x:v>
      </x:c>
    </x:row>
    <x:row r="2659" ht="15" hidden="0" customHeight="1">
      <x:c r="A2659" s="3" t="str">
        <x:v>EXP083</x:v>
      </x:c>
      <x:c r="B2659" s="3" t="str">
        <x:v>Exp. 10</x:v>
      </x:c>
      <x:c r="C2659" s="18" t="n">
        <x:v>319922324</x:v>
      </x:c>
      <x:c r="D2659" s="3" t="str">
        <x:v>Relative cutoff 1e-2</x:v>
      </x:c>
      <x:c r="E2659" s="18" t="n">
        <x:v>200</x:v>
      </x:c>
      <x:c r="F2659" s="21" t="n">
        <x:v>367.14497492160126</x:v>
      </x:c>
      <x:c r="G2659" s="21" t="n">
        <x:f>F2653</x:f>
        <x:v>373.9326461744248</x:v>
      </x:c>
      <x:c r="H2659" s="21" t="n">
        <x:f>F2658</x:f>
        <x:v>373.9326461744248</x:v>
      </x:c>
      <x:c r="I2659" s="27" t="n">
        <x:f>IF(AND(ISNUMBER(G2659),ISNUMBER(H2659),H2659&gt;0),G2659/H2659-1,"")</x:f>
        <x:v>0</x:v>
      </x:c>
      <x:c r="J2659" s="27" t="n">
        <x:f>IF(AND(ISNUMBER(G2659),F2659&gt;0),G2659/F2659-1,"")</x:f>
        <x:v>0.018487713890876334</x:v>
      </x:c>
      <x:c r="K2659" s="19" t="str">
        <x:v>Exp_10/EXP083/results/seed319922324_Relative_cutoff_1e-2.json</x:v>
      </x:c>
    </x:row>
    <x:row r="2660" ht="15" hidden="0" customHeight="1">
      <x:c r="A2660" s="3" t="str">
        <x:v>EXP083</x:v>
      </x:c>
      <x:c r="B2660" s="3" t="str">
        <x:v>Exp. 10</x:v>
      </x:c>
      <x:c r="C2660" s="18" t="n">
        <x:v>319922324</x:v>
      </x:c>
      <x:c r="D2660" s="3" t="str">
        <x:v>Relative cutoff 1e-4</x:v>
      </x:c>
      <x:c r="E2660" s="18" t="n">
        <x:v>200</x:v>
      </x:c>
      <x:c r="F2660" s="21" t="n">
        <x:v>373.9326461744248</x:v>
      </x:c>
      <x:c r="G2660" s="21" t="n">
        <x:f>F2653</x:f>
        <x:v>373.9326461744248</x:v>
      </x:c>
      <x:c r="H2660" s="21" t="n">
        <x:f>F2658</x:f>
        <x:v>373.9326461744248</x:v>
      </x:c>
      <x:c r="I2660" s="27" t="n">
        <x:f>IF(AND(ISNUMBER(G2660),ISNUMBER(H2660),H2660&gt;0),G2660/H2660-1,"")</x:f>
        <x:v>0</x:v>
      </x:c>
      <x:c r="J2660" s="27" t="n">
        <x:f>IF(AND(ISNUMBER(G2660),F2660&gt;0),G2660/F2660-1,"")</x:f>
        <x:v>0</x:v>
      </x:c>
      <x:c r="K2660" s="19" t="str">
        <x:v>Exp_10/EXP083/results/seed319922324_Relative_cutoff_1e-4.json</x:v>
      </x:c>
    </x:row>
    <x:row r="2661" ht="15" hidden="0" customHeight="1">
      <x:c r="A2661" s="3" t="str">
        <x:v>EXP083</x:v>
      </x:c>
      <x:c r="B2661" s="3" t="str">
        <x:v>Exp. 10</x:v>
      </x:c>
      <x:c r="C2661" s="18" t="n">
        <x:v>560889375</x:v>
      </x:c>
      <x:c r="D2661" s="3" t="str">
        <x:v>BBP</x:v>
      </x:c>
      <x:c r="E2661" s="18" t="n">
        <x:v>200</x:v>
      </x:c>
      <x:c r="F2661" s="21" t="n">
        <x:v>412.4147364080254</x:v>
      </x:c>
      <x:c r="G2661" s="21" t="n">
        <x:f>F2661</x:f>
        <x:v>412.4147364080254</x:v>
      </x:c>
      <x:c r="H2661" s="21" t="n">
        <x:f>F2666</x:f>
        <x:v>411.89589879146604</x:v>
      </x:c>
      <x:c r="I2661" s="27" t="n">
        <x:f>IF(AND(ISNUMBER(G2661),ISNUMBER(H2661),H2661&gt;0),G2661/H2661-1,"")</x:f>
        <x:v>0.0012596328783114341</x:v>
      </x:c>
      <x:c r="J2661" s="27" t="n">
        <x:f>IF(AND(ISNUMBER(G2661),F2661&gt;0),G2661/F2661-1,"")</x:f>
        <x:v>0</x:v>
      </x:c>
      <x:c r="K2661" s="19" t="str">
        <x:v>Exp_10/EXP083/results/seed560889375_BBP.json</x:v>
      </x:c>
    </x:row>
    <x:row r="2662" ht="15" hidden="0" customHeight="1">
      <x:c r="A2662" s="3" t="str">
        <x:v>EXP083</x:v>
      </x:c>
      <x:c r="B2662" s="3" t="str">
        <x:v>Exp. 10</x:v>
      </x:c>
      <x:c r="C2662" s="18" t="n">
        <x:v>560889375</x:v>
      </x:c>
      <x:c r="D2662" s="3" t="str">
        <x:v>Relative cutoff 1e-5</x:v>
      </x:c>
      <x:c r="E2662" s="18" t="n">
        <x:v>200</x:v>
      </x:c>
      <x:c r="F2662" s="21" t="n">
        <x:v>408.6332009223824</x:v>
      </x:c>
      <x:c r="G2662" s="21" t="n">
        <x:f>F2661</x:f>
        <x:v>412.4147364080254</x:v>
      </x:c>
      <x:c r="H2662" s="21" t="n">
        <x:f>F2666</x:f>
        <x:v>411.89589879146604</x:v>
      </x:c>
      <x:c r="I2662" s="27" t="n">
        <x:f>IF(AND(ISNUMBER(G2662),ISNUMBER(H2662),H2662&gt;0),G2662/H2662-1,"")</x:f>
        <x:v>0.0012596328783114341</x:v>
      </x:c>
      <x:c r="J2662" s="27" t="n">
        <x:f>IF(AND(ISNUMBER(G2662),F2662&gt;0),G2662/F2662-1,"")</x:f>
        <x:v>0.009254107295019631</x:v>
      </x:c>
      <x:c r="K2662" s="19" t="str">
        <x:v>Exp_10/EXP083/results/seed560889375_Relative_cutoff_1e-5.json</x:v>
      </x:c>
    </x:row>
    <x:row r="2663" ht="15" hidden="0" customHeight="1">
      <x:c r="A2663" s="3" t="str">
        <x:v>EXP083</x:v>
      </x:c>
      <x:c r="B2663" s="3" t="str">
        <x:v>Exp. 10</x:v>
      </x:c>
      <x:c r="C2663" s="18" t="n">
        <x:v>560889375</x:v>
      </x:c>
      <x:c r="D2663" s="3" t="str">
        <x:v>Fixed rank 10</x:v>
      </x:c>
      <x:c r="E2663" s="18" t="n">
        <x:v>200</x:v>
      </x:c>
      <x:c r="F2663" s="21" t="n">
        <x:v>412.09928671696883</x:v>
      </x:c>
      <x:c r="G2663" s="21" t="n">
        <x:f>F2661</x:f>
        <x:v>412.4147364080254</x:v>
      </x:c>
      <x:c r="H2663" s="21" t="n">
        <x:f>F2666</x:f>
        <x:v>411.89589879146604</x:v>
      </x:c>
      <x:c r="I2663" s="27" t="n">
        <x:f>IF(AND(ISNUMBER(G2663),ISNUMBER(H2663),H2663&gt;0),G2663/H2663-1,"")</x:f>
        <x:v>0.0012596328783114341</x:v>
      </x:c>
      <x:c r="J2663" s="27" t="n">
        <x:f>IF(AND(ISNUMBER(G2663),F2663&gt;0),G2663/F2663-1,"")</x:f>
        <x:v>0.0007654701214594439</x:v>
      </x:c>
      <x:c r="K2663" s="19" t="str">
        <x:v>Exp_10/EXP083/results/seed560889375_Fixed_rank_10.json</x:v>
      </x:c>
    </x:row>
    <x:row r="2664" ht="15" hidden="0" customHeight="1">
      <x:c r="A2664" s="3" t="str">
        <x:v>EXP083</x:v>
      </x:c>
      <x:c r="B2664" s="3" t="str">
        <x:v>Exp. 10</x:v>
      </x:c>
      <x:c r="C2664" s="18" t="n">
        <x:v>560889375</x:v>
      </x:c>
      <x:c r="D2664" s="3" t="str">
        <x:v>Fixed rank 25</x:v>
      </x:c>
      <x:c r="E2664" s="18" t="n">
        <x:v>200</x:v>
      </x:c>
      <x:c r="F2664" s="21" t="n">
        <x:v>412.4147364080254</x:v>
      </x:c>
      <x:c r="G2664" s="21" t="n">
        <x:f>F2661</x:f>
        <x:v>412.4147364080254</x:v>
      </x:c>
      <x:c r="H2664" s="21" t="n">
        <x:f>F2666</x:f>
        <x:v>411.89589879146604</x:v>
      </x:c>
      <x:c r="I2664" s="27" t="n">
        <x:f>IF(AND(ISNUMBER(G2664),ISNUMBER(H2664),H2664&gt;0),G2664/H2664-1,"")</x:f>
        <x:v>0.0012596328783114341</x:v>
      </x:c>
      <x:c r="J2664" s="27" t="n">
        <x:f>IF(AND(ISNUMBER(G2664),F2664&gt;0),G2664/F2664-1,"")</x:f>
        <x:v>0</x:v>
      </x:c>
      <x:c r="K2664" s="19" t="str">
        <x:v>Exp_10/EXP083/results/seed560889375_Fixed_rank_25.json</x:v>
      </x:c>
    </x:row>
    <x:row r="2665" ht="15" hidden="0" customHeight="1">
      <x:c r="A2665" s="3" t="str">
        <x:v>EXP083</x:v>
      </x:c>
      <x:c r="B2665" s="3" t="str">
        <x:v>Exp. 10</x:v>
      </x:c>
      <x:c r="C2665" s="18" t="n">
        <x:v>560889375</x:v>
      </x:c>
      <x:c r="D2665" s="3" t="str">
        <x:v>Relative cutoff 1e-6</x:v>
      </x:c>
      <x:c r="E2665" s="18" t="n">
        <x:v>200</x:v>
      </x:c>
      <x:c r="F2665" s="21" t="n">
        <x:v>411.89589879146604</x:v>
      </x:c>
      <x:c r="G2665" s="21" t="n">
        <x:f>F2661</x:f>
        <x:v>412.4147364080254</x:v>
      </x:c>
      <x:c r="H2665" s="21" t="n">
        <x:f>F2666</x:f>
        <x:v>411.89589879146604</x:v>
      </x:c>
      <x:c r="I2665" s="27" t="n">
        <x:f>IF(AND(ISNUMBER(G2665),ISNUMBER(H2665),H2665&gt;0),G2665/H2665-1,"")</x:f>
        <x:v>0.0012596328783114341</x:v>
      </x:c>
      <x:c r="J2665" s="27" t="n">
        <x:f>IF(AND(ISNUMBER(G2665),F2665&gt;0),G2665/F2665-1,"")</x:f>
        <x:v>0.0012596328783114341</x:v>
      </x:c>
      <x:c r="K2665" s="19" t="str">
        <x:v>Exp_10/EXP083/results/seed560889375_Relative_cutoff_1e-6.json</x:v>
      </x:c>
    </x:row>
    <x:row r="2666" ht="15" hidden="0" customHeight="1">
      <x:c r="A2666" s="3" t="str">
        <x:v>EXP083</x:v>
      </x:c>
      <x:c r="B2666" s="3" t="str">
        <x:v>Exp. 10</x:v>
      </x:c>
      <x:c r="C2666" s="18" t="n">
        <x:v>560889375</x:v>
      </x:c>
      <x:c r="D2666" s="3" t="str">
        <x:v>Full</x:v>
      </x:c>
      <x:c r="E2666" s="18" t="n">
        <x:v>200</x:v>
      </x:c>
      <x:c r="F2666" s="21" t="n">
        <x:v>411.89589879146604</x:v>
      </x:c>
      <x:c r="G2666" s="21" t="n">
        <x:f>F2661</x:f>
        <x:v>412.4147364080254</x:v>
      </x:c>
      <x:c r="H2666" s="21" t="n">
        <x:f>F2666</x:f>
        <x:v>411.89589879146604</x:v>
      </x:c>
      <x:c r="I2666" s="27" t="n">
        <x:f>IF(AND(ISNUMBER(G2666),ISNUMBER(H2666),H2666&gt;0),G2666/H2666-1,"")</x:f>
        <x:v>0.0012596328783114341</x:v>
      </x:c>
      <x:c r="J2666" s="27" t="n">
        <x:f>IF(AND(ISNUMBER(G2666),F2666&gt;0),G2666/F2666-1,"")</x:f>
        <x:v>0.0012596328783114341</x:v>
      </x:c>
      <x:c r="K2666" s="19" t="str">
        <x:v>Exp_10/EXP083/results/seed560889375_Full.json</x:v>
      </x:c>
    </x:row>
    <x:row r="2667" ht="15" hidden="0" customHeight="1">
      <x:c r="A2667" s="3" t="str">
        <x:v>EXP083</x:v>
      </x:c>
      <x:c r="B2667" s="3" t="str">
        <x:v>Exp. 10</x:v>
      </x:c>
      <x:c r="C2667" s="18" t="n">
        <x:v>560889375</x:v>
      </x:c>
      <x:c r="D2667" s="3" t="str">
        <x:v>Relative cutoff 1e-2</x:v>
      </x:c>
      <x:c r="E2667" s="18" t="n">
        <x:v>200</x:v>
      </x:c>
      <x:c r="F2667" s="21" t="n">
        <x:v>419.4203846420508</x:v>
      </x:c>
      <x:c r="G2667" s="21" t="n">
        <x:f>F2661</x:f>
        <x:v>412.4147364080254</x:v>
      </x:c>
      <x:c r="H2667" s="21" t="n">
        <x:f>F2666</x:f>
        <x:v>411.89589879146604</x:v>
      </x:c>
      <x:c r="I2667" s="27" t="n">
        <x:f>IF(AND(ISNUMBER(G2667),ISNUMBER(H2667),H2667&gt;0),G2667/H2667-1,"")</x:f>
        <x:v>0.0012596328783114341</x:v>
      </x:c>
      <x:c r="J2667" s="27" t="n">
        <x:f>IF(AND(ISNUMBER(G2667),F2667&gt;0),G2667/F2667-1,"")</x:f>
        <x:v>-0.01670316582252973</x:v>
      </x:c>
      <x:c r="K2667" s="19" t="str">
        <x:v>Exp_10/EXP083/results/seed560889375_Relative_cutoff_1e-2.json</x:v>
      </x:c>
    </x:row>
    <x:row r="2668" ht="15" hidden="0" customHeight="1">
      <x:c r="A2668" s="3" t="str">
        <x:v>EXP083</x:v>
      </x:c>
      <x:c r="B2668" s="3" t="str">
        <x:v>Exp. 10</x:v>
      </x:c>
      <x:c r="C2668" s="18" t="n">
        <x:v>560889375</x:v>
      </x:c>
      <x:c r="D2668" s="3" t="str">
        <x:v>Relative cutoff 1e-4</x:v>
      </x:c>
      <x:c r="E2668" s="18" t="n">
        <x:v>200</x:v>
      </x:c>
      <x:c r="F2668" s="21" t="n">
        <x:v>412.09928671696883</x:v>
      </x:c>
      <x:c r="G2668" s="21" t="n">
        <x:f>F2661</x:f>
        <x:v>412.4147364080254</x:v>
      </x:c>
      <x:c r="H2668" s="21" t="n">
        <x:f>F2666</x:f>
        <x:v>411.89589879146604</x:v>
      </x:c>
      <x:c r="I2668" s="27" t="n">
        <x:f>IF(AND(ISNUMBER(G2668),ISNUMBER(H2668),H2668&gt;0),G2668/H2668-1,"")</x:f>
        <x:v>0.0012596328783114341</x:v>
      </x:c>
      <x:c r="J2668" s="27" t="n">
        <x:f>IF(AND(ISNUMBER(G2668),F2668&gt;0),G2668/F2668-1,"")</x:f>
        <x:v>0.0007654701214594439</x:v>
      </x:c>
      <x:c r="K2668" s="19" t="str">
        <x:v>Exp_10/EXP083/results/seed560889375_Relative_cutoff_1e-4.json</x:v>
      </x:c>
    </x:row>
    <x:row r="2669" ht="15" hidden="0" customHeight="1">
      <x:c r="A2669" s="3" t="str">
        <x:v>EXP083</x:v>
      </x:c>
      <x:c r="B2669" s="3" t="str">
        <x:v>Exp. 10</x:v>
      </x:c>
      <x:c r="C2669" s="18" t="n">
        <x:v>666829030</x:v>
      </x:c>
      <x:c r="D2669" s="3" t="str">
        <x:v>BBP</x:v>
      </x:c>
      <x:c r="E2669" s="18" t="n">
        <x:v>200</x:v>
      </x:c>
      <x:c r="F2669" s="21" t="n">
        <x:v>403.2556042674849</x:v>
      </x:c>
      <x:c r="G2669" s="21" t="n">
        <x:f>F2669</x:f>
        <x:v>403.2556042674849</x:v>
      </x:c>
      <x:c r="H2669" s="21" t="n">
        <x:f>F2674</x:f>
        <x:v>403.2556042674849</x:v>
      </x:c>
      <x:c r="I2669" s="27" t="n">
        <x:f>IF(AND(ISNUMBER(G2669),ISNUMBER(H2669),H2669&gt;0),G2669/H2669-1,"")</x:f>
        <x:v>0</x:v>
      </x:c>
      <x:c r="J2669" s="27" t="n">
        <x:f>IF(AND(ISNUMBER(G2669),F2669&gt;0),G2669/F2669-1,"")</x:f>
        <x:v>0</x:v>
      </x:c>
      <x:c r="K2669" s="19" t="str">
        <x:v>Exp_10/EXP083/results/seed666829030_BBP.json</x:v>
      </x:c>
    </x:row>
    <x:row r="2670" ht="15" hidden="0" customHeight="1">
      <x:c r="A2670" s="3" t="str">
        <x:v>EXP083</x:v>
      </x:c>
      <x:c r="B2670" s="3" t="str">
        <x:v>Exp. 10</x:v>
      </x:c>
      <x:c r="C2670" s="18" t="n">
        <x:v>666829030</x:v>
      </x:c>
      <x:c r="D2670" s="3" t="str">
        <x:v>Relative cutoff 1e-5</x:v>
      </x:c>
      <x:c r="E2670" s="18" t="n">
        <x:v>200</x:v>
      </x:c>
      <x:c r="F2670" s="21" t="n">
        <x:v>403.2556042674849</x:v>
      </x:c>
      <x:c r="G2670" s="21" t="n">
        <x:f>F2669</x:f>
        <x:v>403.2556042674849</x:v>
      </x:c>
      <x:c r="H2670" s="21" t="n">
        <x:f>F2674</x:f>
        <x:v>403.2556042674849</x:v>
      </x:c>
      <x:c r="I2670" s="27" t="n">
        <x:f>IF(AND(ISNUMBER(G2670),ISNUMBER(H2670),H2670&gt;0),G2670/H2670-1,"")</x:f>
        <x:v>0</x:v>
      </x:c>
      <x:c r="J2670" s="27" t="n">
        <x:f>IF(AND(ISNUMBER(G2670),F2670&gt;0),G2670/F2670-1,"")</x:f>
        <x:v>0</x:v>
      </x:c>
      <x:c r="K2670" s="19" t="str">
        <x:v>Exp_10/EXP083/results/seed666829030_Relative_cutoff_1e-5.json</x:v>
      </x:c>
    </x:row>
    <x:row r="2671" ht="15" hidden="0" customHeight="1">
      <x:c r="A2671" s="3" t="str">
        <x:v>EXP083</x:v>
      </x:c>
      <x:c r="B2671" s="3" t="str">
        <x:v>Exp. 10</x:v>
      </x:c>
      <x:c r="C2671" s="18" t="n">
        <x:v>666829030</x:v>
      </x:c>
      <x:c r="D2671" s="3" t="str">
        <x:v>Fixed rank 10</x:v>
      </x:c>
      <x:c r="E2671" s="18" t="n">
        <x:v>200</x:v>
      </x:c>
      <x:c r="F2671" s="21" t="n">
        <x:v>403.2556042674849</x:v>
      </x:c>
      <x:c r="G2671" s="21" t="n">
        <x:f>F2669</x:f>
        <x:v>403.2556042674849</x:v>
      </x:c>
      <x:c r="H2671" s="21" t="n">
        <x:f>F2674</x:f>
        <x:v>403.2556042674849</x:v>
      </x:c>
      <x:c r="I2671" s="27" t="n">
        <x:f>IF(AND(ISNUMBER(G2671),ISNUMBER(H2671),H2671&gt;0),G2671/H2671-1,"")</x:f>
        <x:v>0</x:v>
      </x:c>
      <x:c r="J2671" s="27" t="n">
        <x:f>IF(AND(ISNUMBER(G2671),F2671&gt;0),G2671/F2671-1,"")</x:f>
        <x:v>0</x:v>
      </x:c>
      <x:c r="K2671" s="19" t="str">
        <x:v>Exp_10/EXP083/results/seed666829030_Fixed_rank_10.json</x:v>
      </x:c>
    </x:row>
    <x:row r="2672" ht="15" hidden="0" customHeight="1">
      <x:c r="A2672" s="3" t="str">
        <x:v>EXP083</x:v>
      </x:c>
      <x:c r="B2672" s="3" t="str">
        <x:v>Exp. 10</x:v>
      </x:c>
      <x:c r="C2672" s="18" t="n">
        <x:v>666829030</x:v>
      </x:c>
      <x:c r="D2672" s="3" t="str">
        <x:v>Fixed rank 25</x:v>
      </x:c>
      <x:c r="E2672" s="18" t="n">
        <x:v>200</x:v>
      </x:c>
      <x:c r="F2672" s="21" t="n">
        <x:v>403.2556042674849</x:v>
      </x:c>
      <x:c r="G2672" s="21" t="n">
        <x:f>F2669</x:f>
        <x:v>403.2556042674849</x:v>
      </x:c>
      <x:c r="H2672" s="21" t="n">
        <x:f>F2674</x:f>
        <x:v>403.2556042674849</x:v>
      </x:c>
      <x:c r="I2672" s="27" t="n">
        <x:f>IF(AND(ISNUMBER(G2672),ISNUMBER(H2672),H2672&gt;0),G2672/H2672-1,"")</x:f>
        <x:v>0</x:v>
      </x:c>
      <x:c r="J2672" s="27" t="n">
        <x:f>IF(AND(ISNUMBER(G2672),F2672&gt;0),G2672/F2672-1,"")</x:f>
        <x:v>0</x:v>
      </x:c>
      <x:c r="K2672" s="19" t="str">
        <x:v>Exp_10/EXP083/results/seed666829030_Fixed_rank_25.json</x:v>
      </x:c>
    </x:row>
    <x:row r="2673" ht="15" hidden="0" customHeight="1">
      <x:c r="A2673" s="3" t="str">
        <x:v>EXP083</x:v>
      </x:c>
      <x:c r="B2673" s="3" t="str">
        <x:v>Exp. 10</x:v>
      </x:c>
      <x:c r="C2673" s="18" t="n">
        <x:v>666829030</x:v>
      </x:c>
      <x:c r="D2673" s="3" t="str">
        <x:v>Relative cutoff 1e-6</x:v>
      </x:c>
      <x:c r="E2673" s="18" t="n">
        <x:v>200</x:v>
      </x:c>
      <x:c r="F2673" s="21" t="n">
        <x:v>403.2556042674849</x:v>
      </x:c>
      <x:c r="G2673" s="21" t="n">
        <x:f>F2669</x:f>
        <x:v>403.2556042674849</x:v>
      </x:c>
      <x:c r="H2673" s="21" t="n">
        <x:f>F2674</x:f>
        <x:v>403.2556042674849</x:v>
      </x:c>
      <x:c r="I2673" s="27" t="n">
        <x:f>IF(AND(ISNUMBER(G2673),ISNUMBER(H2673),H2673&gt;0),G2673/H2673-1,"")</x:f>
        <x:v>0</x:v>
      </x:c>
      <x:c r="J2673" s="27" t="n">
        <x:f>IF(AND(ISNUMBER(G2673),F2673&gt;0),G2673/F2673-1,"")</x:f>
        <x:v>0</x:v>
      </x:c>
      <x:c r="K2673" s="19" t="str">
        <x:v>Exp_10/EXP083/results/seed666829030_Relative_cutoff_1e-6.json</x:v>
      </x:c>
    </x:row>
    <x:row r="2674" ht="15" hidden="0" customHeight="1">
      <x:c r="A2674" s="3" t="str">
        <x:v>EXP083</x:v>
      </x:c>
      <x:c r="B2674" s="3" t="str">
        <x:v>Exp. 10</x:v>
      </x:c>
      <x:c r="C2674" s="18" t="n">
        <x:v>666829030</x:v>
      </x:c>
      <x:c r="D2674" s="3" t="str">
        <x:v>Full</x:v>
      </x:c>
      <x:c r="E2674" s="18" t="n">
        <x:v>200</x:v>
      </x:c>
      <x:c r="F2674" s="21" t="n">
        <x:v>403.2556042674849</x:v>
      </x:c>
      <x:c r="G2674" s="21" t="n">
        <x:f>F2669</x:f>
        <x:v>403.2556042674849</x:v>
      </x:c>
      <x:c r="H2674" s="21" t="n">
        <x:f>F2674</x:f>
        <x:v>403.2556042674849</x:v>
      </x:c>
      <x:c r="I2674" s="27" t="n">
        <x:f>IF(AND(ISNUMBER(G2674),ISNUMBER(H2674),H2674&gt;0),G2674/H2674-1,"")</x:f>
        <x:v>0</x:v>
      </x:c>
      <x:c r="J2674" s="27" t="n">
        <x:f>IF(AND(ISNUMBER(G2674),F2674&gt;0),G2674/F2674-1,"")</x:f>
        <x:v>0</x:v>
      </x:c>
      <x:c r="K2674" s="19" t="str">
        <x:v>Exp_10/EXP083/results/seed666829030_Full.json</x:v>
      </x:c>
    </x:row>
    <x:row r="2675" ht="15" hidden="0" customHeight="1">
      <x:c r="A2675" s="3" t="str">
        <x:v>EXP083</x:v>
      </x:c>
      <x:c r="B2675" s="3" t="str">
        <x:v>Exp. 10</x:v>
      </x:c>
      <x:c r="C2675" s="18" t="n">
        <x:v>666829030</x:v>
      </x:c>
      <x:c r="D2675" s="3" t="str">
        <x:v>Relative cutoff 1e-2</x:v>
      </x:c>
      <x:c r="E2675" s="18" t="n">
        <x:v>200</x:v>
      </x:c>
      <x:c r="F2675" s="21" t="n">
        <x:v>391.54284366945114</x:v>
      </x:c>
      <x:c r="G2675" s="21" t="n">
        <x:f>F2669</x:f>
        <x:v>403.2556042674849</x:v>
      </x:c>
      <x:c r="H2675" s="21" t="n">
        <x:f>F2674</x:f>
        <x:v>403.2556042674849</x:v>
      </x:c>
      <x:c r="I2675" s="27" t="n">
        <x:f>IF(AND(ISNUMBER(G2675),ISNUMBER(H2675),H2675&gt;0),G2675/H2675-1,"")</x:f>
        <x:v>0</x:v>
      </x:c>
      <x:c r="J2675" s="27" t="n">
        <x:f>IF(AND(ISNUMBER(G2675),F2675&gt;0),G2675/F2675-1,"")</x:f>
        <x:v>0.029914377921619995</x:v>
      </x:c>
      <x:c r="K2675" s="19" t="str">
        <x:v>Exp_10/EXP083/results/seed666829030_Relative_cutoff_1e-2.json</x:v>
      </x:c>
    </x:row>
    <x:row r="2676" ht="15" hidden="0" customHeight="1">
      <x:c r="A2676" s="3" t="str">
        <x:v>EXP083</x:v>
      </x:c>
      <x:c r="B2676" s="3" t="str">
        <x:v>Exp. 10</x:v>
      </x:c>
      <x:c r="C2676" s="18" t="n">
        <x:v>666829030</x:v>
      </x:c>
      <x:c r="D2676" s="3" t="str">
        <x:v>Relative cutoff 1e-4</x:v>
      </x:c>
      <x:c r="E2676" s="18" t="n">
        <x:v>200</x:v>
      </x:c>
      <x:c r="F2676" s="21" t="n">
        <x:v>403.2556042674849</x:v>
      </x:c>
      <x:c r="G2676" s="21" t="n">
        <x:f>F2669</x:f>
        <x:v>403.2556042674849</x:v>
      </x:c>
      <x:c r="H2676" s="21" t="n">
        <x:f>F2674</x:f>
        <x:v>403.2556042674849</x:v>
      </x:c>
      <x:c r="I2676" s="27" t="n">
        <x:f>IF(AND(ISNUMBER(G2676),ISNUMBER(H2676),H2676&gt;0),G2676/H2676-1,"")</x:f>
        <x:v>0</x:v>
      </x:c>
      <x:c r="J2676" s="27" t="n">
        <x:f>IF(AND(ISNUMBER(G2676),F2676&gt;0),G2676/F2676-1,"")</x:f>
        <x:v>0</x:v>
      </x:c>
      <x:c r="K2676" s="19" t="str">
        <x:v>Exp_10/EXP083/results/seed666829030_Relative_cutoff_1e-4.json</x:v>
      </x:c>
    </x:row>
    <x:row r="2677" ht="15" hidden="0" customHeight="1">
      <x:c r="A2677" s="3" t="str">
        <x:v>EXP083</x:v>
      </x:c>
      <x:c r="B2677" s="3" t="str">
        <x:v>Exp. 10</x:v>
      </x:c>
      <x:c r="C2677" s="18" t="n">
        <x:v>748076223</x:v>
      </x:c>
      <x:c r="D2677" s="3" t="str">
        <x:v>BBP</x:v>
      </x:c>
      <x:c r="E2677" s="18" t="n">
        <x:v>200</x:v>
      </x:c>
      <x:c r="F2677" s="21" t="n">
        <x:v>440.72885518071456</x:v>
      </x:c>
      <x:c r="G2677" s="21" t="n">
        <x:f>F2677</x:f>
        <x:v>440.72885518071456</x:v>
      </x:c>
      <x:c r="H2677" s="21" t="n">
        <x:f>F2682</x:f>
        <x:v>440.72885518071456</x:v>
      </x:c>
      <x:c r="I2677" s="27" t="n">
        <x:f>IF(AND(ISNUMBER(G2677),ISNUMBER(H2677),H2677&gt;0),G2677/H2677-1,"")</x:f>
        <x:v>0</x:v>
      </x:c>
      <x:c r="J2677" s="27" t="n">
        <x:f>IF(AND(ISNUMBER(G2677),F2677&gt;0),G2677/F2677-1,"")</x:f>
        <x:v>0</x:v>
      </x:c>
      <x:c r="K2677" s="19" t="str">
        <x:v>Exp_10/EXP083/results/seed748076223_BBP.json</x:v>
      </x:c>
    </x:row>
    <x:row r="2678" ht="15" hidden="0" customHeight="1">
      <x:c r="A2678" s="3" t="str">
        <x:v>EXP083</x:v>
      </x:c>
      <x:c r="B2678" s="3" t="str">
        <x:v>Exp. 10</x:v>
      </x:c>
      <x:c r="C2678" s="18" t="n">
        <x:v>748076223</x:v>
      </x:c>
      <x:c r="D2678" s="3" t="str">
        <x:v>Relative cutoff 1e-5</x:v>
      </x:c>
      <x:c r="E2678" s="18" t="n">
        <x:v>200</x:v>
      </x:c>
      <x:c r="F2678" s="21" t="n">
        <x:v>440.72885518071456</x:v>
      </x:c>
      <x:c r="G2678" s="21" t="n">
        <x:f>F2677</x:f>
        <x:v>440.72885518071456</x:v>
      </x:c>
      <x:c r="H2678" s="21" t="n">
        <x:f>F2682</x:f>
        <x:v>440.72885518071456</x:v>
      </x:c>
      <x:c r="I2678" s="27" t="n">
        <x:f>IF(AND(ISNUMBER(G2678),ISNUMBER(H2678),H2678&gt;0),G2678/H2678-1,"")</x:f>
        <x:v>0</x:v>
      </x:c>
      <x:c r="J2678" s="27" t="n">
        <x:f>IF(AND(ISNUMBER(G2678),F2678&gt;0),G2678/F2678-1,"")</x:f>
        <x:v>0</x:v>
      </x:c>
      <x:c r="K2678" s="19" t="str">
        <x:v>Exp_10/EXP083/results/seed748076223_Relative_cutoff_1e-5.json</x:v>
      </x:c>
    </x:row>
    <x:row r="2679" ht="15" hidden="0" customHeight="1">
      <x:c r="A2679" s="3" t="str">
        <x:v>EXP083</x:v>
      </x:c>
      <x:c r="B2679" s="3" t="str">
        <x:v>Exp. 10</x:v>
      </x:c>
      <x:c r="C2679" s="18" t="n">
        <x:v>748076223</x:v>
      </x:c>
      <x:c r="D2679" s="3" t="str">
        <x:v>Fixed rank 10</x:v>
      </x:c>
      <x:c r="E2679" s="18" t="n">
        <x:v>200</x:v>
      </x:c>
      <x:c r="F2679" s="21" t="n">
        <x:v>419.08733142077546</x:v>
      </x:c>
      <x:c r="G2679" s="21" t="n">
        <x:f>F2677</x:f>
        <x:v>440.72885518071456</x:v>
      </x:c>
      <x:c r="H2679" s="21" t="n">
        <x:f>F2682</x:f>
        <x:v>440.72885518071456</x:v>
      </x:c>
      <x:c r="I2679" s="27" t="n">
        <x:f>IF(AND(ISNUMBER(G2679),ISNUMBER(H2679),H2679&gt;0),G2679/H2679-1,"")</x:f>
        <x:v>0</x:v>
      </x:c>
      <x:c r="J2679" s="27" t="n">
        <x:f>IF(AND(ISNUMBER(G2679),F2679&gt;0),G2679/F2679-1,"")</x:f>
        <x:v>0.051639651541292686</x:v>
      </x:c>
      <x:c r="K2679" s="19" t="str">
        <x:v>Exp_10/EXP083/results/seed748076223_Fixed_rank_10.json</x:v>
      </x:c>
    </x:row>
    <x:row r="2680" ht="15" hidden="0" customHeight="1">
      <x:c r="A2680" s="3" t="str">
        <x:v>EXP083</x:v>
      </x:c>
      <x:c r="B2680" s="3" t="str">
        <x:v>Exp. 10</x:v>
      </x:c>
      <x:c r="C2680" s="18" t="n">
        <x:v>748076223</x:v>
      </x:c>
      <x:c r="D2680" s="3" t="str">
        <x:v>Fixed rank 25</x:v>
      </x:c>
      <x:c r="E2680" s="18" t="n">
        <x:v>200</x:v>
      </x:c>
      <x:c r="F2680" s="21" t="n">
        <x:v>440.72885518071456</x:v>
      </x:c>
      <x:c r="G2680" s="21" t="n">
        <x:f>F2677</x:f>
        <x:v>440.72885518071456</x:v>
      </x:c>
      <x:c r="H2680" s="21" t="n">
        <x:f>F2682</x:f>
        <x:v>440.72885518071456</x:v>
      </x:c>
      <x:c r="I2680" s="27" t="n">
        <x:f>IF(AND(ISNUMBER(G2680),ISNUMBER(H2680),H2680&gt;0),G2680/H2680-1,"")</x:f>
        <x:v>0</x:v>
      </x:c>
      <x:c r="J2680" s="27" t="n">
        <x:f>IF(AND(ISNUMBER(G2680),F2680&gt;0),G2680/F2680-1,"")</x:f>
        <x:v>0</x:v>
      </x:c>
      <x:c r="K2680" s="19" t="str">
        <x:v>Exp_10/EXP083/results/seed748076223_Fixed_rank_25.json</x:v>
      </x:c>
    </x:row>
    <x:row r="2681" ht="15" hidden="0" customHeight="1">
      <x:c r="A2681" s="3" t="str">
        <x:v>EXP083</x:v>
      </x:c>
      <x:c r="B2681" s="3" t="str">
        <x:v>Exp. 10</x:v>
      </x:c>
      <x:c r="C2681" s="18" t="n">
        <x:v>748076223</x:v>
      </x:c>
      <x:c r="D2681" s="3" t="str">
        <x:v>Relative cutoff 1e-6</x:v>
      </x:c>
      <x:c r="E2681" s="18" t="n">
        <x:v>200</x:v>
      </x:c>
      <x:c r="F2681" s="21" t="n">
        <x:v>440.72885518071456</x:v>
      </x:c>
      <x:c r="G2681" s="21" t="n">
        <x:f>F2677</x:f>
        <x:v>440.72885518071456</x:v>
      </x:c>
      <x:c r="H2681" s="21" t="n">
        <x:f>F2682</x:f>
        <x:v>440.72885518071456</x:v>
      </x:c>
      <x:c r="I2681" s="27" t="n">
        <x:f>IF(AND(ISNUMBER(G2681),ISNUMBER(H2681),H2681&gt;0),G2681/H2681-1,"")</x:f>
        <x:v>0</x:v>
      </x:c>
      <x:c r="J2681" s="27" t="n">
        <x:f>IF(AND(ISNUMBER(G2681),F2681&gt;0),G2681/F2681-1,"")</x:f>
        <x:v>0</x:v>
      </x:c>
      <x:c r="K2681" s="19" t="str">
        <x:v>Exp_10/EXP083/results/seed748076223_Relative_cutoff_1e-6.json</x:v>
      </x:c>
    </x:row>
    <x:row r="2682" ht="15" hidden="0" customHeight="1">
      <x:c r="A2682" s="3" t="str">
        <x:v>EXP083</x:v>
      </x:c>
      <x:c r="B2682" s="3" t="str">
        <x:v>Exp. 10</x:v>
      </x:c>
      <x:c r="C2682" s="18" t="n">
        <x:v>748076223</x:v>
      </x:c>
      <x:c r="D2682" s="3" t="str">
        <x:v>Full</x:v>
      </x:c>
      <x:c r="E2682" s="18" t="n">
        <x:v>200</x:v>
      </x:c>
      <x:c r="F2682" s="21" t="n">
        <x:v>440.72885518071456</x:v>
      </x:c>
      <x:c r="G2682" s="21" t="n">
        <x:f>F2677</x:f>
        <x:v>440.72885518071456</x:v>
      </x:c>
      <x:c r="H2682" s="21" t="n">
        <x:f>F2682</x:f>
        <x:v>440.72885518071456</x:v>
      </x:c>
      <x:c r="I2682" s="27" t="n">
        <x:f>IF(AND(ISNUMBER(G2682),ISNUMBER(H2682),H2682&gt;0),G2682/H2682-1,"")</x:f>
        <x:v>0</x:v>
      </x:c>
      <x:c r="J2682" s="27" t="n">
        <x:f>IF(AND(ISNUMBER(G2682),F2682&gt;0),G2682/F2682-1,"")</x:f>
        <x:v>0</x:v>
      </x:c>
      <x:c r="K2682" s="19" t="str">
        <x:v>Exp_10/EXP083/results/seed748076223_Full.json</x:v>
      </x:c>
    </x:row>
    <x:row r="2683" ht="15" hidden="0" customHeight="1">
      <x:c r="A2683" s="3" t="str">
        <x:v>EXP083</x:v>
      </x:c>
      <x:c r="B2683" s="3" t="str">
        <x:v>Exp. 10</x:v>
      </x:c>
      <x:c r="C2683" s="18" t="n">
        <x:v>748076223</x:v>
      </x:c>
      <x:c r="D2683" s="3" t="str">
        <x:v>Relative cutoff 1e-2</x:v>
      </x:c>
      <x:c r="E2683" s="18" t="n">
        <x:v>200</x:v>
      </x:c>
      <x:c r="F2683" s="21" t="n">
        <x:v>432.64286081256563</x:v>
      </x:c>
      <x:c r="G2683" s="21" t="n">
        <x:f>F2677</x:f>
        <x:v>440.72885518071456</x:v>
      </x:c>
      <x:c r="H2683" s="21" t="n">
        <x:f>F2682</x:f>
        <x:v>440.72885518071456</x:v>
      </x:c>
      <x:c r="I2683" s="27" t="n">
        <x:f>IF(AND(ISNUMBER(G2683),ISNUMBER(H2683),H2683&gt;0),G2683/H2683-1,"")</x:f>
        <x:v>0</x:v>
      </x:c>
      <x:c r="J2683" s="27" t="n">
        <x:f>IF(AND(ISNUMBER(G2683),F2683&gt;0),G2683/F2683-1,"")</x:f>
        <x:v>0.018689767243500244</x:v>
      </x:c>
      <x:c r="K2683" s="19" t="str">
        <x:v>Exp_10/EXP083/results/seed748076223_Relative_cutoff_1e-2.json</x:v>
      </x:c>
    </x:row>
    <x:row r="2684" ht="15" hidden="0" customHeight="1">
      <x:c r="A2684" s="3" t="str">
        <x:v>EXP083</x:v>
      </x:c>
      <x:c r="B2684" s="3" t="str">
        <x:v>Exp. 10</x:v>
      </x:c>
      <x:c r="C2684" s="18" t="n">
        <x:v>748076223</x:v>
      </x:c>
      <x:c r="D2684" s="3" t="str">
        <x:v>Relative cutoff 1e-4</x:v>
      </x:c>
      <x:c r="E2684" s="18" t="n">
        <x:v>200</x:v>
      </x:c>
      <x:c r="F2684" s="21" t="n">
        <x:v>419.08733142077546</x:v>
      </x:c>
      <x:c r="G2684" s="21" t="n">
        <x:f>F2677</x:f>
        <x:v>440.72885518071456</x:v>
      </x:c>
      <x:c r="H2684" s="21" t="n">
        <x:f>F2682</x:f>
        <x:v>440.72885518071456</x:v>
      </x:c>
      <x:c r="I2684" s="27" t="n">
        <x:f>IF(AND(ISNUMBER(G2684),ISNUMBER(H2684),H2684&gt;0),G2684/H2684-1,"")</x:f>
        <x:v>0</x:v>
      </x:c>
      <x:c r="J2684" s="27" t="n">
        <x:f>IF(AND(ISNUMBER(G2684),F2684&gt;0),G2684/F2684-1,"")</x:f>
        <x:v>0.051639651541292686</x:v>
      </x:c>
      <x:c r="K2684" s="19" t="str">
        <x:v>Exp_10/EXP083/results/seed748076223_Relative_cutoff_1e-4.json</x:v>
      </x:c>
    </x:row>
    <x:row r="2685" ht="15" hidden="0" customHeight="1">
      <x:c r="A2685" s="3" t="str">
        <x:v>EXP083</x:v>
      </x:c>
      <x:c r="B2685" s="3" t="str">
        <x:v>Exp. 10</x:v>
      </x:c>
      <x:c r="C2685" s="18" t="n">
        <x:v>806884711</x:v>
      </x:c>
      <x:c r="D2685" s="3" t="str">
        <x:v>BBP</x:v>
      </x:c>
      <x:c r="E2685" s="18" t="n">
        <x:v>200</x:v>
      </x:c>
      <x:c r="F2685" s="21" t="n">
        <x:v>421.93779409064484</x:v>
      </x:c>
      <x:c r="G2685" s="21" t="n">
        <x:f>F2685</x:f>
        <x:v>421.93779409064484</x:v>
      </x:c>
      <x:c r="H2685" s="21" t="n">
        <x:f>F2690</x:f>
        <x:v>421.93779409064484</x:v>
      </x:c>
      <x:c r="I2685" s="27" t="n">
        <x:f>IF(AND(ISNUMBER(G2685),ISNUMBER(H2685),H2685&gt;0),G2685/H2685-1,"")</x:f>
        <x:v>0</x:v>
      </x:c>
      <x:c r="J2685" s="27" t="n">
        <x:f>IF(AND(ISNUMBER(G2685),F2685&gt;0),G2685/F2685-1,"")</x:f>
        <x:v>0</x:v>
      </x:c>
      <x:c r="K2685" s="19" t="str">
        <x:v>Exp_10/EXP083/results/seed806884711_BBP.json</x:v>
      </x:c>
    </x:row>
    <x:row r="2686" ht="15" hidden="0" customHeight="1">
      <x:c r="A2686" s="3" t="str">
        <x:v>EXP083</x:v>
      </x:c>
      <x:c r="B2686" s="3" t="str">
        <x:v>Exp. 10</x:v>
      </x:c>
      <x:c r="C2686" s="18" t="n">
        <x:v>806884711</x:v>
      </x:c>
      <x:c r="D2686" s="3" t="str">
        <x:v>Relative cutoff 1e-5</x:v>
      </x:c>
      <x:c r="E2686" s="18" t="n">
        <x:v>200</x:v>
      </x:c>
      <x:c r="F2686" s="21" t="n">
        <x:v>421.93779409064484</x:v>
      </x:c>
      <x:c r="G2686" s="21" t="n">
        <x:f>F2685</x:f>
        <x:v>421.93779409064484</x:v>
      </x:c>
      <x:c r="H2686" s="21" t="n">
        <x:f>F2690</x:f>
        <x:v>421.93779409064484</x:v>
      </x:c>
      <x:c r="I2686" s="27" t="n">
        <x:f>IF(AND(ISNUMBER(G2686),ISNUMBER(H2686),H2686&gt;0),G2686/H2686-1,"")</x:f>
        <x:v>0</x:v>
      </x:c>
      <x:c r="J2686" s="27" t="n">
        <x:f>IF(AND(ISNUMBER(G2686),F2686&gt;0),G2686/F2686-1,"")</x:f>
        <x:v>0</x:v>
      </x:c>
      <x:c r="K2686" s="19" t="str">
        <x:v>Exp_10/EXP083/results/seed806884711_Relative_cutoff_1e-5.json</x:v>
      </x:c>
    </x:row>
    <x:row r="2687" ht="15" hidden="0" customHeight="1">
      <x:c r="A2687" s="3" t="str">
        <x:v>EXP083</x:v>
      </x:c>
      <x:c r="B2687" s="3" t="str">
        <x:v>Exp. 10</x:v>
      </x:c>
      <x:c r="C2687" s="18" t="n">
        <x:v>806884711</x:v>
      </x:c>
      <x:c r="D2687" s="3" t="str">
        <x:v>Fixed rank 10</x:v>
      </x:c>
      <x:c r="E2687" s="18" t="n">
        <x:v>200</x:v>
      </x:c>
      <x:c r="F2687" s="21" t="n">
        <x:v>415.27259689491973</x:v>
      </x:c>
      <x:c r="G2687" s="21" t="n">
        <x:f>F2685</x:f>
        <x:v>421.93779409064484</x:v>
      </x:c>
      <x:c r="H2687" s="21" t="n">
        <x:f>F2690</x:f>
        <x:v>421.93779409064484</x:v>
      </x:c>
      <x:c r="I2687" s="27" t="n">
        <x:f>IF(AND(ISNUMBER(G2687),ISNUMBER(H2687),H2687&gt;0),G2687/H2687-1,"")</x:f>
        <x:v>0</x:v>
      </x:c>
      <x:c r="J2687" s="27" t="n">
        <x:f>IF(AND(ISNUMBER(G2687),F2687&gt;0),G2687/F2687-1,"")</x:f>
        <x:v>0.016050173417562874</x:v>
      </x:c>
      <x:c r="K2687" s="19" t="str">
        <x:v>Exp_10/EXP083/results/seed806884711_Fixed_rank_10.json</x:v>
      </x:c>
    </x:row>
    <x:row r="2688" ht="15" hidden="0" customHeight="1">
      <x:c r="A2688" s="3" t="str">
        <x:v>EXP083</x:v>
      </x:c>
      <x:c r="B2688" s="3" t="str">
        <x:v>Exp. 10</x:v>
      </x:c>
      <x:c r="C2688" s="18" t="n">
        <x:v>806884711</x:v>
      </x:c>
      <x:c r="D2688" s="3" t="str">
        <x:v>Fixed rank 25</x:v>
      </x:c>
      <x:c r="E2688" s="18" t="n">
        <x:v>200</x:v>
      </x:c>
      <x:c r="F2688" s="21" t="n">
        <x:v>421.93779409064484</x:v>
      </x:c>
      <x:c r="G2688" s="21" t="n">
        <x:f>F2685</x:f>
        <x:v>421.93779409064484</x:v>
      </x:c>
      <x:c r="H2688" s="21" t="n">
        <x:f>F2690</x:f>
        <x:v>421.93779409064484</x:v>
      </x:c>
      <x:c r="I2688" s="27" t="n">
        <x:f>IF(AND(ISNUMBER(G2688),ISNUMBER(H2688),H2688&gt;0),G2688/H2688-1,"")</x:f>
        <x:v>0</x:v>
      </x:c>
      <x:c r="J2688" s="27" t="n">
        <x:f>IF(AND(ISNUMBER(G2688),F2688&gt;0),G2688/F2688-1,"")</x:f>
        <x:v>0</x:v>
      </x:c>
      <x:c r="K2688" s="19" t="str">
        <x:v>Exp_10/EXP083/results/seed806884711_Fixed_rank_25.json</x:v>
      </x:c>
    </x:row>
    <x:row r="2689" ht="15" hidden="0" customHeight="1">
      <x:c r="A2689" s="3" t="str">
        <x:v>EXP083</x:v>
      </x:c>
      <x:c r="B2689" s="3" t="str">
        <x:v>Exp. 10</x:v>
      </x:c>
      <x:c r="C2689" s="18" t="n">
        <x:v>806884711</x:v>
      </x:c>
      <x:c r="D2689" s="3" t="str">
        <x:v>Relative cutoff 1e-6</x:v>
      </x:c>
      <x:c r="E2689" s="18" t="n">
        <x:v>200</x:v>
      </x:c>
      <x:c r="F2689" s="21" t="n">
        <x:v>421.93779409064484</x:v>
      </x:c>
      <x:c r="G2689" s="21" t="n">
        <x:f>F2685</x:f>
        <x:v>421.93779409064484</x:v>
      </x:c>
      <x:c r="H2689" s="21" t="n">
        <x:f>F2690</x:f>
        <x:v>421.93779409064484</x:v>
      </x:c>
      <x:c r="I2689" s="27" t="n">
        <x:f>IF(AND(ISNUMBER(G2689),ISNUMBER(H2689),H2689&gt;0),G2689/H2689-1,"")</x:f>
        <x:v>0</x:v>
      </x:c>
      <x:c r="J2689" s="27" t="n">
        <x:f>IF(AND(ISNUMBER(G2689),F2689&gt;0),G2689/F2689-1,"")</x:f>
        <x:v>0</x:v>
      </x:c>
      <x:c r="K2689" s="19" t="str">
        <x:v>Exp_10/EXP083/results/seed806884711_Relative_cutoff_1e-6.json</x:v>
      </x:c>
    </x:row>
    <x:row r="2690" ht="15" hidden="0" customHeight="1">
      <x:c r="A2690" s="3" t="str">
        <x:v>EXP083</x:v>
      </x:c>
      <x:c r="B2690" s="3" t="str">
        <x:v>Exp. 10</x:v>
      </x:c>
      <x:c r="C2690" s="18" t="n">
        <x:v>806884711</x:v>
      </x:c>
      <x:c r="D2690" s="3" t="str">
        <x:v>Full</x:v>
      </x:c>
      <x:c r="E2690" s="18" t="n">
        <x:v>200</x:v>
      </x:c>
      <x:c r="F2690" s="21" t="n">
        <x:v>421.93779409064484</x:v>
      </x:c>
      <x:c r="G2690" s="21" t="n">
        <x:f>F2685</x:f>
        <x:v>421.93779409064484</x:v>
      </x:c>
      <x:c r="H2690" s="21" t="n">
        <x:f>F2690</x:f>
        <x:v>421.93779409064484</x:v>
      </x:c>
      <x:c r="I2690" s="27" t="n">
        <x:f>IF(AND(ISNUMBER(G2690),ISNUMBER(H2690),H2690&gt;0),G2690/H2690-1,"")</x:f>
        <x:v>0</x:v>
      </x:c>
      <x:c r="J2690" s="27" t="n">
        <x:f>IF(AND(ISNUMBER(G2690),F2690&gt;0),G2690/F2690-1,"")</x:f>
        <x:v>0</x:v>
      </x:c>
      <x:c r="K2690" s="19" t="str">
        <x:v>Exp_10/EXP083/results/seed806884711_Full.json</x:v>
      </x:c>
    </x:row>
    <x:row r="2691" ht="15" hidden="0" customHeight="1">
      <x:c r="A2691" s="3" t="str">
        <x:v>EXP083</x:v>
      </x:c>
      <x:c r="B2691" s="3" t="str">
        <x:v>Exp. 10</x:v>
      </x:c>
      <x:c r="C2691" s="18" t="n">
        <x:v>806884711</x:v>
      </x:c>
      <x:c r="D2691" s="3" t="str">
        <x:v>Relative cutoff 1e-2</x:v>
      </x:c>
      <x:c r="E2691" s="18" t="n">
        <x:v>200</x:v>
      </x:c>
      <x:c r="F2691" s="21" t="n">
        <x:v>400.82583283443034</x:v>
      </x:c>
      <x:c r="G2691" s="21" t="n">
        <x:f>F2685</x:f>
        <x:v>421.93779409064484</x:v>
      </x:c>
      <x:c r="H2691" s="21" t="n">
        <x:f>F2690</x:f>
        <x:v>421.93779409064484</x:v>
      </x:c>
      <x:c r="I2691" s="27" t="n">
        <x:f>IF(AND(ISNUMBER(G2691),ISNUMBER(H2691),H2691&gt;0),G2691/H2691-1,"")</x:f>
        <x:v>0</x:v>
      </x:c>
      <x:c r="J2691" s="27" t="n">
        <x:f>IF(AND(ISNUMBER(G2691),F2691&gt;0),G2691/F2691-1,"")</x:f>
        <x:v>0.05267115920878096</x:v>
      </x:c>
      <x:c r="K2691" s="19" t="str">
        <x:v>Exp_10/EXP083/results/seed806884711_Relative_cutoff_1e-2.json</x:v>
      </x:c>
    </x:row>
    <x:row r="2692" ht="15" hidden="0" customHeight="1">
      <x:c r="A2692" s="3" t="str">
        <x:v>EXP083</x:v>
      </x:c>
      <x:c r="B2692" s="3" t="str">
        <x:v>Exp. 10</x:v>
      </x:c>
      <x:c r="C2692" s="18" t="n">
        <x:v>806884711</x:v>
      </x:c>
      <x:c r="D2692" s="3" t="str">
        <x:v>Relative cutoff 1e-4</x:v>
      </x:c>
      <x:c r="E2692" s="18" t="n">
        <x:v>200</x:v>
      </x:c>
      <x:c r="F2692" s="21" t="n">
        <x:v>415.27259689491973</x:v>
      </x:c>
      <x:c r="G2692" s="21" t="n">
        <x:f>F2685</x:f>
        <x:v>421.93779409064484</x:v>
      </x:c>
      <x:c r="H2692" s="21" t="n">
        <x:f>F2690</x:f>
        <x:v>421.93779409064484</x:v>
      </x:c>
      <x:c r="I2692" s="27" t="n">
        <x:f>IF(AND(ISNUMBER(G2692),ISNUMBER(H2692),H2692&gt;0),G2692/H2692-1,"")</x:f>
        <x:v>0</x:v>
      </x:c>
      <x:c r="J2692" s="27" t="n">
        <x:f>IF(AND(ISNUMBER(G2692),F2692&gt;0),G2692/F2692-1,"")</x:f>
        <x:v>0.016050173417562874</x:v>
      </x:c>
      <x:c r="K2692" s="19" t="str">
        <x:v>Exp_10/EXP083/results/seed806884711_Relative_cutoff_1e-4.json</x:v>
      </x:c>
    </x:row>
    <x:row r="2693" ht="15" hidden="0" customHeight="1">
      <x:c r="A2693" s="3" t="str">
        <x:v>EXP083</x:v>
      </x:c>
      <x:c r="B2693" s="3" t="str">
        <x:v>Exp. 10</x:v>
      </x:c>
      <x:c r="C2693" s="18" t="n">
        <x:v>954779777</x:v>
      </x:c>
      <x:c r="D2693" s="3" t="str">
        <x:v>BBP</x:v>
      </x:c>
      <x:c r="E2693" s="18" t="n">
        <x:v>200</x:v>
      </x:c>
      <x:c r="F2693" s="21" t="n">
        <x:v>304.41318835498953</x:v>
      </x:c>
      <x:c r="G2693" s="21" t="n">
        <x:f>F2693</x:f>
        <x:v>304.41318835498953</x:v>
      </x:c>
      <x:c r="H2693" s="21" t="n">
        <x:f>F2698</x:f>
        <x:v>304.41318835498953</x:v>
      </x:c>
      <x:c r="I2693" s="27" t="n">
        <x:f>IF(AND(ISNUMBER(G2693),ISNUMBER(H2693),H2693&gt;0),G2693/H2693-1,"")</x:f>
        <x:v>0</x:v>
      </x:c>
      <x:c r="J2693" s="27" t="n">
        <x:f>IF(AND(ISNUMBER(G2693),F2693&gt;0),G2693/F2693-1,"")</x:f>
        <x:v>0</x:v>
      </x:c>
      <x:c r="K2693" s="19" t="str">
        <x:v>Exp_10/EXP083/results/seed954779777_BBP.json</x:v>
      </x:c>
    </x:row>
    <x:row r="2694" ht="15" hidden="0" customHeight="1">
      <x:c r="A2694" s="3" t="str">
        <x:v>EXP083</x:v>
      </x:c>
      <x:c r="B2694" s="3" t="str">
        <x:v>Exp. 10</x:v>
      </x:c>
      <x:c r="C2694" s="18" t="n">
        <x:v>954779777</x:v>
      </x:c>
      <x:c r="D2694" s="3" t="str">
        <x:v>Relative cutoff 1e-5</x:v>
      </x:c>
      <x:c r="E2694" s="18" t="n">
        <x:v>200</x:v>
      </x:c>
      <x:c r="F2694" s="21" t="n">
        <x:v>304.41318835498953</x:v>
      </x:c>
      <x:c r="G2694" s="21" t="n">
        <x:f>F2693</x:f>
        <x:v>304.41318835498953</x:v>
      </x:c>
      <x:c r="H2694" s="21" t="n">
        <x:f>F2698</x:f>
        <x:v>304.41318835498953</x:v>
      </x:c>
      <x:c r="I2694" s="27" t="n">
        <x:f>IF(AND(ISNUMBER(G2694),ISNUMBER(H2694),H2694&gt;0),G2694/H2694-1,"")</x:f>
        <x:v>0</x:v>
      </x:c>
      <x:c r="J2694" s="27" t="n">
        <x:f>IF(AND(ISNUMBER(G2694),F2694&gt;0),G2694/F2694-1,"")</x:f>
        <x:v>0</x:v>
      </x:c>
      <x:c r="K2694" s="19" t="str">
        <x:v>Exp_10/EXP083/results/seed954779777_Relative_cutoff_1e-5.json</x:v>
      </x:c>
    </x:row>
    <x:row r="2695" ht="15" hidden="0" customHeight="1">
      <x:c r="A2695" s="3" t="str">
        <x:v>EXP083</x:v>
      </x:c>
      <x:c r="B2695" s="3" t="str">
        <x:v>Exp. 10</x:v>
      </x:c>
      <x:c r="C2695" s="18" t="n">
        <x:v>954779777</x:v>
      </x:c>
      <x:c r="D2695" s="3" t="str">
        <x:v>Fixed rank 10</x:v>
      </x:c>
      <x:c r="E2695" s="18" t="n">
        <x:v>200</x:v>
      </x:c>
      <x:c r="F2695" s="21" t="n">
        <x:v>298.90389049384703</x:v>
      </x:c>
      <x:c r="G2695" s="21" t="n">
        <x:f>F2693</x:f>
        <x:v>304.41318835498953</x:v>
      </x:c>
      <x:c r="H2695" s="21" t="n">
        <x:f>F2698</x:f>
        <x:v>304.41318835498953</x:v>
      </x:c>
      <x:c r="I2695" s="27" t="n">
        <x:f>IF(AND(ISNUMBER(G2695),ISNUMBER(H2695),H2695&gt;0),G2695/H2695-1,"")</x:f>
        <x:v>0</x:v>
      </x:c>
      <x:c r="J2695" s="27" t="n">
        <x:f>IF(AND(ISNUMBER(G2695),F2695&gt;0),G2695/F2695-1,"")</x:f>
        <x:v>0.018431669966021857</x:v>
      </x:c>
      <x:c r="K2695" s="19" t="str">
        <x:v>Exp_10/EXP083/results/seed954779777_Fixed_rank_10.json</x:v>
      </x:c>
    </x:row>
    <x:row r="2696" ht="15" hidden="0" customHeight="1">
      <x:c r="A2696" s="3" t="str">
        <x:v>EXP083</x:v>
      </x:c>
      <x:c r="B2696" s="3" t="str">
        <x:v>Exp. 10</x:v>
      </x:c>
      <x:c r="C2696" s="18" t="n">
        <x:v>954779777</x:v>
      </x:c>
      <x:c r="D2696" s="3" t="str">
        <x:v>Fixed rank 25</x:v>
      </x:c>
      <x:c r="E2696" s="18" t="n">
        <x:v>200</x:v>
      </x:c>
      <x:c r="F2696" s="21" t="n">
        <x:v>304.41318835498953</x:v>
      </x:c>
      <x:c r="G2696" s="21" t="n">
        <x:f>F2693</x:f>
        <x:v>304.41318835498953</x:v>
      </x:c>
      <x:c r="H2696" s="21" t="n">
        <x:f>F2698</x:f>
        <x:v>304.41318835498953</x:v>
      </x:c>
      <x:c r="I2696" s="27" t="n">
        <x:f>IF(AND(ISNUMBER(G2696),ISNUMBER(H2696),H2696&gt;0),G2696/H2696-1,"")</x:f>
        <x:v>0</x:v>
      </x:c>
      <x:c r="J2696" s="27" t="n">
        <x:f>IF(AND(ISNUMBER(G2696),F2696&gt;0),G2696/F2696-1,"")</x:f>
        <x:v>0</x:v>
      </x:c>
      <x:c r="K2696" s="19" t="str">
        <x:v>Exp_10/EXP083/results/seed954779777_Fixed_rank_25.json</x:v>
      </x:c>
    </x:row>
    <x:row r="2697" ht="15" hidden="0" customHeight="1">
      <x:c r="A2697" s="3" t="str">
        <x:v>EXP083</x:v>
      </x:c>
      <x:c r="B2697" s="3" t="str">
        <x:v>Exp. 10</x:v>
      </x:c>
      <x:c r="C2697" s="18" t="n">
        <x:v>954779777</x:v>
      </x:c>
      <x:c r="D2697" s="3" t="str">
        <x:v>Relative cutoff 1e-6</x:v>
      </x:c>
      <x:c r="E2697" s="18" t="n">
        <x:v>200</x:v>
      </x:c>
      <x:c r="F2697" s="21" t="n">
        <x:v>304.41318835498953</x:v>
      </x:c>
      <x:c r="G2697" s="21" t="n">
        <x:f>F2693</x:f>
        <x:v>304.41318835498953</x:v>
      </x:c>
      <x:c r="H2697" s="21" t="n">
        <x:f>F2698</x:f>
        <x:v>304.41318835498953</x:v>
      </x:c>
      <x:c r="I2697" s="27" t="n">
        <x:f>IF(AND(ISNUMBER(G2697),ISNUMBER(H2697),H2697&gt;0),G2697/H2697-1,"")</x:f>
        <x:v>0</x:v>
      </x:c>
      <x:c r="J2697" s="27" t="n">
        <x:f>IF(AND(ISNUMBER(G2697),F2697&gt;0),G2697/F2697-1,"")</x:f>
        <x:v>0</x:v>
      </x:c>
      <x:c r="K2697" s="19" t="str">
        <x:v>Exp_10/EXP083/results/seed954779777_Relative_cutoff_1e-6.json</x:v>
      </x:c>
    </x:row>
    <x:row r="2698" ht="15" hidden="0" customHeight="1">
      <x:c r="A2698" s="3" t="str">
        <x:v>EXP083</x:v>
      </x:c>
      <x:c r="B2698" s="3" t="str">
        <x:v>Exp. 10</x:v>
      </x:c>
      <x:c r="C2698" s="18" t="n">
        <x:v>954779777</x:v>
      </x:c>
      <x:c r="D2698" s="3" t="str">
        <x:v>Full</x:v>
      </x:c>
      <x:c r="E2698" s="18" t="n">
        <x:v>200</x:v>
      </x:c>
      <x:c r="F2698" s="21" t="n">
        <x:v>304.41318835498953</x:v>
      </x:c>
      <x:c r="G2698" s="21" t="n">
        <x:f>F2693</x:f>
        <x:v>304.41318835498953</x:v>
      </x:c>
      <x:c r="H2698" s="21" t="n">
        <x:f>F2698</x:f>
        <x:v>304.41318835498953</x:v>
      </x:c>
      <x:c r="I2698" s="27" t="n">
        <x:f>IF(AND(ISNUMBER(G2698),ISNUMBER(H2698),H2698&gt;0),G2698/H2698-1,"")</x:f>
        <x:v>0</x:v>
      </x:c>
      <x:c r="J2698" s="27" t="n">
        <x:f>IF(AND(ISNUMBER(G2698),F2698&gt;0),G2698/F2698-1,"")</x:f>
        <x:v>0</x:v>
      </x:c>
      <x:c r="K2698" s="19" t="str">
        <x:v>Exp_10/EXP083/results/seed954779777_Full.json</x:v>
      </x:c>
    </x:row>
    <x:row r="2699" ht="15" hidden="0" customHeight="1">
      <x:c r="A2699" s="3" t="str">
        <x:v>EXP083</x:v>
      </x:c>
      <x:c r="B2699" s="3" t="str">
        <x:v>Exp. 10</x:v>
      </x:c>
      <x:c r="C2699" s="18" t="n">
        <x:v>954779777</x:v>
      </x:c>
      <x:c r="D2699" s="3" t="str">
        <x:v>Relative cutoff 1e-2</x:v>
      </x:c>
      <x:c r="E2699" s="18" t="n">
        <x:v>200</x:v>
      </x:c>
      <x:c r="F2699" s="21" t="n">
        <x:v>310.00124954384694</x:v>
      </x:c>
      <x:c r="G2699" s="21" t="n">
        <x:f>F2693</x:f>
        <x:v>304.41318835498953</x:v>
      </x:c>
      <x:c r="H2699" s="21" t="n">
        <x:f>F2698</x:f>
        <x:v>304.41318835498953</x:v>
      </x:c>
      <x:c r="I2699" s="27" t="n">
        <x:f>IF(AND(ISNUMBER(G2699),ISNUMBER(H2699),H2699&gt;0),G2699/H2699-1,"")</x:f>
        <x:v>0</x:v>
      </x:c>
      <x:c r="J2699" s="27" t="n">
        <x:f>IF(AND(ISNUMBER(G2699),F2699&gt;0),G2699/F2699-1,"")</x:f>
        <x:v>-0.01802593117634199</x:v>
      </x:c>
      <x:c r="K2699" s="19" t="str">
        <x:v>Exp_10/EXP083/results/seed954779777_Relative_cutoff_1e-2.json</x:v>
      </x:c>
    </x:row>
    <x:row r="2700" ht="15" hidden="0" customHeight="1">
      <x:c r="A2700" s="3" t="str">
        <x:v>EXP083</x:v>
      </x:c>
      <x:c r="B2700" s="3" t="str">
        <x:v>Exp. 10</x:v>
      </x:c>
      <x:c r="C2700" s="18" t="n">
        <x:v>954779777</x:v>
      </x:c>
      <x:c r="D2700" s="3" t="str">
        <x:v>Relative cutoff 1e-4</x:v>
      </x:c>
      <x:c r="E2700" s="18" t="n">
        <x:v>200</x:v>
      </x:c>
      <x:c r="F2700" s="21" t="n">
        <x:v>298.90389049384703</x:v>
      </x:c>
      <x:c r="G2700" s="21" t="n">
        <x:f>F2693</x:f>
        <x:v>304.41318835498953</x:v>
      </x:c>
      <x:c r="H2700" s="21" t="n">
        <x:f>F2698</x:f>
        <x:v>304.41318835498953</x:v>
      </x:c>
      <x:c r="I2700" s="27" t="n">
        <x:f>IF(AND(ISNUMBER(G2700),ISNUMBER(H2700),H2700&gt;0),G2700/H2700-1,"")</x:f>
        <x:v>0</x:v>
      </x:c>
      <x:c r="J2700" s="27" t="n">
        <x:f>IF(AND(ISNUMBER(G2700),F2700&gt;0),G2700/F2700-1,"")</x:f>
        <x:v>0.018431669966021857</x:v>
      </x:c>
      <x:c r="K2700" s="19" t="str">
        <x:v>Exp_10/EXP083/results/seed954779777_Relative_cutoff_1e-4.json</x:v>
      </x:c>
    </x:row>
    <x:row r="2701" ht="15" hidden="0" customHeight="1">
      <x:c r="A2701" s="3" t="str">
        <x:v>EXP083</x:v>
      </x:c>
      <x:c r="B2701" s="3" t="str">
        <x:v>Exp. 10</x:v>
      </x:c>
      <x:c r="C2701" s="18" t="n">
        <x:v>1084613802</x:v>
      </x:c>
      <x:c r="D2701" s="3" t="str">
        <x:v>BBP</x:v>
      </x:c>
      <x:c r="E2701" s="18" t="n">
        <x:v>200</x:v>
      </x:c>
      <x:c r="F2701" s="21" t="n">
        <x:v>367.92343835775165</x:v>
      </x:c>
      <x:c r="G2701" s="21" t="n">
        <x:f>F2701</x:f>
        <x:v>367.92343835775165</x:v>
      </x:c>
      <x:c r="H2701" s="21" t="n">
        <x:f>F2706</x:f>
        <x:v>367.92343835775165</x:v>
      </x:c>
      <x:c r="I2701" s="27" t="n">
        <x:f>IF(AND(ISNUMBER(G2701),ISNUMBER(H2701),H2701&gt;0),G2701/H2701-1,"")</x:f>
        <x:v>0</x:v>
      </x:c>
      <x:c r="J2701" s="27" t="n">
        <x:f>IF(AND(ISNUMBER(G2701),F2701&gt;0),G2701/F2701-1,"")</x:f>
        <x:v>0</x:v>
      </x:c>
      <x:c r="K2701" s="19" t="str">
        <x:v>Exp_10/EXP083/results/seed1084613802_BBP.json</x:v>
      </x:c>
    </x:row>
    <x:row r="2702" ht="15" hidden="0" customHeight="1">
      <x:c r="A2702" s="3" t="str">
        <x:v>EXP083</x:v>
      </x:c>
      <x:c r="B2702" s="3" t="str">
        <x:v>Exp. 10</x:v>
      </x:c>
      <x:c r="C2702" s="18" t="n">
        <x:v>1084613802</x:v>
      </x:c>
      <x:c r="D2702" s="3" t="str">
        <x:v>Relative cutoff 1e-5</x:v>
      </x:c>
      <x:c r="E2702" s="18" t="n">
        <x:v>200</x:v>
      </x:c>
      <x:c r="F2702" s="21" t="n">
        <x:v>367.92343835775165</x:v>
      </x:c>
      <x:c r="G2702" s="21" t="n">
        <x:f>F2701</x:f>
        <x:v>367.92343835775165</x:v>
      </x:c>
      <x:c r="H2702" s="21" t="n">
        <x:f>F2706</x:f>
        <x:v>367.92343835775165</x:v>
      </x:c>
      <x:c r="I2702" s="27" t="n">
        <x:f>IF(AND(ISNUMBER(G2702),ISNUMBER(H2702),H2702&gt;0),G2702/H2702-1,"")</x:f>
        <x:v>0</x:v>
      </x:c>
      <x:c r="J2702" s="27" t="n">
        <x:f>IF(AND(ISNUMBER(G2702),F2702&gt;0),G2702/F2702-1,"")</x:f>
        <x:v>0</x:v>
      </x:c>
      <x:c r="K2702" s="19" t="str">
        <x:v>Exp_10/EXP083/results/seed1084613802_Relative_cutoff_1e-5.json</x:v>
      </x:c>
    </x:row>
    <x:row r="2703" ht="15" hidden="0" customHeight="1">
      <x:c r="A2703" s="3" t="str">
        <x:v>EXP083</x:v>
      </x:c>
      <x:c r="B2703" s="3" t="str">
        <x:v>Exp. 10</x:v>
      </x:c>
      <x:c r="C2703" s="18" t="n">
        <x:v>1084613802</x:v>
      </x:c>
      <x:c r="D2703" s="3" t="str">
        <x:v>Fixed rank 10</x:v>
      </x:c>
      <x:c r="E2703" s="18" t="n">
        <x:v>200</x:v>
      </x:c>
      <x:c r="F2703" s="21" t="n">
        <x:v>346.7665683079241</x:v>
      </x:c>
      <x:c r="G2703" s="21" t="n">
        <x:f>F2701</x:f>
        <x:v>367.92343835775165</x:v>
      </x:c>
      <x:c r="H2703" s="21" t="n">
        <x:f>F2706</x:f>
        <x:v>367.92343835775165</x:v>
      </x:c>
      <x:c r="I2703" s="27" t="n">
        <x:f>IF(AND(ISNUMBER(G2703),ISNUMBER(H2703),H2703&gt;0),G2703/H2703-1,"")</x:f>
        <x:v>0</x:v>
      </x:c>
      <x:c r="J2703" s="27" t="n">
        <x:f>IF(AND(ISNUMBER(G2703),F2703&gt;0),G2703/F2703-1,"")</x:f>
        <x:v>0.06101185057447789</x:v>
      </x:c>
      <x:c r="K2703" s="19" t="str">
        <x:v>Exp_10/EXP083/results/seed1084613802_Fixed_rank_10.json</x:v>
      </x:c>
    </x:row>
    <x:row r="2704" ht="15" hidden="0" customHeight="1">
      <x:c r="A2704" s="3" t="str">
        <x:v>EXP083</x:v>
      </x:c>
      <x:c r="B2704" s="3" t="str">
        <x:v>Exp. 10</x:v>
      </x:c>
      <x:c r="C2704" s="18" t="n">
        <x:v>1084613802</x:v>
      </x:c>
      <x:c r="D2704" s="3" t="str">
        <x:v>Fixed rank 25</x:v>
      </x:c>
      <x:c r="E2704" s="18" t="n">
        <x:v>200</x:v>
      </x:c>
      <x:c r="F2704" s="21" t="n">
        <x:v>367.92343835775165</x:v>
      </x:c>
      <x:c r="G2704" s="21" t="n">
        <x:f>F2701</x:f>
        <x:v>367.92343835775165</x:v>
      </x:c>
      <x:c r="H2704" s="21" t="n">
        <x:f>F2706</x:f>
        <x:v>367.92343835775165</x:v>
      </x:c>
      <x:c r="I2704" s="27" t="n">
        <x:f>IF(AND(ISNUMBER(G2704),ISNUMBER(H2704),H2704&gt;0),G2704/H2704-1,"")</x:f>
        <x:v>0</x:v>
      </x:c>
      <x:c r="J2704" s="27" t="n">
        <x:f>IF(AND(ISNUMBER(G2704),F2704&gt;0),G2704/F2704-1,"")</x:f>
        <x:v>0</x:v>
      </x:c>
      <x:c r="K2704" s="19" t="str">
        <x:v>Exp_10/EXP083/results/seed1084613802_Fixed_rank_25.json</x:v>
      </x:c>
    </x:row>
    <x:row r="2705" ht="15" hidden="0" customHeight="1">
      <x:c r="A2705" s="3" t="str">
        <x:v>EXP083</x:v>
      </x:c>
      <x:c r="B2705" s="3" t="str">
        <x:v>Exp. 10</x:v>
      </x:c>
      <x:c r="C2705" s="18" t="n">
        <x:v>1084613802</x:v>
      </x:c>
      <x:c r="D2705" s="3" t="str">
        <x:v>Relative cutoff 1e-6</x:v>
      </x:c>
      <x:c r="E2705" s="18" t="n">
        <x:v>200</x:v>
      </x:c>
      <x:c r="F2705" s="21" t="n">
        <x:v>367.92343835775165</x:v>
      </x:c>
      <x:c r="G2705" s="21" t="n">
        <x:f>F2701</x:f>
        <x:v>367.92343835775165</x:v>
      </x:c>
      <x:c r="H2705" s="21" t="n">
        <x:f>F2706</x:f>
        <x:v>367.92343835775165</x:v>
      </x:c>
      <x:c r="I2705" s="27" t="n">
        <x:f>IF(AND(ISNUMBER(G2705),ISNUMBER(H2705),H2705&gt;0),G2705/H2705-1,"")</x:f>
        <x:v>0</x:v>
      </x:c>
      <x:c r="J2705" s="27" t="n">
        <x:f>IF(AND(ISNUMBER(G2705),F2705&gt;0),G2705/F2705-1,"")</x:f>
        <x:v>0</x:v>
      </x:c>
      <x:c r="K2705" s="19" t="str">
        <x:v>Exp_10/EXP083/results/seed1084613802_Relative_cutoff_1e-6.json</x:v>
      </x:c>
    </x:row>
    <x:row r="2706" ht="15" hidden="0" customHeight="1">
      <x:c r="A2706" s="3" t="str">
        <x:v>EXP083</x:v>
      </x:c>
      <x:c r="B2706" s="3" t="str">
        <x:v>Exp. 10</x:v>
      </x:c>
      <x:c r="C2706" s="18" t="n">
        <x:v>1084613802</x:v>
      </x:c>
      <x:c r="D2706" s="3" t="str">
        <x:v>Full</x:v>
      </x:c>
      <x:c r="E2706" s="18" t="n">
        <x:v>200</x:v>
      </x:c>
      <x:c r="F2706" s="21" t="n">
        <x:v>367.92343835775165</x:v>
      </x:c>
      <x:c r="G2706" s="21" t="n">
        <x:f>F2701</x:f>
        <x:v>367.92343835775165</x:v>
      </x:c>
      <x:c r="H2706" s="21" t="n">
        <x:f>F2706</x:f>
        <x:v>367.92343835775165</x:v>
      </x:c>
      <x:c r="I2706" s="27" t="n">
        <x:f>IF(AND(ISNUMBER(G2706),ISNUMBER(H2706),H2706&gt;0),G2706/H2706-1,"")</x:f>
        <x:v>0</x:v>
      </x:c>
      <x:c r="J2706" s="27" t="n">
        <x:f>IF(AND(ISNUMBER(G2706),F2706&gt;0),G2706/F2706-1,"")</x:f>
        <x:v>0</x:v>
      </x:c>
      <x:c r="K2706" s="19" t="str">
        <x:v>Exp_10/EXP083/results/seed1084613802_Full.json</x:v>
      </x:c>
    </x:row>
    <x:row r="2707" ht="15" hidden="0" customHeight="1">
      <x:c r="A2707" s="3" t="str">
        <x:v>EXP083</x:v>
      </x:c>
      <x:c r="B2707" s="3" t="str">
        <x:v>Exp. 10</x:v>
      </x:c>
      <x:c r="C2707" s="18" t="n">
        <x:v>1084613802</x:v>
      </x:c>
      <x:c r="D2707" s="3" t="str">
        <x:v>Relative cutoff 1e-2</x:v>
      </x:c>
      <x:c r="E2707" s="18" t="n">
        <x:v>200</x:v>
      </x:c>
      <x:c r="F2707" s="21" t="n">
        <x:v>368.01815939371414</x:v>
      </x:c>
      <x:c r="G2707" s="21" t="n">
        <x:f>F2701</x:f>
        <x:v>367.92343835775165</x:v>
      </x:c>
      <x:c r="H2707" s="21" t="n">
        <x:f>F2706</x:f>
        <x:v>367.92343835775165</x:v>
      </x:c>
      <x:c r="I2707" s="27" t="n">
        <x:f>IF(AND(ISNUMBER(G2707),ISNUMBER(H2707),H2707&gt;0),G2707/H2707-1,"")</x:f>
        <x:v>0</x:v>
      </x:c>
      <x:c r="J2707" s="27" t="n">
        <x:f>IF(AND(ISNUMBER(G2707),F2707&gt;0),G2707/F2707-1,"")</x:f>
        <x:v>-0.0002573814186738188</x:v>
      </x:c>
      <x:c r="K2707" s="19" t="str">
        <x:v>Exp_10/EXP083/results/seed1084613802_Relative_cutoff_1e-2.json</x:v>
      </x:c>
    </x:row>
    <x:row r="2708" ht="15" hidden="0" customHeight="1">
      <x:c r="A2708" s="3" t="str">
        <x:v>EXP083</x:v>
      </x:c>
      <x:c r="B2708" s="3" t="str">
        <x:v>Exp. 10</x:v>
      </x:c>
      <x:c r="C2708" s="18" t="n">
        <x:v>1084613802</x:v>
      </x:c>
      <x:c r="D2708" s="3" t="str">
        <x:v>Relative cutoff 1e-4</x:v>
      </x:c>
      <x:c r="E2708" s="18" t="n">
        <x:v>200</x:v>
      </x:c>
      <x:c r="F2708" s="21" t="n">
        <x:v>367.92343835775165</x:v>
      </x:c>
      <x:c r="G2708" s="21" t="n">
        <x:f>F2701</x:f>
        <x:v>367.92343835775165</x:v>
      </x:c>
      <x:c r="H2708" s="21" t="n">
        <x:f>F2706</x:f>
        <x:v>367.92343835775165</x:v>
      </x:c>
      <x:c r="I2708" s="27" t="n">
        <x:f>IF(AND(ISNUMBER(G2708),ISNUMBER(H2708),H2708&gt;0),G2708/H2708-1,"")</x:f>
        <x:v>0</x:v>
      </x:c>
      <x:c r="J2708" s="27" t="n">
        <x:f>IF(AND(ISNUMBER(G2708),F2708&gt;0),G2708/F2708-1,"")</x:f>
        <x:v>0</x:v>
      </x:c>
      <x:c r="K2708" s="19" t="str">
        <x:v>Exp_10/EXP083/results/seed1084613802_Relative_cutoff_1e-4.json</x:v>
      </x:c>
    </x:row>
    <x:row r="2709" ht="15" hidden="0" customHeight="1">
      <x:c r="A2709" s="3" t="str">
        <x:v>EXP083</x:v>
      </x:c>
      <x:c r="B2709" s="3" t="str">
        <x:v>Exp. 10</x:v>
      </x:c>
      <x:c r="C2709" s="18" t="n">
        <x:v>1390358485</x:v>
      </x:c>
      <x:c r="D2709" s="3" t="str">
        <x:v>BBP</x:v>
      </x:c>
      <x:c r="E2709" s="18" t="n">
        <x:v>200</x:v>
      </x:c>
      <x:c r="F2709" s="21" t="n">
        <x:v>409.82452864871607</x:v>
      </x:c>
      <x:c r="G2709" s="21" t="n">
        <x:f>F2709</x:f>
        <x:v>409.82452864871607</x:v>
      </x:c>
      <x:c r="H2709" s="21" t="n">
        <x:f>F2714</x:f>
        <x:v>411.99215327398014</x:v>
      </x:c>
      <x:c r="I2709" s="27" t="n">
        <x:f>IF(AND(ISNUMBER(G2709),ISNUMBER(H2709),H2709&gt;0),G2709/H2709-1,"")</x:f>
        <x:v>-0.005261325022912655</x:v>
      </x:c>
      <x:c r="J2709" s="27" t="n">
        <x:f>IF(AND(ISNUMBER(G2709),F2709&gt;0),G2709/F2709-1,"")</x:f>
        <x:v>0</x:v>
      </x:c>
      <x:c r="K2709" s="19" t="str">
        <x:v>Exp_10/EXP083/results/seed1390358485_BBP.json</x:v>
      </x:c>
    </x:row>
    <x:row r="2710" ht="15" hidden="0" customHeight="1">
      <x:c r="A2710" s="3" t="str">
        <x:v>EXP083</x:v>
      </x:c>
      <x:c r="B2710" s="3" t="str">
        <x:v>Exp. 10</x:v>
      </x:c>
      <x:c r="C2710" s="18" t="n">
        <x:v>1390358485</x:v>
      </x:c>
      <x:c r="D2710" s="3" t="str">
        <x:v>Relative cutoff 1e-5</x:v>
      </x:c>
      <x:c r="E2710" s="18" t="n">
        <x:v>200</x:v>
      </x:c>
      <x:c r="F2710" s="21" t="n">
        <x:v>409.82452864871607</x:v>
      </x:c>
      <x:c r="G2710" s="21" t="n">
        <x:f>F2709</x:f>
        <x:v>409.82452864871607</x:v>
      </x:c>
      <x:c r="H2710" s="21" t="n">
        <x:f>F2714</x:f>
        <x:v>411.99215327398014</x:v>
      </x:c>
      <x:c r="I2710" s="27" t="n">
        <x:f>IF(AND(ISNUMBER(G2710),ISNUMBER(H2710),H2710&gt;0),G2710/H2710-1,"")</x:f>
        <x:v>-0.005261325022912655</x:v>
      </x:c>
      <x:c r="J2710" s="27" t="n">
        <x:f>IF(AND(ISNUMBER(G2710),F2710&gt;0),G2710/F2710-1,"")</x:f>
        <x:v>0</x:v>
      </x:c>
      <x:c r="K2710" s="19" t="str">
        <x:v>Exp_10/EXP083/results/seed1390358485_Relative_cutoff_1e-5.json</x:v>
      </x:c>
    </x:row>
    <x:row r="2711" ht="15" hidden="0" customHeight="1">
      <x:c r="A2711" s="3" t="str">
        <x:v>EXP083</x:v>
      </x:c>
      <x:c r="B2711" s="3" t="str">
        <x:v>Exp. 10</x:v>
      </x:c>
      <x:c r="C2711" s="18" t="n">
        <x:v>1390358485</x:v>
      </x:c>
      <x:c r="D2711" s="3" t="str">
        <x:v>Fixed rank 10</x:v>
      </x:c>
      <x:c r="E2711" s="18" t="n">
        <x:v>200</x:v>
      </x:c>
      <x:c r="F2711" s="21" t="n">
        <x:v>384.4900982095133</x:v>
      </x:c>
      <x:c r="G2711" s="21" t="n">
        <x:f>F2709</x:f>
        <x:v>409.82452864871607</x:v>
      </x:c>
      <x:c r="H2711" s="21" t="n">
        <x:f>F2714</x:f>
        <x:v>411.99215327398014</x:v>
      </x:c>
      <x:c r="I2711" s="27" t="n">
        <x:f>IF(AND(ISNUMBER(G2711),ISNUMBER(H2711),H2711&gt;0),G2711/H2711-1,"")</x:f>
        <x:v>-0.005261325022912655</x:v>
      </x:c>
      <x:c r="J2711" s="27" t="n">
        <x:f>IF(AND(ISNUMBER(G2711),F2711&gt;0),G2711/F2711-1,"")</x:f>
        <x:v>0.06589098277739724</x:v>
      </x:c>
      <x:c r="K2711" s="19" t="str">
        <x:v>Exp_10/EXP083/results/seed1390358485_Fixed_rank_10.json</x:v>
      </x:c>
    </x:row>
    <x:row r="2712" ht="15" hidden="0" customHeight="1">
      <x:c r="A2712" s="3" t="str">
        <x:v>EXP083</x:v>
      </x:c>
      <x:c r="B2712" s="3" t="str">
        <x:v>Exp. 10</x:v>
      </x:c>
      <x:c r="C2712" s="18" t="n">
        <x:v>1390358485</x:v>
      </x:c>
      <x:c r="D2712" s="3" t="str">
        <x:v>Fixed rank 25</x:v>
      </x:c>
      <x:c r="E2712" s="18" t="n">
        <x:v>200</x:v>
      </x:c>
      <x:c r="F2712" s="21" t="n">
        <x:v>411.99215327398014</x:v>
      </x:c>
      <x:c r="G2712" s="21" t="n">
        <x:f>F2709</x:f>
        <x:v>409.82452864871607</x:v>
      </x:c>
      <x:c r="H2712" s="21" t="n">
        <x:f>F2714</x:f>
        <x:v>411.99215327398014</x:v>
      </x:c>
      <x:c r="I2712" s="27" t="n">
        <x:f>IF(AND(ISNUMBER(G2712),ISNUMBER(H2712),H2712&gt;0),G2712/H2712-1,"")</x:f>
        <x:v>-0.005261325022912655</x:v>
      </x:c>
      <x:c r="J2712" s="27" t="n">
        <x:f>IF(AND(ISNUMBER(G2712),F2712&gt;0),G2712/F2712-1,"")</x:f>
        <x:v>-0.005261325022912655</x:v>
      </x:c>
      <x:c r="K2712" s="19" t="str">
        <x:v>Exp_10/EXP083/results/seed1390358485_Fixed_rank_25.json</x:v>
      </x:c>
    </x:row>
    <x:row r="2713" ht="15" hidden="0" customHeight="1">
      <x:c r="A2713" s="3" t="str">
        <x:v>EXP083</x:v>
      </x:c>
      <x:c r="B2713" s="3" t="str">
        <x:v>Exp. 10</x:v>
      </x:c>
      <x:c r="C2713" s="18" t="n">
        <x:v>1390358485</x:v>
      </x:c>
      <x:c r="D2713" s="3" t="str">
        <x:v>Relative cutoff 1e-6</x:v>
      </x:c>
      <x:c r="E2713" s="18" t="n">
        <x:v>200</x:v>
      </x:c>
      <x:c r="F2713" s="21" t="n">
        <x:v>411.99215327398014</x:v>
      </x:c>
      <x:c r="G2713" s="21" t="n">
        <x:f>F2709</x:f>
        <x:v>409.82452864871607</x:v>
      </x:c>
      <x:c r="H2713" s="21" t="n">
        <x:f>F2714</x:f>
        <x:v>411.99215327398014</x:v>
      </x:c>
      <x:c r="I2713" s="27" t="n">
        <x:f>IF(AND(ISNUMBER(G2713),ISNUMBER(H2713),H2713&gt;0),G2713/H2713-1,"")</x:f>
        <x:v>-0.005261325022912655</x:v>
      </x:c>
      <x:c r="J2713" s="27" t="n">
        <x:f>IF(AND(ISNUMBER(G2713),F2713&gt;0),G2713/F2713-1,"")</x:f>
        <x:v>-0.005261325022912655</x:v>
      </x:c>
      <x:c r="K2713" s="19" t="str">
        <x:v>Exp_10/EXP083/results/seed1390358485_Relative_cutoff_1e-6.json</x:v>
      </x:c>
    </x:row>
    <x:row r="2714" ht="15" hidden="0" customHeight="1">
      <x:c r="A2714" s="3" t="str">
        <x:v>EXP083</x:v>
      </x:c>
      <x:c r="B2714" s="3" t="str">
        <x:v>Exp. 10</x:v>
      </x:c>
      <x:c r="C2714" s="18" t="n">
        <x:v>1390358485</x:v>
      </x:c>
      <x:c r="D2714" s="3" t="str">
        <x:v>Full</x:v>
      </x:c>
      <x:c r="E2714" s="18" t="n">
        <x:v>200</x:v>
      </x:c>
      <x:c r="F2714" s="21" t="n">
        <x:v>411.99215327398014</x:v>
      </x:c>
      <x:c r="G2714" s="21" t="n">
        <x:f>F2709</x:f>
        <x:v>409.82452864871607</x:v>
      </x:c>
      <x:c r="H2714" s="21" t="n">
        <x:f>F2714</x:f>
        <x:v>411.99215327398014</x:v>
      </x:c>
      <x:c r="I2714" s="27" t="n">
        <x:f>IF(AND(ISNUMBER(G2714),ISNUMBER(H2714),H2714&gt;0),G2714/H2714-1,"")</x:f>
        <x:v>-0.005261325022912655</x:v>
      </x:c>
      <x:c r="J2714" s="27" t="n">
        <x:f>IF(AND(ISNUMBER(G2714),F2714&gt;0),G2714/F2714-1,"")</x:f>
        <x:v>-0.005261325022912655</x:v>
      </x:c>
      <x:c r="K2714" s="19" t="str">
        <x:v>Exp_10/EXP083/results/seed1390358485_Full.json</x:v>
      </x:c>
    </x:row>
    <x:row r="2715" ht="15" hidden="0" customHeight="1">
      <x:c r="A2715" s="3" t="str">
        <x:v>EXP083</x:v>
      </x:c>
      <x:c r="B2715" s="3" t="str">
        <x:v>Exp. 10</x:v>
      </x:c>
      <x:c r="C2715" s="18" t="n">
        <x:v>1390358485</x:v>
      </x:c>
      <x:c r="D2715" s="3" t="str">
        <x:v>Relative cutoff 1e-2</x:v>
      </x:c>
      <x:c r="E2715" s="18" t="n">
        <x:v>200</x:v>
      </x:c>
      <x:c r="F2715" s="21" t="n">
        <x:v>396.8835104000109</x:v>
      </x:c>
      <x:c r="G2715" s="21" t="n">
        <x:f>F2709</x:f>
        <x:v>409.82452864871607</x:v>
      </x:c>
      <x:c r="H2715" s="21" t="n">
        <x:f>F2714</x:f>
        <x:v>411.99215327398014</x:v>
      </x:c>
      <x:c r="I2715" s="27" t="n">
        <x:f>IF(AND(ISNUMBER(G2715),ISNUMBER(H2715),H2715&gt;0),G2715/H2715-1,"")</x:f>
        <x:v>-0.005261325022912655</x:v>
      </x:c>
      <x:c r="J2715" s="27" t="n">
        <x:f>IF(AND(ISNUMBER(G2715),F2715&gt;0),G2715/F2715-1,"")</x:f>
        <x:v>0.032606590875146724</x:v>
      </x:c>
      <x:c r="K2715" s="19" t="str">
        <x:v>Exp_10/EXP083/results/seed1390358485_Relative_cutoff_1e-2.json</x:v>
      </x:c>
    </x:row>
    <x:row r="2716" ht="15" hidden="0" customHeight="1">
      <x:c r="A2716" s="3" t="str">
        <x:v>EXP083</x:v>
      </x:c>
      <x:c r="B2716" s="3" t="str">
        <x:v>Exp. 10</x:v>
      </x:c>
      <x:c r="C2716" s="18" t="n">
        <x:v>1390358485</x:v>
      </x:c>
      <x:c r="D2716" s="3" t="str">
        <x:v>Relative cutoff 1e-4</x:v>
      </x:c>
      <x:c r="E2716" s="18" t="n">
        <x:v>200</x:v>
      </x:c>
      <x:c r="F2716" s="21" t="n">
        <x:v>387.68526558185783</x:v>
      </x:c>
      <x:c r="G2716" s="21" t="n">
        <x:f>F2709</x:f>
        <x:v>409.82452864871607</x:v>
      </x:c>
      <x:c r="H2716" s="21" t="n">
        <x:f>F2714</x:f>
        <x:v>411.99215327398014</x:v>
      </x:c>
      <x:c r="I2716" s="27" t="n">
        <x:f>IF(AND(ISNUMBER(G2716),ISNUMBER(H2716),H2716&gt;0),G2716/H2716-1,"")</x:f>
        <x:v>-0.005261325022912655</x:v>
      </x:c>
      <x:c r="J2716" s="27" t="n">
        <x:f>IF(AND(ISNUMBER(G2716),F2716&gt;0),G2716/F2716-1,"")</x:f>
        <x:v>0.05710627932591272</x:v>
      </x:c>
      <x:c r="K2716" s="19" t="str">
        <x:v>Exp_10/EXP083/results/seed1390358485_Relative_cutoff_1e-4.json</x:v>
      </x:c>
    </x:row>
    <x:row r="2717" ht="15" hidden="0" customHeight="1">
      <x:c r="A2717" s="3" t="str">
        <x:v>EXP083</x:v>
      </x:c>
      <x:c r="B2717" s="3" t="str">
        <x:v>Exp. 10</x:v>
      </x:c>
      <x:c r="C2717" s="18" t="n">
        <x:v>1711112905</x:v>
      </x:c>
      <x:c r="D2717" s="3" t="str">
        <x:v>BBP</x:v>
      </x:c>
      <x:c r="E2717" s="18" t="n">
        <x:v>200</x:v>
      </x:c>
      <x:c r="F2717" s="21" t="n">
        <x:v>284.79775951265066</x:v>
      </x:c>
      <x:c r="G2717" s="21" t="n">
        <x:f>F2717</x:f>
        <x:v>284.79775951265066</x:v>
      </x:c>
      <x:c r="H2717" s="21" t="n">
        <x:f>F2722</x:f>
        <x:v>284.79775951265066</x:v>
      </x:c>
      <x:c r="I2717" s="27" t="n">
        <x:f>IF(AND(ISNUMBER(G2717),ISNUMBER(H2717),H2717&gt;0),G2717/H2717-1,"")</x:f>
        <x:v>0</x:v>
      </x:c>
      <x:c r="J2717" s="27" t="n">
        <x:f>IF(AND(ISNUMBER(G2717),F2717&gt;0),G2717/F2717-1,"")</x:f>
        <x:v>0</x:v>
      </x:c>
      <x:c r="K2717" s="19" t="str">
        <x:v>Exp_10/EXP083/results/seed1711112905_BBP.json</x:v>
      </x:c>
    </x:row>
    <x:row r="2718" ht="15" hidden="0" customHeight="1">
      <x:c r="A2718" s="3" t="str">
        <x:v>EXP083</x:v>
      </x:c>
      <x:c r="B2718" s="3" t="str">
        <x:v>Exp. 10</x:v>
      </x:c>
      <x:c r="C2718" s="18" t="n">
        <x:v>1711112905</x:v>
      </x:c>
      <x:c r="D2718" s="3" t="str">
        <x:v>Relative cutoff 1e-5</x:v>
      </x:c>
      <x:c r="E2718" s="18" t="n">
        <x:v>200</x:v>
      </x:c>
      <x:c r="F2718" s="21" t="n">
        <x:v>284.79775951265066</x:v>
      </x:c>
      <x:c r="G2718" s="21" t="n">
        <x:f>F2717</x:f>
        <x:v>284.79775951265066</x:v>
      </x:c>
      <x:c r="H2718" s="21" t="n">
        <x:f>F2722</x:f>
        <x:v>284.79775951265066</x:v>
      </x:c>
      <x:c r="I2718" s="27" t="n">
        <x:f>IF(AND(ISNUMBER(G2718),ISNUMBER(H2718),H2718&gt;0),G2718/H2718-1,"")</x:f>
        <x:v>0</x:v>
      </x:c>
      <x:c r="J2718" s="27" t="n">
        <x:f>IF(AND(ISNUMBER(G2718),F2718&gt;0),G2718/F2718-1,"")</x:f>
        <x:v>0</x:v>
      </x:c>
      <x:c r="K2718" s="19" t="str">
        <x:v>Exp_10/EXP083/results/seed1711112905_Relative_cutoff_1e-5.json</x:v>
      </x:c>
    </x:row>
    <x:row r="2719" ht="15" hidden="0" customHeight="1">
      <x:c r="A2719" s="3" t="str">
        <x:v>EXP083</x:v>
      </x:c>
      <x:c r="B2719" s="3" t="str">
        <x:v>Exp. 10</x:v>
      </x:c>
      <x:c r="C2719" s="18" t="n">
        <x:v>1711112905</x:v>
      </x:c>
      <x:c r="D2719" s="3" t="str">
        <x:v>Fixed rank 10</x:v>
      </x:c>
      <x:c r="E2719" s="18" t="n">
        <x:v>200</x:v>
      </x:c>
      <x:c r="F2719" s="21" t="n">
        <x:v>284.79775951265066</x:v>
      </x:c>
      <x:c r="G2719" s="21" t="n">
        <x:f>F2717</x:f>
        <x:v>284.79775951265066</x:v>
      </x:c>
      <x:c r="H2719" s="21" t="n">
        <x:f>F2722</x:f>
        <x:v>284.79775951265066</x:v>
      </x:c>
      <x:c r="I2719" s="27" t="n">
        <x:f>IF(AND(ISNUMBER(G2719),ISNUMBER(H2719),H2719&gt;0),G2719/H2719-1,"")</x:f>
        <x:v>0</x:v>
      </x:c>
      <x:c r="J2719" s="27" t="n">
        <x:f>IF(AND(ISNUMBER(G2719),F2719&gt;0),G2719/F2719-1,"")</x:f>
        <x:v>0</x:v>
      </x:c>
      <x:c r="K2719" s="19" t="str">
        <x:v>Exp_10/EXP083/results/seed1711112905_Fixed_rank_10.json</x:v>
      </x:c>
    </x:row>
    <x:row r="2720" ht="15" hidden="0" customHeight="1">
      <x:c r="A2720" s="3" t="str">
        <x:v>EXP083</x:v>
      </x:c>
      <x:c r="B2720" s="3" t="str">
        <x:v>Exp. 10</x:v>
      </x:c>
      <x:c r="C2720" s="18" t="n">
        <x:v>1711112905</x:v>
      </x:c>
      <x:c r="D2720" s="3" t="str">
        <x:v>Fixed rank 25</x:v>
      </x:c>
      <x:c r="E2720" s="18" t="n">
        <x:v>200</x:v>
      </x:c>
      <x:c r="F2720" s="21" t="n">
        <x:v>284.79775951265066</x:v>
      </x:c>
      <x:c r="G2720" s="21" t="n">
        <x:f>F2717</x:f>
        <x:v>284.79775951265066</x:v>
      </x:c>
      <x:c r="H2720" s="21" t="n">
        <x:f>F2722</x:f>
        <x:v>284.79775951265066</x:v>
      </x:c>
      <x:c r="I2720" s="27" t="n">
        <x:f>IF(AND(ISNUMBER(G2720),ISNUMBER(H2720),H2720&gt;0),G2720/H2720-1,"")</x:f>
        <x:v>0</x:v>
      </x:c>
      <x:c r="J2720" s="27" t="n">
        <x:f>IF(AND(ISNUMBER(G2720),F2720&gt;0),G2720/F2720-1,"")</x:f>
        <x:v>0</x:v>
      </x:c>
      <x:c r="K2720" s="19" t="str">
        <x:v>Exp_10/EXP083/results/seed1711112905_Fixed_rank_25.json</x:v>
      </x:c>
    </x:row>
    <x:row r="2721" ht="15" hidden="0" customHeight="1">
      <x:c r="A2721" s="3" t="str">
        <x:v>EXP083</x:v>
      </x:c>
      <x:c r="B2721" s="3" t="str">
        <x:v>Exp. 10</x:v>
      </x:c>
      <x:c r="C2721" s="18" t="n">
        <x:v>1711112905</x:v>
      </x:c>
      <x:c r="D2721" s="3" t="str">
        <x:v>Relative cutoff 1e-6</x:v>
      </x:c>
      <x:c r="E2721" s="18" t="n">
        <x:v>200</x:v>
      </x:c>
      <x:c r="F2721" s="21" t="n">
        <x:v>284.79775951265066</x:v>
      </x:c>
      <x:c r="G2721" s="21" t="n">
        <x:f>F2717</x:f>
        <x:v>284.79775951265066</x:v>
      </x:c>
      <x:c r="H2721" s="21" t="n">
        <x:f>F2722</x:f>
        <x:v>284.79775951265066</x:v>
      </x:c>
      <x:c r="I2721" s="27" t="n">
        <x:f>IF(AND(ISNUMBER(G2721),ISNUMBER(H2721),H2721&gt;0),G2721/H2721-1,"")</x:f>
        <x:v>0</x:v>
      </x:c>
      <x:c r="J2721" s="27" t="n">
        <x:f>IF(AND(ISNUMBER(G2721),F2721&gt;0),G2721/F2721-1,"")</x:f>
        <x:v>0</x:v>
      </x:c>
      <x:c r="K2721" s="19" t="str">
        <x:v>Exp_10/EXP083/results/seed1711112905_Relative_cutoff_1e-6.json</x:v>
      </x:c>
    </x:row>
    <x:row r="2722" ht="15" hidden="0" customHeight="1">
      <x:c r="A2722" s="3" t="str">
        <x:v>EXP083</x:v>
      </x:c>
      <x:c r="B2722" s="3" t="str">
        <x:v>Exp. 10</x:v>
      </x:c>
      <x:c r="C2722" s="18" t="n">
        <x:v>1711112905</x:v>
      </x:c>
      <x:c r="D2722" s="3" t="str">
        <x:v>Full</x:v>
      </x:c>
      <x:c r="E2722" s="18" t="n">
        <x:v>200</x:v>
      </x:c>
      <x:c r="F2722" s="21" t="n">
        <x:v>284.79775951265066</x:v>
      </x:c>
      <x:c r="G2722" s="21" t="n">
        <x:f>F2717</x:f>
        <x:v>284.79775951265066</x:v>
      </x:c>
      <x:c r="H2722" s="21" t="n">
        <x:f>F2722</x:f>
        <x:v>284.79775951265066</x:v>
      </x:c>
      <x:c r="I2722" s="27" t="n">
        <x:f>IF(AND(ISNUMBER(G2722),ISNUMBER(H2722),H2722&gt;0),G2722/H2722-1,"")</x:f>
        <x:v>0</x:v>
      </x:c>
      <x:c r="J2722" s="27" t="n">
        <x:f>IF(AND(ISNUMBER(G2722),F2722&gt;0),G2722/F2722-1,"")</x:f>
        <x:v>0</x:v>
      </x:c>
      <x:c r="K2722" s="19" t="str">
        <x:v>Exp_10/EXP083/results/seed1711112905_Full.json</x:v>
      </x:c>
    </x:row>
    <x:row r="2723" ht="15" hidden="0" customHeight="1">
      <x:c r="A2723" s="3" t="str">
        <x:v>EXP083</x:v>
      </x:c>
      <x:c r="B2723" s="3" t="str">
        <x:v>Exp. 10</x:v>
      </x:c>
      <x:c r="C2723" s="18" t="n">
        <x:v>1711112905</x:v>
      </x:c>
      <x:c r="D2723" s="3" t="str">
        <x:v>Relative cutoff 1e-2</x:v>
      </x:c>
      <x:c r="E2723" s="18" t="n">
        <x:v>200</x:v>
      </x:c>
      <x:c r="F2723" s="21" t="n">
        <x:v>271.5653305119504</x:v>
      </x:c>
      <x:c r="G2723" s="21" t="n">
        <x:f>F2717</x:f>
        <x:v>284.79775951265066</x:v>
      </x:c>
      <x:c r="H2723" s="21" t="n">
        <x:f>F2722</x:f>
        <x:v>284.79775951265066</x:v>
      </x:c>
      <x:c r="I2723" s="27" t="n">
        <x:f>IF(AND(ISNUMBER(G2723),ISNUMBER(H2723),H2723&gt;0),G2723/H2723-1,"")</x:f>
        <x:v>0</x:v>
      </x:c>
      <x:c r="J2723" s="27" t="n">
        <x:f>IF(AND(ISNUMBER(G2723),F2723&gt;0),G2723/F2723-1,"")</x:f>
        <x:v>0.048726503400690735</x:v>
      </x:c>
      <x:c r="K2723" s="19" t="str">
        <x:v>Exp_10/EXP083/results/seed1711112905_Relative_cutoff_1e-2.json</x:v>
      </x:c>
    </x:row>
    <x:row r="2724" ht="15" hidden="0" customHeight="1">
      <x:c r="A2724" s="3" t="str">
        <x:v>EXP083</x:v>
      </x:c>
      <x:c r="B2724" s="3" t="str">
        <x:v>Exp. 10</x:v>
      </x:c>
      <x:c r="C2724" s="18" t="n">
        <x:v>1711112905</x:v>
      </x:c>
      <x:c r="D2724" s="3" t="str">
        <x:v>Relative cutoff 1e-4</x:v>
      </x:c>
      <x:c r="E2724" s="18" t="n">
        <x:v>200</x:v>
      </x:c>
      <x:c r="F2724" s="21" t="n">
        <x:v>284.79775951265066</x:v>
      </x:c>
      <x:c r="G2724" s="21" t="n">
        <x:f>F2717</x:f>
        <x:v>284.79775951265066</x:v>
      </x:c>
      <x:c r="H2724" s="21" t="n">
        <x:f>F2722</x:f>
        <x:v>284.79775951265066</x:v>
      </x:c>
      <x:c r="I2724" s="27" t="n">
        <x:f>IF(AND(ISNUMBER(G2724),ISNUMBER(H2724),H2724&gt;0),G2724/H2724-1,"")</x:f>
        <x:v>0</x:v>
      </x:c>
      <x:c r="J2724" s="27" t="n">
        <x:f>IF(AND(ISNUMBER(G2724),F2724&gt;0),G2724/F2724-1,"")</x:f>
        <x:v>0</x:v>
      </x:c>
      <x:c r="K2724" s="19" t="str">
        <x:v>Exp_10/EXP083/results/seed1711112905_Relative_cutoff_1e-4.json</x:v>
      </x:c>
    </x:row>
    <x:row r="2725" ht="15" hidden="0" customHeight="1">
      <x:c r="A2725" s="3" t="str">
        <x:v>EXP086</x:v>
      </x:c>
      <x:c r="B2725" s="3" t="str">
        <x:v>Exp. 10</x:v>
      </x:c>
      <x:c r="C2725" s="18" t="n">
        <x:v>1000</x:v>
      </x:c>
      <x:c r="D2725" s="3" t="str">
        <x:v>Fixed rank 10</x:v>
      </x:c>
      <x:c r="E2725" s="18" t="n">
        <x:v>200</x:v>
      </x:c>
      <x:c r="F2725" s="21" t="n">
        <x:v>390.19390876850787</x:v>
      </x:c>
      <x:c r="G2725" s="21" t="str">
        <x:f>""</x:f>
      </x:c>
      <x:c r="H2725" s="21" t="n">
        <x:f>F2728</x:f>
        <x:v>394.4922110507055</x:v>
      </x:c>
      <x:c r="I2725" s="27" t="str">
        <x:f>IF(AND(ISNUMBER(G2725),ISNUMBER(H2725),H2725&gt;0),G2725/H2725-1,"")</x:f>
      </x:c>
      <x:c r="J2725" s="27" t="str">
        <x:f>IF(AND(ISNUMBER(G2725),F2725&gt;0),G2725/F2725-1,"")</x:f>
      </x:c>
      <x:c r="K2725" s="19" t="str">
        <x:v>Exp_10/EXP086/results/seed1000_Fixed_rank_10.json</x:v>
      </x:c>
    </x:row>
    <x:row r="2726" ht="15" hidden="0" customHeight="1">
      <x:c r="A2726" s="3" t="str">
        <x:v>EXP086</x:v>
      </x:c>
      <x:c r="B2726" s="3" t="str">
        <x:v>Exp. 10</x:v>
      </x:c>
      <x:c r="C2726" s="18" t="n">
        <x:v>1000</x:v>
      </x:c>
      <x:c r="D2726" s="3" t="str">
        <x:v>Fixed rank 3</x:v>
      </x:c>
      <x:c r="E2726" s="18" t="n">
        <x:v>200</x:v>
      </x:c>
      <x:c r="F2726" s="21" t="n">
        <x:v>413.63390499861805</x:v>
      </x:c>
      <x:c r="G2726" s="21" t="str">
        <x:f>""</x:f>
      </x:c>
      <x:c r="H2726" s="21" t="n">
        <x:f>F2728</x:f>
        <x:v>394.4922110507055</x:v>
      </x:c>
      <x:c r="I2726" s="27" t="str">
        <x:f>IF(AND(ISNUMBER(G2726),ISNUMBER(H2726),H2726&gt;0),G2726/H2726-1,"")</x:f>
      </x:c>
      <x:c r="J2726" s="27" t="str">
        <x:f>IF(AND(ISNUMBER(G2726),F2726&gt;0),G2726/F2726-1,"")</x:f>
      </x:c>
      <x:c r="K2726" s="19" t="str">
        <x:v>Exp_10/EXP086/results/seed1000_Fixed_rank_3.json</x:v>
      </x:c>
    </x:row>
    <x:row r="2727" ht="15" hidden="0" customHeight="1">
      <x:c r="A2727" s="3" t="str">
        <x:v>EXP086</x:v>
      </x:c>
      <x:c r="B2727" s="3" t="str">
        <x:v>Exp. 10</x:v>
      </x:c>
      <x:c r="C2727" s="18" t="n">
        <x:v>1000</x:v>
      </x:c>
      <x:c r="D2727" s="3" t="str">
        <x:v>Fixed rank 5</x:v>
      </x:c>
      <x:c r="E2727" s="18" t="n">
        <x:v>200</x:v>
      </x:c>
      <x:c r="F2727" s="21" t="n">
        <x:v>416.29672313680703</x:v>
      </x:c>
      <x:c r="G2727" s="21" t="str">
        <x:f>""</x:f>
      </x:c>
      <x:c r="H2727" s="21" t="n">
        <x:f>F2728</x:f>
        <x:v>394.4922110507055</x:v>
      </x:c>
      <x:c r="I2727" s="27" t="str">
        <x:f>IF(AND(ISNUMBER(G2727),ISNUMBER(H2727),H2727&gt;0),G2727/H2727-1,"")</x:f>
      </x:c>
      <x:c r="J2727" s="27" t="str">
        <x:f>IF(AND(ISNUMBER(G2727),F2727&gt;0),G2727/F2727-1,"")</x:f>
      </x:c>
      <x:c r="K2727" s="19" t="str">
        <x:v>Exp_10/EXP086/results/seed1000_Fixed_rank_5.json</x:v>
      </x:c>
    </x:row>
    <x:row r="2728" ht="15" hidden="0" customHeight="1">
      <x:c r="A2728" s="3" t="str">
        <x:v>EXP086</x:v>
      </x:c>
      <x:c r="B2728" s="3" t="str">
        <x:v>Exp. 10</x:v>
      </x:c>
      <x:c r="C2728" s="18" t="n">
        <x:v>1000</x:v>
      </x:c>
      <x:c r="D2728" s="3" t="str">
        <x:v>Full</x:v>
      </x:c>
      <x:c r="E2728" s="18" t="n">
        <x:v>200</x:v>
      </x:c>
      <x:c r="F2728" s="21" t="n">
        <x:v>394.4922110507055</x:v>
      </x:c>
      <x:c r="G2728" s="21" t="str">
        <x:f>""</x:f>
      </x:c>
      <x:c r="H2728" s="21" t="n">
        <x:f>F2728</x:f>
        <x:v>394.4922110507055</x:v>
      </x:c>
      <x:c r="I2728" s="27" t="str">
        <x:f>IF(AND(ISNUMBER(G2728),ISNUMBER(H2728),H2728&gt;0),G2728/H2728-1,"")</x:f>
      </x:c>
      <x:c r="J2728" s="27" t="str">
        <x:f>IF(AND(ISNUMBER(G2728),F2728&gt;0),G2728/F2728-1,"")</x:f>
      </x:c>
      <x:c r="K2728" s="19" t="str">
        <x:v>Exp_10/EXP086/results/seed1000_Full.json</x:v>
      </x:c>
    </x:row>
    <x:row r="2729" ht="15" hidden="0" customHeight="1">
      <x:c r="A2729" s="3" t="str">
        <x:v>EXP086</x:v>
      </x:c>
      <x:c r="B2729" s="3" t="str">
        <x:v>Exp. 10</x:v>
      </x:c>
      <x:c r="C2729" s="18" t="n">
        <x:v>1000</x:v>
      </x:c>
      <x:c r="D2729" s="3" t="str">
        <x:v>Relative cutoff 1e-2</x:v>
      </x:c>
      <x:c r="E2729" s="18" t="n">
        <x:v>200</x:v>
      </x:c>
      <x:c r="F2729" s="21" t="n">
        <x:v>413.5157219996224</x:v>
      </x:c>
      <x:c r="G2729" s="21" t="str">
        <x:f>""</x:f>
      </x:c>
      <x:c r="H2729" s="21" t="n">
        <x:f>F2728</x:f>
        <x:v>394.4922110507055</x:v>
      </x:c>
      <x:c r="I2729" s="27" t="str">
        <x:f>IF(AND(ISNUMBER(G2729),ISNUMBER(H2729),H2729&gt;0),G2729/H2729-1,"")</x:f>
      </x:c>
      <x:c r="J2729" s="27" t="str">
        <x:f>IF(AND(ISNUMBER(G2729),F2729&gt;0),G2729/F2729-1,"")</x:f>
      </x:c>
      <x:c r="K2729" s="19" t="str">
        <x:v>Exp_10/EXP086/results/seed1000_Relative_cutoff_1e-2.json</x:v>
      </x:c>
    </x:row>
    <x:row r="2730" ht="15" hidden="0" customHeight="1">
      <x:c r="A2730" s="3" t="str">
        <x:v>EXP086</x:v>
      </x:c>
      <x:c r="B2730" s="3" t="str">
        <x:v>Exp. 10</x:v>
      </x:c>
      <x:c r="C2730" s="18" t="n">
        <x:v>1001</x:v>
      </x:c>
      <x:c r="D2730" s="3" t="str">
        <x:v>Fixed rank 10</x:v>
      </x:c>
      <x:c r="E2730" s="18" t="n">
        <x:v>200</x:v>
      </x:c>
      <x:c r="F2730" s="21" t="n">
        <x:v>390.84455543856217</x:v>
      </x:c>
      <x:c r="G2730" s="21" t="str">
        <x:f>""</x:f>
      </x:c>
      <x:c r="H2730" s="21" t="n">
        <x:f>F2733</x:f>
        <x:v>406.6936569517735</x:v>
      </x:c>
      <x:c r="I2730" s="27" t="str">
        <x:f>IF(AND(ISNUMBER(G2730),ISNUMBER(H2730),H2730&gt;0),G2730/H2730-1,"")</x:f>
      </x:c>
      <x:c r="J2730" s="27" t="str">
        <x:f>IF(AND(ISNUMBER(G2730),F2730&gt;0),G2730/F2730-1,"")</x:f>
      </x:c>
      <x:c r="K2730" s="19" t="str">
        <x:v>Exp_10/EXP086/results/seed1001_Fixed_rank_10.json</x:v>
      </x:c>
    </x:row>
    <x:row r="2731" ht="15" hidden="0" customHeight="1">
      <x:c r="A2731" s="3" t="str">
        <x:v>EXP086</x:v>
      </x:c>
      <x:c r="B2731" s="3" t="str">
        <x:v>Exp. 10</x:v>
      </x:c>
      <x:c r="C2731" s="18" t="n">
        <x:v>1001</x:v>
      </x:c>
      <x:c r="D2731" s="3" t="str">
        <x:v>Fixed rank 3</x:v>
      </x:c>
      <x:c r="E2731" s="18" t="n">
        <x:v>200</x:v>
      </x:c>
      <x:c r="F2731" s="21" t="n">
        <x:v>394.5547734226417</x:v>
      </x:c>
      <x:c r="G2731" s="21" t="str">
        <x:f>""</x:f>
      </x:c>
      <x:c r="H2731" s="21" t="n">
        <x:f>F2733</x:f>
        <x:v>406.6936569517735</x:v>
      </x:c>
      <x:c r="I2731" s="27" t="str">
        <x:f>IF(AND(ISNUMBER(G2731),ISNUMBER(H2731),H2731&gt;0),G2731/H2731-1,"")</x:f>
      </x:c>
      <x:c r="J2731" s="27" t="str">
        <x:f>IF(AND(ISNUMBER(G2731),F2731&gt;0),G2731/F2731-1,"")</x:f>
      </x:c>
      <x:c r="K2731" s="19" t="str">
        <x:v>Exp_10/EXP086/results/seed1001_Fixed_rank_3.json</x:v>
      </x:c>
    </x:row>
    <x:row r="2732" ht="15" hidden="0" customHeight="1">
      <x:c r="A2732" s="3" t="str">
        <x:v>EXP086</x:v>
      </x:c>
      <x:c r="B2732" s="3" t="str">
        <x:v>Exp. 10</x:v>
      </x:c>
      <x:c r="C2732" s="18" t="n">
        <x:v>1001</x:v>
      </x:c>
      <x:c r="D2732" s="3" t="str">
        <x:v>Fixed rank 5</x:v>
      </x:c>
      <x:c r="E2732" s="18" t="n">
        <x:v>200</x:v>
      </x:c>
      <x:c r="F2732" s="21" t="n">
        <x:v>390.84455543856217</x:v>
      </x:c>
      <x:c r="G2732" s="21" t="str">
        <x:f>""</x:f>
      </x:c>
      <x:c r="H2732" s="21" t="n">
        <x:f>F2733</x:f>
        <x:v>406.6936569517735</x:v>
      </x:c>
      <x:c r="I2732" s="27" t="str">
        <x:f>IF(AND(ISNUMBER(G2732),ISNUMBER(H2732),H2732&gt;0),G2732/H2732-1,"")</x:f>
      </x:c>
      <x:c r="J2732" s="27" t="str">
        <x:f>IF(AND(ISNUMBER(G2732),F2732&gt;0),G2732/F2732-1,"")</x:f>
      </x:c>
      <x:c r="K2732" s="19" t="str">
        <x:v>Exp_10/EXP086/results/seed1001_Fixed_rank_5.json</x:v>
      </x:c>
    </x:row>
    <x:row r="2733" ht="15" hidden="0" customHeight="1">
      <x:c r="A2733" s="3" t="str">
        <x:v>EXP086</x:v>
      </x:c>
      <x:c r="B2733" s="3" t="str">
        <x:v>Exp. 10</x:v>
      </x:c>
      <x:c r="C2733" s="18" t="n">
        <x:v>1001</x:v>
      </x:c>
      <x:c r="D2733" s="3" t="str">
        <x:v>Full</x:v>
      </x:c>
      <x:c r="E2733" s="18" t="n">
        <x:v>200</x:v>
      </x:c>
      <x:c r="F2733" s="21" t="n">
        <x:v>406.6936569517735</x:v>
      </x:c>
      <x:c r="G2733" s="21" t="str">
        <x:f>""</x:f>
      </x:c>
      <x:c r="H2733" s="21" t="n">
        <x:f>F2733</x:f>
        <x:v>406.6936569517735</x:v>
      </x:c>
      <x:c r="I2733" s="27" t="str">
        <x:f>IF(AND(ISNUMBER(G2733),ISNUMBER(H2733),H2733&gt;0),G2733/H2733-1,"")</x:f>
      </x:c>
      <x:c r="J2733" s="27" t="str">
        <x:f>IF(AND(ISNUMBER(G2733),F2733&gt;0),G2733/F2733-1,"")</x:f>
      </x:c>
      <x:c r="K2733" s="19" t="str">
        <x:v>Exp_10/EXP086/results/seed1001_Full.json</x:v>
      </x:c>
    </x:row>
    <x:row r="2734" ht="15" hidden="0" customHeight="1">
      <x:c r="A2734" s="3" t="str">
        <x:v>EXP086</x:v>
      </x:c>
      <x:c r="B2734" s="3" t="str">
        <x:v>Exp. 10</x:v>
      </x:c>
      <x:c r="C2734" s="18" t="n">
        <x:v>1001</x:v>
      </x:c>
      <x:c r="D2734" s="3" t="str">
        <x:v>Relative cutoff 1e-2</x:v>
      </x:c>
      <x:c r="E2734" s="18" t="n">
        <x:v>200</x:v>
      </x:c>
      <x:c r="F2734" s="21" t="n">
        <x:v>388.89487931678264</x:v>
      </x:c>
      <x:c r="G2734" s="21" t="str">
        <x:f>""</x:f>
      </x:c>
      <x:c r="H2734" s="21" t="n">
        <x:f>F2733</x:f>
        <x:v>406.6936569517735</x:v>
      </x:c>
      <x:c r="I2734" s="27" t="str">
        <x:f>IF(AND(ISNUMBER(G2734),ISNUMBER(H2734),H2734&gt;0),G2734/H2734-1,"")</x:f>
      </x:c>
      <x:c r="J2734" s="27" t="str">
        <x:f>IF(AND(ISNUMBER(G2734),F2734&gt;0),G2734/F2734-1,"")</x:f>
      </x:c>
      <x:c r="K2734" s="19" t="str">
        <x:v>Exp_10/EXP086/results/seed1001_Relative_cutoff_1e-2.json</x:v>
      </x:c>
    </x:row>
    <x:row r="2735" ht="15" hidden="0" customHeight="1">
      <x:c r="A2735" s="3" t="str">
        <x:v>EXP086</x:v>
      </x:c>
      <x:c r="B2735" s="3" t="str">
        <x:v>Exp. 10</x:v>
      </x:c>
      <x:c r="C2735" s="18" t="n">
        <x:v>1002</x:v>
      </x:c>
      <x:c r="D2735" s="3" t="str">
        <x:v>Fixed rank 10</x:v>
      </x:c>
      <x:c r="E2735" s="18" t="n">
        <x:v>200</x:v>
      </x:c>
      <x:c r="F2735" s="21" t="n">
        <x:v>354.3797516366141</x:v>
      </x:c>
      <x:c r="G2735" s="21" t="str">
        <x:f>""</x:f>
      </x:c>
      <x:c r="H2735" s="21" t="n">
        <x:f>F2738</x:f>
        <x:v>345.70297822694556</x:v>
      </x:c>
      <x:c r="I2735" s="27" t="str">
        <x:f>IF(AND(ISNUMBER(G2735),ISNUMBER(H2735),H2735&gt;0),G2735/H2735-1,"")</x:f>
      </x:c>
      <x:c r="J2735" s="27" t="str">
        <x:f>IF(AND(ISNUMBER(G2735),F2735&gt;0),G2735/F2735-1,"")</x:f>
      </x:c>
      <x:c r="K2735" s="19" t="str">
        <x:v>Exp_10/EXP086/results/seed1002_Fixed_rank_10.json</x:v>
      </x:c>
    </x:row>
    <x:row r="2736" ht="15" hidden="0" customHeight="1">
      <x:c r="A2736" s="3" t="str">
        <x:v>EXP086</x:v>
      </x:c>
      <x:c r="B2736" s="3" t="str">
        <x:v>Exp. 10</x:v>
      </x:c>
      <x:c r="C2736" s="18" t="n">
        <x:v>1002</x:v>
      </x:c>
      <x:c r="D2736" s="3" t="str">
        <x:v>Fixed rank 3</x:v>
      </x:c>
      <x:c r="E2736" s="18" t="n">
        <x:v>200</x:v>
      </x:c>
      <x:c r="F2736" s="21" t="n">
        <x:v>371.45119160768087</x:v>
      </x:c>
      <x:c r="G2736" s="21" t="str">
        <x:f>""</x:f>
      </x:c>
      <x:c r="H2736" s="21" t="n">
        <x:f>F2738</x:f>
        <x:v>345.70297822694556</x:v>
      </x:c>
      <x:c r="I2736" s="27" t="str">
        <x:f>IF(AND(ISNUMBER(G2736),ISNUMBER(H2736),H2736&gt;0),G2736/H2736-1,"")</x:f>
      </x:c>
      <x:c r="J2736" s="27" t="str">
        <x:f>IF(AND(ISNUMBER(G2736),F2736&gt;0),G2736/F2736-1,"")</x:f>
      </x:c>
      <x:c r="K2736" s="19" t="str">
        <x:v>Exp_10/EXP086/results/seed1002_Fixed_rank_3.json</x:v>
      </x:c>
    </x:row>
    <x:row r="2737" ht="15" hidden="0" customHeight="1">
      <x:c r="A2737" s="3" t="str">
        <x:v>EXP086</x:v>
      </x:c>
      <x:c r="B2737" s="3" t="str">
        <x:v>Exp. 10</x:v>
      </x:c>
      <x:c r="C2737" s="18" t="n">
        <x:v>1002</x:v>
      </x:c>
      <x:c r="D2737" s="3" t="str">
        <x:v>Fixed rank 5</x:v>
      </x:c>
      <x:c r="E2737" s="18" t="n">
        <x:v>200</x:v>
      </x:c>
      <x:c r="F2737" s="21" t="n">
        <x:v>362.2658564380792</x:v>
      </x:c>
      <x:c r="G2737" s="21" t="str">
        <x:f>""</x:f>
      </x:c>
      <x:c r="H2737" s="21" t="n">
        <x:f>F2738</x:f>
        <x:v>345.70297822694556</x:v>
      </x:c>
      <x:c r="I2737" s="27" t="str">
        <x:f>IF(AND(ISNUMBER(G2737),ISNUMBER(H2737),H2737&gt;0),G2737/H2737-1,"")</x:f>
      </x:c>
      <x:c r="J2737" s="27" t="str">
        <x:f>IF(AND(ISNUMBER(G2737),F2737&gt;0),G2737/F2737-1,"")</x:f>
      </x:c>
      <x:c r="K2737" s="19" t="str">
        <x:v>Exp_10/EXP086/results/seed1002_Fixed_rank_5.json</x:v>
      </x:c>
    </x:row>
    <x:row r="2738" ht="15" hidden="0" customHeight="1">
      <x:c r="A2738" s="3" t="str">
        <x:v>EXP086</x:v>
      </x:c>
      <x:c r="B2738" s="3" t="str">
        <x:v>Exp. 10</x:v>
      </x:c>
      <x:c r="C2738" s="18" t="n">
        <x:v>1002</x:v>
      </x:c>
      <x:c r="D2738" s="3" t="str">
        <x:v>Full</x:v>
      </x:c>
      <x:c r="E2738" s="18" t="n">
        <x:v>200</x:v>
      </x:c>
      <x:c r="F2738" s="21" t="n">
        <x:v>345.70297822694556</x:v>
      </x:c>
      <x:c r="G2738" s="21" t="str">
        <x:f>""</x:f>
      </x:c>
      <x:c r="H2738" s="21" t="n">
        <x:f>F2738</x:f>
        <x:v>345.70297822694556</x:v>
      </x:c>
      <x:c r="I2738" s="27" t="str">
        <x:f>IF(AND(ISNUMBER(G2738),ISNUMBER(H2738),H2738&gt;0),G2738/H2738-1,"")</x:f>
      </x:c>
      <x:c r="J2738" s="27" t="str">
        <x:f>IF(AND(ISNUMBER(G2738),F2738&gt;0),G2738/F2738-1,"")</x:f>
      </x:c>
      <x:c r="K2738" s="19" t="str">
        <x:v>Exp_10/EXP086/results/seed1002_Full.json</x:v>
      </x:c>
    </x:row>
    <x:row r="2739" ht="15" hidden="0" customHeight="1">
      <x:c r="A2739" s="3" t="str">
        <x:v>EXP086</x:v>
      </x:c>
      <x:c r="B2739" s="3" t="str">
        <x:v>Exp. 10</x:v>
      </x:c>
      <x:c r="C2739" s="18" t="n">
        <x:v>1002</x:v>
      </x:c>
      <x:c r="D2739" s="3" t="str">
        <x:v>Relative cutoff 1e-2</x:v>
      </x:c>
      <x:c r="E2739" s="18" t="n">
        <x:v>200</x:v>
      </x:c>
      <x:c r="F2739" s="21" t="n">
        <x:v>361.838306168714</x:v>
      </x:c>
      <x:c r="G2739" s="21" t="str">
        <x:f>""</x:f>
      </x:c>
      <x:c r="H2739" s="21" t="n">
        <x:f>F2738</x:f>
        <x:v>345.70297822694556</x:v>
      </x:c>
      <x:c r="I2739" s="27" t="str">
        <x:f>IF(AND(ISNUMBER(G2739),ISNUMBER(H2739),H2739&gt;0),G2739/H2739-1,"")</x:f>
      </x:c>
      <x:c r="J2739" s="27" t="str">
        <x:f>IF(AND(ISNUMBER(G2739),F2739&gt;0),G2739/F2739-1,"")</x:f>
      </x:c>
      <x:c r="K2739" s="19" t="str">
        <x:v>Exp_10/EXP086/results/seed1002_Relative_cutoff_1e-2.json</x:v>
      </x:c>
    </x:row>
    <x:row r="2740" ht="15" hidden="0" customHeight="1">
      <x:c r="A2740" s="3" t="str">
        <x:v>EXP086</x:v>
      </x:c>
      <x:c r="B2740" s="3" t="str">
        <x:v>Exp. 10</x:v>
      </x:c>
      <x:c r="C2740" s="18" t="n">
        <x:v>1003</x:v>
      </x:c>
      <x:c r="D2740" s="3" t="str">
        <x:v>Fixed rank 10</x:v>
      </x:c>
      <x:c r="E2740" s="18" t="n">
        <x:v>200</x:v>
      </x:c>
      <x:c r="F2740" s="21" t="n">
        <x:v>413.7130859476636</x:v>
      </x:c>
      <x:c r="G2740" s="21" t="str">
        <x:f>""</x:f>
      </x:c>
      <x:c r="H2740" s="21" t="n">
        <x:f>F2743</x:f>
        <x:v>418.7017681064325</x:v>
      </x:c>
      <x:c r="I2740" s="27" t="str">
        <x:f>IF(AND(ISNUMBER(G2740),ISNUMBER(H2740),H2740&gt;0),G2740/H2740-1,"")</x:f>
      </x:c>
      <x:c r="J2740" s="27" t="str">
        <x:f>IF(AND(ISNUMBER(G2740),F2740&gt;0),G2740/F2740-1,"")</x:f>
      </x:c>
      <x:c r="K2740" s="19" t="str">
        <x:v>Exp_10/EXP086/results/seed1003_Fixed_rank_10.json</x:v>
      </x:c>
    </x:row>
    <x:row r="2741" ht="15" hidden="0" customHeight="1">
      <x:c r="A2741" s="3" t="str">
        <x:v>EXP086</x:v>
      </x:c>
      <x:c r="B2741" s="3" t="str">
        <x:v>Exp. 10</x:v>
      </x:c>
      <x:c r="C2741" s="18" t="n">
        <x:v>1003</x:v>
      </x:c>
      <x:c r="D2741" s="3" t="str">
        <x:v>Fixed rank 3</x:v>
      </x:c>
      <x:c r="E2741" s="18" t="n">
        <x:v>200</x:v>
      </x:c>
      <x:c r="F2741" s="21" t="n">
        <x:v>429.508088688081</x:v>
      </x:c>
      <x:c r="G2741" s="21" t="str">
        <x:f>""</x:f>
      </x:c>
      <x:c r="H2741" s="21" t="n">
        <x:f>F2743</x:f>
        <x:v>418.7017681064325</x:v>
      </x:c>
      <x:c r="I2741" s="27" t="str">
        <x:f>IF(AND(ISNUMBER(G2741),ISNUMBER(H2741),H2741&gt;0),G2741/H2741-1,"")</x:f>
      </x:c>
      <x:c r="J2741" s="27" t="str">
        <x:f>IF(AND(ISNUMBER(G2741),F2741&gt;0),G2741/F2741-1,"")</x:f>
      </x:c>
      <x:c r="K2741" s="19" t="str">
        <x:v>Exp_10/EXP086/results/seed1003_Fixed_rank_3.json</x:v>
      </x:c>
    </x:row>
    <x:row r="2742" ht="15" hidden="0" customHeight="1">
      <x:c r="A2742" s="3" t="str">
        <x:v>EXP086</x:v>
      </x:c>
      <x:c r="B2742" s="3" t="str">
        <x:v>Exp. 10</x:v>
      </x:c>
      <x:c r="C2742" s="18" t="n">
        <x:v>1003</x:v>
      </x:c>
      <x:c r="D2742" s="3" t="str">
        <x:v>Fixed rank 5</x:v>
      </x:c>
      <x:c r="E2742" s="18" t="n">
        <x:v>200</x:v>
      </x:c>
      <x:c r="F2742" s="21" t="n">
        <x:v>437.08128057922886</x:v>
      </x:c>
      <x:c r="G2742" s="21" t="str">
        <x:f>""</x:f>
      </x:c>
      <x:c r="H2742" s="21" t="n">
        <x:f>F2743</x:f>
        <x:v>418.7017681064325</x:v>
      </x:c>
      <x:c r="I2742" s="27" t="str">
        <x:f>IF(AND(ISNUMBER(G2742),ISNUMBER(H2742),H2742&gt;0),G2742/H2742-1,"")</x:f>
      </x:c>
      <x:c r="J2742" s="27" t="str">
        <x:f>IF(AND(ISNUMBER(G2742),F2742&gt;0),G2742/F2742-1,"")</x:f>
      </x:c>
      <x:c r="K2742" s="19" t="str">
        <x:v>Exp_10/EXP086/results/seed1003_Fixed_rank_5.json</x:v>
      </x:c>
    </x:row>
    <x:row r="2743" ht="15" hidden="0" customHeight="1">
      <x:c r="A2743" s="3" t="str">
        <x:v>EXP086</x:v>
      </x:c>
      <x:c r="B2743" s="3" t="str">
        <x:v>Exp. 10</x:v>
      </x:c>
      <x:c r="C2743" s="18" t="n">
        <x:v>1003</x:v>
      </x:c>
      <x:c r="D2743" s="3" t="str">
        <x:v>Full</x:v>
      </x:c>
      <x:c r="E2743" s="18" t="n">
        <x:v>200</x:v>
      </x:c>
      <x:c r="F2743" s="21" t="n">
        <x:v>418.7017681064325</x:v>
      </x:c>
      <x:c r="G2743" s="21" t="str">
        <x:f>""</x:f>
      </x:c>
      <x:c r="H2743" s="21" t="n">
        <x:f>F2743</x:f>
        <x:v>418.7017681064325</x:v>
      </x:c>
      <x:c r="I2743" s="27" t="str">
        <x:f>IF(AND(ISNUMBER(G2743),ISNUMBER(H2743),H2743&gt;0),G2743/H2743-1,"")</x:f>
      </x:c>
      <x:c r="J2743" s="27" t="str">
        <x:f>IF(AND(ISNUMBER(G2743),F2743&gt;0),G2743/F2743-1,"")</x:f>
      </x:c>
      <x:c r="K2743" s="19" t="str">
        <x:v>Exp_10/EXP086/results/seed1003_Full.json</x:v>
      </x:c>
    </x:row>
    <x:row r="2744" ht="15" hidden="0" customHeight="1">
      <x:c r="A2744" s="3" t="str">
        <x:v>EXP086</x:v>
      </x:c>
      <x:c r="B2744" s="3" t="str">
        <x:v>Exp. 10</x:v>
      </x:c>
      <x:c r="C2744" s="18" t="n">
        <x:v>1003</x:v>
      </x:c>
      <x:c r="D2744" s="3" t="str">
        <x:v>Relative cutoff 1e-2</x:v>
      </x:c>
      <x:c r="E2744" s="18" t="n">
        <x:v>200</x:v>
      </x:c>
      <x:c r="F2744" s="21" t="n">
        <x:v>429.508088688081</x:v>
      </x:c>
      <x:c r="G2744" s="21" t="str">
        <x:f>""</x:f>
      </x:c>
      <x:c r="H2744" s="21" t="n">
        <x:f>F2743</x:f>
        <x:v>418.7017681064325</x:v>
      </x:c>
      <x:c r="I2744" s="27" t="str">
        <x:f>IF(AND(ISNUMBER(G2744),ISNUMBER(H2744),H2744&gt;0),G2744/H2744-1,"")</x:f>
      </x:c>
      <x:c r="J2744" s="27" t="str">
        <x:f>IF(AND(ISNUMBER(G2744),F2744&gt;0),G2744/F2744-1,"")</x:f>
      </x:c>
      <x:c r="K2744" s="19" t="str">
        <x:v>Exp_10/EXP086/results/seed1003_Relative_cutoff_1e-2.json</x:v>
      </x:c>
    </x:row>
    <x:row r="2745" ht="15" hidden="0" customHeight="1">
      <x:c r="A2745" s="3" t="str">
        <x:v>EXP086</x:v>
      </x:c>
      <x:c r="B2745" s="3" t="str">
        <x:v>Exp. 10</x:v>
      </x:c>
      <x:c r="C2745" s="18" t="n">
        <x:v>1004</x:v>
      </x:c>
      <x:c r="D2745" s="3" t="str">
        <x:v>Fixed rank 10</x:v>
      </x:c>
      <x:c r="E2745" s="18" t="n">
        <x:v>200</x:v>
      </x:c>
      <x:c r="F2745" s="21" t="n">
        <x:v>331.4311650259228</x:v>
      </x:c>
      <x:c r="G2745" s="21" t="str">
        <x:f>""</x:f>
      </x:c>
      <x:c r="H2745" s="21" t="n">
        <x:f>F2748</x:f>
        <x:v>327.61950222923747</x:v>
      </x:c>
      <x:c r="I2745" s="27" t="str">
        <x:f>IF(AND(ISNUMBER(G2745),ISNUMBER(H2745),H2745&gt;0),G2745/H2745-1,"")</x:f>
      </x:c>
      <x:c r="J2745" s="27" t="str">
        <x:f>IF(AND(ISNUMBER(G2745),F2745&gt;0),G2745/F2745-1,"")</x:f>
      </x:c>
      <x:c r="K2745" s="19" t="str">
        <x:v>Exp_10/EXP086/results/seed1004_Fixed_rank_10.json</x:v>
      </x:c>
    </x:row>
    <x:row r="2746" ht="15" hidden="0" customHeight="1">
      <x:c r="A2746" s="3" t="str">
        <x:v>EXP086</x:v>
      </x:c>
      <x:c r="B2746" s="3" t="str">
        <x:v>Exp. 10</x:v>
      </x:c>
      <x:c r="C2746" s="18" t="n">
        <x:v>1004</x:v>
      </x:c>
      <x:c r="D2746" s="3" t="str">
        <x:v>Fixed rank 3</x:v>
      </x:c>
      <x:c r="E2746" s="18" t="n">
        <x:v>200</x:v>
      </x:c>
      <x:c r="F2746" s="21" t="n">
        <x:v>362.06770578180374</x:v>
      </x:c>
      <x:c r="G2746" s="21" t="str">
        <x:f>""</x:f>
      </x:c>
      <x:c r="H2746" s="21" t="n">
        <x:f>F2748</x:f>
        <x:v>327.61950222923747</x:v>
      </x:c>
      <x:c r="I2746" s="27" t="str">
        <x:f>IF(AND(ISNUMBER(G2746),ISNUMBER(H2746),H2746&gt;0),G2746/H2746-1,"")</x:f>
      </x:c>
      <x:c r="J2746" s="27" t="str">
        <x:f>IF(AND(ISNUMBER(G2746),F2746&gt;0),G2746/F2746-1,"")</x:f>
      </x:c>
      <x:c r="K2746" s="19" t="str">
        <x:v>Exp_10/EXP086/results/seed1004_Fixed_rank_3.json</x:v>
      </x:c>
    </x:row>
    <x:row r="2747" ht="15" hidden="0" customHeight="1">
      <x:c r="A2747" s="3" t="str">
        <x:v>EXP086</x:v>
      </x:c>
      <x:c r="B2747" s="3" t="str">
        <x:v>Exp. 10</x:v>
      </x:c>
      <x:c r="C2747" s="18" t="n">
        <x:v>1004</x:v>
      </x:c>
      <x:c r="D2747" s="3" t="str">
        <x:v>Fixed rank 5</x:v>
      </x:c>
      <x:c r="E2747" s="18" t="n">
        <x:v>200</x:v>
      </x:c>
      <x:c r="F2747" s="21" t="n">
        <x:v>329.69680293958504</x:v>
      </x:c>
      <x:c r="G2747" s="21" t="str">
        <x:f>""</x:f>
      </x:c>
      <x:c r="H2747" s="21" t="n">
        <x:f>F2748</x:f>
        <x:v>327.61950222923747</x:v>
      </x:c>
      <x:c r="I2747" s="27" t="str">
        <x:f>IF(AND(ISNUMBER(G2747),ISNUMBER(H2747),H2747&gt;0),G2747/H2747-1,"")</x:f>
      </x:c>
      <x:c r="J2747" s="27" t="str">
        <x:f>IF(AND(ISNUMBER(G2747),F2747&gt;0),G2747/F2747-1,"")</x:f>
      </x:c>
      <x:c r="K2747" s="19" t="str">
        <x:v>Exp_10/EXP086/results/seed1004_Fixed_rank_5.json</x:v>
      </x:c>
    </x:row>
    <x:row r="2748" ht="15" hidden="0" customHeight="1">
      <x:c r="A2748" s="3" t="str">
        <x:v>EXP086</x:v>
      </x:c>
      <x:c r="B2748" s="3" t="str">
        <x:v>Exp. 10</x:v>
      </x:c>
      <x:c r="C2748" s="18" t="n">
        <x:v>1004</x:v>
      </x:c>
      <x:c r="D2748" s="3" t="str">
        <x:v>Full</x:v>
      </x:c>
      <x:c r="E2748" s="18" t="n">
        <x:v>200</x:v>
      </x:c>
      <x:c r="F2748" s="21" t="n">
        <x:v>327.61950222923747</x:v>
      </x:c>
      <x:c r="G2748" s="21" t="str">
        <x:f>""</x:f>
      </x:c>
      <x:c r="H2748" s="21" t="n">
        <x:f>F2748</x:f>
        <x:v>327.61950222923747</x:v>
      </x:c>
      <x:c r="I2748" s="27" t="str">
        <x:f>IF(AND(ISNUMBER(G2748),ISNUMBER(H2748),H2748&gt;0),G2748/H2748-1,"")</x:f>
      </x:c>
      <x:c r="J2748" s="27" t="str">
        <x:f>IF(AND(ISNUMBER(G2748),F2748&gt;0),G2748/F2748-1,"")</x:f>
      </x:c>
      <x:c r="K2748" s="19" t="str">
        <x:v>Exp_10/EXP086/results/seed1004_Full.json</x:v>
      </x:c>
    </x:row>
    <x:row r="2749" ht="15" hidden="0" customHeight="1">
      <x:c r="A2749" s="3" t="str">
        <x:v>EXP086</x:v>
      </x:c>
      <x:c r="B2749" s="3" t="str">
        <x:v>Exp. 10</x:v>
      </x:c>
      <x:c r="C2749" s="18" t="n">
        <x:v>1004</x:v>
      </x:c>
      <x:c r="D2749" s="3" t="str">
        <x:v>Relative cutoff 1e-2</x:v>
      </x:c>
      <x:c r="E2749" s="18" t="n">
        <x:v>200</x:v>
      </x:c>
      <x:c r="F2749" s="21" t="n">
        <x:v>320.94020262131755</x:v>
      </x:c>
      <x:c r="G2749" s="21" t="str">
        <x:f>""</x:f>
      </x:c>
      <x:c r="H2749" s="21" t="n">
        <x:f>F2748</x:f>
        <x:v>327.61950222923747</x:v>
      </x:c>
      <x:c r="I2749" s="27" t="str">
        <x:f>IF(AND(ISNUMBER(G2749),ISNUMBER(H2749),H2749&gt;0),G2749/H2749-1,"")</x:f>
      </x:c>
      <x:c r="J2749" s="27" t="str">
        <x:f>IF(AND(ISNUMBER(G2749),F2749&gt;0),G2749/F2749-1,"")</x:f>
      </x:c>
      <x:c r="K2749" s="19" t="str">
        <x:v>Exp_10/EXP086/results/seed1004_Relative_cutoff_1e-2.json</x:v>
      </x:c>
    </x:row>
    <x:row r="2750" ht="15" hidden="0" customHeight="1">
      <x:c r="A2750" s="3" t="str">
        <x:v>EXP086</x:v>
      </x:c>
      <x:c r="B2750" s="3" t="str">
        <x:v>Exp. 10</x:v>
      </x:c>
      <x:c r="C2750" s="18" t="n">
        <x:v>1005</x:v>
      </x:c>
      <x:c r="D2750" s="3" t="str">
        <x:v>Fixed rank 10</x:v>
      </x:c>
      <x:c r="E2750" s="18" t="n">
        <x:v>200</x:v>
      </x:c>
      <x:c r="F2750" s="21" t="n">
        <x:v>396.95397942504275</x:v>
      </x:c>
      <x:c r="G2750" s="21" t="str">
        <x:f>""</x:f>
      </x:c>
      <x:c r="H2750" s="21" t="n">
        <x:f>F2753</x:f>
        <x:v>398.9564626829273</x:v>
      </x:c>
      <x:c r="I2750" s="27" t="str">
        <x:f>IF(AND(ISNUMBER(G2750),ISNUMBER(H2750),H2750&gt;0),G2750/H2750-1,"")</x:f>
      </x:c>
      <x:c r="J2750" s="27" t="str">
        <x:f>IF(AND(ISNUMBER(G2750),F2750&gt;0),G2750/F2750-1,"")</x:f>
      </x:c>
      <x:c r="K2750" s="19" t="str">
        <x:v>Exp_10/EXP086/results/seed1005_Fixed_rank_10.json</x:v>
      </x:c>
    </x:row>
    <x:row r="2751" ht="15" hidden="0" customHeight="1">
      <x:c r="A2751" s="3" t="str">
        <x:v>EXP086</x:v>
      </x:c>
      <x:c r="B2751" s="3" t="str">
        <x:v>Exp. 10</x:v>
      </x:c>
      <x:c r="C2751" s="18" t="n">
        <x:v>1005</x:v>
      </x:c>
      <x:c r="D2751" s="3" t="str">
        <x:v>Fixed rank 3</x:v>
      </x:c>
      <x:c r="E2751" s="18" t="n">
        <x:v>200</x:v>
      </x:c>
      <x:c r="F2751" s="21" t="n">
        <x:v>464.29515224939826</x:v>
      </x:c>
      <x:c r="G2751" s="21" t="str">
        <x:f>""</x:f>
      </x:c>
      <x:c r="H2751" s="21" t="n">
        <x:f>F2753</x:f>
        <x:v>398.9564626829273</x:v>
      </x:c>
      <x:c r="I2751" s="27" t="str">
        <x:f>IF(AND(ISNUMBER(G2751),ISNUMBER(H2751),H2751&gt;0),G2751/H2751-1,"")</x:f>
      </x:c>
      <x:c r="J2751" s="27" t="str">
        <x:f>IF(AND(ISNUMBER(G2751),F2751&gt;0),G2751/F2751-1,"")</x:f>
      </x:c>
      <x:c r="K2751" s="19" t="str">
        <x:v>Exp_10/EXP086/results/seed1005_Fixed_rank_3.json</x:v>
      </x:c>
    </x:row>
    <x:row r="2752" ht="15" hidden="0" customHeight="1">
      <x:c r="A2752" s="3" t="str">
        <x:v>EXP086</x:v>
      </x:c>
      <x:c r="B2752" s="3" t="str">
        <x:v>Exp. 10</x:v>
      </x:c>
      <x:c r="C2752" s="18" t="n">
        <x:v>1005</x:v>
      </x:c>
      <x:c r="D2752" s="3" t="str">
        <x:v>Fixed rank 5</x:v>
      </x:c>
      <x:c r="E2752" s="18" t="n">
        <x:v>200</x:v>
      </x:c>
      <x:c r="F2752" s="21" t="n">
        <x:v>396.95397942504275</x:v>
      </x:c>
      <x:c r="G2752" s="21" t="str">
        <x:f>""</x:f>
      </x:c>
      <x:c r="H2752" s="21" t="n">
        <x:f>F2753</x:f>
        <x:v>398.9564626829273</x:v>
      </x:c>
      <x:c r="I2752" s="27" t="str">
        <x:f>IF(AND(ISNUMBER(G2752),ISNUMBER(H2752),H2752&gt;0),G2752/H2752-1,"")</x:f>
      </x:c>
      <x:c r="J2752" s="27" t="str">
        <x:f>IF(AND(ISNUMBER(G2752),F2752&gt;0),G2752/F2752-1,"")</x:f>
      </x:c>
      <x:c r="K2752" s="19" t="str">
        <x:v>Exp_10/EXP086/results/seed1005_Fixed_rank_5.json</x:v>
      </x:c>
    </x:row>
    <x:row r="2753" ht="15" hidden="0" customHeight="1">
      <x:c r="A2753" s="3" t="str">
        <x:v>EXP086</x:v>
      </x:c>
      <x:c r="B2753" s="3" t="str">
        <x:v>Exp. 10</x:v>
      </x:c>
      <x:c r="C2753" s="18" t="n">
        <x:v>1005</x:v>
      </x:c>
      <x:c r="D2753" s="3" t="str">
        <x:v>Full</x:v>
      </x:c>
      <x:c r="E2753" s="18" t="n">
        <x:v>200</x:v>
      </x:c>
      <x:c r="F2753" s="21" t="n">
        <x:v>398.9564626829273</x:v>
      </x:c>
      <x:c r="G2753" s="21" t="str">
        <x:f>""</x:f>
      </x:c>
      <x:c r="H2753" s="21" t="n">
        <x:f>F2753</x:f>
        <x:v>398.9564626829273</x:v>
      </x:c>
      <x:c r="I2753" s="27" t="str">
        <x:f>IF(AND(ISNUMBER(G2753),ISNUMBER(H2753),H2753&gt;0),G2753/H2753-1,"")</x:f>
      </x:c>
      <x:c r="J2753" s="27" t="str">
        <x:f>IF(AND(ISNUMBER(G2753),F2753&gt;0),G2753/F2753-1,"")</x:f>
      </x:c>
      <x:c r="K2753" s="19" t="str">
        <x:v>Exp_10/EXP086/results/seed1005_Full.json</x:v>
      </x:c>
    </x:row>
    <x:row r="2754" ht="15" hidden="0" customHeight="1">
      <x:c r="A2754" s="3" t="str">
        <x:v>EXP086</x:v>
      </x:c>
      <x:c r="B2754" s="3" t="str">
        <x:v>Exp. 10</x:v>
      </x:c>
      <x:c r="C2754" s="18" t="n">
        <x:v>1005</x:v>
      </x:c>
      <x:c r="D2754" s="3" t="str">
        <x:v>Relative cutoff 1e-2</x:v>
      </x:c>
      <x:c r="E2754" s="18" t="n">
        <x:v>200</x:v>
      </x:c>
      <x:c r="F2754" s="21" t="n">
        <x:v>417.8564230362184</x:v>
      </x:c>
      <x:c r="G2754" s="21" t="str">
        <x:f>""</x:f>
      </x:c>
      <x:c r="H2754" s="21" t="n">
        <x:f>F2753</x:f>
        <x:v>398.9564626829273</x:v>
      </x:c>
      <x:c r="I2754" s="27" t="str">
        <x:f>IF(AND(ISNUMBER(G2754),ISNUMBER(H2754),H2754&gt;0),G2754/H2754-1,"")</x:f>
      </x:c>
      <x:c r="J2754" s="27" t="str">
        <x:f>IF(AND(ISNUMBER(G2754),F2754&gt;0),G2754/F2754-1,"")</x:f>
      </x:c>
      <x:c r="K2754" s="19" t="str">
        <x:v>Exp_10/EXP086/results/seed1005_Relative_cutoff_1e-2.json</x:v>
      </x:c>
    </x:row>
    <x:row r="2755" ht="15" hidden="0" customHeight="1">
      <x:c r="A2755" s="3" t="str">
        <x:v>EXP086</x:v>
      </x:c>
      <x:c r="B2755" s="3" t="str">
        <x:v>Exp. 10</x:v>
      </x:c>
      <x:c r="C2755" s="18" t="n">
        <x:v>1006</x:v>
      </x:c>
      <x:c r="D2755" s="3" t="str">
        <x:v>Fixed rank 10</x:v>
      </x:c>
      <x:c r="E2755" s="18" t="n">
        <x:v>200</x:v>
      </x:c>
      <x:c r="F2755" s="21" t="n">
        <x:v>340.2084942469621</x:v>
      </x:c>
      <x:c r="G2755" s="21" t="str">
        <x:f>""</x:f>
      </x:c>
      <x:c r="H2755" s="21" t="n">
        <x:f>F2758</x:f>
        <x:v>340.416665171878</x:v>
      </x:c>
      <x:c r="I2755" s="27" t="str">
        <x:f>IF(AND(ISNUMBER(G2755),ISNUMBER(H2755),H2755&gt;0),G2755/H2755-1,"")</x:f>
      </x:c>
      <x:c r="J2755" s="27" t="str">
        <x:f>IF(AND(ISNUMBER(G2755),F2755&gt;0),G2755/F2755-1,"")</x:f>
      </x:c>
      <x:c r="K2755" s="19" t="str">
        <x:v>Exp_10/EXP086/results/seed1006_Fixed_rank_10.json</x:v>
      </x:c>
    </x:row>
    <x:row r="2756" ht="15" hidden="0" customHeight="1">
      <x:c r="A2756" s="3" t="str">
        <x:v>EXP086</x:v>
      </x:c>
      <x:c r="B2756" s="3" t="str">
        <x:v>Exp. 10</x:v>
      </x:c>
      <x:c r="C2756" s="18" t="n">
        <x:v>1006</x:v>
      </x:c>
      <x:c r="D2756" s="3" t="str">
        <x:v>Fixed rank 3</x:v>
      </x:c>
      <x:c r="E2756" s="18" t="n">
        <x:v>200</x:v>
      </x:c>
      <x:c r="F2756" s="21" t="n">
        <x:v>305.9998316289276</x:v>
      </x:c>
      <x:c r="G2756" s="21" t="str">
        <x:f>""</x:f>
      </x:c>
      <x:c r="H2756" s="21" t="n">
        <x:f>F2758</x:f>
        <x:v>340.416665171878</x:v>
      </x:c>
      <x:c r="I2756" s="27" t="str">
        <x:f>IF(AND(ISNUMBER(G2756),ISNUMBER(H2756),H2756&gt;0),G2756/H2756-1,"")</x:f>
      </x:c>
      <x:c r="J2756" s="27" t="str">
        <x:f>IF(AND(ISNUMBER(G2756),F2756&gt;0),G2756/F2756-1,"")</x:f>
      </x:c>
      <x:c r="K2756" s="19" t="str">
        <x:v>Exp_10/EXP086/results/seed1006_Fixed_rank_3.json</x:v>
      </x:c>
    </x:row>
    <x:row r="2757" ht="15" hidden="0" customHeight="1">
      <x:c r="A2757" s="3" t="str">
        <x:v>EXP086</x:v>
      </x:c>
      <x:c r="B2757" s="3" t="str">
        <x:v>Exp. 10</x:v>
      </x:c>
      <x:c r="C2757" s="18" t="n">
        <x:v>1006</x:v>
      </x:c>
      <x:c r="D2757" s="3" t="str">
        <x:v>Fixed rank 5</x:v>
      </x:c>
      <x:c r="E2757" s="18" t="n">
        <x:v>200</x:v>
      </x:c>
      <x:c r="F2757" s="21" t="n">
        <x:v>340.2084942469621</x:v>
      </x:c>
      <x:c r="G2757" s="21" t="str">
        <x:f>""</x:f>
      </x:c>
      <x:c r="H2757" s="21" t="n">
        <x:f>F2758</x:f>
        <x:v>340.416665171878</x:v>
      </x:c>
      <x:c r="I2757" s="27" t="str">
        <x:f>IF(AND(ISNUMBER(G2757),ISNUMBER(H2757),H2757&gt;0),G2757/H2757-1,"")</x:f>
      </x:c>
      <x:c r="J2757" s="27" t="str">
        <x:f>IF(AND(ISNUMBER(G2757),F2757&gt;0),G2757/F2757-1,"")</x:f>
      </x:c>
      <x:c r="K2757" s="19" t="str">
        <x:v>Exp_10/EXP086/results/seed1006_Fixed_rank_5.json</x:v>
      </x:c>
    </x:row>
    <x:row r="2758" ht="15" hidden="0" customHeight="1">
      <x:c r="A2758" s="3" t="str">
        <x:v>EXP086</x:v>
      </x:c>
      <x:c r="B2758" s="3" t="str">
        <x:v>Exp. 10</x:v>
      </x:c>
      <x:c r="C2758" s="18" t="n">
        <x:v>1006</x:v>
      </x:c>
      <x:c r="D2758" s="3" t="str">
        <x:v>Full</x:v>
      </x:c>
      <x:c r="E2758" s="18" t="n">
        <x:v>200</x:v>
      </x:c>
      <x:c r="F2758" s="21" t="n">
        <x:v>340.416665171878</x:v>
      </x:c>
      <x:c r="G2758" s="21" t="str">
        <x:f>""</x:f>
      </x:c>
      <x:c r="H2758" s="21" t="n">
        <x:f>F2758</x:f>
        <x:v>340.416665171878</x:v>
      </x:c>
      <x:c r="I2758" s="27" t="str">
        <x:f>IF(AND(ISNUMBER(G2758),ISNUMBER(H2758),H2758&gt;0),G2758/H2758-1,"")</x:f>
      </x:c>
      <x:c r="J2758" s="27" t="str">
        <x:f>IF(AND(ISNUMBER(G2758),F2758&gt;0),G2758/F2758-1,"")</x:f>
      </x:c>
      <x:c r="K2758" s="19" t="str">
        <x:v>Exp_10/EXP086/results/seed1006_Full.json</x:v>
      </x:c>
    </x:row>
    <x:row r="2759" ht="15" hidden="0" customHeight="1">
      <x:c r="A2759" s="3" t="str">
        <x:v>EXP086</x:v>
      </x:c>
      <x:c r="B2759" s="3" t="str">
        <x:v>Exp. 10</x:v>
      </x:c>
      <x:c r="C2759" s="18" t="n">
        <x:v>1006</x:v>
      </x:c>
      <x:c r="D2759" s="3" t="str">
        <x:v>Relative cutoff 1e-2</x:v>
      </x:c>
      <x:c r="E2759" s="18" t="n">
        <x:v>200</x:v>
      </x:c>
      <x:c r="F2759" s="21" t="n">
        <x:v>321.8607936452915</x:v>
      </x:c>
      <x:c r="G2759" s="21" t="str">
        <x:f>""</x:f>
      </x:c>
      <x:c r="H2759" s="21" t="n">
        <x:f>F2758</x:f>
        <x:v>340.416665171878</x:v>
      </x:c>
      <x:c r="I2759" s="27" t="str">
        <x:f>IF(AND(ISNUMBER(G2759),ISNUMBER(H2759),H2759&gt;0),G2759/H2759-1,"")</x:f>
      </x:c>
      <x:c r="J2759" s="27" t="str">
        <x:f>IF(AND(ISNUMBER(G2759),F2759&gt;0),G2759/F2759-1,"")</x:f>
      </x:c>
      <x:c r="K2759" s="19" t="str">
        <x:v>Exp_10/EXP086/results/seed1006_Relative_cutoff_1e-2.json</x:v>
      </x:c>
    </x:row>
    <x:row r="2760" ht="15" hidden="0" customHeight="1">
      <x:c r="A2760" s="3" t="str">
        <x:v>EXP086</x:v>
      </x:c>
      <x:c r="B2760" s="3" t="str">
        <x:v>Exp. 10</x:v>
      </x:c>
      <x:c r="C2760" s="18" t="n">
        <x:v>1007</x:v>
      </x:c>
      <x:c r="D2760" s="3" t="str">
        <x:v>Fixed rank 10</x:v>
      </x:c>
      <x:c r="E2760" s="18" t="n">
        <x:v>200</x:v>
      </x:c>
      <x:c r="F2760" s="21" t="n">
        <x:v>367.6979959435685</x:v>
      </x:c>
      <x:c r="G2760" s="21" t="str">
        <x:f>""</x:f>
      </x:c>
      <x:c r="H2760" s="21" t="n">
        <x:f>F2763</x:f>
        <x:v>359.23948347996486</x:v>
      </x:c>
      <x:c r="I2760" s="27" t="str">
        <x:f>IF(AND(ISNUMBER(G2760),ISNUMBER(H2760),H2760&gt;0),G2760/H2760-1,"")</x:f>
      </x:c>
      <x:c r="J2760" s="27" t="str">
        <x:f>IF(AND(ISNUMBER(G2760),F2760&gt;0),G2760/F2760-1,"")</x:f>
      </x:c>
      <x:c r="K2760" s="19" t="str">
        <x:v>Exp_10/EXP086/results/seed1007_Fixed_rank_10.json</x:v>
      </x:c>
    </x:row>
    <x:row r="2761" ht="15" hidden="0" customHeight="1">
      <x:c r="A2761" s="3" t="str">
        <x:v>EXP086</x:v>
      </x:c>
      <x:c r="B2761" s="3" t="str">
        <x:v>Exp. 10</x:v>
      </x:c>
      <x:c r="C2761" s="18" t="n">
        <x:v>1007</x:v>
      </x:c>
      <x:c r="D2761" s="3" t="str">
        <x:v>Fixed rank 3</x:v>
      </x:c>
      <x:c r="E2761" s="18" t="n">
        <x:v>200</x:v>
      </x:c>
      <x:c r="F2761" s="21" t="n">
        <x:v>343.8013976904823</x:v>
      </x:c>
      <x:c r="G2761" s="21" t="str">
        <x:f>""</x:f>
      </x:c>
      <x:c r="H2761" s="21" t="n">
        <x:f>F2763</x:f>
        <x:v>359.23948347996486</x:v>
      </x:c>
      <x:c r="I2761" s="27" t="str">
        <x:f>IF(AND(ISNUMBER(G2761),ISNUMBER(H2761),H2761&gt;0),G2761/H2761-1,"")</x:f>
      </x:c>
      <x:c r="J2761" s="27" t="str">
        <x:f>IF(AND(ISNUMBER(G2761),F2761&gt;0),G2761/F2761-1,"")</x:f>
      </x:c>
      <x:c r="K2761" s="19" t="str">
        <x:v>Exp_10/EXP086/results/seed1007_Fixed_rank_3.json</x:v>
      </x:c>
    </x:row>
    <x:row r="2762" ht="15" hidden="0" customHeight="1">
      <x:c r="A2762" s="3" t="str">
        <x:v>EXP086</x:v>
      </x:c>
      <x:c r="B2762" s="3" t="str">
        <x:v>Exp. 10</x:v>
      </x:c>
      <x:c r="C2762" s="18" t="n">
        <x:v>1007</x:v>
      </x:c>
      <x:c r="D2762" s="3" t="str">
        <x:v>Fixed rank 5</x:v>
      </x:c>
      <x:c r="E2762" s="18" t="n">
        <x:v>200</x:v>
      </x:c>
      <x:c r="F2762" s="21" t="n">
        <x:v>362.77534844897457</x:v>
      </x:c>
      <x:c r="G2762" s="21" t="str">
        <x:f>""</x:f>
      </x:c>
      <x:c r="H2762" s="21" t="n">
        <x:f>F2763</x:f>
        <x:v>359.23948347996486</x:v>
      </x:c>
      <x:c r="I2762" s="27" t="str">
        <x:f>IF(AND(ISNUMBER(G2762),ISNUMBER(H2762),H2762&gt;0),G2762/H2762-1,"")</x:f>
      </x:c>
      <x:c r="J2762" s="27" t="str">
        <x:f>IF(AND(ISNUMBER(G2762),F2762&gt;0),G2762/F2762-1,"")</x:f>
      </x:c>
      <x:c r="K2762" s="19" t="str">
        <x:v>Exp_10/EXP086/results/seed1007_Fixed_rank_5.json</x:v>
      </x:c>
    </x:row>
    <x:row r="2763" ht="15" hidden="0" customHeight="1">
      <x:c r="A2763" s="3" t="str">
        <x:v>EXP086</x:v>
      </x:c>
      <x:c r="B2763" s="3" t="str">
        <x:v>Exp. 10</x:v>
      </x:c>
      <x:c r="C2763" s="18" t="n">
        <x:v>1007</x:v>
      </x:c>
      <x:c r="D2763" s="3" t="str">
        <x:v>Full</x:v>
      </x:c>
      <x:c r="E2763" s="18" t="n">
        <x:v>200</x:v>
      </x:c>
      <x:c r="F2763" s="21" t="n">
        <x:v>359.23948347996486</x:v>
      </x:c>
      <x:c r="G2763" s="21" t="str">
        <x:f>""</x:f>
      </x:c>
      <x:c r="H2763" s="21" t="n">
        <x:f>F2763</x:f>
        <x:v>359.23948347996486</x:v>
      </x:c>
      <x:c r="I2763" s="27" t="str">
        <x:f>IF(AND(ISNUMBER(G2763),ISNUMBER(H2763),H2763&gt;0),G2763/H2763-1,"")</x:f>
      </x:c>
      <x:c r="J2763" s="27" t="str">
        <x:f>IF(AND(ISNUMBER(G2763),F2763&gt;0),G2763/F2763-1,"")</x:f>
      </x:c>
      <x:c r="K2763" s="19" t="str">
        <x:v>Exp_10/EXP086/results/seed1007_Full.json</x:v>
      </x:c>
    </x:row>
    <x:row r="2764" ht="15" hidden="0" customHeight="1">
      <x:c r="A2764" s="3" t="str">
        <x:v>EXP086</x:v>
      </x:c>
      <x:c r="B2764" s="3" t="str">
        <x:v>Exp. 10</x:v>
      </x:c>
      <x:c r="C2764" s="18" t="n">
        <x:v>1007</x:v>
      </x:c>
      <x:c r="D2764" s="3" t="str">
        <x:v>Relative cutoff 1e-2</x:v>
      </x:c>
      <x:c r="E2764" s="18" t="n">
        <x:v>200</x:v>
      </x:c>
      <x:c r="F2764" s="21" t="n">
        <x:v>335.60524085459514</x:v>
      </x:c>
      <x:c r="G2764" s="21" t="str">
        <x:f>""</x:f>
      </x:c>
      <x:c r="H2764" s="21" t="n">
        <x:f>F2763</x:f>
        <x:v>359.23948347996486</x:v>
      </x:c>
      <x:c r="I2764" s="27" t="str">
        <x:f>IF(AND(ISNUMBER(G2764),ISNUMBER(H2764),H2764&gt;0),G2764/H2764-1,"")</x:f>
      </x:c>
      <x:c r="J2764" s="27" t="str">
        <x:f>IF(AND(ISNUMBER(G2764),F2764&gt;0),G2764/F2764-1,"")</x:f>
      </x:c>
      <x:c r="K2764" s="19" t="str">
        <x:v>Exp_10/EXP086/results/seed1007_Relative_cutoff_1e-2.json</x:v>
      </x:c>
    </x:row>
    <x:row r="2765" ht="15" hidden="0" customHeight="1">
      <x:c r="A2765" s="3" t="str">
        <x:v>EXP086</x:v>
      </x:c>
      <x:c r="B2765" s="3" t="str">
        <x:v>Exp. 10</x:v>
      </x:c>
      <x:c r="C2765" s="18" t="n">
        <x:v>1008</x:v>
      </x:c>
      <x:c r="D2765" s="3" t="str">
        <x:v>Fixed rank 10</x:v>
      </x:c>
      <x:c r="E2765" s="18" t="n">
        <x:v>200</x:v>
      </x:c>
      <x:c r="F2765" s="21" t="n">
        <x:v>358.6552466663178</x:v>
      </x:c>
      <x:c r="G2765" s="21" t="str">
        <x:f>""</x:f>
      </x:c>
      <x:c r="H2765" s="21" t="n">
        <x:f>F2768</x:f>
        <x:v>369.65725104390356</x:v>
      </x:c>
      <x:c r="I2765" s="27" t="str">
        <x:f>IF(AND(ISNUMBER(G2765),ISNUMBER(H2765),H2765&gt;0),G2765/H2765-1,"")</x:f>
      </x:c>
      <x:c r="J2765" s="27" t="str">
        <x:f>IF(AND(ISNUMBER(G2765),F2765&gt;0),G2765/F2765-1,"")</x:f>
      </x:c>
      <x:c r="K2765" s="19" t="str">
        <x:v>Exp_10/EXP086/results/seed1008_Fixed_rank_10.json</x:v>
      </x:c>
    </x:row>
    <x:row r="2766" ht="15" hidden="0" customHeight="1">
      <x:c r="A2766" s="3" t="str">
        <x:v>EXP086</x:v>
      </x:c>
      <x:c r="B2766" s="3" t="str">
        <x:v>Exp. 10</x:v>
      </x:c>
      <x:c r="C2766" s="18" t="n">
        <x:v>1008</x:v>
      </x:c>
      <x:c r="D2766" s="3" t="str">
        <x:v>Fixed rank 3</x:v>
      </x:c>
      <x:c r="E2766" s="18" t="n">
        <x:v>200</x:v>
      </x:c>
      <x:c r="F2766" s="21" t="n">
        <x:v>346.457882432671</x:v>
      </x:c>
      <x:c r="G2766" s="21" t="str">
        <x:f>""</x:f>
      </x:c>
      <x:c r="H2766" s="21" t="n">
        <x:f>F2768</x:f>
        <x:v>369.65725104390356</x:v>
      </x:c>
      <x:c r="I2766" s="27" t="str">
        <x:f>IF(AND(ISNUMBER(G2766),ISNUMBER(H2766),H2766&gt;0),G2766/H2766-1,"")</x:f>
      </x:c>
      <x:c r="J2766" s="27" t="str">
        <x:f>IF(AND(ISNUMBER(G2766),F2766&gt;0),G2766/F2766-1,"")</x:f>
      </x:c>
      <x:c r="K2766" s="19" t="str">
        <x:v>Exp_10/EXP086/results/seed1008_Fixed_rank_3.json</x:v>
      </x:c>
    </x:row>
    <x:row r="2767" ht="15" hidden="0" customHeight="1">
      <x:c r="A2767" s="3" t="str">
        <x:v>EXP086</x:v>
      </x:c>
      <x:c r="B2767" s="3" t="str">
        <x:v>Exp. 10</x:v>
      </x:c>
      <x:c r="C2767" s="18" t="n">
        <x:v>1008</x:v>
      </x:c>
      <x:c r="D2767" s="3" t="str">
        <x:v>Fixed rank 5</x:v>
      </x:c>
      <x:c r="E2767" s="18" t="n">
        <x:v>200</x:v>
      </x:c>
      <x:c r="F2767" s="21" t="n">
        <x:v>362.7371537680142</x:v>
      </x:c>
      <x:c r="G2767" s="21" t="str">
        <x:f>""</x:f>
      </x:c>
      <x:c r="H2767" s="21" t="n">
        <x:f>F2768</x:f>
        <x:v>369.65725104390356</x:v>
      </x:c>
      <x:c r="I2767" s="27" t="str">
        <x:f>IF(AND(ISNUMBER(G2767),ISNUMBER(H2767),H2767&gt;0),G2767/H2767-1,"")</x:f>
      </x:c>
      <x:c r="J2767" s="27" t="str">
        <x:f>IF(AND(ISNUMBER(G2767),F2767&gt;0),G2767/F2767-1,"")</x:f>
      </x:c>
      <x:c r="K2767" s="19" t="str">
        <x:v>Exp_10/EXP086/results/seed1008_Fixed_rank_5.json</x:v>
      </x:c>
    </x:row>
    <x:row r="2768" ht="15" hidden="0" customHeight="1">
      <x:c r="A2768" s="3" t="str">
        <x:v>EXP086</x:v>
      </x:c>
      <x:c r="B2768" s="3" t="str">
        <x:v>Exp. 10</x:v>
      </x:c>
      <x:c r="C2768" s="18" t="n">
        <x:v>1008</x:v>
      </x:c>
      <x:c r="D2768" s="3" t="str">
        <x:v>Full</x:v>
      </x:c>
      <x:c r="E2768" s="18" t="n">
        <x:v>200</x:v>
      </x:c>
      <x:c r="F2768" s="21" t="n">
        <x:v>369.65725104390356</x:v>
      </x:c>
      <x:c r="G2768" s="21" t="str">
        <x:f>""</x:f>
      </x:c>
      <x:c r="H2768" s="21" t="n">
        <x:f>F2768</x:f>
        <x:v>369.65725104390356</x:v>
      </x:c>
      <x:c r="I2768" s="27" t="str">
        <x:f>IF(AND(ISNUMBER(G2768),ISNUMBER(H2768),H2768&gt;0),G2768/H2768-1,"")</x:f>
      </x:c>
      <x:c r="J2768" s="27" t="str">
        <x:f>IF(AND(ISNUMBER(G2768),F2768&gt;0),G2768/F2768-1,"")</x:f>
      </x:c>
      <x:c r="K2768" s="19" t="str">
        <x:v>Exp_10/EXP086/results/seed1008_Full.json</x:v>
      </x:c>
    </x:row>
    <x:row r="2769" ht="15" hidden="0" customHeight="1">
      <x:c r="A2769" s="3" t="str">
        <x:v>EXP086</x:v>
      </x:c>
      <x:c r="B2769" s="3" t="str">
        <x:v>Exp. 10</x:v>
      </x:c>
      <x:c r="C2769" s="18" t="n">
        <x:v>1008</x:v>
      </x:c>
      <x:c r="D2769" s="3" t="str">
        <x:v>Relative cutoff 1e-2</x:v>
      </x:c>
      <x:c r="E2769" s="18" t="n">
        <x:v>200</x:v>
      </x:c>
      <x:c r="F2769" s="21" t="n">
        <x:v>359.2540820714109</x:v>
      </x:c>
      <x:c r="G2769" s="21" t="str">
        <x:f>""</x:f>
      </x:c>
      <x:c r="H2769" s="21" t="n">
        <x:f>F2768</x:f>
        <x:v>369.65725104390356</x:v>
      </x:c>
      <x:c r="I2769" s="27" t="str">
        <x:f>IF(AND(ISNUMBER(G2769),ISNUMBER(H2769),H2769&gt;0),G2769/H2769-1,"")</x:f>
      </x:c>
      <x:c r="J2769" s="27" t="str">
        <x:f>IF(AND(ISNUMBER(G2769),F2769&gt;0),G2769/F2769-1,"")</x:f>
      </x:c>
      <x:c r="K2769" s="19" t="str">
        <x:v>Exp_10/EXP086/results/seed1008_Relative_cutoff_1e-2.json</x:v>
      </x:c>
    </x:row>
    <x:row r="2770" ht="15" hidden="0" customHeight="1">
      <x:c r="A2770" s="3" t="str">
        <x:v>EXP086</x:v>
      </x:c>
      <x:c r="B2770" s="3" t="str">
        <x:v>Exp. 10</x:v>
      </x:c>
      <x:c r="C2770" s="18" t="n">
        <x:v>1009</x:v>
      </x:c>
      <x:c r="D2770" s="3" t="str">
        <x:v>Fixed rank 10</x:v>
      </x:c>
      <x:c r="E2770" s="18" t="n">
        <x:v>200</x:v>
      </x:c>
      <x:c r="F2770" s="21" t="n">
        <x:v>395.80176783664325</x:v>
      </x:c>
      <x:c r="G2770" s="21" t="str">
        <x:f>""</x:f>
      </x:c>
      <x:c r="H2770" s="21" t="n">
        <x:f>F2773</x:f>
        <x:v>394.02417927908857</x:v>
      </x:c>
      <x:c r="I2770" s="27" t="str">
        <x:f>IF(AND(ISNUMBER(G2770),ISNUMBER(H2770),H2770&gt;0),G2770/H2770-1,"")</x:f>
      </x:c>
      <x:c r="J2770" s="27" t="str">
        <x:f>IF(AND(ISNUMBER(G2770),F2770&gt;0),G2770/F2770-1,"")</x:f>
      </x:c>
      <x:c r="K2770" s="19" t="str">
        <x:v>Exp_10/EXP086/results/seed1009_Fixed_rank_10.json</x:v>
      </x:c>
    </x:row>
    <x:row r="2771" ht="15" hidden="0" customHeight="1">
      <x:c r="A2771" s="3" t="str">
        <x:v>EXP086</x:v>
      </x:c>
      <x:c r="B2771" s="3" t="str">
        <x:v>Exp. 10</x:v>
      </x:c>
      <x:c r="C2771" s="18" t="n">
        <x:v>1009</x:v>
      </x:c>
      <x:c r="D2771" s="3" t="str">
        <x:v>Fixed rank 3</x:v>
      </x:c>
      <x:c r="E2771" s="18" t="n">
        <x:v>200</x:v>
      </x:c>
      <x:c r="F2771" s="21" t="n">
        <x:v>418.2392353104464</x:v>
      </x:c>
      <x:c r="G2771" s="21" t="str">
        <x:f>""</x:f>
      </x:c>
      <x:c r="H2771" s="21" t="n">
        <x:f>F2773</x:f>
        <x:v>394.02417927908857</x:v>
      </x:c>
      <x:c r="I2771" s="27" t="str">
        <x:f>IF(AND(ISNUMBER(G2771),ISNUMBER(H2771),H2771&gt;0),G2771/H2771-1,"")</x:f>
      </x:c>
      <x:c r="J2771" s="27" t="str">
        <x:f>IF(AND(ISNUMBER(G2771),F2771&gt;0),G2771/F2771-1,"")</x:f>
      </x:c>
      <x:c r="K2771" s="19" t="str">
        <x:v>Exp_10/EXP086/results/seed1009_Fixed_rank_3.json</x:v>
      </x:c>
    </x:row>
    <x:row r="2772" ht="15" hidden="0" customHeight="1">
      <x:c r="A2772" s="3" t="str">
        <x:v>EXP086</x:v>
      </x:c>
      <x:c r="B2772" s="3" t="str">
        <x:v>Exp. 10</x:v>
      </x:c>
      <x:c r="C2772" s="18" t="n">
        <x:v>1009</x:v>
      </x:c>
      <x:c r="D2772" s="3" t="str">
        <x:v>Fixed rank 5</x:v>
      </x:c>
      <x:c r="E2772" s="18" t="n">
        <x:v>200</x:v>
      </x:c>
      <x:c r="F2772" s="21" t="n">
        <x:v>395.80176783664325</x:v>
      </x:c>
      <x:c r="G2772" s="21" t="str">
        <x:f>""</x:f>
      </x:c>
      <x:c r="H2772" s="21" t="n">
        <x:f>F2773</x:f>
        <x:v>394.02417927908857</x:v>
      </x:c>
      <x:c r="I2772" s="27" t="str">
        <x:f>IF(AND(ISNUMBER(G2772),ISNUMBER(H2772),H2772&gt;0),G2772/H2772-1,"")</x:f>
      </x:c>
      <x:c r="J2772" s="27" t="str">
        <x:f>IF(AND(ISNUMBER(G2772),F2772&gt;0),G2772/F2772-1,"")</x:f>
      </x:c>
      <x:c r="K2772" s="19" t="str">
        <x:v>Exp_10/EXP086/results/seed1009_Fixed_rank_5.json</x:v>
      </x:c>
    </x:row>
    <x:row r="2773" ht="15" hidden="0" customHeight="1">
      <x:c r="A2773" s="3" t="str">
        <x:v>EXP086</x:v>
      </x:c>
      <x:c r="B2773" s="3" t="str">
        <x:v>Exp. 10</x:v>
      </x:c>
      <x:c r="C2773" s="18" t="n">
        <x:v>1009</x:v>
      </x:c>
      <x:c r="D2773" s="3" t="str">
        <x:v>Full</x:v>
      </x:c>
      <x:c r="E2773" s="18" t="n">
        <x:v>200</x:v>
      </x:c>
      <x:c r="F2773" s="21" t="n">
        <x:v>394.02417927908857</x:v>
      </x:c>
      <x:c r="G2773" s="21" t="str">
        <x:f>""</x:f>
      </x:c>
      <x:c r="H2773" s="21" t="n">
        <x:f>F2773</x:f>
        <x:v>394.02417927908857</x:v>
      </x:c>
      <x:c r="I2773" s="27" t="str">
        <x:f>IF(AND(ISNUMBER(G2773),ISNUMBER(H2773),H2773&gt;0),G2773/H2773-1,"")</x:f>
      </x:c>
      <x:c r="J2773" s="27" t="str">
        <x:f>IF(AND(ISNUMBER(G2773),F2773&gt;0),G2773/F2773-1,"")</x:f>
      </x:c>
      <x:c r="K2773" s="19" t="str">
        <x:v>Exp_10/EXP086/results/seed1009_Full.json</x:v>
      </x:c>
    </x:row>
    <x:row r="2774" ht="15" hidden="0" customHeight="1">
      <x:c r="A2774" s="3" t="str">
        <x:v>EXP086</x:v>
      </x:c>
      <x:c r="B2774" s="3" t="str">
        <x:v>Exp. 10</x:v>
      </x:c>
      <x:c r="C2774" s="18" t="n">
        <x:v>1009</x:v>
      </x:c>
      <x:c r="D2774" s="3" t="str">
        <x:v>Relative cutoff 1e-2</x:v>
      </x:c>
      <x:c r="E2774" s="18" t="n">
        <x:v>200</x:v>
      </x:c>
      <x:c r="F2774" s="21" t="n">
        <x:v>406.0774404864568</x:v>
      </x:c>
      <x:c r="G2774" s="21" t="str">
        <x:f>""</x:f>
      </x:c>
      <x:c r="H2774" s="21" t="n">
        <x:f>F2773</x:f>
        <x:v>394.02417927908857</x:v>
      </x:c>
      <x:c r="I2774" s="27" t="str">
        <x:f>IF(AND(ISNUMBER(G2774),ISNUMBER(H2774),H2774&gt;0),G2774/H2774-1,"")</x:f>
      </x:c>
      <x:c r="J2774" s="27" t="str">
        <x:f>IF(AND(ISNUMBER(G2774),F2774&gt;0),G2774/F2774-1,"")</x:f>
      </x:c>
      <x:c r="K2774" s="19" t="str">
        <x:v>Exp_10/EXP086/results/seed1009_Relative_cutoff_1e-2.json</x:v>
      </x:c>
    </x:row>
    <x:row r="2775" ht="15" hidden="0" customHeight="1">
      <x:c r="A2775" s="3" t="str">
        <x:v>EXP086</x:v>
      </x:c>
      <x:c r="B2775" s="3" t="str">
        <x:v>Exp. 10</x:v>
      </x:c>
      <x:c r="C2775" s="18" t="n">
        <x:v>1010</x:v>
      </x:c>
      <x:c r="D2775" s="3" t="str">
        <x:v>Fixed rank 10</x:v>
      </x:c>
      <x:c r="E2775" s="18" t="n">
        <x:v>200</x:v>
      </x:c>
      <x:c r="F2775" s="21" t="n">
        <x:v>420.7613287521702</x:v>
      </x:c>
      <x:c r="G2775" s="21" t="str">
        <x:f>""</x:f>
      </x:c>
      <x:c r="H2775" s="21" t="n">
        <x:f>F2778</x:f>
        <x:v>458.19694111516736</x:v>
      </x:c>
      <x:c r="I2775" s="27" t="str">
        <x:f>IF(AND(ISNUMBER(G2775),ISNUMBER(H2775),H2775&gt;0),G2775/H2775-1,"")</x:f>
      </x:c>
      <x:c r="J2775" s="27" t="str">
        <x:f>IF(AND(ISNUMBER(G2775),F2775&gt;0),G2775/F2775-1,"")</x:f>
      </x:c>
      <x:c r="K2775" s="19" t="str">
        <x:v>Exp_10/EXP086/results/seed1010_Fixed_rank_10.json</x:v>
      </x:c>
    </x:row>
    <x:row r="2776" ht="15" hidden="0" customHeight="1">
      <x:c r="A2776" s="3" t="str">
        <x:v>EXP086</x:v>
      </x:c>
      <x:c r="B2776" s="3" t="str">
        <x:v>Exp. 10</x:v>
      </x:c>
      <x:c r="C2776" s="18" t="n">
        <x:v>1010</x:v>
      </x:c>
      <x:c r="D2776" s="3" t="str">
        <x:v>Fixed rank 3</x:v>
      </x:c>
      <x:c r="E2776" s="18" t="n">
        <x:v>200</x:v>
      </x:c>
      <x:c r="F2776" s="21" t="n">
        <x:v>433.7469894865432</x:v>
      </x:c>
      <x:c r="G2776" s="21" t="str">
        <x:f>""</x:f>
      </x:c>
      <x:c r="H2776" s="21" t="n">
        <x:f>F2778</x:f>
        <x:v>458.19694111516736</x:v>
      </x:c>
      <x:c r="I2776" s="27" t="str">
        <x:f>IF(AND(ISNUMBER(G2776),ISNUMBER(H2776),H2776&gt;0),G2776/H2776-1,"")</x:f>
      </x:c>
      <x:c r="J2776" s="27" t="str">
        <x:f>IF(AND(ISNUMBER(G2776),F2776&gt;0),G2776/F2776-1,"")</x:f>
      </x:c>
      <x:c r="K2776" s="19" t="str">
        <x:v>Exp_10/EXP086/results/seed1010_Fixed_rank_3.json</x:v>
      </x:c>
    </x:row>
    <x:row r="2777" ht="15" hidden="0" customHeight="1">
      <x:c r="A2777" s="3" t="str">
        <x:v>EXP086</x:v>
      </x:c>
      <x:c r="B2777" s="3" t="str">
        <x:v>Exp. 10</x:v>
      </x:c>
      <x:c r="C2777" s="18" t="n">
        <x:v>1010</x:v>
      </x:c>
      <x:c r="D2777" s="3" t="str">
        <x:v>Fixed rank 5</x:v>
      </x:c>
      <x:c r="E2777" s="18" t="n">
        <x:v>200</x:v>
      </x:c>
      <x:c r="F2777" s="21" t="n">
        <x:v>454.0917135647355</x:v>
      </x:c>
      <x:c r="G2777" s="21" t="str">
        <x:f>""</x:f>
      </x:c>
      <x:c r="H2777" s="21" t="n">
        <x:f>F2778</x:f>
        <x:v>458.19694111516736</x:v>
      </x:c>
      <x:c r="I2777" s="27" t="str">
        <x:f>IF(AND(ISNUMBER(G2777),ISNUMBER(H2777),H2777&gt;0),G2777/H2777-1,"")</x:f>
      </x:c>
      <x:c r="J2777" s="27" t="str">
        <x:f>IF(AND(ISNUMBER(G2777),F2777&gt;0),G2777/F2777-1,"")</x:f>
      </x:c>
      <x:c r="K2777" s="19" t="str">
        <x:v>Exp_10/EXP086/results/seed1010_Fixed_rank_5.json</x:v>
      </x:c>
    </x:row>
    <x:row r="2778" ht="15" hidden="0" customHeight="1">
      <x:c r="A2778" s="3" t="str">
        <x:v>EXP086</x:v>
      </x:c>
      <x:c r="B2778" s="3" t="str">
        <x:v>Exp. 10</x:v>
      </x:c>
      <x:c r="C2778" s="18" t="n">
        <x:v>1010</x:v>
      </x:c>
      <x:c r="D2778" s="3" t="str">
        <x:v>Full</x:v>
      </x:c>
      <x:c r="E2778" s="18" t="n">
        <x:v>200</x:v>
      </x:c>
      <x:c r="F2778" s="21" t="n">
        <x:v>458.19694111516736</x:v>
      </x:c>
      <x:c r="G2778" s="21" t="str">
        <x:f>""</x:f>
      </x:c>
      <x:c r="H2778" s="21" t="n">
        <x:f>F2778</x:f>
        <x:v>458.19694111516736</x:v>
      </x:c>
      <x:c r="I2778" s="27" t="str">
        <x:f>IF(AND(ISNUMBER(G2778),ISNUMBER(H2778),H2778&gt;0),G2778/H2778-1,"")</x:f>
      </x:c>
      <x:c r="J2778" s="27" t="str">
        <x:f>IF(AND(ISNUMBER(G2778),F2778&gt;0),G2778/F2778-1,"")</x:f>
      </x:c>
      <x:c r="K2778" s="19" t="str">
        <x:v>Exp_10/EXP086/results/seed1010_Full.json</x:v>
      </x:c>
    </x:row>
    <x:row r="2779" ht="15" hidden="0" customHeight="1">
      <x:c r="A2779" s="3" t="str">
        <x:v>EXP086</x:v>
      </x:c>
      <x:c r="B2779" s="3" t="str">
        <x:v>Exp. 10</x:v>
      </x:c>
      <x:c r="C2779" s="18" t="n">
        <x:v>1010</x:v>
      </x:c>
      <x:c r="D2779" s="3" t="str">
        <x:v>Relative cutoff 1e-2</x:v>
      </x:c>
      <x:c r="E2779" s="18" t="n">
        <x:v>200</x:v>
      </x:c>
      <x:c r="F2779" s="21" t="n">
        <x:v>433.7469894865432</x:v>
      </x:c>
      <x:c r="G2779" s="21" t="str">
        <x:f>""</x:f>
      </x:c>
      <x:c r="H2779" s="21" t="n">
        <x:f>F2778</x:f>
        <x:v>458.19694111516736</x:v>
      </x:c>
      <x:c r="I2779" s="27" t="str">
        <x:f>IF(AND(ISNUMBER(G2779),ISNUMBER(H2779),H2779&gt;0),G2779/H2779-1,"")</x:f>
      </x:c>
      <x:c r="J2779" s="27" t="str">
        <x:f>IF(AND(ISNUMBER(G2779),F2779&gt;0),G2779/F2779-1,"")</x:f>
      </x:c>
      <x:c r="K2779" s="19" t="str">
        <x:v>Exp_10/EXP086/results/seed1010_Relative_cutoff_1e-2.json</x:v>
      </x:c>
    </x:row>
    <x:row r="2780" ht="15" hidden="0" customHeight="1">
      <x:c r="A2780" s="3" t="str">
        <x:v>EXP086</x:v>
      </x:c>
      <x:c r="B2780" s="3" t="str">
        <x:v>Exp. 10</x:v>
      </x:c>
      <x:c r="C2780" s="18" t="n">
        <x:v>1011</x:v>
      </x:c>
      <x:c r="D2780" s="3" t="str">
        <x:v>Fixed rank 10</x:v>
      </x:c>
      <x:c r="E2780" s="18" t="n">
        <x:v>200</x:v>
      </x:c>
      <x:c r="F2780" s="21" t="n">
        <x:v>454.07359671321643</x:v>
      </x:c>
      <x:c r="G2780" s="21" t="str">
        <x:f>""</x:f>
      </x:c>
      <x:c r="H2780" s="21" t="n">
        <x:f>F2783</x:f>
        <x:v>454.2194509599003</x:v>
      </x:c>
      <x:c r="I2780" s="27" t="str">
        <x:f>IF(AND(ISNUMBER(G2780),ISNUMBER(H2780),H2780&gt;0),G2780/H2780-1,"")</x:f>
      </x:c>
      <x:c r="J2780" s="27" t="str">
        <x:f>IF(AND(ISNUMBER(G2780),F2780&gt;0),G2780/F2780-1,"")</x:f>
      </x:c>
      <x:c r="K2780" s="19" t="str">
        <x:v>Exp_10/EXP086/results/seed1011_Fixed_rank_10.json</x:v>
      </x:c>
    </x:row>
    <x:row r="2781" ht="15" hidden="0" customHeight="1">
      <x:c r="A2781" s="3" t="str">
        <x:v>EXP086</x:v>
      </x:c>
      <x:c r="B2781" s="3" t="str">
        <x:v>Exp. 10</x:v>
      </x:c>
      <x:c r="C2781" s="18" t="n">
        <x:v>1011</x:v>
      </x:c>
      <x:c r="D2781" s="3" t="str">
        <x:v>Fixed rank 3</x:v>
      </x:c>
      <x:c r="E2781" s="18" t="n">
        <x:v>200</x:v>
      </x:c>
      <x:c r="F2781" s="21" t="n">
        <x:v>443.53256705894506</x:v>
      </x:c>
      <x:c r="G2781" s="21" t="str">
        <x:f>""</x:f>
      </x:c>
      <x:c r="H2781" s="21" t="n">
        <x:f>F2783</x:f>
        <x:v>454.2194509599003</x:v>
      </x:c>
      <x:c r="I2781" s="27" t="str">
        <x:f>IF(AND(ISNUMBER(G2781),ISNUMBER(H2781),H2781&gt;0),G2781/H2781-1,"")</x:f>
      </x:c>
      <x:c r="J2781" s="27" t="str">
        <x:f>IF(AND(ISNUMBER(G2781),F2781&gt;0),G2781/F2781-1,"")</x:f>
      </x:c>
      <x:c r="K2781" s="19" t="str">
        <x:v>Exp_10/EXP086/results/seed1011_Fixed_rank_3.json</x:v>
      </x:c>
    </x:row>
    <x:row r="2782" ht="15" hidden="0" customHeight="1">
      <x:c r="A2782" s="3" t="str">
        <x:v>EXP086</x:v>
      </x:c>
      <x:c r="B2782" s="3" t="str">
        <x:v>Exp. 10</x:v>
      </x:c>
      <x:c r="C2782" s="18" t="n">
        <x:v>1011</x:v>
      </x:c>
      <x:c r="D2782" s="3" t="str">
        <x:v>Fixed rank 5</x:v>
      </x:c>
      <x:c r="E2782" s="18" t="n">
        <x:v>200</x:v>
      </x:c>
      <x:c r="F2782" s="21" t="n">
        <x:v>448.5604603609215</x:v>
      </x:c>
      <x:c r="G2782" s="21" t="str">
        <x:f>""</x:f>
      </x:c>
      <x:c r="H2782" s="21" t="n">
        <x:f>F2783</x:f>
        <x:v>454.2194509599003</x:v>
      </x:c>
      <x:c r="I2782" s="27" t="str">
        <x:f>IF(AND(ISNUMBER(G2782),ISNUMBER(H2782),H2782&gt;0),G2782/H2782-1,"")</x:f>
      </x:c>
      <x:c r="J2782" s="27" t="str">
        <x:f>IF(AND(ISNUMBER(G2782),F2782&gt;0),G2782/F2782-1,"")</x:f>
      </x:c>
      <x:c r="K2782" s="19" t="str">
        <x:v>Exp_10/EXP086/results/seed1011_Fixed_rank_5.json</x:v>
      </x:c>
    </x:row>
    <x:row r="2783" ht="15" hidden="0" customHeight="1">
      <x:c r="A2783" s="3" t="str">
        <x:v>EXP086</x:v>
      </x:c>
      <x:c r="B2783" s="3" t="str">
        <x:v>Exp. 10</x:v>
      </x:c>
      <x:c r="C2783" s="18" t="n">
        <x:v>1011</x:v>
      </x:c>
      <x:c r="D2783" s="3" t="str">
        <x:v>Full</x:v>
      </x:c>
      <x:c r="E2783" s="18" t="n">
        <x:v>200</x:v>
      </x:c>
      <x:c r="F2783" s="21" t="n">
        <x:v>454.2194509599003</x:v>
      </x:c>
      <x:c r="G2783" s="21" t="str">
        <x:f>""</x:f>
      </x:c>
      <x:c r="H2783" s="21" t="n">
        <x:f>F2783</x:f>
        <x:v>454.2194509599003</x:v>
      </x:c>
      <x:c r="I2783" s="27" t="str">
        <x:f>IF(AND(ISNUMBER(G2783),ISNUMBER(H2783),H2783&gt;0),G2783/H2783-1,"")</x:f>
      </x:c>
      <x:c r="J2783" s="27" t="str">
        <x:f>IF(AND(ISNUMBER(G2783),F2783&gt;0),G2783/F2783-1,"")</x:f>
      </x:c>
      <x:c r="K2783" s="19" t="str">
        <x:v>Exp_10/EXP086/results/seed1011_Full.json</x:v>
      </x:c>
    </x:row>
    <x:row r="2784" ht="15" hidden="0" customHeight="1">
      <x:c r="A2784" s="3" t="str">
        <x:v>EXP086</x:v>
      </x:c>
      <x:c r="B2784" s="3" t="str">
        <x:v>Exp. 10</x:v>
      </x:c>
      <x:c r="C2784" s="18" t="n">
        <x:v>1011</x:v>
      </x:c>
      <x:c r="D2784" s="3" t="str">
        <x:v>Relative cutoff 1e-2</x:v>
      </x:c>
      <x:c r="E2784" s="18" t="n">
        <x:v>200</x:v>
      </x:c>
      <x:c r="F2784" s="21" t="n">
        <x:v>444.42843335389665</x:v>
      </x:c>
      <x:c r="G2784" s="21" t="str">
        <x:f>""</x:f>
      </x:c>
      <x:c r="H2784" s="21" t="n">
        <x:f>F2783</x:f>
        <x:v>454.2194509599003</x:v>
      </x:c>
      <x:c r="I2784" s="27" t="str">
        <x:f>IF(AND(ISNUMBER(G2784),ISNUMBER(H2784),H2784&gt;0),G2784/H2784-1,"")</x:f>
      </x:c>
      <x:c r="J2784" s="27" t="str">
        <x:f>IF(AND(ISNUMBER(G2784),F2784&gt;0),G2784/F2784-1,"")</x:f>
      </x:c>
      <x:c r="K2784" s="19" t="str">
        <x:v>Exp_10/EXP086/results/seed1011_Relative_cutoff_1e-2.json</x:v>
      </x:c>
    </x:row>
    <x:row r="2785" ht="15" hidden="0" customHeight="1">
      <x:c r="A2785" s="3" t="str">
        <x:v>EXP086</x:v>
      </x:c>
      <x:c r="B2785" s="3" t="str">
        <x:v>Exp. 10</x:v>
      </x:c>
      <x:c r="C2785" s="18" t="n">
        <x:v>1012</x:v>
      </x:c>
      <x:c r="D2785" s="3" t="str">
        <x:v>Fixed rank 10</x:v>
      </x:c>
      <x:c r="E2785" s="18" t="n">
        <x:v>200</x:v>
      </x:c>
      <x:c r="F2785" s="21" t="n">
        <x:v>400.5274052658342</x:v>
      </x:c>
      <x:c r="G2785" s="21" t="str">
        <x:f>""</x:f>
      </x:c>
      <x:c r="H2785" s="21" t="n">
        <x:f>F2788</x:f>
        <x:v>396.3591299954891</x:v>
      </x:c>
      <x:c r="I2785" s="27" t="str">
        <x:f>IF(AND(ISNUMBER(G2785),ISNUMBER(H2785),H2785&gt;0),G2785/H2785-1,"")</x:f>
      </x:c>
      <x:c r="J2785" s="27" t="str">
        <x:f>IF(AND(ISNUMBER(G2785),F2785&gt;0),G2785/F2785-1,"")</x:f>
      </x:c>
      <x:c r="K2785" s="19" t="str">
        <x:v>Exp_10/EXP086/results/seed1012_Fixed_rank_10.json</x:v>
      </x:c>
    </x:row>
    <x:row r="2786" ht="15" hidden="0" customHeight="1">
      <x:c r="A2786" s="3" t="str">
        <x:v>EXP086</x:v>
      </x:c>
      <x:c r="B2786" s="3" t="str">
        <x:v>Exp. 10</x:v>
      </x:c>
      <x:c r="C2786" s="18" t="n">
        <x:v>1012</x:v>
      </x:c>
      <x:c r="D2786" s="3" t="str">
        <x:v>Fixed rank 3</x:v>
      </x:c>
      <x:c r="E2786" s="18" t="n">
        <x:v>200</x:v>
      </x:c>
      <x:c r="F2786" s="21" t="n">
        <x:v>368.9886123000312</x:v>
      </x:c>
      <x:c r="G2786" s="21" t="str">
        <x:f>""</x:f>
      </x:c>
      <x:c r="H2786" s="21" t="n">
        <x:f>F2788</x:f>
        <x:v>396.3591299954891</x:v>
      </x:c>
      <x:c r="I2786" s="27" t="str">
        <x:f>IF(AND(ISNUMBER(G2786),ISNUMBER(H2786),H2786&gt;0),G2786/H2786-1,"")</x:f>
      </x:c>
      <x:c r="J2786" s="27" t="str">
        <x:f>IF(AND(ISNUMBER(G2786),F2786&gt;0),G2786/F2786-1,"")</x:f>
      </x:c>
      <x:c r="K2786" s="19" t="str">
        <x:v>Exp_10/EXP086/results/seed1012_Fixed_rank_3.json</x:v>
      </x:c>
    </x:row>
    <x:row r="2787" ht="15" hidden="0" customHeight="1">
      <x:c r="A2787" s="3" t="str">
        <x:v>EXP086</x:v>
      </x:c>
      <x:c r="B2787" s="3" t="str">
        <x:v>Exp. 10</x:v>
      </x:c>
      <x:c r="C2787" s="18" t="n">
        <x:v>1012</x:v>
      </x:c>
      <x:c r="D2787" s="3" t="str">
        <x:v>Fixed rank 5</x:v>
      </x:c>
      <x:c r="E2787" s="18" t="n">
        <x:v>200</x:v>
      </x:c>
      <x:c r="F2787" s="21" t="n">
        <x:v>402.5566097157434</x:v>
      </x:c>
      <x:c r="G2787" s="21" t="str">
        <x:f>""</x:f>
      </x:c>
      <x:c r="H2787" s="21" t="n">
        <x:f>F2788</x:f>
        <x:v>396.3591299954891</x:v>
      </x:c>
      <x:c r="I2787" s="27" t="str">
        <x:f>IF(AND(ISNUMBER(G2787),ISNUMBER(H2787),H2787&gt;0),G2787/H2787-1,"")</x:f>
      </x:c>
      <x:c r="J2787" s="27" t="str">
        <x:f>IF(AND(ISNUMBER(G2787),F2787&gt;0),G2787/F2787-1,"")</x:f>
      </x:c>
      <x:c r="K2787" s="19" t="str">
        <x:v>Exp_10/EXP086/results/seed1012_Fixed_rank_5.json</x:v>
      </x:c>
    </x:row>
    <x:row r="2788" ht="15" hidden="0" customHeight="1">
      <x:c r="A2788" s="3" t="str">
        <x:v>EXP086</x:v>
      </x:c>
      <x:c r="B2788" s="3" t="str">
        <x:v>Exp. 10</x:v>
      </x:c>
      <x:c r="C2788" s="18" t="n">
        <x:v>1012</x:v>
      </x:c>
      <x:c r="D2788" s="3" t="str">
        <x:v>Full</x:v>
      </x:c>
      <x:c r="E2788" s="18" t="n">
        <x:v>200</x:v>
      </x:c>
      <x:c r="F2788" s="21" t="n">
        <x:v>396.3591299954891</x:v>
      </x:c>
      <x:c r="G2788" s="21" t="str">
        <x:f>""</x:f>
      </x:c>
      <x:c r="H2788" s="21" t="n">
        <x:f>F2788</x:f>
        <x:v>396.3591299954891</x:v>
      </x:c>
      <x:c r="I2788" s="27" t="str">
        <x:f>IF(AND(ISNUMBER(G2788),ISNUMBER(H2788),H2788&gt;0),G2788/H2788-1,"")</x:f>
      </x:c>
      <x:c r="J2788" s="27" t="str">
        <x:f>IF(AND(ISNUMBER(G2788),F2788&gt;0),G2788/F2788-1,"")</x:f>
      </x:c>
      <x:c r="K2788" s="19" t="str">
        <x:v>Exp_10/EXP086/results/seed1012_Full.json</x:v>
      </x:c>
    </x:row>
    <x:row r="2789" ht="15" hidden="0" customHeight="1">
      <x:c r="A2789" s="3" t="str">
        <x:v>EXP086</x:v>
      </x:c>
      <x:c r="B2789" s="3" t="str">
        <x:v>Exp. 10</x:v>
      </x:c>
      <x:c r="C2789" s="18" t="n">
        <x:v>1012</x:v>
      </x:c>
      <x:c r="D2789" s="3" t="str">
        <x:v>Relative cutoff 1e-2</x:v>
      </x:c>
      <x:c r="E2789" s="18" t="n">
        <x:v>200</x:v>
      </x:c>
      <x:c r="F2789" s="21" t="n">
        <x:v>394.73917841622</x:v>
      </x:c>
      <x:c r="G2789" s="21" t="str">
        <x:f>""</x:f>
      </x:c>
      <x:c r="H2789" s="21" t="n">
        <x:f>F2788</x:f>
        <x:v>396.3591299954891</x:v>
      </x:c>
      <x:c r="I2789" s="27" t="str">
        <x:f>IF(AND(ISNUMBER(G2789),ISNUMBER(H2789),H2789&gt;0),G2789/H2789-1,"")</x:f>
      </x:c>
      <x:c r="J2789" s="27" t="str">
        <x:f>IF(AND(ISNUMBER(G2789),F2789&gt;0),G2789/F2789-1,"")</x:f>
      </x:c>
      <x:c r="K2789" s="19" t="str">
        <x:v>Exp_10/EXP086/results/seed1012_Relative_cutoff_1e-2.json</x:v>
      </x:c>
    </x:row>
    <x:row r="2790" ht="15" hidden="0" customHeight="1">
      <x:c r="A2790" s="3" t="str">
        <x:v>EXP086</x:v>
      </x:c>
      <x:c r="B2790" s="3" t="str">
        <x:v>Exp. 10</x:v>
      </x:c>
      <x:c r="C2790" s="18" t="n">
        <x:v>1013</x:v>
      </x:c>
      <x:c r="D2790" s="3" t="str">
        <x:v>Fixed rank 10</x:v>
      </x:c>
      <x:c r="E2790" s="18" t="n">
        <x:v>200</x:v>
      </x:c>
      <x:c r="F2790" s="21" t="n">
        <x:v>431.0710134701734</x:v>
      </x:c>
      <x:c r="G2790" s="21" t="str">
        <x:f>""</x:f>
      </x:c>
      <x:c r="H2790" s="21" t="n">
        <x:f>F2793</x:f>
        <x:v>410.40556586120624</x:v>
      </x:c>
      <x:c r="I2790" s="27" t="str">
        <x:f>IF(AND(ISNUMBER(G2790),ISNUMBER(H2790),H2790&gt;0),G2790/H2790-1,"")</x:f>
      </x:c>
      <x:c r="J2790" s="27" t="str">
        <x:f>IF(AND(ISNUMBER(G2790),F2790&gt;0),G2790/F2790-1,"")</x:f>
      </x:c>
      <x:c r="K2790" s="19" t="str">
        <x:v>Exp_10/EXP086/results/seed1013_Fixed_rank_10.json</x:v>
      </x:c>
    </x:row>
    <x:row r="2791" ht="15" hidden="0" customHeight="1">
      <x:c r="A2791" s="3" t="str">
        <x:v>EXP086</x:v>
      </x:c>
      <x:c r="B2791" s="3" t="str">
        <x:v>Exp. 10</x:v>
      </x:c>
      <x:c r="C2791" s="18" t="n">
        <x:v>1013</x:v>
      </x:c>
      <x:c r="D2791" s="3" t="str">
        <x:v>Fixed rank 3</x:v>
      </x:c>
      <x:c r="E2791" s="18" t="n">
        <x:v>200</x:v>
      </x:c>
      <x:c r="F2791" s="21" t="n">
        <x:v>430.8700971796277</x:v>
      </x:c>
      <x:c r="G2791" s="21" t="str">
        <x:f>""</x:f>
      </x:c>
      <x:c r="H2791" s="21" t="n">
        <x:f>F2793</x:f>
        <x:v>410.40556586120624</x:v>
      </x:c>
      <x:c r="I2791" s="27" t="str">
        <x:f>IF(AND(ISNUMBER(G2791),ISNUMBER(H2791),H2791&gt;0),G2791/H2791-1,"")</x:f>
      </x:c>
      <x:c r="J2791" s="27" t="str">
        <x:f>IF(AND(ISNUMBER(G2791),F2791&gt;0),G2791/F2791-1,"")</x:f>
      </x:c>
      <x:c r="K2791" s="19" t="str">
        <x:v>Exp_10/EXP086/results/seed1013_Fixed_rank_3.json</x:v>
      </x:c>
    </x:row>
    <x:row r="2792" ht="15" hidden="0" customHeight="1">
      <x:c r="A2792" s="3" t="str">
        <x:v>EXP086</x:v>
      </x:c>
      <x:c r="B2792" s="3" t="str">
        <x:v>Exp. 10</x:v>
      </x:c>
      <x:c r="C2792" s="18" t="n">
        <x:v>1013</x:v>
      </x:c>
      <x:c r="D2792" s="3" t="str">
        <x:v>Fixed rank 5</x:v>
      </x:c>
      <x:c r="E2792" s="18" t="n">
        <x:v>200</x:v>
      </x:c>
      <x:c r="F2792" s="21" t="n">
        <x:v>414.01468382870274</x:v>
      </x:c>
      <x:c r="G2792" s="21" t="str">
        <x:f>""</x:f>
      </x:c>
      <x:c r="H2792" s="21" t="n">
        <x:f>F2793</x:f>
        <x:v>410.40556586120624</x:v>
      </x:c>
      <x:c r="I2792" s="27" t="str">
        <x:f>IF(AND(ISNUMBER(G2792),ISNUMBER(H2792),H2792&gt;0),G2792/H2792-1,"")</x:f>
      </x:c>
      <x:c r="J2792" s="27" t="str">
        <x:f>IF(AND(ISNUMBER(G2792),F2792&gt;0),G2792/F2792-1,"")</x:f>
      </x:c>
      <x:c r="K2792" s="19" t="str">
        <x:v>Exp_10/EXP086/results/seed1013_Fixed_rank_5.json</x:v>
      </x:c>
    </x:row>
    <x:row r="2793" ht="15" hidden="0" customHeight="1">
      <x:c r="A2793" s="3" t="str">
        <x:v>EXP086</x:v>
      </x:c>
      <x:c r="B2793" s="3" t="str">
        <x:v>Exp. 10</x:v>
      </x:c>
      <x:c r="C2793" s="18" t="n">
        <x:v>1013</x:v>
      </x:c>
      <x:c r="D2793" s="3" t="str">
        <x:v>Full</x:v>
      </x:c>
      <x:c r="E2793" s="18" t="n">
        <x:v>200</x:v>
      </x:c>
      <x:c r="F2793" s="21" t="n">
        <x:v>410.40556586120624</x:v>
      </x:c>
      <x:c r="G2793" s="21" t="str">
        <x:f>""</x:f>
      </x:c>
      <x:c r="H2793" s="21" t="n">
        <x:f>F2793</x:f>
        <x:v>410.40556586120624</x:v>
      </x:c>
      <x:c r="I2793" s="27" t="str">
        <x:f>IF(AND(ISNUMBER(G2793),ISNUMBER(H2793),H2793&gt;0),G2793/H2793-1,"")</x:f>
      </x:c>
      <x:c r="J2793" s="27" t="str">
        <x:f>IF(AND(ISNUMBER(G2793),F2793&gt;0),G2793/F2793-1,"")</x:f>
      </x:c>
      <x:c r="K2793" s="19" t="str">
        <x:v>Exp_10/EXP086/results/seed1013_Full.json</x:v>
      </x:c>
    </x:row>
    <x:row r="2794" ht="15" hidden="0" customHeight="1">
      <x:c r="A2794" s="3" t="str">
        <x:v>EXP086</x:v>
      </x:c>
      <x:c r="B2794" s="3" t="str">
        <x:v>Exp. 10</x:v>
      </x:c>
      <x:c r="C2794" s="18" t="n">
        <x:v>1013</x:v>
      </x:c>
      <x:c r="D2794" s="3" t="str">
        <x:v>Relative cutoff 1e-2</x:v>
      </x:c>
      <x:c r="E2794" s="18" t="n">
        <x:v>200</x:v>
      </x:c>
      <x:c r="F2794" s="21" t="n">
        <x:v>411.85706171220255</x:v>
      </x:c>
      <x:c r="G2794" s="21" t="str">
        <x:f>""</x:f>
      </x:c>
      <x:c r="H2794" s="21" t="n">
        <x:f>F2793</x:f>
        <x:v>410.40556586120624</x:v>
      </x:c>
      <x:c r="I2794" s="27" t="str">
        <x:f>IF(AND(ISNUMBER(G2794),ISNUMBER(H2794),H2794&gt;0),G2794/H2794-1,"")</x:f>
      </x:c>
      <x:c r="J2794" s="27" t="str">
        <x:f>IF(AND(ISNUMBER(G2794),F2794&gt;0),G2794/F2794-1,"")</x:f>
      </x:c>
      <x:c r="K2794" s="19" t="str">
        <x:v>Exp_10/EXP086/results/seed1013_Relative_cutoff_1e-2.json</x:v>
      </x:c>
    </x:row>
    <x:row r="2795" ht="15" hidden="0" customHeight="1">
      <x:c r="A2795" s="3" t="str">
        <x:v>EXP086</x:v>
      </x:c>
      <x:c r="B2795" s="3" t="str">
        <x:v>Exp. 10</x:v>
      </x:c>
      <x:c r="C2795" s="18" t="n">
        <x:v>1014</x:v>
      </x:c>
      <x:c r="D2795" s="3" t="str">
        <x:v>Fixed rank 10</x:v>
      </x:c>
      <x:c r="E2795" s="18" t="n">
        <x:v>200</x:v>
      </x:c>
      <x:c r="F2795" s="21" t="n">
        <x:v>436.54152223823826</x:v>
      </x:c>
      <x:c r="G2795" s="21" t="str">
        <x:f>""</x:f>
      </x:c>
      <x:c r="H2795" s="21" t="n">
        <x:f>F2798</x:f>
        <x:v>436.54152223823826</x:v>
      </x:c>
      <x:c r="I2795" s="27" t="str">
        <x:f>IF(AND(ISNUMBER(G2795),ISNUMBER(H2795),H2795&gt;0),G2795/H2795-1,"")</x:f>
      </x:c>
      <x:c r="J2795" s="27" t="str">
        <x:f>IF(AND(ISNUMBER(G2795),F2795&gt;0),G2795/F2795-1,"")</x:f>
      </x:c>
      <x:c r="K2795" s="19" t="str">
        <x:v>Exp_10/EXP086/results/seed1014_Fixed_rank_10.json</x:v>
      </x:c>
    </x:row>
    <x:row r="2796" ht="15" hidden="0" customHeight="1">
      <x:c r="A2796" s="3" t="str">
        <x:v>EXP086</x:v>
      </x:c>
      <x:c r="B2796" s="3" t="str">
        <x:v>Exp. 10</x:v>
      </x:c>
      <x:c r="C2796" s="18" t="n">
        <x:v>1014</x:v>
      </x:c>
      <x:c r="D2796" s="3" t="str">
        <x:v>Fixed rank 3</x:v>
      </x:c>
      <x:c r="E2796" s="18" t="n">
        <x:v>200</x:v>
      </x:c>
      <x:c r="F2796" s="21" t="n">
        <x:v>431.12620738309533</x:v>
      </x:c>
      <x:c r="G2796" s="21" t="str">
        <x:f>""</x:f>
      </x:c>
      <x:c r="H2796" s="21" t="n">
        <x:f>F2798</x:f>
        <x:v>436.54152223823826</x:v>
      </x:c>
      <x:c r="I2796" s="27" t="str">
        <x:f>IF(AND(ISNUMBER(G2796),ISNUMBER(H2796),H2796&gt;0),G2796/H2796-1,"")</x:f>
      </x:c>
      <x:c r="J2796" s="27" t="str">
        <x:f>IF(AND(ISNUMBER(G2796),F2796&gt;0),G2796/F2796-1,"")</x:f>
      </x:c>
      <x:c r="K2796" s="19" t="str">
        <x:v>Exp_10/EXP086/results/seed1014_Fixed_rank_3.json</x:v>
      </x:c>
    </x:row>
    <x:row r="2797" ht="15" hidden="0" customHeight="1">
      <x:c r="A2797" s="3" t="str">
        <x:v>EXP086</x:v>
      </x:c>
      <x:c r="B2797" s="3" t="str">
        <x:v>Exp. 10</x:v>
      </x:c>
      <x:c r="C2797" s="18" t="n">
        <x:v>1014</x:v>
      </x:c>
      <x:c r="D2797" s="3" t="str">
        <x:v>Fixed rank 5</x:v>
      </x:c>
      <x:c r="E2797" s="18" t="n">
        <x:v>200</x:v>
      </x:c>
      <x:c r="F2797" s="21" t="n">
        <x:v>432.1280042498708</x:v>
      </x:c>
      <x:c r="G2797" s="21" t="str">
        <x:f>""</x:f>
      </x:c>
      <x:c r="H2797" s="21" t="n">
        <x:f>F2798</x:f>
        <x:v>436.54152223823826</x:v>
      </x:c>
      <x:c r="I2797" s="27" t="str">
        <x:f>IF(AND(ISNUMBER(G2797),ISNUMBER(H2797),H2797&gt;0),G2797/H2797-1,"")</x:f>
      </x:c>
      <x:c r="J2797" s="27" t="str">
        <x:f>IF(AND(ISNUMBER(G2797),F2797&gt;0),G2797/F2797-1,"")</x:f>
      </x:c>
      <x:c r="K2797" s="19" t="str">
        <x:v>Exp_10/EXP086/results/seed1014_Fixed_rank_5.json</x:v>
      </x:c>
    </x:row>
    <x:row r="2798" ht="15" hidden="0" customHeight="1">
      <x:c r="A2798" s="3" t="str">
        <x:v>EXP086</x:v>
      </x:c>
      <x:c r="B2798" s="3" t="str">
        <x:v>Exp. 10</x:v>
      </x:c>
      <x:c r="C2798" s="18" t="n">
        <x:v>1014</x:v>
      </x:c>
      <x:c r="D2798" s="3" t="str">
        <x:v>Full</x:v>
      </x:c>
      <x:c r="E2798" s="18" t="n">
        <x:v>200</x:v>
      </x:c>
      <x:c r="F2798" s="21" t="n">
        <x:v>436.54152223823826</x:v>
      </x:c>
      <x:c r="G2798" s="21" t="str">
        <x:f>""</x:f>
      </x:c>
      <x:c r="H2798" s="21" t="n">
        <x:f>F2798</x:f>
        <x:v>436.54152223823826</x:v>
      </x:c>
      <x:c r="I2798" s="27" t="str">
        <x:f>IF(AND(ISNUMBER(G2798),ISNUMBER(H2798),H2798&gt;0),G2798/H2798-1,"")</x:f>
      </x:c>
      <x:c r="J2798" s="27" t="str">
        <x:f>IF(AND(ISNUMBER(G2798),F2798&gt;0),G2798/F2798-1,"")</x:f>
      </x:c>
      <x:c r="K2798" s="19" t="str">
        <x:v>Exp_10/EXP086/results/seed1014_Full.json</x:v>
      </x:c>
    </x:row>
    <x:row r="2799" ht="15" hidden="0" customHeight="1">
      <x:c r="A2799" s="3" t="str">
        <x:v>EXP086</x:v>
      </x:c>
      <x:c r="B2799" s="3" t="str">
        <x:v>Exp. 10</x:v>
      </x:c>
      <x:c r="C2799" s="18" t="n">
        <x:v>1014</x:v>
      </x:c>
      <x:c r="D2799" s="3" t="str">
        <x:v>Relative cutoff 1e-2</x:v>
      </x:c>
      <x:c r="E2799" s="18" t="n">
        <x:v>200</x:v>
      </x:c>
      <x:c r="F2799" s="21" t="n">
        <x:v>431.12620738309533</x:v>
      </x:c>
      <x:c r="G2799" s="21" t="str">
        <x:f>""</x:f>
      </x:c>
      <x:c r="H2799" s="21" t="n">
        <x:f>F2798</x:f>
        <x:v>436.54152223823826</x:v>
      </x:c>
      <x:c r="I2799" s="27" t="str">
        <x:f>IF(AND(ISNUMBER(G2799),ISNUMBER(H2799),H2799&gt;0),G2799/H2799-1,"")</x:f>
      </x:c>
      <x:c r="J2799" s="27" t="str">
        <x:f>IF(AND(ISNUMBER(G2799),F2799&gt;0),G2799/F2799-1,"")</x:f>
      </x:c>
      <x:c r="K2799" s="19" t="str">
        <x:v>Exp_10/EXP086/results/seed1014_Relative_cutoff_1e-2.json</x:v>
      </x:c>
    </x:row>
    <x:row r="2800" ht="15" hidden="0" customHeight="1">
      <x:c r="A2800" s="3" t="str">
        <x:v>EXP086</x:v>
      </x:c>
      <x:c r="B2800" s="3" t="str">
        <x:v>Exp. 10</x:v>
      </x:c>
      <x:c r="C2800" s="18" t="n">
        <x:v>1015</x:v>
      </x:c>
      <x:c r="D2800" s="3" t="str">
        <x:v>Fixed rank 10</x:v>
      </x:c>
      <x:c r="E2800" s="18" t="n">
        <x:v>200</x:v>
      </x:c>
      <x:c r="F2800" s="21" t="n">
        <x:v>291.9950224794169</x:v>
      </x:c>
      <x:c r="G2800" s="21" t="str">
        <x:f>""</x:f>
      </x:c>
      <x:c r="H2800" s="21" t="n">
        <x:f>F2803</x:f>
        <x:v>292.35497724136576</x:v>
      </x:c>
      <x:c r="I2800" s="27" t="str">
        <x:f>IF(AND(ISNUMBER(G2800),ISNUMBER(H2800),H2800&gt;0),G2800/H2800-1,"")</x:f>
      </x:c>
      <x:c r="J2800" s="27" t="str">
        <x:f>IF(AND(ISNUMBER(G2800),F2800&gt;0),G2800/F2800-1,"")</x:f>
      </x:c>
      <x:c r="K2800" s="19" t="str">
        <x:v>Exp_10/EXP086/results/seed1015_Fixed_rank_10.json</x:v>
      </x:c>
    </x:row>
    <x:row r="2801" ht="15" hidden="0" customHeight="1">
      <x:c r="A2801" s="3" t="str">
        <x:v>EXP086</x:v>
      </x:c>
      <x:c r="B2801" s="3" t="str">
        <x:v>Exp. 10</x:v>
      </x:c>
      <x:c r="C2801" s="18" t="n">
        <x:v>1015</x:v>
      </x:c>
      <x:c r="D2801" s="3" t="str">
        <x:v>Fixed rank 3</x:v>
      </x:c>
      <x:c r="E2801" s="18" t="n">
        <x:v>200</x:v>
      </x:c>
      <x:c r="F2801" s="21" t="n">
        <x:v>297.9491096396121</x:v>
      </x:c>
      <x:c r="G2801" s="21" t="str">
        <x:f>""</x:f>
      </x:c>
      <x:c r="H2801" s="21" t="n">
        <x:f>F2803</x:f>
        <x:v>292.35497724136576</x:v>
      </x:c>
      <x:c r="I2801" s="27" t="str">
        <x:f>IF(AND(ISNUMBER(G2801),ISNUMBER(H2801),H2801&gt;0),G2801/H2801-1,"")</x:f>
      </x:c>
      <x:c r="J2801" s="27" t="str">
        <x:f>IF(AND(ISNUMBER(G2801),F2801&gt;0),G2801/F2801-1,"")</x:f>
      </x:c>
      <x:c r="K2801" s="19" t="str">
        <x:v>Exp_10/EXP086/results/seed1015_Fixed_rank_3.json</x:v>
      </x:c>
    </x:row>
    <x:row r="2802" ht="15" hidden="0" customHeight="1">
      <x:c r="A2802" s="3" t="str">
        <x:v>EXP086</x:v>
      </x:c>
      <x:c r="B2802" s="3" t="str">
        <x:v>Exp. 10</x:v>
      </x:c>
      <x:c r="C2802" s="18" t="n">
        <x:v>1015</x:v>
      </x:c>
      <x:c r="D2802" s="3" t="str">
        <x:v>Fixed rank 5</x:v>
      </x:c>
      <x:c r="E2802" s="18" t="n">
        <x:v>200</x:v>
      </x:c>
      <x:c r="F2802" s="21" t="n">
        <x:v>290.76867877630815</x:v>
      </x:c>
      <x:c r="G2802" s="21" t="str">
        <x:f>""</x:f>
      </x:c>
      <x:c r="H2802" s="21" t="n">
        <x:f>F2803</x:f>
        <x:v>292.35497724136576</x:v>
      </x:c>
      <x:c r="I2802" s="27" t="str">
        <x:f>IF(AND(ISNUMBER(G2802),ISNUMBER(H2802),H2802&gt;0),G2802/H2802-1,"")</x:f>
      </x:c>
      <x:c r="J2802" s="27" t="str">
        <x:f>IF(AND(ISNUMBER(G2802),F2802&gt;0),G2802/F2802-1,"")</x:f>
      </x:c>
      <x:c r="K2802" s="19" t="str">
        <x:v>Exp_10/EXP086/results/seed1015_Fixed_rank_5.json</x:v>
      </x:c>
    </x:row>
    <x:row r="2803" ht="15" hidden="0" customHeight="1">
      <x:c r="A2803" s="3" t="str">
        <x:v>EXP086</x:v>
      </x:c>
      <x:c r="B2803" s="3" t="str">
        <x:v>Exp. 10</x:v>
      </x:c>
      <x:c r="C2803" s="18" t="n">
        <x:v>1015</x:v>
      </x:c>
      <x:c r="D2803" s="3" t="str">
        <x:v>Full</x:v>
      </x:c>
      <x:c r="E2803" s="18" t="n">
        <x:v>200</x:v>
      </x:c>
      <x:c r="F2803" s="21" t="n">
        <x:v>292.35497724136576</x:v>
      </x:c>
      <x:c r="G2803" s="21" t="str">
        <x:f>""</x:f>
      </x:c>
      <x:c r="H2803" s="21" t="n">
        <x:f>F2803</x:f>
        <x:v>292.35497724136576</x:v>
      </x:c>
      <x:c r="I2803" s="27" t="str">
        <x:f>IF(AND(ISNUMBER(G2803),ISNUMBER(H2803),H2803&gt;0),G2803/H2803-1,"")</x:f>
      </x:c>
      <x:c r="J2803" s="27" t="str">
        <x:f>IF(AND(ISNUMBER(G2803),F2803&gt;0),G2803/F2803-1,"")</x:f>
      </x:c>
      <x:c r="K2803" s="19" t="str">
        <x:v>Exp_10/EXP086/results/seed1015_Full.json</x:v>
      </x:c>
    </x:row>
    <x:row r="2804" ht="15" hidden="0" customHeight="1">
      <x:c r="A2804" s="3" t="str">
        <x:v>EXP086</x:v>
      </x:c>
      <x:c r="B2804" s="3" t="str">
        <x:v>Exp. 10</x:v>
      </x:c>
      <x:c r="C2804" s="18" t="n">
        <x:v>1015</x:v>
      </x:c>
      <x:c r="D2804" s="3" t="str">
        <x:v>Relative cutoff 1e-2</x:v>
      </x:c>
      <x:c r="E2804" s="18" t="n">
        <x:v>200</x:v>
      </x:c>
      <x:c r="F2804" s="21" t="n">
        <x:v>291.89253787199203</x:v>
      </x:c>
      <x:c r="G2804" s="21" t="str">
        <x:f>""</x:f>
      </x:c>
      <x:c r="H2804" s="21" t="n">
        <x:f>F2803</x:f>
        <x:v>292.35497724136576</x:v>
      </x:c>
      <x:c r="I2804" s="27" t="str">
        <x:f>IF(AND(ISNUMBER(G2804),ISNUMBER(H2804),H2804&gt;0),G2804/H2804-1,"")</x:f>
      </x:c>
      <x:c r="J2804" s="27" t="str">
        <x:f>IF(AND(ISNUMBER(G2804),F2804&gt;0),G2804/F2804-1,"")</x:f>
      </x:c>
      <x:c r="K2804" s="19" t="str">
        <x:v>Exp_10/EXP086/results/seed1015_Relative_cutoff_1e-2.json</x:v>
      </x:c>
    </x:row>
    <x:row r="2805" ht="15" hidden="0" customHeight="1">
      <x:c r="A2805" s="3" t="str">
        <x:v>EXP086</x:v>
      </x:c>
      <x:c r="B2805" s="3" t="str">
        <x:v>Exp. 10</x:v>
      </x:c>
      <x:c r="C2805" s="18" t="n">
        <x:v>1016</x:v>
      </x:c>
      <x:c r="D2805" s="3" t="str">
        <x:v>Fixed rank 10</x:v>
      </x:c>
      <x:c r="E2805" s="18" t="n">
        <x:v>200</x:v>
      </x:c>
      <x:c r="F2805" s="21" t="n">
        <x:v>339.36100893923106</x:v>
      </x:c>
      <x:c r="G2805" s="21" t="str">
        <x:f>""</x:f>
      </x:c>
      <x:c r="H2805" s="21" t="n">
        <x:f>F2808</x:f>
        <x:v>332.29862821028195</x:v>
      </x:c>
      <x:c r="I2805" s="27" t="str">
        <x:f>IF(AND(ISNUMBER(G2805),ISNUMBER(H2805),H2805&gt;0),G2805/H2805-1,"")</x:f>
      </x:c>
      <x:c r="J2805" s="27" t="str">
        <x:f>IF(AND(ISNUMBER(G2805),F2805&gt;0),G2805/F2805-1,"")</x:f>
      </x:c>
      <x:c r="K2805" s="19" t="str">
        <x:v>Exp_10/EXP086/results/seed1016_Fixed_rank_10.json</x:v>
      </x:c>
    </x:row>
    <x:row r="2806" ht="15" hidden="0" customHeight="1">
      <x:c r="A2806" s="3" t="str">
        <x:v>EXP086</x:v>
      </x:c>
      <x:c r="B2806" s="3" t="str">
        <x:v>Exp. 10</x:v>
      </x:c>
      <x:c r="C2806" s="18" t="n">
        <x:v>1016</x:v>
      </x:c>
      <x:c r="D2806" s="3" t="str">
        <x:v>Fixed rank 3</x:v>
      </x:c>
      <x:c r="E2806" s="18" t="n">
        <x:v>200</x:v>
      </x:c>
      <x:c r="F2806" s="21" t="n">
        <x:v>340.1836940145043</x:v>
      </x:c>
      <x:c r="G2806" s="21" t="str">
        <x:f>""</x:f>
      </x:c>
      <x:c r="H2806" s="21" t="n">
        <x:f>F2808</x:f>
        <x:v>332.29862821028195</x:v>
      </x:c>
      <x:c r="I2806" s="27" t="str">
        <x:f>IF(AND(ISNUMBER(G2806),ISNUMBER(H2806),H2806&gt;0),G2806/H2806-1,"")</x:f>
      </x:c>
      <x:c r="J2806" s="27" t="str">
        <x:f>IF(AND(ISNUMBER(G2806),F2806&gt;0),G2806/F2806-1,"")</x:f>
      </x:c>
      <x:c r="K2806" s="19" t="str">
        <x:v>Exp_10/EXP086/results/seed1016_Fixed_rank_3.json</x:v>
      </x:c>
    </x:row>
    <x:row r="2807" ht="15" hidden="0" customHeight="1">
      <x:c r="A2807" s="3" t="str">
        <x:v>EXP086</x:v>
      </x:c>
      <x:c r="B2807" s="3" t="str">
        <x:v>Exp. 10</x:v>
      </x:c>
      <x:c r="C2807" s="18" t="n">
        <x:v>1016</x:v>
      </x:c>
      <x:c r="D2807" s="3" t="str">
        <x:v>Fixed rank 5</x:v>
      </x:c>
      <x:c r="E2807" s="18" t="n">
        <x:v>200</x:v>
      </x:c>
      <x:c r="F2807" s="21" t="n">
        <x:v>339.51684975935643</x:v>
      </x:c>
      <x:c r="G2807" s="21" t="str">
        <x:f>""</x:f>
      </x:c>
      <x:c r="H2807" s="21" t="n">
        <x:f>F2808</x:f>
        <x:v>332.29862821028195</x:v>
      </x:c>
      <x:c r="I2807" s="27" t="str">
        <x:f>IF(AND(ISNUMBER(G2807),ISNUMBER(H2807),H2807&gt;0),G2807/H2807-1,"")</x:f>
      </x:c>
      <x:c r="J2807" s="27" t="str">
        <x:f>IF(AND(ISNUMBER(G2807),F2807&gt;0),G2807/F2807-1,"")</x:f>
      </x:c>
      <x:c r="K2807" s="19" t="str">
        <x:v>Exp_10/EXP086/results/seed1016_Fixed_rank_5.json</x:v>
      </x:c>
    </x:row>
    <x:row r="2808" ht="15" hidden="0" customHeight="1">
      <x:c r="A2808" s="3" t="str">
        <x:v>EXP086</x:v>
      </x:c>
      <x:c r="B2808" s="3" t="str">
        <x:v>Exp. 10</x:v>
      </x:c>
      <x:c r="C2808" s="18" t="n">
        <x:v>1016</x:v>
      </x:c>
      <x:c r="D2808" s="3" t="str">
        <x:v>Full</x:v>
      </x:c>
      <x:c r="E2808" s="18" t="n">
        <x:v>200</x:v>
      </x:c>
      <x:c r="F2808" s="21" t="n">
        <x:v>332.29862821028195</x:v>
      </x:c>
      <x:c r="G2808" s="21" t="str">
        <x:f>""</x:f>
      </x:c>
      <x:c r="H2808" s="21" t="n">
        <x:f>F2808</x:f>
        <x:v>332.29862821028195</x:v>
      </x:c>
      <x:c r="I2808" s="27" t="str">
        <x:f>IF(AND(ISNUMBER(G2808),ISNUMBER(H2808),H2808&gt;0),G2808/H2808-1,"")</x:f>
      </x:c>
      <x:c r="J2808" s="27" t="str">
        <x:f>IF(AND(ISNUMBER(G2808),F2808&gt;0),G2808/F2808-1,"")</x:f>
      </x:c>
      <x:c r="K2808" s="19" t="str">
        <x:v>Exp_10/EXP086/results/seed1016_Full.json</x:v>
      </x:c>
    </x:row>
    <x:row r="2809" ht="15" hidden="0" customHeight="1">
      <x:c r="A2809" s="3" t="str">
        <x:v>EXP086</x:v>
      </x:c>
      <x:c r="B2809" s="3" t="str">
        <x:v>Exp. 10</x:v>
      </x:c>
      <x:c r="C2809" s="18" t="n">
        <x:v>1016</x:v>
      </x:c>
      <x:c r="D2809" s="3" t="str">
        <x:v>Relative cutoff 1e-2</x:v>
      </x:c>
      <x:c r="E2809" s="18" t="n">
        <x:v>200</x:v>
      </x:c>
      <x:c r="F2809" s="21" t="n">
        <x:v>340.1836940145043</x:v>
      </x:c>
      <x:c r="G2809" s="21" t="str">
        <x:f>""</x:f>
      </x:c>
      <x:c r="H2809" s="21" t="n">
        <x:f>F2808</x:f>
        <x:v>332.29862821028195</x:v>
      </x:c>
      <x:c r="I2809" s="27" t="str">
        <x:f>IF(AND(ISNUMBER(G2809),ISNUMBER(H2809),H2809&gt;0),G2809/H2809-1,"")</x:f>
      </x:c>
      <x:c r="J2809" s="27" t="str">
        <x:f>IF(AND(ISNUMBER(G2809),F2809&gt;0),G2809/F2809-1,"")</x:f>
      </x:c>
      <x:c r="K2809" s="19" t="str">
        <x:v>Exp_10/EXP086/results/seed1016_Relative_cutoff_1e-2.json</x:v>
      </x:c>
    </x:row>
    <x:row r="2810" ht="15" hidden="0" customHeight="1">
      <x:c r="A2810" s="3" t="str">
        <x:v>EXP086</x:v>
      </x:c>
      <x:c r="B2810" s="3" t="str">
        <x:v>Exp. 10</x:v>
      </x:c>
      <x:c r="C2810" s="18" t="n">
        <x:v>1017</x:v>
      </x:c>
      <x:c r="D2810" s="3" t="str">
        <x:v>Fixed rank 10</x:v>
      </x:c>
      <x:c r="E2810" s="18" t="n">
        <x:v>200</x:v>
      </x:c>
      <x:c r="F2810" s="21" t="n">
        <x:v>372.687901725391</x:v>
      </x:c>
      <x:c r="G2810" s="21" t="str">
        <x:f>""</x:f>
      </x:c>
      <x:c r="H2810" s="21" t="n">
        <x:f>F2813</x:f>
        <x:v>372.7776890954305</x:v>
      </x:c>
      <x:c r="I2810" s="27" t="str">
        <x:f>IF(AND(ISNUMBER(G2810),ISNUMBER(H2810),H2810&gt;0),G2810/H2810-1,"")</x:f>
      </x:c>
      <x:c r="J2810" s="27" t="str">
        <x:f>IF(AND(ISNUMBER(G2810),F2810&gt;0),G2810/F2810-1,"")</x:f>
      </x:c>
      <x:c r="K2810" s="19" t="str">
        <x:v>Exp_10/EXP086/results/seed1017_Fixed_rank_10.json</x:v>
      </x:c>
    </x:row>
    <x:row r="2811" ht="15" hidden="0" customHeight="1">
      <x:c r="A2811" s="3" t="str">
        <x:v>EXP086</x:v>
      </x:c>
      <x:c r="B2811" s="3" t="str">
        <x:v>Exp. 10</x:v>
      </x:c>
      <x:c r="C2811" s="18" t="n">
        <x:v>1017</x:v>
      </x:c>
      <x:c r="D2811" s="3" t="str">
        <x:v>Fixed rank 3</x:v>
      </x:c>
      <x:c r="E2811" s="18" t="n">
        <x:v>200</x:v>
      </x:c>
      <x:c r="F2811" s="21" t="n">
        <x:v>369.7224585462571</x:v>
      </x:c>
      <x:c r="G2811" s="21" t="str">
        <x:f>""</x:f>
      </x:c>
      <x:c r="H2811" s="21" t="n">
        <x:f>F2813</x:f>
        <x:v>372.7776890954305</x:v>
      </x:c>
      <x:c r="I2811" s="27" t="str">
        <x:f>IF(AND(ISNUMBER(G2811),ISNUMBER(H2811),H2811&gt;0),G2811/H2811-1,"")</x:f>
      </x:c>
      <x:c r="J2811" s="27" t="str">
        <x:f>IF(AND(ISNUMBER(G2811),F2811&gt;0),G2811/F2811-1,"")</x:f>
      </x:c>
      <x:c r="K2811" s="19" t="str">
        <x:v>Exp_10/EXP086/results/seed1017_Fixed_rank_3.json</x:v>
      </x:c>
    </x:row>
    <x:row r="2812" ht="15" hidden="0" customHeight="1">
      <x:c r="A2812" s="3" t="str">
        <x:v>EXP086</x:v>
      </x:c>
      <x:c r="B2812" s="3" t="str">
        <x:v>Exp. 10</x:v>
      </x:c>
      <x:c r="C2812" s="18" t="n">
        <x:v>1017</x:v>
      </x:c>
      <x:c r="D2812" s="3" t="str">
        <x:v>Fixed rank 5</x:v>
      </x:c>
      <x:c r="E2812" s="18" t="n">
        <x:v>200</x:v>
      </x:c>
      <x:c r="F2812" s="21" t="n">
        <x:v>373.0951741281785</x:v>
      </x:c>
      <x:c r="G2812" s="21" t="str">
        <x:f>""</x:f>
      </x:c>
      <x:c r="H2812" s="21" t="n">
        <x:f>F2813</x:f>
        <x:v>372.7776890954305</x:v>
      </x:c>
      <x:c r="I2812" s="27" t="str">
        <x:f>IF(AND(ISNUMBER(G2812),ISNUMBER(H2812),H2812&gt;0),G2812/H2812-1,"")</x:f>
      </x:c>
      <x:c r="J2812" s="27" t="str">
        <x:f>IF(AND(ISNUMBER(G2812),F2812&gt;0),G2812/F2812-1,"")</x:f>
      </x:c>
      <x:c r="K2812" s="19" t="str">
        <x:v>Exp_10/EXP086/results/seed1017_Fixed_rank_5.json</x:v>
      </x:c>
    </x:row>
    <x:row r="2813" ht="15" hidden="0" customHeight="1">
      <x:c r="A2813" s="3" t="str">
        <x:v>EXP086</x:v>
      </x:c>
      <x:c r="B2813" s="3" t="str">
        <x:v>Exp. 10</x:v>
      </x:c>
      <x:c r="C2813" s="18" t="n">
        <x:v>1017</x:v>
      </x:c>
      <x:c r="D2813" s="3" t="str">
        <x:v>Full</x:v>
      </x:c>
      <x:c r="E2813" s="18" t="n">
        <x:v>200</x:v>
      </x:c>
      <x:c r="F2813" s="21" t="n">
        <x:v>372.7776890954305</x:v>
      </x:c>
      <x:c r="G2813" s="21" t="str">
        <x:f>""</x:f>
      </x:c>
      <x:c r="H2813" s="21" t="n">
        <x:f>F2813</x:f>
        <x:v>372.7776890954305</x:v>
      </x:c>
      <x:c r="I2813" s="27" t="str">
        <x:f>IF(AND(ISNUMBER(G2813),ISNUMBER(H2813),H2813&gt;0),G2813/H2813-1,"")</x:f>
      </x:c>
      <x:c r="J2813" s="27" t="str">
        <x:f>IF(AND(ISNUMBER(G2813),F2813&gt;0),G2813/F2813-1,"")</x:f>
      </x:c>
      <x:c r="K2813" s="19" t="str">
        <x:v>Exp_10/EXP086/results/seed1017_Full.json</x:v>
      </x:c>
    </x:row>
    <x:row r="2814" ht="15" hidden="0" customHeight="1">
      <x:c r="A2814" s="3" t="str">
        <x:v>EXP086</x:v>
      </x:c>
      <x:c r="B2814" s="3" t="str">
        <x:v>Exp. 10</x:v>
      </x:c>
      <x:c r="C2814" s="18" t="n">
        <x:v>1017</x:v>
      </x:c>
      <x:c r="D2814" s="3" t="str">
        <x:v>Relative cutoff 1e-2</x:v>
      </x:c>
      <x:c r="E2814" s="18" t="n">
        <x:v>200</x:v>
      </x:c>
      <x:c r="F2814" s="21" t="n">
        <x:v>384.3455916988415</x:v>
      </x:c>
      <x:c r="G2814" s="21" t="str">
        <x:f>""</x:f>
      </x:c>
      <x:c r="H2814" s="21" t="n">
        <x:f>F2813</x:f>
        <x:v>372.7776890954305</x:v>
      </x:c>
      <x:c r="I2814" s="27" t="str">
        <x:f>IF(AND(ISNUMBER(G2814),ISNUMBER(H2814),H2814&gt;0),G2814/H2814-1,"")</x:f>
      </x:c>
      <x:c r="J2814" s="27" t="str">
        <x:f>IF(AND(ISNUMBER(G2814),F2814&gt;0),G2814/F2814-1,"")</x:f>
      </x:c>
      <x:c r="K2814" s="19" t="str">
        <x:v>Exp_10/EXP086/results/seed1017_Relative_cutoff_1e-2.json</x:v>
      </x:c>
    </x:row>
    <x:row r="2815" ht="15" hidden="0" customHeight="1">
      <x:c r="A2815" s="3" t="str">
        <x:v>EXP086</x:v>
      </x:c>
      <x:c r="B2815" s="3" t="str">
        <x:v>Exp. 10</x:v>
      </x:c>
      <x:c r="C2815" s="18" t="n">
        <x:v>1018</x:v>
      </x:c>
      <x:c r="D2815" s="3" t="str">
        <x:v>Fixed rank 10</x:v>
      </x:c>
      <x:c r="E2815" s="18" t="n">
        <x:v>200</x:v>
      </x:c>
      <x:c r="F2815" s="21" t="n">
        <x:v>541.532970138611</x:v>
      </x:c>
      <x:c r="G2815" s="21" t="str">
        <x:f>""</x:f>
      </x:c>
      <x:c r="H2815" s="21" t="n">
        <x:f>F2818</x:f>
        <x:v>518.8489990618586</x:v>
      </x:c>
      <x:c r="I2815" s="27" t="str">
        <x:f>IF(AND(ISNUMBER(G2815),ISNUMBER(H2815),H2815&gt;0),G2815/H2815-1,"")</x:f>
      </x:c>
      <x:c r="J2815" s="27" t="str">
        <x:f>IF(AND(ISNUMBER(G2815),F2815&gt;0),G2815/F2815-1,"")</x:f>
      </x:c>
      <x:c r="K2815" s="19" t="str">
        <x:v>Exp_10/EXP086/results/seed1018_Fixed_rank_10.json</x:v>
      </x:c>
    </x:row>
    <x:row r="2816" ht="15" hidden="0" customHeight="1">
      <x:c r="A2816" s="3" t="str">
        <x:v>EXP086</x:v>
      </x:c>
      <x:c r="B2816" s="3" t="str">
        <x:v>Exp. 10</x:v>
      </x:c>
      <x:c r="C2816" s="18" t="n">
        <x:v>1018</x:v>
      </x:c>
      <x:c r="D2816" s="3" t="str">
        <x:v>Fixed rank 3</x:v>
      </x:c>
      <x:c r="E2816" s="18" t="n">
        <x:v>200</x:v>
      </x:c>
      <x:c r="F2816" s="21" t="n">
        <x:v>474.6630842006829</x:v>
      </x:c>
      <x:c r="G2816" s="21" t="str">
        <x:f>""</x:f>
      </x:c>
      <x:c r="H2816" s="21" t="n">
        <x:f>F2818</x:f>
        <x:v>518.8489990618586</x:v>
      </x:c>
      <x:c r="I2816" s="27" t="str">
        <x:f>IF(AND(ISNUMBER(G2816),ISNUMBER(H2816),H2816&gt;0),G2816/H2816-1,"")</x:f>
      </x:c>
      <x:c r="J2816" s="27" t="str">
        <x:f>IF(AND(ISNUMBER(G2816),F2816&gt;0),G2816/F2816-1,"")</x:f>
      </x:c>
      <x:c r="K2816" s="19" t="str">
        <x:v>Exp_10/EXP086/results/seed1018_Fixed_rank_3.json</x:v>
      </x:c>
    </x:row>
    <x:row r="2817" ht="15" hidden="0" customHeight="1">
      <x:c r="A2817" s="3" t="str">
        <x:v>EXP086</x:v>
      </x:c>
      <x:c r="B2817" s="3" t="str">
        <x:v>Exp. 10</x:v>
      </x:c>
      <x:c r="C2817" s="18" t="n">
        <x:v>1018</x:v>
      </x:c>
      <x:c r="D2817" s="3" t="str">
        <x:v>Fixed rank 5</x:v>
      </x:c>
      <x:c r="E2817" s="18" t="n">
        <x:v>200</x:v>
      </x:c>
      <x:c r="F2817" s="21" t="n">
        <x:v>510.0922405532596</x:v>
      </x:c>
      <x:c r="G2817" s="21" t="str">
        <x:f>""</x:f>
      </x:c>
      <x:c r="H2817" s="21" t="n">
        <x:f>F2818</x:f>
        <x:v>518.8489990618586</x:v>
      </x:c>
      <x:c r="I2817" s="27" t="str">
        <x:f>IF(AND(ISNUMBER(G2817),ISNUMBER(H2817),H2817&gt;0),G2817/H2817-1,"")</x:f>
      </x:c>
      <x:c r="J2817" s="27" t="str">
        <x:f>IF(AND(ISNUMBER(G2817),F2817&gt;0),G2817/F2817-1,"")</x:f>
      </x:c>
      <x:c r="K2817" s="19" t="str">
        <x:v>Exp_10/EXP086/results/seed1018_Fixed_rank_5.json</x:v>
      </x:c>
    </x:row>
    <x:row r="2818" ht="15" hidden="0" customHeight="1">
      <x:c r="A2818" s="3" t="str">
        <x:v>EXP086</x:v>
      </x:c>
      <x:c r="B2818" s="3" t="str">
        <x:v>Exp. 10</x:v>
      </x:c>
      <x:c r="C2818" s="18" t="n">
        <x:v>1018</x:v>
      </x:c>
      <x:c r="D2818" s="3" t="str">
        <x:v>Full</x:v>
      </x:c>
      <x:c r="E2818" s="18" t="n">
        <x:v>200</x:v>
      </x:c>
      <x:c r="F2818" s="21" t="n">
        <x:v>518.8489990618586</x:v>
      </x:c>
      <x:c r="G2818" s="21" t="str">
        <x:f>""</x:f>
      </x:c>
      <x:c r="H2818" s="21" t="n">
        <x:f>F2818</x:f>
        <x:v>518.8489990618586</x:v>
      </x:c>
      <x:c r="I2818" s="27" t="str">
        <x:f>IF(AND(ISNUMBER(G2818),ISNUMBER(H2818),H2818&gt;0),G2818/H2818-1,"")</x:f>
      </x:c>
      <x:c r="J2818" s="27" t="str">
        <x:f>IF(AND(ISNUMBER(G2818),F2818&gt;0),G2818/F2818-1,"")</x:f>
      </x:c>
      <x:c r="K2818" s="19" t="str">
        <x:v>Exp_10/EXP086/results/seed1018_Full.json</x:v>
      </x:c>
    </x:row>
    <x:row r="2819" ht="15" hidden="0" customHeight="1">
      <x:c r="A2819" s="3" t="str">
        <x:v>EXP086</x:v>
      </x:c>
      <x:c r="B2819" s="3" t="str">
        <x:v>Exp. 10</x:v>
      </x:c>
      <x:c r="C2819" s="18" t="n">
        <x:v>1018</x:v>
      </x:c>
      <x:c r="D2819" s="3" t="str">
        <x:v>Relative cutoff 1e-2</x:v>
      </x:c>
      <x:c r="E2819" s="18" t="n">
        <x:v>200</x:v>
      </x:c>
      <x:c r="F2819" s="21" t="n">
        <x:v>553.1275321007557</x:v>
      </x:c>
      <x:c r="G2819" s="21" t="str">
        <x:f>""</x:f>
      </x:c>
      <x:c r="H2819" s="21" t="n">
        <x:f>F2818</x:f>
        <x:v>518.8489990618586</x:v>
      </x:c>
      <x:c r="I2819" s="27" t="str">
        <x:f>IF(AND(ISNUMBER(G2819),ISNUMBER(H2819),H2819&gt;0),G2819/H2819-1,"")</x:f>
      </x:c>
      <x:c r="J2819" s="27" t="str">
        <x:f>IF(AND(ISNUMBER(G2819),F2819&gt;0),G2819/F2819-1,"")</x:f>
      </x:c>
      <x:c r="K2819" s="19" t="str">
        <x:v>Exp_10/EXP086/results/seed1018_Relative_cutoff_1e-2.json</x:v>
      </x:c>
    </x:row>
    <x:row r="2820" ht="15" hidden="0" customHeight="1">
      <x:c r="A2820" s="3" t="str">
        <x:v>EXP086</x:v>
      </x:c>
      <x:c r="B2820" s="3" t="str">
        <x:v>Exp. 10</x:v>
      </x:c>
      <x:c r="C2820" s="18" t="n">
        <x:v>1019</x:v>
      </x:c>
      <x:c r="D2820" s="3" t="str">
        <x:v>Fixed rank 10</x:v>
      </x:c>
      <x:c r="E2820" s="18" t="n">
        <x:v>200</x:v>
      </x:c>
      <x:c r="F2820" s="21" t="n">
        <x:v>392.66375195433284</x:v>
      </x:c>
      <x:c r="G2820" s="21" t="str">
        <x:f>""</x:f>
      </x:c>
      <x:c r="H2820" s="21" t="n">
        <x:f>F2823</x:f>
        <x:v>385.3448935862184</x:v>
      </x:c>
      <x:c r="I2820" s="27" t="str">
        <x:f>IF(AND(ISNUMBER(G2820),ISNUMBER(H2820),H2820&gt;0),G2820/H2820-1,"")</x:f>
      </x:c>
      <x:c r="J2820" s="27" t="str">
        <x:f>IF(AND(ISNUMBER(G2820),F2820&gt;0),G2820/F2820-1,"")</x:f>
      </x:c>
      <x:c r="K2820" s="19" t="str">
        <x:v>Exp_10/EXP086/results/seed1019_Fixed_rank_10.json</x:v>
      </x:c>
    </x:row>
    <x:row r="2821" ht="15" hidden="0" customHeight="1">
      <x:c r="A2821" s="3" t="str">
        <x:v>EXP086</x:v>
      </x:c>
      <x:c r="B2821" s="3" t="str">
        <x:v>Exp. 10</x:v>
      </x:c>
      <x:c r="C2821" s="18" t="n">
        <x:v>1019</x:v>
      </x:c>
      <x:c r="D2821" s="3" t="str">
        <x:v>Fixed rank 3</x:v>
      </x:c>
      <x:c r="E2821" s="18" t="n">
        <x:v>200</x:v>
      </x:c>
      <x:c r="F2821" s="21" t="n">
        <x:v>398.7611004238218</x:v>
      </x:c>
      <x:c r="G2821" s="21" t="str">
        <x:f>""</x:f>
      </x:c>
      <x:c r="H2821" s="21" t="n">
        <x:f>F2823</x:f>
        <x:v>385.3448935862184</x:v>
      </x:c>
      <x:c r="I2821" s="27" t="str">
        <x:f>IF(AND(ISNUMBER(G2821),ISNUMBER(H2821),H2821&gt;0),G2821/H2821-1,"")</x:f>
      </x:c>
      <x:c r="J2821" s="27" t="str">
        <x:f>IF(AND(ISNUMBER(G2821),F2821&gt;0),G2821/F2821-1,"")</x:f>
      </x:c>
      <x:c r="K2821" s="19" t="str">
        <x:v>Exp_10/EXP086/results/seed1019_Fixed_rank_3.json</x:v>
      </x:c>
    </x:row>
    <x:row r="2822" ht="15" hidden="0" customHeight="1">
      <x:c r="A2822" s="3" t="str">
        <x:v>EXP086</x:v>
      </x:c>
      <x:c r="B2822" s="3" t="str">
        <x:v>Exp. 10</x:v>
      </x:c>
      <x:c r="C2822" s="18" t="n">
        <x:v>1019</x:v>
      </x:c>
      <x:c r="D2822" s="3" t="str">
        <x:v>Fixed rank 5</x:v>
      </x:c>
      <x:c r="E2822" s="18" t="n">
        <x:v>200</x:v>
      </x:c>
      <x:c r="F2822" s="21" t="n">
        <x:v>375.33125157393755</x:v>
      </x:c>
      <x:c r="G2822" s="21" t="str">
        <x:f>""</x:f>
      </x:c>
      <x:c r="H2822" s="21" t="n">
        <x:f>F2823</x:f>
        <x:v>385.3448935862184</x:v>
      </x:c>
      <x:c r="I2822" s="27" t="str">
        <x:f>IF(AND(ISNUMBER(G2822),ISNUMBER(H2822),H2822&gt;0),G2822/H2822-1,"")</x:f>
      </x:c>
      <x:c r="J2822" s="27" t="str">
        <x:f>IF(AND(ISNUMBER(G2822),F2822&gt;0),G2822/F2822-1,"")</x:f>
      </x:c>
      <x:c r="K2822" s="19" t="str">
        <x:v>Exp_10/EXP086/results/seed1019_Fixed_rank_5.json</x:v>
      </x:c>
    </x:row>
    <x:row r="2823" ht="15" hidden="0" customHeight="1">
      <x:c r="A2823" s="3" t="str">
        <x:v>EXP086</x:v>
      </x:c>
      <x:c r="B2823" s="3" t="str">
        <x:v>Exp. 10</x:v>
      </x:c>
      <x:c r="C2823" s="18" t="n">
        <x:v>1019</x:v>
      </x:c>
      <x:c r="D2823" s="3" t="str">
        <x:v>Full</x:v>
      </x:c>
      <x:c r="E2823" s="18" t="n">
        <x:v>200</x:v>
      </x:c>
      <x:c r="F2823" s="21" t="n">
        <x:v>385.3448935862184</x:v>
      </x:c>
      <x:c r="G2823" s="21" t="str">
        <x:f>""</x:f>
      </x:c>
      <x:c r="H2823" s="21" t="n">
        <x:f>F2823</x:f>
        <x:v>385.3448935862184</x:v>
      </x:c>
      <x:c r="I2823" s="27" t="str">
        <x:f>IF(AND(ISNUMBER(G2823),ISNUMBER(H2823),H2823&gt;0),G2823/H2823-1,"")</x:f>
      </x:c>
      <x:c r="J2823" s="27" t="str">
        <x:f>IF(AND(ISNUMBER(G2823),F2823&gt;0),G2823/F2823-1,"")</x:f>
      </x:c>
      <x:c r="K2823" s="19" t="str">
        <x:v>Exp_10/EXP086/results/seed1019_Full.json</x:v>
      </x:c>
    </x:row>
    <x:row r="2824" ht="15" hidden="0" customHeight="1">
      <x:c r="A2824" s="3" t="str">
        <x:v>EXP086</x:v>
      </x:c>
      <x:c r="B2824" s="3" t="str">
        <x:v>Exp. 10</x:v>
      </x:c>
      <x:c r="C2824" s="18" t="n">
        <x:v>1019</x:v>
      </x:c>
      <x:c r="D2824" s="3" t="str">
        <x:v>Relative cutoff 1e-2</x:v>
      </x:c>
      <x:c r="E2824" s="18" t="n">
        <x:v>200</x:v>
      </x:c>
      <x:c r="F2824" s="21" t="n">
        <x:v>433.26765076564294</x:v>
      </x:c>
      <x:c r="G2824" s="21" t="str">
        <x:f>""</x:f>
      </x:c>
      <x:c r="H2824" s="21" t="n">
        <x:f>F2823</x:f>
        <x:v>385.3448935862184</x:v>
      </x:c>
      <x:c r="I2824" s="27" t="str">
        <x:f>IF(AND(ISNUMBER(G2824),ISNUMBER(H2824),H2824&gt;0),G2824/H2824-1,"")</x:f>
      </x:c>
      <x:c r="J2824" s="27" t="str">
        <x:f>IF(AND(ISNUMBER(G2824),F2824&gt;0),G2824/F2824-1,"")</x:f>
      </x:c>
      <x:c r="K2824" s="19" t="str">
        <x:v>Exp_10/EXP086/results/seed1019_Relative_cutoff_1e-2.json</x:v>
      </x:c>
    </x:row>
    <x:row r="2825" ht="15" hidden="0" customHeight="1">
      <x:c r="A2825" s="3" t="str">
        <x:v>EXP095</x:v>
      </x:c>
      <x:c r="B2825" s="3" t="str">
        <x:v>KuaiRec</x:v>
      </x:c>
      <x:c r="C2825" s="18" t="n">
        <x:v>7200</x:v>
      </x:c>
      <x:c r="D2825" s="3" t="str">
        <x:v>BBP</x:v>
      </x:c>
      <x:c r="E2825" s="18" t="n">
        <x:v>600</x:v>
      </x:c>
      <x:c r="F2825" s="21" t="n">
        <x:v>1430.9641726032276</x:v>
      </x:c>
      <x:c r="G2825" s="21" t="n">
        <x:f>F2825</x:f>
        <x:v>1430.9641726032276</x:v>
      </x:c>
      <x:c r="H2825" s="21" t="n">
        <x:f>F2830</x:f>
        <x:v>1423.0104462202353</x:v>
      </x:c>
      <x:c r="I2825" s="27" t="n">
        <x:f>IF(AND(ISNUMBER(G2825),ISNUMBER(H2825),H2825&gt;0),G2825/H2825-1,"")</x:f>
        <x:v>0.005589366124555628</x:v>
      </x:c>
      <x:c r="J2825" s="27" t="n">
        <x:f>IF(AND(ISNUMBER(G2825),F2825&gt;0),G2825/F2825-1,"")</x:f>
        <x:v>0</x:v>
      </x:c>
      <x:c r="K2825" s="19" t="str">
        <x:v>KuaiRec/EXP095/results/seed7200_BBP.json</x:v>
      </x:c>
    </x:row>
    <x:row r="2826" ht="15" hidden="0" customHeight="1">
      <x:c r="A2826" s="3" t="str">
        <x:v>EXP095</x:v>
      </x:c>
      <x:c r="B2826" s="3" t="str">
        <x:v>KuaiRec</x:v>
      </x:c>
      <x:c r="C2826" s="18" t="n">
        <x:v>7200</x:v>
      </x:c>
      <x:c r="D2826" s="3" t="str">
        <x:v>Relative cutoff 1e-5</x:v>
      </x:c>
      <x:c r="E2826" s="18" t="n">
        <x:v>600</x:v>
      </x:c>
      <x:c r="F2826" s="21" t="n">
        <x:v>1435.8627196234613</x:v>
      </x:c>
      <x:c r="G2826" s="21" t="n">
        <x:f>F2825</x:f>
        <x:v>1430.9641726032276</x:v>
      </x:c>
      <x:c r="H2826" s="21" t="n">
        <x:f>F2830</x:f>
        <x:v>1423.0104462202353</x:v>
      </x:c>
      <x:c r="I2826" s="27" t="n">
        <x:f>IF(AND(ISNUMBER(G2826),ISNUMBER(H2826),H2826&gt;0),G2826/H2826-1,"")</x:f>
        <x:v>0.005589366124555628</x:v>
      </x:c>
      <x:c r="J2826" s="27" t="n">
        <x:f>IF(AND(ISNUMBER(G2826),F2826&gt;0),G2826/F2826-1,"")</x:f>
        <x:v>-0.003411570586301149</x:v>
      </x:c>
      <x:c r="K2826" s="19" t="str">
        <x:v>KuaiRec/EXP095/results/seed7200_Relative_cutoff_1e-5.json</x:v>
      </x:c>
    </x:row>
    <x:row r="2827" ht="15" hidden="0" customHeight="1">
      <x:c r="A2827" s="3" t="str">
        <x:v>EXP095</x:v>
      </x:c>
      <x:c r="B2827" s="3" t="str">
        <x:v>KuaiRec</x:v>
      </x:c>
      <x:c r="C2827" s="18" t="n">
        <x:v>7200</x:v>
      </x:c>
      <x:c r="D2827" s="3" t="str">
        <x:v>Fixed rank 10</x:v>
      </x:c>
      <x:c r="E2827" s="18" t="n">
        <x:v>600</x:v>
      </x:c>
      <x:c r="F2827" s="21" t="n">
        <x:v>1445.5559142825844</x:v>
      </x:c>
      <x:c r="G2827" s="21" t="n">
        <x:f>F2825</x:f>
        <x:v>1430.9641726032276</x:v>
      </x:c>
      <x:c r="H2827" s="21" t="n">
        <x:f>F2830</x:f>
        <x:v>1423.0104462202353</x:v>
      </x:c>
      <x:c r="I2827" s="27" t="n">
        <x:f>IF(AND(ISNUMBER(G2827),ISNUMBER(H2827),H2827&gt;0),G2827/H2827-1,"")</x:f>
        <x:v>0.005589366124555628</x:v>
      </x:c>
      <x:c r="J2827" s="27" t="n">
        <x:f>IF(AND(ISNUMBER(G2827),F2827&gt;0),G2827/F2827-1,"")</x:f>
        <x:v>-0.010094207726719873</x:v>
      </x:c>
      <x:c r="K2827" s="19" t="str">
        <x:v>KuaiRec/EXP095/results/seed7200_Fixed_rank_10.json</x:v>
      </x:c>
    </x:row>
    <x:row r="2828" ht="15" hidden="0" customHeight="1">
      <x:c r="A2828" s="3" t="str">
        <x:v>EXP095</x:v>
      </x:c>
      <x:c r="B2828" s="3" t="str">
        <x:v>KuaiRec</x:v>
      </x:c>
      <x:c r="C2828" s="18" t="n">
        <x:v>7200</x:v>
      </x:c>
      <x:c r="D2828" s="3" t="str">
        <x:v>Fixed rank 25</x:v>
      </x:c>
      <x:c r="E2828" s="18" t="n">
        <x:v>600</x:v>
      </x:c>
      <x:c r="F2828" s="21" t="n">
        <x:v>1459.9778457934717</x:v>
      </x:c>
      <x:c r="G2828" s="21" t="n">
        <x:f>F2825</x:f>
        <x:v>1430.9641726032276</x:v>
      </x:c>
      <x:c r="H2828" s="21" t="n">
        <x:f>F2830</x:f>
        <x:v>1423.0104462202353</x:v>
      </x:c>
      <x:c r="I2828" s="27" t="n">
        <x:f>IF(AND(ISNUMBER(G2828),ISNUMBER(H2828),H2828&gt;0),G2828/H2828-1,"")</x:f>
        <x:v>0.005589366124555628</x:v>
      </x:c>
      <x:c r="J2828" s="27" t="n">
        <x:f>IF(AND(ISNUMBER(G2828),F2828&gt;0),G2828/F2828-1,"")</x:f>
        <x:v>-0.01987268044774726</x:v>
      </x:c>
      <x:c r="K2828" s="19" t="str">
        <x:v>KuaiRec/EXP095/results/seed7200_Fixed_rank_25.json</x:v>
      </x:c>
    </x:row>
    <x:row r="2829" ht="15" hidden="0" customHeight="1">
      <x:c r="A2829" s="3" t="str">
        <x:v>EXP095</x:v>
      </x:c>
      <x:c r="B2829" s="3" t="str">
        <x:v>KuaiRec</x:v>
      </x:c>
      <x:c r="C2829" s="18" t="n">
        <x:v>7200</x:v>
      </x:c>
      <x:c r="D2829" s="3" t="str">
        <x:v>Relative cutoff 1e-6</x:v>
      </x:c>
      <x:c r="E2829" s="18" t="n">
        <x:v>600</x:v>
      </x:c>
      <x:c r="F2829" s="21" t="n">
        <x:v>1415.555376843343</x:v>
      </x:c>
      <x:c r="G2829" s="21" t="n">
        <x:f>F2825</x:f>
        <x:v>1430.9641726032276</x:v>
      </x:c>
      <x:c r="H2829" s="21" t="n">
        <x:f>F2830</x:f>
        <x:v>1423.0104462202353</x:v>
      </x:c>
      <x:c r="I2829" s="27" t="n">
        <x:f>IF(AND(ISNUMBER(G2829),ISNUMBER(H2829),H2829&gt;0),G2829/H2829-1,"")</x:f>
        <x:v>0.005589366124555628</x:v>
      </x:c>
      <x:c r="J2829" s="27" t="n">
        <x:f>IF(AND(ISNUMBER(G2829),F2829&gt;0),G2829/F2829-1,"")</x:f>
        <x:v>0.010885335898511928</x:v>
      </x:c>
      <x:c r="K2829" s="19" t="str">
        <x:v>KuaiRec/EXP095/results/seed7200_Relative_cutoff_1e-6.json</x:v>
      </x:c>
    </x:row>
    <x:row r="2830" ht="15" hidden="0" customHeight="1">
      <x:c r="A2830" s="3" t="str">
        <x:v>EXP095</x:v>
      </x:c>
      <x:c r="B2830" s="3" t="str">
        <x:v>KuaiRec</x:v>
      </x:c>
      <x:c r="C2830" s="18" t="n">
        <x:v>7200</x:v>
      </x:c>
      <x:c r="D2830" s="3" t="str">
        <x:v>Full</x:v>
      </x:c>
      <x:c r="E2830" s="18" t="n">
        <x:v>600</x:v>
      </x:c>
      <x:c r="F2830" s="21" t="n">
        <x:v>1423.0104462202353</x:v>
      </x:c>
      <x:c r="G2830" s="21" t="n">
        <x:f>F2825</x:f>
        <x:v>1430.9641726032276</x:v>
      </x:c>
      <x:c r="H2830" s="21" t="n">
        <x:f>F2830</x:f>
        <x:v>1423.0104462202353</x:v>
      </x:c>
      <x:c r="I2830" s="27" t="n">
        <x:f>IF(AND(ISNUMBER(G2830),ISNUMBER(H2830),H2830&gt;0),G2830/H2830-1,"")</x:f>
        <x:v>0.005589366124555628</x:v>
      </x:c>
      <x:c r="J2830" s="27" t="n">
        <x:f>IF(AND(ISNUMBER(G2830),F2830&gt;0),G2830/F2830-1,"")</x:f>
        <x:v>0.005589366124555628</x:v>
      </x:c>
      <x:c r="K2830" s="19" t="str">
        <x:v>KuaiRec/EXP095/results/seed7200_Full.json</x:v>
      </x:c>
    </x:row>
    <x:row r="2831" ht="15" hidden="0" customHeight="1">
      <x:c r="A2831" s="3" t="str">
        <x:v>EXP095</x:v>
      </x:c>
      <x:c r="B2831" s="3" t="str">
        <x:v>KuaiRec</x:v>
      </x:c>
      <x:c r="C2831" s="18" t="n">
        <x:v>7200</x:v>
      </x:c>
      <x:c r="D2831" s="3" t="str">
        <x:v>Relative cutoff 1e-2</x:v>
      </x:c>
      <x:c r="E2831" s="18" t="n">
        <x:v>600</x:v>
      </x:c>
      <x:c r="F2831" s="21" t="n">
        <x:v>1460.9234230652248</x:v>
      </x:c>
      <x:c r="G2831" s="21" t="n">
        <x:f>F2825</x:f>
        <x:v>1430.9641726032276</x:v>
      </x:c>
      <x:c r="H2831" s="21" t="n">
        <x:f>F2830</x:f>
        <x:v>1423.0104462202353</x:v>
      </x:c>
      <x:c r="I2831" s="27" t="n">
        <x:f>IF(AND(ISNUMBER(G2831),ISNUMBER(H2831),H2831&gt;0),G2831/H2831-1,"")</x:f>
        <x:v>0.005589366124555628</x:v>
      </x:c>
      <x:c r="J2831" s="27" t="n">
        <x:f>IF(AND(ISNUMBER(G2831),F2831&gt;0),G2831/F2831-1,"")</x:f>
        <x:v>-0.020507064223214688</x:v>
      </x:c>
      <x:c r="K2831" s="19" t="str">
        <x:v>KuaiRec/EXP095/results/seed7200_Relative_cutoff_1e-2.json</x:v>
      </x:c>
    </x:row>
    <x:row r="2832" ht="15" hidden="0" customHeight="1">
      <x:c r="A2832" s="3" t="str">
        <x:v>EXP095</x:v>
      </x:c>
      <x:c r="B2832" s="3" t="str">
        <x:v>KuaiRec</x:v>
      </x:c>
      <x:c r="C2832" s="18" t="n">
        <x:v>7200</x:v>
      </x:c>
      <x:c r="D2832" s="3" t="str">
        <x:v>Relative cutoff 1e-4</x:v>
      </x:c>
      <x:c r="E2832" s="18" t="n">
        <x:v>600</x:v>
      </x:c>
      <x:c r="F2832" s="21" t="n">
        <x:v>1439.6053100102054</x:v>
      </x:c>
      <x:c r="G2832" s="21" t="n">
        <x:f>F2825</x:f>
        <x:v>1430.9641726032276</x:v>
      </x:c>
      <x:c r="H2832" s="21" t="n">
        <x:f>F2830</x:f>
        <x:v>1423.0104462202353</x:v>
      </x:c>
      <x:c r="I2832" s="27" t="n">
        <x:f>IF(AND(ISNUMBER(G2832),ISNUMBER(H2832),H2832&gt;0),G2832/H2832-1,"")</x:f>
        <x:v>0.005589366124555628</x:v>
      </x:c>
      <x:c r="J2832" s="27" t="n">
        <x:f>IF(AND(ISNUMBER(G2832),F2832&gt;0),G2832/F2832-1,"")</x:f>
        <x:v>-0.006002435075011303</x:v>
      </x:c>
      <x:c r="K2832" s="19" t="str">
        <x:v>KuaiRec/EXP095/results/seed7200_Relative_cutoff_1e-4.json</x:v>
      </x:c>
    </x:row>
    <x:row r="2833" ht="15" hidden="0" customHeight="1">
      <x:c r="A2833" s="3" t="str">
        <x:v>EXP095</x:v>
      </x:c>
      <x:c r="B2833" s="3" t="str">
        <x:v>KuaiRec</x:v>
      </x:c>
      <x:c r="C2833" s="18" t="n">
        <x:v>7201</x:v>
      </x:c>
      <x:c r="D2833" s="3" t="str">
        <x:v>BBP</x:v>
      </x:c>
      <x:c r="E2833" s="18" t="n">
        <x:v>600</x:v>
      </x:c>
      <x:c r="F2833" s="21" t="n">
        <x:v>1518.7430933235817</x:v>
      </x:c>
      <x:c r="G2833" s="21" t="n">
        <x:f>F2833</x:f>
        <x:v>1518.7430933235817</x:v>
      </x:c>
      <x:c r="H2833" s="21" t="n">
        <x:f>F2838</x:f>
        <x:v>1518.7430933235817</x:v>
      </x:c>
      <x:c r="I2833" s="27" t="n">
        <x:f>IF(AND(ISNUMBER(G2833),ISNUMBER(H2833),H2833&gt;0),G2833/H2833-1,"")</x:f>
        <x:v>0</x:v>
      </x:c>
      <x:c r="J2833" s="27" t="n">
        <x:f>IF(AND(ISNUMBER(G2833),F2833&gt;0),G2833/F2833-1,"")</x:f>
        <x:v>0</x:v>
      </x:c>
      <x:c r="K2833" s="19" t="str">
        <x:v>KuaiRec/EXP095/results/seed7201_BBP.json</x:v>
      </x:c>
    </x:row>
    <x:row r="2834" ht="15" hidden="0" customHeight="1">
      <x:c r="A2834" s="3" t="str">
        <x:v>EXP095</x:v>
      </x:c>
      <x:c r="B2834" s="3" t="str">
        <x:v>KuaiRec</x:v>
      </x:c>
      <x:c r="C2834" s="18" t="n">
        <x:v>7201</x:v>
      </x:c>
      <x:c r="D2834" s="3" t="str">
        <x:v>Relative cutoff 1e-5</x:v>
      </x:c>
      <x:c r="E2834" s="18" t="n">
        <x:v>600</x:v>
      </x:c>
      <x:c r="F2834" s="21" t="n">
        <x:v>1518.7430933235826</x:v>
      </x:c>
      <x:c r="G2834" s="21" t="n">
        <x:f>F2833</x:f>
        <x:v>1518.7430933235817</x:v>
      </x:c>
      <x:c r="H2834" s="21" t="n">
        <x:f>F2838</x:f>
        <x:v>1518.7430933235817</x:v>
      </x:c>
      <x:c r="I2834" s="27" t="n">
        <x:f>IF(AND(ISNUMBER(G2834),ISNUMBER(H2834),H2834&gt;0),G2834/H2834-1,"")</x:f>
        <x:v>0</x:v>
      </x:c>
      <x:c r="J2834" s="27" t="n">
        <x:f>IF(AND(ISNUMBER(G2834),F2834&gt;0),G2834/F2834-1,"")</x:f>
        <x:v>-5.551115123125783e-16</x:v>
      </x:c>
      <x:c r="K2834" s="19" t="str">
        <x:v>KuaiRec/EXP095/results/seed7201_Relative_cutoff_1e-5.json</x:v>
      </x:c>
    </x:row>
    <x:row r="2835" ht="15" hidden="0" customHeight="1">
      <x:c r="A2835" s="3" t="str">
        <x:v>EXP095</x:v>
      </x:c>
      <x:c r="B2835" s="3" t="str">
        <x:v>KuaiRec</x:v>
      </x:c>
      <x:c r="C2835" s="18" t="n">
        <x:v>7201</x:v>
      </x:c>
      <x:c r="D2835" s="3" t="str">
        <x:v>Fixed rank 10</x:v>
      </x:c>
      <x:c r="E2835" s="18" t="n">
        <x:v>600</x:v>
      </x:c>
      <x:c r="F2835" s="21" t="n">
        <x:v>1498.3405378798911</x:v>
      </x:c>
      <x:c r="G2835" s="21" t="n">
        <x:f>F2833</x:f>
        <x:v>1518.7430933235817</x:v>
      </x:c>
      <x:c r="H2835" s="21" t="n">
        <x:f>F2838</x:f>
        <x:v>1518.7430933235817</x:v>
      </x:c>
      <x:c r="I2835" s="27" t="n">
        <x:f>IF(AND(ISNUMBER(G2835),ISNUMBER(H2835),H2835&gt;0),G2835/H2835-1,"")</x:f>
        <x:v>0</x:v>
      </x:c>
      <x:c r="J2835" s="27" t="n">
        <x:f>IF(AND(ISNUMBER(G2835),F2835&gt;0),G2835/F2835-1,"")</x:f>
        <x:v>0.013616767969556243</x:v>
      </x:c>
      <x:c r="K2835" s="19" t="str">
        <x:v>KuaiRec/EXP095/results/seed7201_Fixed_rank_10.json</x:v>
      </x:c>
    </x:row>
    <x:row r="2836" ht="15" hidden="0" customHeight="1">
      <x:c r="A2836" s="3" t="str">
        <x:v>EXP095</x:v>
      </x:c>
      <x:c r="B2836" s="3" t="str">
        <x:v>KuaiRec</x:v>
      </x:c>
      <x:c r="C2836" s="18" t="n">
        <x:v>7201</x:v>
      </x:c>
      <x:c r="D2836" s="3" t="str">
        <x:v>Fixed rank 25</x:v>
      </x:c>
      <x:c r="E2836" s="18" t="n">
        <x:v>600</x:v>
      </x:c>
      <x:c r="F2836" s="21" t="n">
        <x:v>1518.7430933235817</x:v>
      </x:c>
      <x:c r="G2836" s="21" t="n">
        <x:f>F2833</x:f>
        <x:v>1518.7430933235817</x:v>
      </x:c>
      <x:c r="H2836" s="21" t="n">
        <x:f>F2838</x:f>
        <x:v>1518.7430933235817</x:v>
      </x:c>
      <x:c r="I2836" s="27" t="n">
        <x:f>IF(AND(ISNUMBER(G2836),ISNUMBER(H2836),H2836&gt;0),G2836/H2836-1,"")</x:f>
        <x:v>0</x:v>
      </x:c>
      <x:c r="J2836" s="27" t="n">
        <x:f>IF(AND(ISNUMBER(G2836),F2836&gt;0),G2836/F2836-1,"")</x:f>
        <x:v>0</x:v>
      </x:c>
      <x:c r="K2836" s="19" t="str">
        <x:v>KuaiRec/EXP095/results/seed7201_Fixed_rank_25.json</x:v>
      </x:c>
    </x:row>
    <x:row r="2837" ht="15" hidden="0" customHeight="1">
      <x:c r="A2837" s="3" t="str">
        <x:v>EXP095</x:v>
      </x:c>
      <x:c r="B2837" s="3" t="str">
        <x:v>KuaiRec</x:v>
      </x:c>
      <x:c r="C2837" s="18" t="n">
        <x:v>7201</x:v>
      </x:c>
      <x:c r="D2837" s="3" t="str">
        <x:v>Relative cutoff 1e-6</x:v>
      </x:c>
      <x:c r="E2837" s="18" t="n">
        <x:v>600</x:v>
      </x:c>
      <x:c r="F2837" s="21" t="n">
        <x:v>1518.7430933235817</x:v>
      </x:c>
      <x:c r="G2837" s="21" t="n">
        <x:f>F2833</x:f>
        <x:v>1518.7430933235817</x:v>
      </x:c>
      <x:c r="H2837" s="21" t="n">
        <x:f>F2838</x:f>
        <x:v>1518.7430933235817</x:v>
      </x:c>
      <x:c r="I2837" s="27" t="n">
        <x:f>IF(AND(ISNUMBER(G2837),ISNUMBER(H2837),H2837&gt;0),G2837/H2837-1,"")</x:f>
        <x:v>0</x:v>
      </x:c>
      <x:c r="J2837" s="27" t="n">
        <x:f>IF(AND(ISNUMBER(G2837),F2837&gt;0),G2837/F2837-1,"")</x:f>
        <x:v>0</x:v>
      </x:c>
      <x:c r="K2837" s="19" t="str">
        <x:v>KuaiRec/EXP095/results/seed7201_Relative_cutoff_1e-6.json</x:v>
      </x:c>
    </x:row>
    <x:row r="2838" ht="15" hidden="0" customHeight="1">
      <x:c r="A2838" s="3" t="str">
        <x:v>EXP095</x:v>
      </x:c>
      <x:c r="B2838" s="3" t="str">
        <x:v>KuaiRec</x:v>
      </x:c>
      <x:c r="C2838" s="18" t="n">
        <x:v>7201</x:v>
      </x:c>
      <x:c r="D2838" s="3" t="str">
        <x:v>Full</x:v>
      </x:c>
      <x:c r="E2838" s="18" t="n">
        <x:v>600</x:v>
      </x:c>
      <x:c r="F2838" s="21" t="n">
        <x:v>1518.7430933235817</x:v>
      </x:c>
      <x:c r="G2838" s="21" t="n">
        <x:f>F2833</x:f>
        <x:v>1518.7430933235817</x:v>
      </x:c>
      <x:c r="H2838" s="21" t="n">
        <x:f>F2838</x:f>
        <x:v>1518.7430933235817</x:v>
      </x:c>
      <x:c r="I2838" s="27" t="n">
        <x:f>IF(AND(ISNUMBER(G2838),ISNUMBER(H2838),H2838&gt;0),G2838/H2838-1,"")</x:f>
        <x:v>0</x:v>
      </x:c>
      <x:c r="J2838" s="27" t="n">
        <x:f>IF(AND(ISNUMBER(G2838),F2838&gt;0),G2838/F2838-1,"")</x:f>
        <x:v>0</x:v>
      </x:c>
      <x:c r="K2838" s="19" t="str">
        <x:v>KuaiRec/EXP095/results/seed7201_Full.json</x:v>
      </x:c>
    </x:row>
    <x:row r="2839" ht="15" hidden="0" customHeight="1">
      <x:c r="A2839" s="3" t="str">
        <x:v>EXP095</x:v>
      </x:c>
      <x:c r="B2839" s="3" t="str">
        <x:v>KuaiRec</x:v>
      </x:c>
      <x:c r="C2839" s="18" t="n">
        <x:v>7201</x:v>
      </x:c>
      <x:c r="D2839" s="3" t="str">
        <x:v>Relative cutoff 1e-2</x:v>
      </x:c>
      <x:c r="E2839" s="18" t="n">
        <x:v>600</x:v>
      </x:c>
      <x:c r="F2839" s="21" t="n">
        <x:v>1533.6552895669463</x:v>
      </x:c>
      <x:c r="G2839" s="21" t="n">
        <x:f>F2833</x:f>
        <x:v>1518.7430933235817</x:v>
      </x:c>
      <x:c r="H2839" s="21" t="n">
        <x:f>F2838</x:f>
        <x:v>1518.7430933235817</x:v>
      </x:c>
      <x:c r="I2839" s="27" t="n">
        <x:f>IF(AND(ISNUMBER(G2839),ISNUMBER(H2839),H2839&gt;0),G2839/H2839-1,"")</x:f>
        <x:v>0</x:v>
      </x:c>
      <x:c r="J2839" s="27" t="n">
        <x:f>IF(AND(ISNUMBER(G2839),F2839&gt;0),G2839/F2839-1,"")</x:f>
        <x:v>-0.009723303759852975</x:v>
      </x:c>
      <x:c r="K2839" s="19" t="str">
        <x:v>KuaiRec/EXP095/results/seed7201_Relative_cutoff_1e-2.json</x:v>
      </x:c>
    </x:row>
    <x:row r="2840" ht="15" hidden="0" customHeight="1">
      <x:c r="A2840" s="3" t="str">
        <x:v>EXP095</x:v>
      </x:c>
      <x:c r="B2840" s="3" t="str">
        <x:v>KuaiRec</x:v>
      </x:c>
      <x:c r="C2840" s="18" t="n">
        <x:v>7201</x:v>
      </x:c>
      <x:c r="D2840" s="3" t="str">
        <x:v>Relative cutoff 1e-4</x:v>
      </x:c>
      <x:c r="E2840" s="18" t="n">
        <x:v>600</x:v>
      </x:c>
      <x:c r="F2840" s="21" t="n">
        <x:v>1477.7455006382181</x:v>
      </x:c>
      <x:c r="G2840" s="21" t="n">
        <x:f>F2833</x:f>
        <x:v>1518.7430933235817</x:v>
      </x:c>
      <x:c r="H2840" s="21" t="n">
        <x:f>F2838</x:f>
        <x:v>1518.7430933235817</x:v>
      </x:c>
      <x:c r="I2840" s="27" t="n">
        <x:f>IF(AND(ISNUMBER(G2840),ISNUMBER(H2840),H2840&gt;0),G2840/H2840-1,"")</x:f>
        <x:v>0</x:v>
      </x:c>
      <x:c r="J2840" s="27" t="n">
        <x:f>IF(AND(ISNUMBER(G2840),F2840&gt;0),G2840/F2840-1,"")</x:f>
        <x:v>0.027743337853275207</x:v>
      </x:c>
      <x:c r="K2840" s="19" t="str">
        <x:v>KuaiRec/EXP095/results/seed7201_Relative_cutoff_1e-4.json</x:v>
      </x:c>
    </x:row>
    <x:row r="2841" ht="15" hidden="0" customHeight="1">
      <x:c r="A2841" s="3" t="str">
        <x:v>EXP095</x:v>
      </x:c>
      <x:c r="B2841" s="3" t="str">
        <x:v>KuaiRec</x:v>
      </x:c>
      <x:c r="C2841" s="18" t="n">
        <x:v>7202</x:v>
      </x:c>
      <x:c r="D2841" s="3" t="str">
        <x:v>BBP</x:v>
      </x:c>
      <x:c r="E2841" s="18" t="n">
        <x:v>600</x:v>
      </x:c>
      <x:c r="F2841" s="21" t="n">
        <x:v>1268.1770032309605</x:v>
      </x:c>
      <x:c r="G2841" s="21" t="n">
        <x:f>F2841</x:f>
        <x:v>1268.1770032309605</x:v>
      </x:c>
      <x:c r="H2841" s="21" t="n">
        <x:f>F2846</x:f>
        <x:v>1231.7025126904948</x:v>
      </x:c>
      <x:c r="I2841" s="27" t="n">
        <x:f>IF(AND(ISNUMBER(G2841),ISNUMBER(H2841),H2841&gt;0),G2841/H2841-1,"")</x:f>
        <x:v>0.0296130682243978</x:v>
      </x:c>
      <x:c r="J2841" s="27" t="n">
        <x:f>IF(AND(ISNUMBER(G2841),F2841&gt;0),G2841/F2841-1,"")</x:f>
        <x:v>0</x:v>
      </x:c>
      <x:c r="K2841" s="19" t="str">
        <x:v>KuaiRec/EXP095/results/seed7202_BBP.json</x:v>
      </x:c>
    </x:row>
    <x:row r="2842" ht="15" hidden="0" customHeight="1">
      <x:c r="A2842" s="3" t="str">
        <x:v>EXP095</x:v>
      </x:c>
      <x:c r="B2842" s="3" t="str">
        <x:v>KuaiRec</x:v>
      </x:c>
      <x:c r="C2842" s="18" t="n">
        <x:v>7202</x:v>
      </x:c>
      <x:c r="D2842" s="3" t="str">
        <x:v>Relative cutoff 1e-5</x:v>
      </x:c>
      <x:c r="E2842" s="18" t="n">
        <x:v>600</x:v>
      </x:c>
      <x:c r="F2842" s="21" t="n">
        <x:v>1235.4482858365982</x:v>
      </x:c>
      <x:c r="G2842" s="21" t="n">
        <x:f>F2841</x:f>
        <x:v>1268.1770032309605</x:v>
      </x:c>
      <x:c r="H2842" s="21" t="n">
        <x:f>F2846</x:f>
        <x:v>1231.7025126904948</x:v>
      </x:c>
      <x:c r="I2842" s="27" t="n">
        <x:f>IF(AND(ISNUMBER(G2842),ISNUMBER(H2842),H2842&gt;0),G2842/H2842-1,"")</x:f>
        <x:v>0.0296130682243978</x:v>
      </x:c>
      <x:c r="J2842" s="27" t="n">
        <x:f>IF(AND(ISNUMBER(G2842),F2842&gt;0),G2842/F2842-1,"")</x:f>
        <x:v>0.026491369788254282</x:v>
      </x:c>
      <x:c r="K2842" s="19" t="str">
        <x:v>KuaiRec/EXP095/results/seed7202_Relative_cutoff_1e-5.json</x:v>
      </x:c>
    </x:row>
    <x:row r="2843" ht="15" hidden="0" customHeight="1">
      <x:c r="A2843" s="3" t="str">
        <x:v>EXP095</x:v>
      </x:c>
      <x:c r="B2843" s="3" t="str">
        <x:v>KuaiRec</x:v>
      </x:c>
      <x:c r="C2843" s="18" t="n">
        <x:v>7202</x:v>
      </x:c>
      <x:c r="D2843" s="3" t="str">
        <x:v>Fixed rank 10</x:v>
      </x:c>
      <x:c r="E2843" s="18" t="n">
        <x:v>600</x:v>
      </x:c>
      <x:c r="F2843" s="21" t="n">
        <x:v>1152.4684797318623</x:v>
      </x:c>
      <x:c r="G2843" s="21" t="n">
        <x:f>F2841</x:f>
        <x:v>1268.1770032309605</x:v>
      </x:c>
      <x:c r="H2843" s="21" t="n">
        <x:f>F2846</x:f>
        <x:v>1231.7025126904948</x:v>
      </x:c>
      <x:c r="I2843" s="27" t="n">
        <x:f>IF(AND(ISNUMBER(G2843),ISNUMBER(H2843),H2843&gt;0),G2843/H2843-1,"")</x:f>
        <x:v>0.0296130682243978</x:v>
      </x:c>
      <x:c r="J2843" s="27" t="n">
        <x:f>IF(AND(ISNUMBER(G2843),F2843&gt;0),G2843/F2843-1,"")</x:f>
        <x:v>0.10040059709573956</x:v>
      </x:c>
      <x:c r="K2843" s="19" t="str">
        <x:v>KuaiRec/EXP095/results/seed7202_Fixed_rank_10.json</x:v>
      </x:c>
    </x:row>
    <x:row r="2844" ht="15" hidden="0" customHeight="1">
      <x:c r="A2844" s="3" t="str">
        <x:v>EXP095</x:v>
      </x:c>
      <x:c r="B2844" s="3" t="str">
        <x:v>KuaiRec</x:v>
      </x:c>
      <x:c r="C2844" s="18" t="n">
        <x:v>7202</x:v>
      </x:c>
      <x:c r="D2844" s="3" t="str">
        <x:v>Fixed rank 25</x:v>
      </x:c>
      <x:c r="E2844" s="18" t="n">
        <x:v>600</x:v>
      </x:c>
      <x:c r="F2844" s="21" t="n">
        <x:v>1248.1705609216717</x:v>
      </x:c>
      <x:c r="G2844" s="21" t="n">
        <x:f>F2841</x:f>
        <x:v>1268.1770032309605</x:v>
      </x:c>
      <x:c r="H2844" s="21" t="n">
        <x:f>F2846</x:f>
        <x:v>1231.7025126904948</x:v>
      </x:c>
      <x:c r="I2844" s="27" t="n">
        <x:f>IF(AND(ISNUMBER(G2844),ISNUMBER(H2844),H2844&gt;0),G2844/H2844-1,"")</x:f>
        <x:v>0.0296130682243978</x:v>
      </x:c>
      <x:c r="J2844" s="27" t="n">
        <x:f>IF(AND(ISNUMBER(G2844),F2844&gt;0),G2844/F2844-1,"")</x:f>
        <x:v>0.016028612543557808</x:v>
      </x:c>
      <x:c r="K2844" s="19" t="str">
        <x:v>KuaiRec/EXP095/results/seed7202_Fixed_rank_25.json</x:v>
      </x:c>
    </x:row>
    <x:row r="2845" ht="15" hidden="0" customHeight="1">
      <x:c r="A2845" s="3" t="str">
        <x:v>EXP095</x:v>
      </x:c>
      <x:c r="B2845" s="3" t="str">
        <x:v>KuaiRec</x:v>
      </x:c>
      <x:c r="C2845" s="18" t="n">
        <x:v>7202</x:v>
      </x:c>
      <x:c r="D2845" s="3" t="str">
        <x:v>Relative cutoff 1e-6</x:v>
      </x:c>
      <x:c r="E2845" s="18" t="n">
        <x:v>600</x:v>
      </x:c>
      <x:c r="F2845" s="21" t="n">
        <x:v>1268.1770032309605</x:v>
      </x:c>
      <x:c r="G2845" s="21" t="n">
        <x:f>F2841</x:f>
        <x:v>1268.1770032309605</x:v>
      </x:c>
      <x:c r="H2845" s="21" t="n">
        <x:f>F2846</x:f>
        <x:v>1231.7025126904948</x:v>
      </x:c>
      <x:c r="I2845" s="27" t="n">
        <x:f>IF(AND(ISNUMBER(G2845),ISNUMBER(H2845),H2845&gt;0),G2845/H2845-1,"")</x:f>
        <x:v>0.0296130682243978</x:v>
      </x:c>
      <x:c r="J2845" s="27" t="n">
        <x:f>IF(AND(ISNUMBER(G2845),F2845&gt;0),G2845/F2845-1,"")</x:f>
        <x:v>0</x:v>
      </x:c>
      <x:c r="K2845" s="19" t="str">
        <x:v>KuaiRec/EXP095/results/seed7202_Relative_cutoff_1e-6.json</x:v>
      </x:c>
    </x:row>
    <x:row r="2846" ht="15" hidden="0" customHeight="1">
      <x:c r="A2846" s="3" t="str">
        <x:v>EXP095</x:v>
      </x:c>
      <x:c r="B2846" s="3" t="str">
        <x:v>KuaiRec</x:v>
      </x:c>
      <x:c r="C2846" s="18" t="n">
        <x:v>7202</x:v>
      </x:c>
      <x:c r="D2846" s="3" t="str">
        <x:v>Full</x:v>
      </x:c>
      <x:c r="E2846" s="18" t="n">
        <x:v>600</x:v>
      </x:c>
      <x:c r="F2846" s="21" t="n">
        <x:v>1231.7025126904948</x:v>
      </x:c>
      <x:c r="G2846" s="21" t="n">
        <x:f>F2841</x:f>
        <x:v>1268.1770032309605</x:v>
      </x:c>
      <x:c r="H2846" s="21" t="n">
        <x:f>F2846</x:f>
        <x:v>1231.7025126904948</x:v>
      </x:c>
      <x:c r="I2846" s="27" t="n">
        <x:f>IF(AND(ISNUMBER(G2846),ISNUMBER(H2846),H2846&gt;0),G2846/H2846-1,"")</x:f>
        <x:v>0.0296130682243978</x:v>
      </x:c>
      <x:c r="J2846" s="27" t="n">
        <x:f>IF(AND(ISNUMBER(G2846),F2846&gt;0),G2846/F2846-1,"")</x:f>
        <x:v>0.0296130682243978</x:v>
      </x:c>
      <x:c r="K2846" s="19" t="str">
        <x:v>KuaiRec/EXP095/results/seed7202_Full.json</x:v>
      </x:c>
    </x:row>
    <x:row r="2847" ht="15" hidden="0" customHeight="1">
      <x:c r="A2847" s="3" t="str">
        <x:v>EXP095</x:v>
      </x:c>
      <x:c r="B2847" s="3" t="str">
        <x:v>KuaiRec</x:v>
      </x:c>
      <x:c r="C2847" s="18" t="n">
        <x:v>7202</x:v>
      </x:c>
      <x:c r="D2847" s="3" t="str">
        <x:v>Relative cutoff 1e-2</x:v>
      </x:c>
      <x:c r="E2847" s="18" t="n">
        <x:v>600</x:v>
      </x:c>
      <x:c r="F2847" s="21" t="n">
        <x:v>1364.8839308739316</x:v>
      </x:c>
      <x:c r="G2847" s="21" t="n">
        <x:f>F2841</x:f>
        <x:v>1268.1770032309605</x:v>
      </x:c>
      <x:c r="H2847" s="21" t="n">
        <x:f>F2846</x:f>
        <x:v>1231.7025126904948</x:v>
      </x:c>
      <x:c r="I2847" s="27" t="n">
        <x:f>IF(AND(ISNUMBER(G2847),ISNUMBER(H2847),H2847&gt;0),G2847/H2847-1,"")</x:f>
        <x:v>0.0296130682243978</x:v>
      </x:c>
      <x:c r="J2847" s="27" t="n">
        <x:f>IF(AND(ISNUMBER(G2847),F2847&gt;0),G2847/F2847-1,"")</x:f>
        <x:v>-0.07085359088450105</x:v>
      </x:c>
      <x:c r="K2847" s="19" t="str">
        <x:v>KuaiRec/EXP095/results/seed7202_Relative_cutoff_1e-2.json</x:v>
      </x:c>
    </x:row>
    <x:row r="2848" ht="15" hidden="0" customHeight="1">
      <x:c r="A2848" s="3" t="str">
        <x:v>EXP095</x:v>
      </x:c>
      <x:c r="B2848" s="3" t="str">
        <x:v>KuaiRec</x:v>
      </x:c>
      <x:c r="C2848" s="18" t="n">
        <x:v>7202</x:v>
      </x:c>
      <x:c r="D2848" s="3" t="str">
        <x:v>Relative cutoff 1e-4</x:v>
      </x:c>
      <x:c r="E2848" s="18" t="n">
        <x:v>600</x:v>
      </x:c>
      <x:c r="F2848" s="21" t="n">
        <x:v>1163.6970348361147</x:v>
      </x:c>
      <x:c r="G2848" s="21" t="n">
        <x:f>F2841</x:f>
        <x:v>1268.1770032309605</x:v>
      </x:c>
      <x:c r="H2848" s="21" t="n">
        <x:f>F2846</x:f>
        <x:v>1231.7025126904948</x:v>
      </x:c>
      <x:c r="I2848" s="27" t="n">
        <x:f>IF(AND(ISNUMBER(G2848),ISNUMBER(H2848),H2848&gt;0),G2848/H2848-1,"")</x:f>
        <x:v>0.0296130682243978</x:v>
      </x:c>
      <x:c r="J2848" s="27" t="n">
        <x:f>IF(AND(ISNUMBER(G2848),F2848&gt;0),G2848/F2848-1,"")</x:f>
        <x:v>0.08978279162631009</x:v>
      </x:c>
      <x:c r="K2848" s="19" t="str">
        <x:v>KuaiRec/EXP095/results/seed7202_Relative_cutoff_1e-4.json</x:v>
      </x:c>
    </x:row>
    <x:row r="2849" ht="15" hidden="0" customHeight="1">
      <x:c r="A2849" s="3" t="str">
        <x:v>EXP095</x:v>
      </x:c>
      <x:c r="B2849" s="3" t="str">
        <x:v>KuaiRec</x:v>
      </x:c>
      <x:c r="C2849" s="18" t="n">
        <x:v>7203</x:v>
      </x:c>
      <x:c r="D2849" s="3" t="str">
        <x:v>BBP</x:v>
      </x:c>
      <x:c r="E2849" s="18" t="n">
        <x:v>600</x:v>
      </x:c>
      <x:c r="F2849" s="21" t="n">
        <x:v>1437.1930096959622</x:v>
      </x:c>
      <x:c r="G2849" s="21" t="n">
        <x:f>F2849</x:f>
        <x:v>1437.1930096959622</x:v>
      </x:c>
      <x:c r="H2849" s="21" t="n">
        <x:f>F2854</x:f>
        <x:v>1460.008810586672</x:v>
      </x:c>
      <x:c r="I2849" s="27" t="n">
        <x:f>IF(AND(ISNUMBER(G2849),ISNUMBER(H2849),H2849&gt;0),G2849/H2849-1,"")</x:f>
        <x:v>-0.015627166579591956</x:v>
      </x:c>
      <x:c r="J2849" s="27" t="n">
        <x:f>IF(AND(ISNUMBER(G2849),F2849&gt;0),G2849/F2849-1,"")</x:f>
        <x:v>0</x:v>
      </x:c>
      <x:c r="K2849" s="19" t="str">
        <x:v>KuaiRec/EXP095/results/seed7203_BBP.json</x:v>
      </x:c>
    </x:row>
    <x:row r="2850" ht="15" hidden="0" customHeight="1">
      <x:c r="A2850" s="3" t="str">
        <x:v>EXP095</x:v>
      </x:c>
      <x:c r="B2850" s="3" t="str">
        <x:v>KuaiRec</x:v>
      </x:c>
      <x:c r="C2850" s="18" t="n">
        <x:v>7203</x:v>
      </x:c>
      <x:c r="D2850" s="3" t="str">
        <x:v>Relative cutoff 1e-5</x:v>
      </x:c>
      <x:c r="E2850" s="18" t="n">
        <x:v>600</x:v>
      </x:c>
      <x:c r="F2850" s="21" t="n">
        <x:v>1432.3737995510417</x:v>
      </x:c>
      <x:c r="G2850" s="21" t="n">
        <x:f>F2849</x:f>
        <x:v>1437.1930096959622</x:v>
      </x:c>
      <x:c r="H2850" s="21" t="n">
        <x:f>F2854</x:f>
        <x:v>1460.008810586672</x:v>
      </x:c>
      <x:c r="I2850" s="27" t="n">
        <x:f>IF(AND(ISNUMBER(G2850),ISNUMBER(H2850),H2850&gt;0),G2850/H2850-1,"")</x:f>
        <x:v>-0.015627166579591956</x:v>
      </x:c>
      <x:c r="J2850" s="27" t="n">
        <x:f>IF(AND(ISNUMBER(G2850),F2850&gt;0),G2850/F2850-1,"")</x:f>
        <x:v>0.003364491968808059</x:v>
      </x:c>
      <x:c r="K2850" s="19" t="str">
        <x:v>KuaiRec/EXP095/results/seed7203_Relative_cutoff_1e-5.json</x:v>
      </x:c>
    </x:row>
    <x:row r="2851" ht="15" hidden="0" customHeight="1">
      <x:c r="A2851" s="3" t="str">
        <x:v>EXP095</x:v>
      </x:c>
      <x:c r="B2851" s="3" t="str">
        <x:v>KuaiRec</x:v>
      </x:c>
      <x:c r="C2851" s="18" t="n">
        <x:v>7203</x:v>
      </x:c>
      <x:c r="D2851" s="3" t="str">
        <x:v>Fixed rank 10</x:v>
      </x:c>
      <x:c r="E2851" s="18" t="n">
        <x:v>600</x:v>
      </x:c>
      <x:c r="F2851" s="21" t="n">
        <x:v>1437.3849705061618</x:v>
      </x:c>
      <x:c r="G2851" s="21" t="n">
        <x:f>F2849</x:f>
        <x:v>1437.1930096959622</x:v>
      </x:c>
      <x:c r="H2851" s="21" t="n">
        <x:f>F2854</x:f>
        <x:v>1460.008810586672</x:v>
      </x:c>
      <x:c r="I2851" s="27" t="n">
        <x:f>IF(AND(ISNUMBER(G2851),ISNUMBER(H2851),H2851&gt;0),G2851/H2851-1,"")</x:f>
        <x:v>-0.015627166579591956</x:v>
      </x:c>
      <x:c r="J2851" s="27" t="n">
        <x:f>IF(AND(ISNUMBER(G2851),F2851&gt;0),G2851/F2851-1,"")</x:f>
        <x:v>-0.00013354864155290525</x:v>
      </x:c>
      <x:c r="K2851" s="19" t="str">
        <x:v>KuaiRec/EXP095/results/seed7203_Fixed_rank_10.json</x:v>
      </x:c>
    </x:row>
    <x:row r="2852" ht="15" hidden="0" customHeight="1">
      <x:c r="A2852" s="3" t="str">
        <x:v>EXP095</x:v>
      </x:c>
      <x:c r="B2852" s="3" t="str">
        <x:v>KuaiRec</x:v>
      </x:c>
      <x:c r="C2852" s="18" t="n">
        <x:v>7203</x:v>
      </x:c>
      <x:c r="D2852" s="3" t="str">
        <x:v>Fixed rank 25</x:v>
      </x:c>
      <x:c r="E2852" s="18" t="n">
        <x:v>600</x:v>
      </x:c>
      <x:c r="F2852" s="21" t="n">
        <x:v>1437.3056856433714</x:v>
      </x:c>
      <x:c r="G2852" s="21" t="n">
        <x:f>F2849</x:f>
        <x:v>1437.1930096959622</x:v>
      </x:c>
      <x:c r="H2852" s="21" t="n">
        <x:f>F2854</x:f>
        <x:v>1460.008810586672</x:v>
      </x:c>
      <x:c r="I2852" s="27" t="n">
        <x:f>IF(AND(ISNUMBER(G2852),ISNUMBER(H2852),H2852&gt;0),G2852/H2852-1,"")</x:f>
        <x:v>-0.015627166579591956</x:v>
      </x:c>
      <x:c r="J2852" s="27" t="n">
        <x:f>IF(AND(ISNUMBER(G2852),F2852&gt;0),G2852/F2852-1,"")</x:f>
        <x:v>-0.0000783938646695681</x:v>
      </x:c>
      <x:c r="K2852" s="19" t="str">
        <x:v>KuaiRec/EXP095/results/seed7203_Fixed_rank_25.json</x:v>
      </x:c>
    </x:row>
    <x:row r="2853" ht="15" hidden="0" customHeight="1">
      <x:c r="A2853" s="3" t="str">
        <x:v>EXP095</x:v>
      </x:c>
      <x:c r="B2853" s="3" t="str">
        <x:v>KuaiRec</x:v>
      </x:c>
      <x:c r="C2853" s="18" t="n">
        <x:v>7203</x:v>
      </x:c>
      <x:c r="D2853" s="3" t="str">
        <x:v>Relative cutoff 1e-6</x:v>
      </x:c>
      <x:c r="E2853" s="18" t="n">
        <x:v>600</x:v>
      </x:c>
      <x:c r="F2853" s="21" t="n">
        <x:v>1446.5558763377585</x:v>
      </x:c>
      <x:c r="G2853" s="21" t="n">
        <x:f>F2849</x:f>
        <x:v>1437.1930096959622</x:v>
      </x:c>
      <x:c r="H2853" s="21" t="n">
        <x:f>F2854</x:f>
        <x:v>1460.008810586672</x:v>
      </x:c>
      <x:c r="I2853" s="27" t="n">
        <x:f>IF(AND(ISNUMBER(G2853),ISNUMBER(H2853),H2853&gt;0),G2853/H2853-1,"")</x:f>
        <x:v>-0.015627166579591956</x:v>
      </x:c>
      <x:c r="J2853" s="27" t="n">
        <x:f>IF(AND(ISNUMBER(G2853),F2853&gt;0),G2853/F2853-1,"")</x:f>
        <x:v>-0.006472523318974854</x:v>
      </x:c>
      <x:c r="K2853" s="19" t="str">
        <x:v>KuaiRec/EXP095/results/seed7203_Relative_cutoff_1e-6.json</x:v>
      </x:c>
    </x:row>
    <x:row r="2854" ht="15" hidden="0" customHeight="1">
      <x:c r="A2854" s="3" t="str">
        <x:v>EXP095</x:v>
      </x:c>
      <x:c r="B2854" s="3" t="str">
        <x:v>KuaiRec</x:v>
      </x:c>
      <x:c r="C2854" s="18" t="n">
        <x:v>7203</x:v>
      </x:c>
      <x:c r="D2854" s="3" t="str">
        <x:v>Full</x:v>
      </x:c>
      <x:c r="E2854" s="18" t="n">
        <x:v>600</x:v>
      </x:c>
      <x:c r="F2854" s="21" t="n">
        <x:v>1460.008810586672</x:v>
      </x:c>
      <x:c r="G2854" s="21" t="n">
        <x:f>F2849</x:f>
        <x:v>1437.1930096959622</x:v>
      </x:c>
      <x:c r="H2854" s="21" t="n">
        <x:f>F2854</x:f>
        <x:v>1460.008810586672</x:v>
      </x:c>
      <x:c r="I2854" s="27" t="n">
        <x:f>IF(AND(ISNUMBER(G2854),ISNUMBER(H2854),H2854&gt;0),G2854/H2854-1,"")</x:f>
        <x:v>-0.015627166579591956</x:v>
      </x:c>
      <x:c r="J2854" s="27" t="n">
        <x:f>IF(AND(ISNUMBER(G2854),F2854&gt;0),G2854/F2854-1,"")</x:f>
        <x:v>-0.015627166579591956</x:v>
      </x:c>
      <x:c r="K2854" s="19" t="str">
        <x:v>KuaiRec/EXP095/results/seed7203_Full.json</x:v>
      </x:c>
    </x:row>
    <x:row r="2855" ht="15" hidden="0" customHeight="1">
      <x:c r="A2855" s="3" t="str">
        <x:v>EXP095</x:v>
      </x:c>
      <x:c r="B2855" s="3" t="str">
        <x:v>KuaiRec</x:v>
      </x:c>
      <x:c r="C2855" s="18" t="n">
        <x:v>7203</x:v>
      </x:c>
      <x:c r="D2855" s="3" t="str">
        <x:v>Relative cutoff 1e-2</x:v>
      </x:c>
      <x:c r="E2855" s="18" t="n">
        <x:v>600</x:v>
      </x:c>
      <x:c r="F2855" s="21" t="n">
        <x:v>1469.500497696541</x:v>
      </x:c>
      <x:c r="G2855" s="21" t="n">
        <x:f>F2849</x:f>
        <x:v>1437.1930096959622</x:v>
      </x:c>
      <x:c r="H2855" s="21" t="n">
        <x:f>F2854</x:f>
        <x:v>1460.008810586672</x:v>
      </x:c>
      <x:c r="I2855" s="27" t="n">
        <x:f>IF(AND(ISNUMBER(G2855),ISNUMBER(H2855),H2855&gt;0),G2855/H2855-1,"")</x:f>
        <x:v>-0.015627166579591956</x:v>
      </x:c>
      <x:c r="J2855" s="27" t="n">
        <x:f>IF(AND(ISNUMBER(G2855),F2855&gt;0),G2855/F2855-1,"")</x:f>
        <x:v>-0.02198535356144571</x:v>
      </x:c>
      <x:c r="K2855" s="19" t="str">
        <x:v>KuaiRec/EXP095/results/seed7203_Relative_cutoff_1e-2.json</x:v>
      </x:c>
    </x:row>
    <x:row r="2856" ht="15" hidden="0" customHeight="1">
      <x:c r="A2856" s="3" t="str">
        <x:v>EXP095</x:v>
      </x:c>
      <x:c r="B2856" s="3" t="str">
        <x:v>KuaiRec</x:v>
      </x:c>
      <x:c r="C2856" s="18" t="n">
        <x:v>7203</x:v>
      </x:c>
      <x:c r="D2856" s="3" t="str">
        <x:v>Relative cutoff 1e-4</x:v>
      </x:c>
      <x:c r="E2856" s="18" t="n">
        <x:v>600</x:v>
      </x:c>
      <x:c r="F2856" s="21" t="n">
        <x:v>1437.0126929320038</x:v>
      </x:c>
      <x:c r="G2856" s="21" t="n">
        <x:f>F2849</x:f>
        <x:v>1437.1930096959622</x:v>
      </x:c>
      <x:c r="H2856" s="21" t="n">
        <x:f>F2854</x:f>
        <x:v>1460.008810586672</x:v>
      </x:c>
      <x:c r="I2856" s="27" t="n">
        <x:f>IF(AND(ISNUMBER(G2856),ISNUMBER(H2856),H2856&gt;0),G2856/H2856-1,"")</x:f>
        <x:v>-0.015627166579591956</x:v>
      </x:c>
      <x:c r="J2856" s="27" t="n">
        <x:f>IF(AND(ISNUMBER(G2856),F2856&gt;0),G2856/F2856-1,"")</x:f>
        <x:v>0.00012548028618342144</x:v>
      </x:c>
      <x:c r="K2856" s="19" t="str">
        <x:v>KuaiRec/EXP095/results/seed7203_Relative_cutoff_1e-4.json</x:v>
      </x:c>
    </x:row>
    <x:row r="2857" ht="15" hidden="0" customHeight="1">
      <x:c r="A2857" s="3" t="str">
        <x:v>EXP095</x:v>
      </x:c>
      <x:c r="B2857" s="3" t="str">
        <x:v>KuaiRec</x:v>
      </x:c>
      <x:c r="C2857" s="18" t="n">
        <x:v>7204</x:v>
      </x:c>
      <x:c r="D2857" s="3" t="str">
        <x:v>BBP</x:v>
      </x:c>
      <x:c r="E2857" s="18" t="n">
        <x:v>600</x:v>
      </x:c>
      <x:c r="F2857" s="21" t="n">
        <x:v>1348.940576505737</x:v>
      </x:c>
      <x:c r="G2857" s="21" t="n">
        <x:f>F2857</x:f>
        <x:v>1348.940576505737</x:v>
      </x:c>
      <x:c r="H2857" s="21" t="n">
        <x:f>F2862</x:f>
        <x:v>1338.304140402632</x:v>
      </x:c>
      <x:c r="I2857" s="27" t="n">
        <x:f>IF(AND(ISNUMBER(G2857),ISNUMBER(H2857),H2857&gt;0),G2857/H2857-1,"")</x:f>
        <x:v>0.007947697225165307</x:v>
      </x:c>
      <x:c r="J2857" s="27" t="n">
        <x:f>IF(AND(ISNUMBER(G2857),F2857&gt;0),G2857/F2857-1,"")</x:f>
        <x:v>0</x:v>
      </x:c>
      <x:c r="K2857" s="19" t="str">
        <x:v>KuaiRec/EXP095/results/seed7204_BBP.json</x:v>
      </x:c>
    </x:row>
    <x:row r="2858" ht="15" hidden="0" customHeight="1">
      <x:c r="A2858" s="3" t="str">
        <x:v>EXP095</x:v>
      </x:c>
      <x:c r="B2858" s="3" t="str">
        <x:v>KuaiRec</x:v>
      </x:c>
      <x:c r="C2858" s="18" t="n">
        <x:v>7204</x:v>
      </x:c>
      <x:c r="D2858" s="3" t="str">
        <x:v>Relative cutoff 1e-5</x:v>
      </x:c>
      <x:c r="E2858" s="18" t="n">
        <x:v>600</x:v>
      </x:c>
      <x:c r="F2858" s="21" t="n">
        <x:v>1416.4300216662084</x:v>
      </x:c>
      <x:c r="G2858" s="21" t="n">
        <x:f>F2857</x:f>
        <x:v>1348.940576505737</x:v>
      </x:c>
      <x:c r="H2858" s="21" t="n">
        <x:f>F2862</x:f>
        <x:v>1338.304140402632</x:v>
      </x:c>
      <x:c r="I2858" s="27" t="n">
        <x:f>IF(AND(ISNUMBER(G2858),ISNUMBER(H2858),H2858&gt;0),G2858/H2858-1,"")</x:f>
        <x:v>0.007947697225165307</x:v>
      </x:c>
      <x:c r="J2858" s="27" t="n">
        <x:f>IF(AND(ISNUMBER(G2858),F2858&gt;0),G2858/F2858-1,"")</x:f>
        <x:v>-0.04764756756643762</x:v>
      </x:c>
      <x:c r="K2858" s="19" t="str">
        <x:v>KuaiRec/EXP095/results/seed7204_Relative_cutoff_1e-5.json</x:v>
      </x:c>
    </x:row>
    <x:row r="2859" ht="15" hidden="0" customHeight="1">
      <x:c r="A2859" s="3" t="str">
        <x:v>EXP095</x:v>
      </x:c>
      <x:c r="B2859" s="3" t="str">
        <x:v>KuaiRec</x:v>
      </x:c>
      <x:c r="C2859" s="18" t="n">
        <x:v>7204</x:v>
      </x:c>
      <x:c r="D2859" s="3" t="str">
        <x:v>Fixed rank 10</x:v>
      </x:c>
      <x:c r="E2859" s="18" t="n">
        <x:v>600</x:v>
      </x:c>
      <x:c r="F2859" s="21" t="n">
        <x:v>1425.6638143664377</x:v>
      </x:c>
      <x:c r="G2859" s="21" t="n">
        <x:f>F2857</x:f>
        <x:v>1348.940576505737</x:v>
      </x:c>
      <x:c r="H2859" s="21" t="n">
        <x:f>F2862</x:f>
        <x:v>1338.304140402632</x:v>
      </x:c>
      <x:c r="I2859" s="27" t="n">
        <x:f>IF(AND(ISNUMBER(G2859),ISNUMBER(H2859),H2859&gt;0),G2859/H2859-1,"")</x:f>
        <x:v>0.007947697225165307</x:v>
      </x:c>
      <x:c r="J2859" s="27" t="n">
        <x:f>IF(AND(ISNUMBER(G2859),F2859&gt;0),G2859/F2859-1,"")</x:f>
        <x:v>-0.05381579941046366</x:v>
      </x:c>
      <x:c r="K2859" s="19" t="str">
        <x:v>KuaiRec/EXP095/results/seed7204_Fixed_rank_10.json</x:v>
      </x:c>
    </x:row>
    <x:row r="2860" ht="15" hidden="0" customHeight="1">
      <x:c r="A2860" s="3" t="str">
        <x:v>EXP095</x:v>
      </x:c>
      <x:c r="B2860" s="3" t="str">
        <x:v>KuaiRec</x:v>
      </x:c>
      <x:c r="C2860" s="18" t="n">
        <x:v>7204</x:v>
      </x:c>
      <x:c r="D2860" s="3" t="str">
        <x:v>Fixed rank 25</x:v>
      </x:c>
      <x:c r="E2860" s="18" t="n">
        <x:v>600</x:v>
      </x:c>
      <x:c r="F2860" s="21" t="n">
        <x:v>1348.016953635113</x:v>
      </x:c>
      <x:c r="G2860" s="21" t="n">
        <x:f>F2857</x:f>
        <x:v>1348.940576505737</x:v>
      </x:c>
      <x:c r="H2860" s="21" t="n">
        <x:f>F2862</x:f>
        <x:v>1338.304140402632</x:v>
      </x:c>
      <x:c r="I2860" s="27" t="n">
        <x:f>IF(AND(ISNUMBER(G2860),ISNUMBER(H2860),H2860&gt;0),G2860/H2860-1,"")</x:f>
        <x:v>0.007947697225165307</x:v>
      </x:c>
      <x:c r="J2860" s="27" t="n">
        <x:f>IF(AND(ISNUMBER(G2860),F2860&gt;0),G2860/F2860-1,"")</x:f>
        <x:v>0.0006851715537652403</x:v>
      </x:c>
      <x:c r="K2860" s="19" t="str">
        <x:v>KuaiRec/EXP095/results/seed7204_Fixed_rank_25.json</x:v>
      </x:c>
    </x:row>
    <x:row r="2861" ht="15" hidden="0" customHeight="1">
      <x:c r="A2861" s="3" t="str">
        <x:v>EXP095</x:v>
      </x:c>
      <x:c r="B2861" s="3" t="str">
        <x:v>KuaiRec</x:v>
      </x:c>
      <x:c r="C2861" s="18" t="n">
        <x:v>7204</x:v>
      </x:c>
      <x:c r="D2861" s="3" t="str">
        <x:v>Relative cutoff 1e-6</x:v>
      </x:c>
      <x:c r="E2861" s="18" t="n">
        <x:v>600</x:v>
      </x:c>
      <x:c r="F2861" s="21" t="n">
        <x:v>1347.1738613322996</x:v>
      </x:c>
      <x:c r="G2861" s="21" t="n">
        <x:f>F2857</x:f>
        <x:v>1348.940576505737</x:v>
      </x:c>
      <x:c r="H2861" s="21" t="n">
        <x:f>F2862</x:f>
        <x:v>1338.304140402632</x:v>
      </x:c>
      <x:c r="I2861" s="27" t="n">
        <x:f>IF(AND(ISNUMBER(G2861),ISNUMBER(H2861),H2861&gt;0),G2861/H2861-1,"")</x:f>
        <x:v>0.007947697225165307</x:v>
      </x:c>
      <x:c r="J2861" s="27" t="n">
        <x:f>IF(AND(ISNUMBER(G2861),F2861&gt;0),G2861/F2861-1,"")</x:f>
        <x:v>0.0013114232870359288</x:v>
      </x:c>
      <x:c r="K2861" s="19" t="str">
        <x:v>KuaiRec/EXP095/results/seed7204_Relative_cutoff_1e-6.json</x:v>
      </x:c>
    </x:row>
    <x:row r="2862" ht="15" hidden="0" customHeight="1">
      <x:c r="A2862" s="3" t="str">
        <x:v>EXP095</x:v>
      </x:c>
      <x:c r="B2862" s="3" t="str">
        <x:v>KuaiRec</x:v>
      </x:c>
      <x:c r="C2862" s="18" t="n">
        <x:v>7204</x:v>
      </x:c>
      <x:c r="D2862" s="3" t="str">
        <x:v>Full</x:v>
      </x:c>
      <x:c r="E2862" s="18" t="n">
        <x:v>600</x:v>
      </x:c>
      <x:c r="F2862" s="21" t="n">
        <x:v>1338.304140402632</x:v>
      </x:c>
      <x:c r="G2862" s="21" t="n">
        <x:f>F2857</x:f>
        <x:v>1348.940576505737</x:v>
      </x:c>
      <x:c r="H2862" s="21" t="n">
        <x:f>F2862</x:f>
        <x:v>1338.304140402632</x:v>
      </x:c>
      <x:c r="I2862" s="27" t="n">
        <x:f>IF(AND(ISNUMBER(G2862),ISNUMBER(H2862),H2862&gt;0),G2862/H2862-1,"")</x:f>
        <x:v>0.007947697225165307</x:v>
      </x:c>
      <x:c r="J2862" s="27" t="n">
        <x:f>IF(AND(ISNUMBER(G2862),F2862&gt;0),G2862/F2862-1,"")</x:f>
        <x:v>0.007947697225165307</x:v>
      </x:c>
      <x:c r="K2862" s="19" t="str">
        <x:v>KuaiRec/EXP095/results/seed7204_Full.json</x:v>
      </x:c>
    </x:row>
    <x:row r="2863" ht="15" hidden="0" customHeight="1">
      <x:c r="A2863" s="3" t="str">
        <x:v>EXP095</x:v>
      </x:c>
      <x:c r="B2863" s="3" t="str">
        <x:v>KuaiRec</x:v>
      </x:c>
      <x:c r="C2863" s="18" t="n">
        <x:v>7204</x:v>
      </x:c>
      <x:c r="D2863" s="3" t="str">
        <x:v>Relative cutoff 1e-2</x:v>
      </x:c>
      <x:c r="E2863" s="18" t="n">
        <x:v>600</x:v>
      </x:c>
      <x:c r="F2863" s="21" t="n">
        <x:v>1505.6095336445544</x:v>
      </x:c>
      <x:c r="G2863" s="21" t="n">
        <x:f>F2857</x:f>
        <x:v>1348.940576505737</x:v>
      </x:c>
      <x:c r="H2863" s="21" t="n">
        <x:f>F2862</x:f>
        <x:v>1338.304140402632</x:v>
      </x:c>
      <x:c r="I2863" s="27" t="n">
        <x:f>IF(AND(ISNUMBER(G2863),ISNUMBER(H2863),H2863&gt;0),G2863/H2863-1,"")</x:f>
        <x:v>0.007947697225165307</x:v>
      </x:c>
      <x:c r="J2863" s="27" t="n">
        <x:f>IF(AND(ISNUMBER(G2863),F2863&gt;0),G2863/F2863-1,"")</x:f>
        <x:v>-0.10405683122872944</x:v>
      </x:c>
      <x:c r="K2863" s="19" t="str">
        <x:v>KuaiRec/EXP095/results/seed7204_Relative_cutoff_1e-2.json</x:v>
      </x:c>
    </x:row>
    <x:row r="2864" ht="15" hidden="0" customHeight="1">
      <x:c r="A2864" s="3" t="str">
        <x:v>EXP095</x:v>
      </x:c>
      <x:c r="B2864" s="3" t="str">
        <x:v>KuaiRec</x:v>
      </x:c>
      <x:c r="C2864" s="18" t="n">
        <x:v>7204</x:v>
      </x:c>
      <x:c r="D2864" s="3" t="str">
        <x:v>Relative cutoff 1e-4</x:v>
      </x:c>
      <x:c r="E2864" s="18" t="n">
        <x:v>600</x:v>
      </x:c>
      <x:c r="F2864" s="21" t="n">
        <x:v>1467.8146888426074</x:v>
      </x:c>
      <x:c r="G2864" s="21" t="n">
        <x:f>F2857</x:f>
        <x:v>1348.940576505737</x:v>
      </x:c>
      <x:c r="H2864" s="21" t="n">
        <x:f>F2862</x:f>
        <x:v>1338.304140402632</x:v>
      </x:c>
      <x:c r="I2864" s="27" t="n">
        <x:f>IF(AND(ISNUMBER(G2864),ISNUMBER(H2864),H2864&gt;0),G2864/H2864-1,"")</x:f>
        <x:v>0.007947697225165307</x:v>
      </x:c>
      <x:c r="J2864" s="27" t="n">
        <x:f>IF(AND(ISNUMBER(G2864),F2864&gt;0),G2864/F2864-1,"")</x:f>
        <x:v>-0.08098713907176136</x:v>
      </x:c>
      <x:c r="K2864" s="19" t="str">
        <x:v>KuaiRec/EXP095/results/seed7204_Relative_cutoff_1e-4.json</x:v>
      </x:c>
    </x:row>
    <x:row r="2865" ht="15" hidden="0" customHeight="1">
      <x:c r="A2865" s="3" t="str">
        <x:v>EXP095</x:v>
      </x:c>
      <x:c r="B2865" s="3" t="str">
        <x:v>KuaiRec</x:v>
      </x:c>
      <x:c r="C2865" s="18" t="n">
        <x:v>7205</x:v>
      </x:c>
      <x:c r="D2865" s="3" t="str">
        <x:v>BBP</x:v>
      </x:c>
      <x:c r="E2865" s="18" t="n">
        <x:v>600</x:v>
      </x:c>
      <x:c r="F2865" s="21" t="n">
        <x:v>1359.6157681839168</x:v>
      </x:c>
      <x:c r="G2865" s="21" t="n">
        <x:f>F2865</x:f>
        <x:v>1359.6157681839168</x:v>
      </x:c>
      <x:c r="H2865" s="21" t="n">
        <x:f>F2870</x:f>
        <x:v>1374.536719011523</x:v>
      </x:c>
      <x:c r="I2865" s="27" t="n">
        <x:f>IF(AND(ISNUMBER(G2865),ISNUMBER(H2865),H2865&gt;0),G2865/H2865-1,"")</x:f>
        <x:v>-0.010855258081673091</x:v>
      </x:c>
      <x:c r="J2865" s="27" t="n">
        <x:f>IF(AND(ISNUMBER(G2865),F2865&gt;0),G2865/F2865-1,"")</x:f>
        <x:v>0</x:v>
      </x:c>
      <x:c r="K2865" s="19" t="str">
        <x:v>KuaiRec/EXP095/results/seed7205_BBP.json</x:v>
      </x:c>
    </x:row>
    <x:row r="2866" ht="15" hidden="0" customHeight="1">
      <x:c r="A2866" s="3" t="str">
        <x:v>EXP095</x:v>
      </x:c>
      <x:c r="B2866" s="3" t="str">
        <x:v>KuaiRec</x:v>
      </x:c>
      <x:c r="C2866" s="18" t="n">
        <x:v>7205</x:v>
      </x:c>
      <x:c r="D2866" s="3" t="str">
        <x:v>Relative cutoff 1e-5</x:v>
      </x:c>
      <x:c r="E2866" s="18" t="n">
        <x:v>600</x:v>
      </x:c>
      <x:c r="F2866" s="21" t="n">
        <x:v>1359.4070850811681</x:v>
      </x:c>
      <x:c r="G2866" s="21" t="n">
        <x:f>F2865</x:f>
        <x:v>1359.6157681839168</x:v>
      </x:c>
      <x:c r="H2866" s="21" t="n">
        <x:f>F2870</x:f>
        <x:v>1374.536719011523</x:v>
      </x:c>
      <x:c r="I2866" s="27" t="n">
        <x:f>IF(AND(ISNUMBER(G2866),ISNUMBER(H2866),H2866&gt;0),G2866/H2866-1,"")</x:f>
        <x:v>-0.010855258081673091</x:v>
      </x:c>
      <x:c r="J2866" s="27" t="n">
        <x:f>IF(AND(ISNUMBER(G2866),F2866&gt;0),G2866/F2866-1,"")</x:f>
        <x:v>0.00015351038334210365</x:v>
      </x:c>
      <x:c r="K2866" s="19" t="str">
        <x:v>KuaiRec/EXP095/results/seed7205_Relative_cutoff_1e-5.json</x:v>
      </x:c>
    </x:row>
    <x:row r="2867" ht="15" hidden="0" customHeight="1">
      <x:c r="A2867" s="3" t="str">
        <x:v>EXP095</x:v>
      </x:c>
      <x:c r="B2867" s="3" t="str">
        <x:v>KuaiRec</x:v>
      </x:c>
      <x:c r="C2867" s="18" t="n">
        <x:v>7205</x:v>
      </x:c>
      <x:c r="D2867" s="3" t="str">
        <x:v>Fixed rank 10</x:v>
      </x:c>
      <x:c r="E2867" s="18" t="n">
        <x:v>600</x:v>
      </x:c>
      <x:c r="F2867" s="21" t="n">
        <x:v>1341.6576010846647</x:v>
      </x:c>
      <x:c r="G2867" s="21" t="n">
        <x:f>F2865</x:f>
        <x:v>1359.6157681839168</x:v>
      </x:c>
      <x:c r="H2867" s="21" t="n">
        <x:f>F2870</x:f>
        <x:v>1374.536719011523</x:v>
      </x:c>
      <x:c r="I2867" s="27" t="n">
        <x:f>IF(AND(ISNUMBER(G2867),ISNUMBER(H2867),H2867&gt;0),G2867/H2867-1,"")</x:f>
        <x:v>-0.010855258081673091</x:v>
      </x:c>
      <x:c r="J2867" s="27" t="n">
        <x:f>IF(AND(ISNUMBER(G2867),F2867&gt;0),G2867/F2867-1,"")</x:f>
        <x:v>0.013385059708776348</x:v>
      </x:c>
      <x:c r="K2867" s="19" t="str">
        <x:v>KuaiRec/EXP095/results/seed7205_Fixed_rank_10.json</x:v>
      </x:c>
    </x:row>
    <x:row r="2868" ht="15" hidden="0" customHeight="1">
      <x:c r="A2868" s="3" t="str">
        <x:v>EXP095</x:v>
      </x:c>
      <x:c r="B2868" s="3" t="str">
        <x:v>KuaiRec</x:v>
      </x:c>
      <x:c r="C2868" s="18" t="n">
        <x:v>7205</x:v>
      </x:c>
      <x:c r="D2868" s="3" t="str">
        <x:v>Fixed rank 25</x:v>
      </x:c>
      <x:c r="E2868" s="18" t="n">
        <x:v>600</x:v>
      </x:c>
      <x:c r="F2868" s="21" t="n">
        <x:v>1359.4070850811677</x:v>
      </x:c>
      <x:c r="G2868" s="21" t="n">
        <x:f>F2865</x:f>
        <x:v>1359.6157681839168</x:v>
      </x:c>
      <x:c r="H2868" s="21" t="n">
        <x:f>F2870</x:f>
        <x:v>1374.536719011523</x:v>
      </x:c>
      <x:c r="I2868" s="27" t="n">
        <x:f>IF(AND(ISNUMBER(G2868),ISNUMBER(H2868),H2868&gt;0),G2868/H2868-1,"")</x:f>
        <x:v>-0.010855258081673091</x:v>
      </x:c>
      <x:c r="J2868" s="27" t="n">
        <x:f>IF(AND(ISNUMBER(G2868),F2868&gt;0),G2868/F2868-1,"")</x:f>
        <x:v>0.0001535103833423257</x:v>
      </x:c>
      <x:c r="K2868" s="19" t="str">
        <x:v>KuaiRec/EXP095/results/seed7205_Fixed_rank_25.json</x:v>
      </x:c>
    </x:row>
    <x:row r="2869" ht="15" hidden="0" customHeight="1">
      <x:c r="A2869" s="3" t="str">
        <x:v>EXP095</x:v>
      </x:c>
      <x:c r="B2869" s="3" t="str">
        <x:v>KuaiRec</x:v>
      </x:c>
      <x:c r="C2869" s="18" t="n">
        <x:v>7205</x:v>
      </x:c>
      <x:c r="D2869" s="3" t="str">
        <x:v>Relative cutoff 1e-6</x:v>
      </x:c>
      <x:c r="E2869" s="18" t="n">
        <x:v>600</x:v>
      </x:c>
      <x:c r="F2869" s="21" t="n">
        <x:v>1359.4070850811677</x:v>
      </x:c>
      <x:c r="G2869" s="21" t="n">
        <x:f>F2865</x:f>
        <x:v>1359.6157681839168</x:v>
      </x:c>
      <x:c r="H2869" s="21" t="n">
        <x:f>F2870</x:f>
        <x:v>1374.536719011523</x:v>
      </x:c>
      <x:c r="I2869" s="27" t="n">
        <x:f>IF(AND(ISNUMBER(G2869),ISNUMBER(H2869),H2869&gt;0),G2869/H2869-1,"")</x:f>
        <x:v>-0.010855258081673091</x:v>
      </x:c>
      <x:c r="J2869" s="27" t="n">
        <x:f>IF(AND(ISNUMBER(G2869),F2869&gt;0),G2869/F2869-1,"")</x:f>
        <x:v>0.0001535103833423257</x:v>
      </x:c>
      <x:c r="K2869" s="19" t="str">
        <x:v>KuaiRec/EXP095/results/seed7205_Relative_cutoff_1e-6.json</x:v>
      </x:c>
    </x:row>
    <x:row r="2870" ht="15" hidden="0" customHeight="1">
      <x:c r="A2870" s="3" t="str">
        <x:v>EXP095</x:v>
      </x:c>
      <x:c r="B2870" s="3" t="str">
        <x:v>KuaiRec</x:v>
      </x:c>
      <x:c r="C2870" s="18" t="n">
        <x:v>7205</x:v>
      </x:c>
      <x:c r="D2870" s="3" t="str">
        <x:v>Full</x:v>
      </x:c>
      <x:c r="E2870" s="18" t="n">
        <x:v>600</x:v>
      </x:c>
      <x:c r="F2870" s="21" t="n">
        <x:v>1374.536719011523</x:v>
      </x:c>
      <x:c r="G2870" s="21" t="n">
        <x:f>F2865</x:f>
        <x:v>1359.6157681839168</x:v>
      </x:c>
      <x:c r="H2870" s="21" t="n">
        <x:f>F2870</x:f>
        <x:v>1374.536719011523</x:v>
      </x:c>
      <x:c r="I2870" s="27" t="n">
        <x:f>IF(AND(ISNUMBER(G2870),ISNUMBER(H2870),H2870&gt;0),G2870/H2870-1,"")</x:f>
        <x:v>-0.010855258081673091</x:v>
      </x:c>
      <x:c r="J2870" s="27" t="n">
        <x:f>IF(AND(ISNUMBER(G2870),F2870&gt;0),G2870/F2870-1,"")</x:f>
        <x:v>-0.010855258081673091</x:v>
      </x:c>
      <x:c r="K2870" s="19" t="str">
        <x:v>KuaiRec/EXP095/results/seed7205_Full.json</x:v>
      </x:c>
    </x:row>
    <x:row r="2871" ht="15" hidden="0" customHeight="1">
      <x:c r="A2871" s="3" t="str">
        <x:v>EXP095</x:v>
      </x:c>
      <x:c r="B2871" s="3" t="str">
        <x:v>KuaiRec</x:v>
      </x:c>
      <x:c r="C2871" s="18" t="n">
        <x:v>7205</x:v>
      </x:c>
      <x:c r="D2871" s="3" t="str">
        <x:v>Relative cutoff 1e-2</x:v>
      </x:c>
      <x:c r="E2871" s="18" t="n">
        <x:v>600</x:v>
      </x:c>
      <x:c r="F2871" s="21" t="n">
        <x:v>1328.791118419913</x:v>
      </x:c>
      <x:c r="G2871" s="21" t="n">
        <x:f>F2865</x:f>
        <x:v>1359.6157681839168</x:v>
      </x:c>
      <x:c r="H2871" s="21" t="n">
        <x:f>F2870</x:f>
        <x:v>1374.536719011523</x:v>
      </x:c>
      <x:c r="I2871" s="27" t="n">
        <x:f>IF(AND(ISNUMBER(G2871),ISNUMBER(H2871),H2871&gt;0),G2871/H2871-1,"")</x:f>
        <x:v>-0.010855258081673091</x:v>
      </x:c>
      <x:c r="J2871" s="27" t="n">
        <x:f>IF(AND(ISNUMBER(G2871),F2871&gt;0),G2871/F2871-1,"")</x:f>
        <x:v>0.023197513391463698</x:v>
      </x:c>
      <x:c r="K2871" s="19" t="str">
        <x:v>KuaiRec/EXP095/results/seed7205_Relative_cutoff_1e-2.json</x:v>
      </x:c>
    </x:row>
    <x:row r="2872" ht="15" hidden="0" customHeight="1">
      <x:c r="A2872" s="3" t="str">
        <x:v>EXP095</x:v>
      </x:c>
      <x:c r="B2872" s="3" t="str">
        <x:v>KuaiRec</x:v>
      </x:c>
      <x:c r="C2872" s="18" t="n">
        <x:v>7205</x:v>
      </x:c>
      <x:c r="D2872" s="3" t="str">
        <x:v>Relative cutoff 1e-4</x:v>
      </x:c>
      <x:c r="E2872" s="18" t="n">
        <x:v>600</x:v>
      </x:c>
      <x:c r="F2872" s="21" t="n">
        <x:v>1325.526046880504</x:v>
      </x:c>
      <x:c r="G2872" s="21" t="n">
        <x:f>F2865</x:f>
        <x:v>1359.6157681839168</x:v>
      </x:c>
      <x:c r="H2872" s="21" t="n">
        <x:f>F2870</x:f>
        <x:v>1374.536719011523</x:v>
      </x:c>
      <x:c r="I2872" s="27" t="n">
        <x:f>IF(AND(ISNUMBER(G2872),ISNUMBER(H2872),H2872&gt;0),G2872/H2872-1,"")</x:f>
        <x:v>-0.010855258081673091</x:v>
      </x:c>
      <x:c r="J2872" s="27" t="n">
        <x:f>IF(AND(ISNUMBER(G2872),F2872&gt;0),G2872/F2872-1,"")</x:f>
        <x:v>0.025717881126243736</x:v>
      </x:c>
      <x:c r="K2872" s="19" t="str">
        <x:v>KuaiRec/EXP095/results/seed7205_Relative_cutoff_1e-4.json</x:v>
      </x:c>
    </x:row>
    <x:row r="2873" ht="15" hidden="0" customHeight="1">
      <x:c r="A2873" s="3" t="str">
        <x:v>EXP095</x:v>
      </x:c>
      <x:c r="B2873" s="3" t="str">
        <x:v>KuaiRec</x:v>
      </x:c>
      <x:c r="C2873" s="18" t="n">
        <x:v>7206</x:v>
      </x:c>
      <x:c r="D2873" s="3" t="str">
        <x:v>BBP</x:v>
      </x:c>
      <x:c r="E2873" s="18" t="n">
        <x:v>600</x:v>
      </x:c>
      <x:c r="F2873" s="21" t="n">
        <x:v>1328.9515497871764</x:v>
      </x:c>
      <x:c r="G2873" s="21" t="n">
        <x:f>F2873</x:f>
        <x:v>1328.9515497871764</x:v>
      </x:c>
      <x:c r="H2873" s="21" t="n">
        <x:f>F2878</x:f>
        <x:v>1385.8733042545855</x:v>
      </x:c>
      <x:c r="I2873" s="27" t="n">
        <x:f>IF(AND(ISNUMBER(G2873),ISNUMBER(H2873),H2873&gt;0),G2873/H2873-1,"")</x:f>
        <x:v>-0.04107284142977652</x:v>
      </x:c>
      <x:c r="J2873" s="27" t="n">
        <x:f>IF(AND(ISNUMBER(G2873),F2873&gt;0),G2873/F2873-1,"")</x:f>
        <x:v>0</x:v>
      </x:c>
      <x:c r="K2873" s="19" t="str">
        <x:v>KuaiRec/EXP095/results/seed7206_BBP.json</x:v>
      </x:c>
    </x:row>
    <x:row r="2874" ht="15" hidden="0" customHeight="1">
      <x:c r="A2874" s="3" t="str">
        <x:v>EXP095</x:v>
      </x:c>
      <x:c r="B2874" s="3" t="str">
        <x:v>KuaiRec</x:v>
      </x:c>
      <x:c r="C2874" s="18" t="n">
        <x:v>7206</x:v>
      </x:c>
      <x:c r="D2874" s="3" t="str">
        <x:v>Relative cutoff 1e-5</x:v>
      </x:c>
      <x:c r="E2874" s="18" t="n">
        <x:v>600</x:v>
      </x:c>
      <x:c r="F2874" s="21" t="n">
        <x:v>1423.319290859124</x:v>
      </x:c>
      <x:c r="G2874" s="21" t="n">
        <x:f>F2873</x:f>
        <x:v>1328.9515497871764</x:v>
      </x:c>
      <x:c r="H2874" s="21" t="n">
        <x:f>F2878</x:f>
        <x:v>1385.8733042545855</x:v>
      </x:c>
      <x:c r="I2874" s="27" t="n">
        <x:f>IF(AND(ISNUMBER(G2874),ISNUMBER(H2874),H2874&gt;0),G2874/H2874-1,"")</x:f>
        <x:v>-0.04107284142977652</x:v>
      </x:c>
      <x:c r="J2874" s="27" t="n">
        <x:f>IF(AND(ISNUMBER(G2874),F2874&gt;0),G2874/F2874-1,"")</x:f>
        <x:v>-0.06630117478066833</x:v>
      </x:c>
      <x:c r="K2874" s="19" t="str">
        <x:v>KuaiRec/EXP095/results/seed7206_Relative_cutoff_1e-5.json</x:v>
      </x:c>
    </x:row>
    <x:row r="2875" ht="15" hidden="0" customHeight="1">
      <x:c r="A2875" s="3" t="str">
        <x:v>EXP095</x:v>
      </x:c>
      <x:c r="B2875" s="3" t="str">
        <x:v>KuaiRec</x:v>
      </x:c>
      <x:c r="C2875" s="18" t="n">
        <x:v>7206</x:v>
      </x:c>
      <x:c r="D2875" s="3" t="str">
        <x:v>Fixed rank 10</x:v>
      </x:c>
      <x:c r="E2875" s="18" t="n">
        <x:v>600</x:v>
      </x:c>
      <x:c r="F2875" s="21" t="n">
        <x:v>1259.9705352304716</x:v>
      </x:c>
      <x:c r="G2875" s="21" t="n">
        <x:f>F2873</x:f>
        <x:v>1328.9515497871764</x:v>
      </x:c>
      <x:c r="H2875" s="21" t="n">
        <x:f>F2878</x:f>
        <x:v>1385.8733042545855</x:v>
      </x:c>
      <x:c r="I2875" s="27" t="n">
        <x:f>IF(AND(ISNUMBER(G2875),ISNUMBER(H2875),H2875&gt;0),G2875/H2875-1,"")</x:f>
        <x:v>-0.04107284142977652</x:v>
      </x:c>
      <x:c r="J2875" s="27" t="n">
        <x:f>IF(AND(ISNUMBER(G2875),F2875&gt;0),G2875/F2875-1,"")</x:f>
        <x:v>0.05474811722012762</x:v>
      </x:c>
      <x:c r="K2875" s="19" t="str">
        <x:v>KuaiRec/EXP095/results/seed7206_Fixed_rank_10.json</x:v>
      </x:c>
    </x:row>
    <x:row r="2876" ht="15" hidden="0" customHeight="1">
      <x:c r="A2876" s="3" t="str">
        <x:v>EXP095</x:v>
      </x:c>
      <x:c r="B2876" s="3" t="str">
        <x:v>KuaiRec</x:v>
      </x:c>
      <x:c r="C2876" s="18" t="n">
        <x:v>7206</x:v>
      </x:c>
      <x:c r="D2876" s="3" t="str">
        <x:v>Fixed rank 25</x:v>
      </x:c>
      <x:c r="E2876" s="18" t="n">
        <x:v>600</x:v>
      </x:c>
      <x:c r="F2876" s="21" t="n">
        <x:v>1327.8553396327761</x:v>
      </x:c>
      <x:c r="G2876" s="21" t="n">
        <x:f>F2873</x:f>
        <x:v>1328.9515497871764</x:v>
      </x:c>
      <x:c r="H2876" s="21" t="n">
        <x:f>F2878</x:f>
        <x:v>1385.8733042545855</x:v>
      </x:c>
      <x:c r="I2876" s="27" t="n">
        <x:f>IF(AND(ISNUMBER(G2876),ISNUMBER(H2876),H2876&gt;0),G2876/H2876-1,"")</x:f>
        <x:v>-0.04107284142977652</x:v>
      </x:c>
      <x:c r="J2876" s="27" t="n">
        <x:f>IF(AND(ISNUMBER(G2876),F2876&gt;0),G2876/F2876-1,"")</x:f>
        <x:v>0.0008255493815338966</x:v>
      </x:c>
      <x:c r="K2876" s="19" t="str">
        <x:v>KuaiRec/EXP095/results/seed7206_Fixed_rank_25.json</x:v>
      </x:c>
    </x:row>
    <x:row r="2877" ht="15" hidden="0" customHeight="1">
      <x:c r="A2877" s="3" t="str">
        <x:v>EXP095</x:v>
      </x:c>
      <x:c r="B2877" s="3" t="str">
        <x:v>KuaiRec</x:v>
      </x:c>
      <x:c r="C2877" s="18" t="n">
        <x:v>7206</x:v>
      </x:c>
      <x:c r="D2877" s="3" t="str">
        <x:v>Relative cutoff 1e-6</x:v>
      </x:c>
      <x:c r="E2877" s="18" t="n">
        <x:v>600</x:v>
      </x:c>
      <x:c r="F2877" s="21" t="n">
        <x:v>1329.2106427422996</x:v>
      </x:c>
      <x:c r="G2877" s="21" t="n">
        <x:f>F2873</x:f>
        <x:v>1328.9515497871764</x:v>
      </x:c>
      <x:c r="H2877" s="21" t="n">
        <x:f>F2878</x:f>
        <x:v>1385.8733042545855</x:v>
      </x:c>
      <x:c r="I2877" s="27" t="n">
        <x:f>IF(AND(ISNUMBER(G2877),ISNUMBER(H2877),H2877&gt;0),G2877/H2877-1,"")</x:f>
        <x:v>-0.04107284142977652</x:v>
      </x:c>
      <x:c r="J2877" s="27" t="n">
        <x:f>IF(AND(ISNUMBER(G2877),F2877&gt;0),G2877/F2877-1,"")</x:f>
        <x:v>-0.00019492241996243997</x:v>
      </x:c>
      <x:c r="K2877" s="19" t="str">
        <x:v>KuaiRec/EXP095/results/seed7206_Relative_cutoff_1e-6.json</x:v>
      </x:c>
    </x:row>
    <x:row r="2878" ht="15" hidden="0" customHeight="1">
      <x:c r="A2878" s="3" t="str">
        <x:v>EXP095</x:v>
      </x:c>
      <x:c r="B2878" s="3" t="str">
        <x:v>KuaiRec</x:v>
      </x:c>
      <x:c r="C2878" s="18" t="n">
        <x:v>7206</x:v>
      </x:c>
      <x:c r="D2878" s="3" t="str">
        <x:v>Full</x:v>
      </x:c>
      <x:c r="E2878" s="18" t="n">
        <x:v>600</x:v>
      </x:c>
      <x:c r="F2878" s="21" t="n">
        <x:v>1385.8733042545855</x:v>
      </x:c>
      <x:c r="G2878" s="21" t="n">
        <x:f>F2873</x:f>
        <x:v>1328.9515497871764</x:v>
      </x:c>
      <x:c r="H2878" s="21" t="n">
        <x:f>F2878</x:f>
        <x:v>1385.8733042545855</x:v>
      </x:c>
      <x:c r="I2878" s="27" t="n">
        <x:f>IF(AND(ISNUMBER(G2878),ISNUMBER(H2878),H2878&gt;0),G2878/H2878-1,"")</x:f>
        <x:v>-0.04107284142977652</x:v>
      </x:c>
      <x:c r="J2878" s="27" t="n">
        <x:f>IF(AND(ISNUMBER(G2878),F2878&gt;0),G2878/F2878-1,"")</x:f>
        <x:v>-0.04107284142977652</x:v>
      </x:c>
      <x:c r="K2878" s="19" t="str">
        <x:v>KuaiRec/EXP095/results/seed7206_Full.json</x:v>
      </x:c>
    </x:row>
    <x:row r="2879" ht="15" hidden="0" customHeight="1">
      <x:c r="A2879" s="3" t="str">
        <x:v>EXP095</x:v>
      </x:c>
      <x:c r="B2879" s="3" t="str">
        <x:v>KuaiRec</x:v>
      </x:c>
      <x:c r="C2879" s="18" t="n">
        <x:v>7206</x:v>
      </x:c>
      <x:c r="D2879" s="3" t="str">
        <x:v>Relative cutoff 1e-2</x:v>
      </x:c>
      <x:c r="E2879" s="18" t="n">
        <x:v>600</x:v>
      </x:c>
      <x:c r="F2879" s="21" t="n">
        <x:v>1306.825811388797</x:v>
      </x:c>
      <x:c r="G2879" s="21" t="n">
        <x:f>F2873</x:f>
        <x:v>1328.9515497871764</x:v>
      </x:c>
      <x:c r="H2879" s="21" t="n">
        <x:f>F2878</x:f>
        <x:v>1385.8733042545855</x:v>
      </x:c>
      <x:c r="I2879" s="27" t="n">
        <x:f>IF(AND(ISNUMBER(G2879),ISNUMBER(H2879),H2879&gt;0),G2879/H2879-1,"")</x:f>
        <x:v>-0.04107284142977652</x:v>
      </x:c>
      <x:c r="J2879" s="27" t="n">
        <x:f>IF(AND(ISNUMBER(G2879),F2879&gt;0),G2879/F2879-1,"")</x:f>
        <x:v>0.016930900970547613</x:v>
      </x:c>
      <x:c r="K2879" s="19" t="str">
        <x:v>KuaiRec/EXP095/results/seed7206_Relative_cutoff_1e-2.json</x:v>
      </x:c>
    </x:row>
    <x:row r="2880" ht="15" hidden="0" customHeight="1">
      <x:c r="A2880" s="3" t="str">
        <x:v>EXP095</x:v>
      </x:c>
      <x:c r="B2880" s="3" t="str">
        <x:v>KuaiRec</x:v>
      </x:c>
      <x:c r="C2880" s="18" t="n">
        <x:v>7206</x:v>
      </x:c>
      <x:c r="D2880" s="3" t="str">
        <x:v>Relative cutoff 1e-4</x:v>
      </x:c>
      <x:c r="E2880" s="18" t="n">
        <x:v>600</x:v>
      </x:c>
      <x:c r="F2880" s="21" t="n">
        <x:v>1298.0690305798494</x:v>
      </x:c>
      <x:c r="G2880" s="21" t="n">
        <x:f>F2873</x:f>
        <x:v>1328.9515497871764</x:v>
      </x:c>
      <x:c r="H2880" s="21" t="n">
        <x:f>F2878</x:f>
        <x:v>1385.8733042545855</x:v>
      </x:c>
      <x:c r="I2880" s="27" t="n">
        <x:f>IF(AND(ISNUMBER(G2880),ISNUMBER(H2880),H2880&gt;0),G2880/H2880-1,"")</x:f>
        <x:v>-0.04107284142977652</x:v>
      </x:c>
      <x:c r="J2880" s="27" t="n">
        <x:f>IF(AND(ISNUMBER(G2880),F2880&gt;0),G2880/F2880-1,"")</x:f>
        <x:v>0.023791122413213905</x:v>
      </x:c>
      <x:c r="K2880" s="19" t="str">
        <x:v>KuaiRec/EXP095/results/seed7206_Relative_cutoff_1e-4.json</x:v>
      </x:c>
    </x:row>
    <x:row r="2881" ht="15" hidden="0" customHeight="1">
      <x:c r="A2881" s="3" t="str">
        <x:v>EXP095</x:v>
      </x:c>
      <x:c r="B2881" s="3" t="str">
        <x:v>KuaiRec</x:v>
      </x:c>
      <x:c r="C2881" s="18" t="n">
        <x:v>7207</x:v>
      </x:c>
      <x:c r="D2881" s="3" t="str">
        <x:v>BBP</x:v>
      </x:c>
      <x:c r="E2881" s="18" t="n">
        <x:v>600</x:v>
      </x:c>
      <x:c r="F2881" s="21" t="n">
        <x:v>1224.7683500102714</x:v>
      </x:c>
      <x:c r="G2881" s="21" t="n">
        <x:f>F2881</x:f>
        <x:v>1224.7683500102714</x:v>
      </x:c>
      <x:c r="H2881" s="21" t="n">
        <x:f>F2886</x:f>
        <x:v>1243.5332138749573</x:v>
      </x:c>
      <x:c r="I2881" s="27" t="n">
        <x:f>IF(AND(ISNUMBER(G2881),ISNUMBER(H2881),H2881&gt;0),G2881/H2881-1,"")</x:f>
        <x:v>-0.015089957916132324</x:v>
      </x:c>
      <x:c r="J2881" s="27" t="n">
        <x:f>IF(AND(ISNUMBER(G2881),F2881&gt;0),G2881/F2881-1,"")</x:f>
        <x:v>0</x:v>
      </x:c>
      <x:c r="K2881" s="19" t="str">
        <x:v>KuaiRec/EXP095/results/seed7207_BBP.json</x:v>
      </x:c>
    </x:row>
    <x:row r="2882" ht="15" hidden="0" customHeight="1">
      <x:c r="A2882" s="3" t="str">
        <x:v>EXP095</x:v>
      </x:c>
      <x:c r="B2882" s="3" t="str">
        <x:v>KuaiRec</x:v>
      </x:c>
      <x:c r="C2882" s="18" t="n">
        <x:v>7207</x:v>
      </x:c>
      <x:c r="D2882" s="3" t="str">
        <x:v>Relative cutoff 1e-5</x:v>
      </x:c>
      <x:c r="E2882" s="18" t="n">
        <x:v>600</x:v>
      </x:c>
      <x:c r="F2882" s="21" t="n">
        <x:v>1225.1539391375024</x:v>
      </x:c>
      <x:c r="G2882" s="21" t="n">
        <x:f>F2881</x:f>
        <x:v>1224.7683500102714</x:v>
      </x:c>
      <x:c r="H2882" s="21" t="n">
        <x:f>F2886</x:f>
        <x:v>1243.5332138749573</x:v>
      </x:c>
      <x:c r="I2882" s="27" t="n">
        <x:f>IF(AND(ISNUMBER(G2882),ISNUMBER(H2882),H2882&gt;0),G2882/H2882-1,"")</x:f>
        <x:v>-0.015089957916132324</x:v>
      </x:c>
      <x:c r="J2882" s="27" t="n">
        <x:f>IF(AND(ISNUMBER(G2882),F2882&gt;0),G2882/F2882-1,"")</x:f>
        <x:v>-0.00031472708442048525</x:v>
      </x:c>
      <x:c r="K2882" s="19" t="str">
        <x:v>KuaiRec/EXP095/results/seed7207_Relative_cutoff_1e-5.json</x:v>
      </x:c>
    </x:row>
    <x:row r="2883" ht="15" hidden="0" customHeight="1">
      <x:c r="A2883" s="3" t="str">
        <x:v>EXP095</x:v>
      </x:c>
      <x:c r="B2883" s="3" t="str">
        <x:v>KuaiRec</x:v>
      </x:c>
      <x:c r="C2883" s="18" t="n">
        <x:v>7207</x:v>
      </x:c>
      <x:c r="D2883" s="3" t="str">
        <x:v>Fixed rank 10</x:v>
      </x:c>
      <x:c r="E2883" s="18" t="n">
        <x:v>600</x:v>
      </x:c>
      <x:c r="F2883" s="21" t="n">
        <x:v>1266.58936894647</x:v>
      </x:c>
      <x:c r="G2883" s="21" t="n">
        <x:f>F2881</x:f>
        <x:v>1224.7683500102714</x:v>
      </x:c>
      <x:c r="H2883" s="21" t="n">
        <x:f>F2886</x:f>
        <x:v>1243.5332138749573</x:v>
      </x:c>
      <x:c r="I2883" s="27" t="n">
        <x:f>IF(AND(ISNUMBER(G2883),ISNUMBER(H2883),H2883&gt;0),G2883/H2883-1,"")</x:f>
        <x:v>-0.015089957916132324</x:v>
      </x:c>
      <x:c r="J2883" s="27" t="n">
        <x:f>IF(AND(ISNUMBER(G2883),F2883&gt;0),G2883/F2883-1,"")</x:f>
        <x:v>-0.033018608841620556</x:v>
      </x:c>
      <x:c r="K2883" s="19" t="str">
        <x:v>KuaiRec/EXP095/results/seed7207_Fixed_rank_10.json</x:v>
      </x:c>
    </x:row>
    <x:row r="2884" ht="15" hidden="0" customHeight="1">
      <x:c r="A2884" s="3" t="str">
        <x:v>EXP095</x:v>
      </x:c>
      <x:c r="B2884" s="3" t="str">
        <x:v>KuaiRec</x:v>
      </x:c>
      <x:c r="C2884" s="18" t="n">
        <x:v>7207</x:v>
      </x:c>
      <x:c r="D2884" s="3" t="str">
        <x:v>Fixed rank 25</x:v>
      </x:c>
      <x:c r="E2884" s="18" t="n">
        <x:v>600</x:v>
      </x:c>
      <x:c r="F2884" s="21" t="n">
        <x:v>1224.7683500102714</x:v>
      </x:c>
      <x:c r="G2884" s="21" t="n">
        <x:f>F2881</x:f>
        <x:v>1224.7683500102714</x:v>
      </x:c>
      <x:c r="H2884" s="21" t="n">
        <x:f>F2886</x:f>
        <x:v>1243.5332138749573</x:v>
      </x:c>
      <x:c r="I2884" s="27" t="n">
        <x:f>IF(AND(ISNUMBER(G2884),ISNUMBER(H2884),H2884&gt;0),G2884/H2884-1,"")</x:f>
        <x:v>-0.015089957916132324</x:v>
      </x:c>
      <x:c r="J2884" s="27" t="n">
        <x:f>IF(AND(ISNUMBER(G2884),F2884&gt;0),G2884/F2884-1,"")</x:f>
        <x:v>0</x:v>
      </x:c>
      <x:c r="K2884" s="19" t="str">
        <x:v>KuaiRec/EXP095/results/seed7207_Fixed_rank_25.json</x:v>
      </x:c>
    </x:row>
    <x:row r="2885" ht="15" hidden="0" customHeight="1">
      <x:c r="A2885" s="3" t="str">
        <x:v>EXP095</x:v>
      </x:c>
      <x:c r="B2885" s="3" t="str">
        <x:v>KuaiRec</x:v>
      </x:c>
      <x:c r="C2885" s="18" t="n">
        <x:v>7207</x:v>
      </x:c>
      <x:c r="D2885" s="3" t="str">
        <x:v>Relative cutoff 1e-6</x:v>
      </x:c>
      <x:c r="E2885" s="18" t="n">
        <x:v>600</x:v>
      </x:c>
      <x:c r="F2885" s="21" t="n">
        <x:v>1211.1204471084961</x:v>
      </x:c>
      <x:c r="G2885" s="21" t="n">
        <x:f>F2881</x:f>
        <x:v>1224.7683500102714</x:v>
      </x:c>
      <x:c r="H2885" s="21" t="n">
        <x:f>F2886</x:f>
        <x:v>1243.5332138749573</x:v>
      </x:c>
      <x:c r="I2885" s="27" t="n">
        <x:f>IF(AND(ISNUMBER(G2885),ISNUMBER(H2885),H2885&gt;0),G2885/H2885-1,"")</x:f>
        <x:v>-0.015089957916132324</x:v>
      </x:c>
      <x:c r="J2885" s="27" t="n">
        <x:f>IF(AND(ISNUMBER(G2885),F2885&gt;0),G2885/F2885-1,"")</x:f>
        <x:v>0.011268823785742565</x:v>
      </x:c>
      <x:c r="K2885" s="19" t="str">
        <x:v>KuaiRec/EXP095/results/seed7207_Relative_cutoff_1e-6.json</x:v>
      </x:c>
    </x:row>
    <x:row r="2886" ht="15" hidden="0" customHeight="1">
      <x:c r="A2886" s="3" t="str">
        <x:v>EXP095</x:v>
      </x:c>
      <x:c r="B2886" s="3" t="str">
        <x:v>KuaiRec</x:v>
      </x:c>
      <x:c r="C2886" s="18" t="n">
        <x:v>7207</x:v>
      </x:c>
      <x:c r="D2886" s="3" t="str">
        <x:v>Full</x:v>
      </x:c>
      <x:c r="E2886" s="18" t="n">
        <x:v>600</x:v>
      </x:c>
      <x:c r="F2886" s="21" t="n">
        <x:v>1243.5332138749573</x:v>
      </x:c>
      <x:c r="G2886" s="21" t="n">
        <x:f>F2881</x:f>
        <x:v>1224.7683500102714</x:v>
      </x:c>
      <x:c r="H2886" s="21" t="n">
        <x:f>F2886</x:f>
        <x:v>1243.5332138749573</x:v>
      </x:c>
      <x:c r="I2886" s="27" t="n">
        <x:f>IF(AND(ISNUMBER(G2886),ISNUMBER(H2886),H2886&gt;0),G2886/H2886-1,"")</x:f>
        <x:v>-0.015089957916132324</x:v>
      </x:c>
      <x:c r="J2886" s="27" t="n">
        <x:f>IF(AND(ISNUMBER(G2886),F2886&gt;0),G2886/F2886-1,"")</x:f>
        <x:v>-0.015089957916132324</x:v>
      </x:c>
      <x:c r="K2886" s="19" t="str">
        <x:v>KuaiRec/EXP095/results/seed7207_Full.json</x:v>
      </x:c>
    </x:row>
    <x:row r="2887" ht="15" hidden="0" customHeight="1">
      <x:c r="A2887" s="3" t="str">
        <x:v>EXP095</x:v>
      </x:c>
      <x:c r="B2887" s="3" t="str">
        <x:v>KuaiRec</x:v>
      </x:c>
      <x:c r="C2887" s="18" t="n">
        <x:v>7207</x:v>
      </x:c>
      <x:c r="D2887" s="3" t="str">
        <x:v>Relative cutoff 1e-2</x:v>
      </x:c>
      <x:c r="E2887" s="18" t="n">
        <x:v>600</x:v>
      </x:c>
      <x:c r="F2887" s="21" t="n">
        <x:v>1342.3684334541547</x:v>
      </x:c>
      <x:c r="G2887" s="21" t="n">
        <x:f>F2881</x:f>
        <x:v>1224.7683500102714</x:v>
      </x:c>
      <x:c r="H2887" s="21" t="n">
        <x:f>F2886</x:f>
        <x:v>1243.5332138749573</x:v>
      </x:c>
      <x:c r="I2887" s="27" t="n">
        <x:f>IF(AND(ISNUMBER(G2887),ISNUMBER(H2887),H2887&gt;0),G2887/H2887-1,"")</x:f>
        <x:v>-0.015089957916132324</x:v>
      </x:c>
      <x:c r="J2887" s="27" t="n">
        <x:f>IF(AND(ISNUMBER(G2887),F2887&gt;0),G2887/F2887-1,"")</x:f>
        <x:v>-0.08760641304807593</x:v>
      </x:c>
      <x:c r="K2887" s="19" t="str">
        <x:v>KuaiRec/EXP095/results/seed7207_Relative_cutoff_1e-2.json</x:v>
      </x:c>
    </x:row>
    <x:row r="2888" ht="15" hidden="0" customHeight="1">
      <x:c r="A2888" s="3" t="str">
        <x:v>EXP095</x:v>
      </x:c>
      <x:c r="B2888" s="3" t="str">
        <x:v>KuaiRec</x:v>
      </x:c>
      <x:c r="C2888" s="18" t="n">
        <x:v>7207</x:v>
      </x:c>
      <x:c r="D2888" s="3" t="str">
        <x:v>Relative cutoff 1e-4</x:v>
      </x:c>
      <x:c r="E2888" s="18" t="n">
        <x:v>600</x:v>
      </x:c>
      <x:c r="F2888" s="21" t="n">
        <x:v>1276.8175485620177</x:v>
      </x:c>
      <x:c r="G2888" s="21" t="n">
        <x:f>F2881</x:f>
        <x:v>1224.7683500102714</x:v>
      </x:c>
      <x:c r="H2888" s="21" t="n">
        <x:f>F2886</x:f>
        <x:v>1243.5332138749573</x:v>
      </x:c>
      <x:c r="I2888" s="27" t="n">
        <x:f>IF(AND(ISNUMBER(G2888),ISNUMBER(H2888),H2888&gt;0),G2888/H2888-1,"")</x:f>
        <x:v>-0.015089957916132324</x:v>
      </x:c>
      <x:c r="J2888" s="27" t="n">
        <x:f>IF(AND(ISNUMBER(G2888),F2888&gt;0),G2888/F2888-1,"")</x:f>
        <x:v>-0.04076478946452866</x:v>
      </x:c>
      <x:c r="K2888" s="19" t="str">
        <x:v>KuaiRec/EXP095/results/seed7207_Relative_cutoff_1e-4.json</x:v>
      </x:c>
    </x:row>
    <x:row r="2889" ht="15" hidden="0" customHeight="1">
      <x:c r="A2889" s="3" t="str">
        <x:v>EXP095</x:v>
      </x:c>
      <x:c r="B2889" s="3" t="str">
        <x:v>KuaiRec</x:v>
      </x:c>
      <x:c r="C2889" s="18" t="n">
        <x:v>7208</x:v>
      </x:c>
      <x:c r="D2889" s="3" t="str">
        <x:v>BBP</x:v>
      </x:c>
      <x:c r="E2889" s="18" t="n">
        <x:v>600</x:v>
      </x:c>
      <x:c r="F2889" s="21" t="n">
        <x:v>1434.937557836571</x:v>
      </x:c>
      <x:c r="G2889" s="21" t="n">
        <x:f>F2889</x:f>
        <x:v>1434.937557836571</x:v>
      </x:c>
      <x:c r="H2889" s="21" t="n">
        <x:f>F2894</x:f>
        <x:v>1447.5933747821077</x:v>
      </x:c>
      <x:c r="I2889" s="27" t="n">
        <x:f>IF(AND(ISNUMBER(G2889),ISNUMBER(H2889),H2889&gt;0),G2889/H2889-1,"")</x:f>
        <x:v>-0.008742660173781003</x:v>
      </x:c>
      <x:c r="J2889" s="27" t="n">
        <x:f>IF(AND(ISNUMBER(G2889),F2889&gt;0),G2889/F2889-1,"")</x:f>
        <x:v>0</x:v>
      </x:c>
      <x:c r="K2889" s="19" t="str">
        <x:v>KuaiRec/EXP095/results/seed7208_BBP.json</x:v>
      </x:c>
    </x:row>
    <x:row r="2890" ht="15" hidden="0" customHeight="1">
      <x:c r="A2890" s="3" t="str">
        <x:v>EXP095</x:v>
      </x:c>
      <x:c r="B2890" s="3" t="str">
        <x:v>KuaiRec</x:v>
      </x:c>
      <x:c r="C2890" s="18" t="n">
        <x:v>7208</x:v>
      </x:c>
      <x:c r="D2890" s="3" t="str">
        <x:v>Relative cutoff 1e-5</x:v>
      </x:c>
      <x:c r="E2890" s="18" t="n">
        <x:v>600</x:v>
      </x:c>
      <x:c r="F2890" s="21" t="n">
        <x:v>1432.460804469961</x:v>
      </x:c>
      <x:c r="G2890" s="21" t="n">
        <x:f>F2889</x:f>
        <x:v>1434.937557836571</x:v>
      </x:c>
      <x:c r="H2890" s="21" t="n">
        <x:f>F2894</x:f>
        <x:v>1447.5933747821077</x:v>
      </x:c>
      <x:c r="I2890" s="27" t="n">
        <x:f>IF(AND(ISNUMBER(G2890),ISNUMBER(H2890),H2890&gt;0),G2890/H2890-1,"")</x:f>
        <x:v>-0.008742660173781003</x:v>
      </x:c>
      <x:c r="J2890" s="27" t="n">
        <x:f>IF(AND(ISNUMBER(G2890),F2890&gt;0),G2890/F2890-1,"")</x:f>
        <x:v>0.001729019990551528</x:v>
      </x:c>
      <x:c r="K2890" s="19" t="str">
        <x:v>KuaiRec/EXP095/results/seed7208_Relative_cutoff_1e-5.json</x:v>
      </x:c>
    </x:row>
    <x:row r="2891" ht="15" hidden="0" customHeight="1">
      <x:c r="A2891" s="3" t="str">
        <x:v>EXP095</x:v>
      </x:c>
      <x:c r="B2891" s="3" t="str">
        <x:v>KuaiRec</x:v>
      </x:c>
      <x:c r="C2891" s="18" t="n">
        <x:v>7208</x:v>
      </x:c>
      <x:c r="D2891" s="3" t="str">
        <x:v>Fixed rank 10</x:v>
      </x:c>
      <x:c r="E2891" s="18" t="n">
        <x:v>600</x:v>
      </x:c>
      <x:c r="F2891" s="21" t="n">
        <x:v>1419.918307764053</x:v>
      </x:c>
      <x:c r="G2891" s="21" t="n">
        <x:f>F2889</x:f>
        <x:v>1434.937557836571</x:v>
      </x:c>
      <x:c r="H2891" s="21" t="n">
        <x:f>F2894</x:f>
        <x:v>1447.5933747821077</x:v>
      </x:c>
      <x:c r="I2891" s="27" t="n">
        <x:f>IF(AND(ISNUMBER(G2891),ISNUMBER(H2891),H2891&gt;0),G2891/H2891-1,"")</x:f>
        <x:v>-0.008742660173781003</x:v>
      </x:c>
      <x:c r="J2891" s="27" t="n">
        <x:f>IF(AND(ISNUMBER(G2891),F2891&gt;0),G2891/F2891-1,"")</x:f>
        <x:v>0.01057754519425047</x:v>
      </x:c>
      <x:c r="K2891" s="19" t="str">
        <x:v>KuaiRec/EXP095/results/seed7208_Fixed_rank_10.json</x:v>
      </x:c>
    </x:row>
    <x:row r="2892" ht="15" hidden="0" customHeight="1">
      <x:c r="A2892" s="3" t="str">
        <x:v>EXP095</x:v>
      </x:c>
      <x:c r="B2892" s="3" t="str">
        <x:v>KuaiRec</x:v>
      </x:c>
      <x:c r="C2892" s="18" t="n">
        <x:v>7208</x:v>
      </x:c>
      <x:c r="D2892" s="3" t="str">
        <x:v>Fixed rank 25</x:v>
      </x:c>
      <x:c r="E2892" s="18" t="n">
        <x:v>600</x:v>
      </x:c>
      <x:c r="F2892" s="21" t="n">
        <x:v>1434.937557836571</x:v>
      </x:c>
      <x:c r="G2892" s="21" t="n">
        <x:f>F2889</x:f>
        <x:v>1434.937557836571</x:v>
      </x:c>
      <x:c r="H2892" s="21" t="n">
        <x:f>F2894</x:f>
        <x:v>1447.5933747821077</x:v>
      </x:c>
      <x:c r="I2892" s="27" t="n">
        <x:f>IF(AND(ISNUMBER(G2892),ISNUMBER(H2892),H2892&gt;0),G2892/H2892-1,"")</x:f>
        <x:v>-0.008742660173781003</x:v>
      </x:c>
      <x:c r="J2892" s="27" t="n">
        <x:f>IF(AND(ISNUMBER(G2892),F2892&gt;0),G2892/F2892-1,"")</x:f>
        <x:v>0</x:v>
      </x:c>
      <x:c r="K2892" s="19" t="str">
        <x:v>KuaiRec/EXP095/results/seed7208_Fixed_rank_25.json</x:v>
      </x:c>
    </x:row>
    <x:row r="2893" ht="15" hidden="0" customHeight="1">
      <x:c r="A2893" s="3" t="str">
        <x:v>EXP095</x:v>
      </x:c>
      <x:c r="B2893" s="3" t="str">
        <x:v>KuaiRec</x:v>
      </x:c>
      <x:c r="C2893" s="18" t="n">
        <x:v>7208</x:v>
      </x:c>
      <x:c r="D2893" s="3" t="str">
        <x:v>Relative cutoff 1e-6</x:v>
      </x:c>
      <x:c r="E2893" s="18" t="n">
        <x:v>600</x:v>
      </x:c>
      <x:c r="F2893" s="21" t="n">
        <x:v>1434.937557836571</x:v>
      </x:c>
      <x:c r="G2893" s="21" t="n">
        <x:f>F2889</x:f>
        <x:v>1434.937557836571</x:v>
      </x:c>
      <x:c r="H2893" s="21" t="n">
        <x:f>F2894</x:f>
        <x:v>1447.5933747821077</x:v>
      </x:c>
      <x:c r="I2893" s="27" t="n">
        <x:f>IF(AND(ISNUMBER(G2893),ISNUMBER(H2893),H2893&gt;0),G2893/H2893-1,"")</x:f>
        <x:v>-0.008742660173781003</x:v>
      </x:c>
      <x:c r="J2893" s="27" t="n">
        <x:f>IF(AND(ISNUMBER(G2893),F2893&gt;0),G2893/F2893-1,"")</x:f>
        <x:v>0</x:v>
      </x:c>
      <x:c r="K2893" s="19" t="str">
        <x:v>KuaiRec/EXP095/results/seed7208_Relative_cutoff_1e-6.json</x:v>
      </x:c>
    </x:row>
    <x:row r="2894" ht="15" hidden="0" customHeight="1">
      <x:c r="A2894" s="3" t="str">
        <x:v>EXP095</x:v>
      </x:c>
      <x:c r="B2894" s="3" t="str">
        <x:v>KuaiRec</x:v>
      </x:c>
      <x:c r="C2894" s="18" t="n">
        <x:v>7208</x:v>
      </x:c>
      <x:c r="D2894" s="3" t="str">
        <x:v>Full</x:v>
      </x:c>
      <x:c r="E2894" s="18" t="n">
        <x:v>600</x:v>
      </x:c>
      <x:c r="F2894" s="21" t="n">
        <x:v>1447.5933747821077</x:v>
      </x:c>
      <x:c r="G2894" s="21" t="n">
        <x:f>F2889</x:f>
        <x:v>1434.937557836571</x:v>
      </x:c>
      <x:c r="H2894" s="21" t="n">
        <x:f>F2894</x:f>
        <x:v>1447.5933747821077</x:v>
      </x:c>
      <x:c r="I2894" s="27" t="n">
        <x:f>IF(AND(ISNUMBER(G2894),ISNUMBER(H2894),H2894&gt;0),G2894/H2894-1,"")</x:f>
        <x:v>-0.008742660173781003</x:v>
      </x:c>
      <x:c r="J2894" s="27" t="n">
        <x:f>IF(AND(ISNUMBER(G2894),F2894&gt;0),G2894/F2894-1,"")</x:f>
        <x:v>-0.008742660173781003</x:v>
      </x:c>
      <x:c r="K2894" s="19" t="str">
        <x:v>KuaiRec/EXP095/results/seed7208_Full.json</x:v>
      </x:c>
    </x:row>
    <x:row r="2895" ht="15" hidden="0" customHeight="1">
      <x:c r="A2895" s="3" t="str">
        <x:v>EXP095</x:v>
      </x:c>
      <x:c r="B2895" s="3" t="str">
        <x:v>KuaiRec</x:v>
      </x:c>
      <x:c r="C2895" s="18" t="n">
        <x:v>7208</x:v>
      </x:c>
      <x:c r="D2895" s="3" t="str">
        <x:v>Relative cutoff 1e-2</x:v>
      </x:c>
      <x:c r="E2895" s="18" t="n">
        <x:v>600</x:v>
      </x:c>
      <x:c r="F2895" s="21" t="n">
        <x:v>1413.541078357766</x:v>
      </x:c>
      <x:c r="G2895" s="21" t="n">
        <x:f>F2889</x:f>
        <x:v>1434.937557836571</x:v>
      </x:c>
      <x:c r="H2895" s="21" t="n">
        <x:f>F2894</x:f>
        <x:v>1447.5933747821077</x:v>
      </x:c>
      <x:c r="I2895" s="27" t="n">
        <x:f>IF(AND(ISNUMBER(G2895),ISNUMBER(H2895),H2895&gt;0),G2895/H2895-1,"")</x:f>
        <x:v>-0.008742660173781003</x:v>
      </x:c>
      <x:c r="J2895" s="27" t="n">
        <x:f>IF(AND(ISNUMBER(G2895),F2895&gt;0),G2895/F2895-1,"")</x:f>
        <x:v>0.015136793550890593</x:v>
      </x:c>
      <x:c r="K2895" s="19" t="str">
        <x:v>KuaiRec/EXP095/results/seed7208_Relative_cutoff_1e-2.json</x:v>
      </x:c>
    </x:row>
    <x:row r="2896" ht="15" hidden="0" customHeight="1">
      <x:c r="A2896" s="3" t="str">
        <x:v>EXP095</x:v>
      </x:c>
      <x:c r="B2896" s="3" t="str">
        <x:v>KuaiRec</x:v>
      </x:c>
      <x:c r="C2896" s="18" t="n">
        <x:v>7208</x:v>
      </x:c>
      <x:c r="D2896" s="3" t="str">
        <x:v>Relative cutoff 1e-4</x:v>
      </x:c>
      <x:c r="E2896" s="18" t="n">
        <x:v>600</x:v>
      </x:c>
      <x:c r="F2896" s="21" t="n">
        <x:v>1380.5733895794576</x:v>
      </x:c>
      <x:c r="G2896" s="21" t="n">
        <x:f>F2889</x:f>
        <x:v>1434.937557836571</x:v>
      </x:c>
      <x:c r="H2896" s="21" t="n">
        <x:f>F2894</x:f>
        <x:v>1447.5933747821077</x:v>
      </x:c>
      <x:c r="I2896" s="27" t="n">
        <x:f>IF(AND(ISNUMBER(G2896),ISNUMBER(H2896),H2896&gt;0),G2896/H2896-1,"")</x:f>
        <x:v>-0.008742660173781003</x:v>
      </x:c>
      <x:c r="J2896" s="27" t="n">
        <x:f>IF(AND(ISNUMBER(G2896),F2896&gt;0),G2896/F2896-1,"")</x:f>
        <x:v>0.0393779632922473</x:v>
      </x:c>
      <x:c r="K2896" s="19" t="str">
        <x:v>KuaiRec/EXP095/results/seed7208_Relative_cutoff_1e-4.json</x:v>
      </x:c>
    </x:row>
    <x:row r="2897" ht="15" hidden="0" customHeight="1">
      <x:c r="A2897" s="3" t="str">
        <x:v>EXP095</x:v>
      </x:c>
      <x:c r="B2897" s="3" t="str">
        <x:v>KuaiRec</x:v>
      </x:c>
      <x:c r="C2897" s="18" t="n">
        <x:v>7209</x:v>
      </x:c>
      <x:c r="D2897" s="3" t="str">
        <x:v>BBP</x:v>
      </x:c>
      <x:c r="E2897" s="18" t="n">
        <x:v>600</x:v>
      </x:c>
      <x:c r="F2897" s="21" t="n">
        <x:v>1261.1096737574335</x:v>
      </x:c>
      <x:c r="G2897" s="21" t="n">
        <x:f>F2897</x:f>
        <x:v>1261.1096737574335</x:v>
      </x:c>
      <x:c r="H2897" s="21" t="n">
        <x:f>F2902</x:f>
        <x:v>1237.3296204201265</x:v>
      </x:c>
      <x:c r="I2897" s="27" t="n">
        <x:f>IF(AND(ISNUMBER(G2897),ISNUMBER(H2897),H2897&gt;0),G2897/H2897-1,"")</x:f>
        <x:v>0.01921885077739649</x:v>
      </x:c>
      <x:c r="J2897" s="27" t="n">
        <x:f>IF(AND(ISNUMBER(G2897),F2897&gt;0),G2897/F2897-1,"")</x:f>
        <x:v>0</x:v>
      </x:c>
      <x:c r="K2897" s="19" t="str">
        <x:v>KuaiRec/EXP095/results/seed7209_BBP.json</x:v>
      </x:c>
    </x:row>
    <x:row r="2898" ht="15" hidden="0" customHeight="1">
      <x:c r="A2898" s="3" t="str">
        <x:v>EXP095</x:v>
      </x:c>
      <x:c r="B2898" s="3" t="str">
        <x:v>KuaiRec</x:v>
      </x:c>
      <x:c r="C2898" s="18" t="n">
        <x:v>7209</x:v>
      </x:c>
      <x:c r="D2898" s="3" t="str">
        <x:v>Relative cutoff 1e-5</x:v>
      </x:c>
      <x:c r="E2898" s="18" t="n">
        <x:v>600</x:v>
      </x:c>
      <x:c r="F2898" s="21" t="n">
        <x:v>1226.9084249485593</x:v>
      </x:c>
      <x:c r="G2898" s="21" t="n">
        <x:f>F2897</x:f>
        <x:v>1261.1096737574335</x:v>
      </x:c>
      <x:c r="H2898" s="21" t="n">
        <x:f>F2902</x:f>
        <x:v>1237.3296204201265</x:v>
      </x:c>
      <x:c r="I2898" s="27" t="n">
        <x:f>IF(AND(ISNUMBER(G2898),ISNUMBER(H2898),H2898&gt;0),G2898/H2898-1,"")</x:f>
        <x:v>0.01921885077739649</x:v>
      </x:c>
      <x:c r="J2898" s="27" t="n">
        <x:f>IF(AND(ISNUMBER(G2898),F2898&gt;0),G2898/F2898-1,"")</x:f>
        <x:v>0.027875958884468588</x:v>
      </x:c>
      <x:c r="K2898" s="19" t="str">
        <x:v>KuaiRec/EXP095/results/seed7209_Relative_cutoff_1e-5.json</x:v>
      </x:c>
    </x:row>
    <x:row r="2899" ht="15" hidden="0" customHeight="1">
      <x:c r="A2899" s="3" t="str">
        <x:v>EXP095</x:v>
      </x:c>
      <x:c r="B2899" s="3" t="str">
        <x:v>KuaiRec</x:v>
      </x:c>
      <x:c r="C2899" s="18" t="n">
        <x:v>7209</x:v>
      </x:c>
      <x:c r="D2899" s="3" t="str">
        <x:v>Fixed rank 10</x:v>
      </x:c>
      <x:c r="E2899" s="18" t="n">
        <x:v>600</x:v>
      </x:c>
      <x:c r="F2899" s="21" t="n">
        <x:v>1210.1377526832614</x:v>
      </x:c>
      <x:c r="G2899" s="21" t="n">
        <x:f>F2897</x:f>
        <x:v>1261.1096737574335</x:v>
      </x:c>
      <x:c r="H2899" s="21" t="n">
        <x:f>F2902</x:f>
        <x:v>1237.3296204201265</x:v>
      </x:c>
      <x:c r="I2899" s="27" t="n">
        <x:f>IF(AND(ISNUMBER(G2899),ISNUMBER(H2899),H2899&gt;0),G2899/H2899-1,"")</x:f>
        <x:v>0.01921885077739649</x:v>
      </x:c>
      <x:c r="J2899" s="27" t="n">
        <x:f>IF(AND(ISNUMBER(G2899),F2899&gt;0),G2899/F2899-1,"")</x:f>
        <x:v>0.04212075936078441</x:v>
      </x:c>
      <x:c r="K2899" s="19" t="str">
        <x:v>KuaiRec/EXP095/results/seed7209_Fixed_rank_10.json</x:v>
      </x:c>
    </x:row>
    <x:row r="2900" ht="15" hidden="0" customHeight="1">
      <x:c r="A2900" s="3" t="str">
        <x:v>EXP095</x:v>
      </x:c>
      <x:c r="B2900" s="3" t="str">
        <x:v>KuaiRec</x:v>
      </x:c>
      <x:c r="C2900" s="18" t="n">
        <x:v>7209</x:v>
      </x:c>
      <x:c r="D2900" s="3" t="str">
        <x:v>Fixed rank 25</x:v>
      </x:c>
      <x:c r="E2900" s="18" t="n">
        <x:v>600</x:v>
      </x:c>
      <x:c r="F2900" s="21" t="n">
        <x:v>1261.1096737574335</x:v>
      </x:c>
      <x:c r="G2900" s="21" t="n">
        <x:f>F2897</x:f>
        <x:v>1261.1096737574335</x:v>
      </x:c>
      <x:c r="H2900" s="21" t="n">
        <x:f>F2902</x:f>
        <x:v>1237.3296204201265</x:v>
      </x:c>
      <x:c r="I2900" s="27" t="n">
        <x:f>IF(AND(ISNUMBER(G2900),ISNUMBER(H2900),H2900&gt;0),G2900/H2900-1,"")</x:f>
        <x:v>0.01921885077739649</x:v>
      </x:c>
      <x:c r="J2900" s="27" t="n">
        <x:f>IF(AND(ISNUMBER(G2900),F2900&gt;0),G2900/F2900-1,"")</x:f>
        <x:v>0</x:v>
      </x:c>
      <x:c r="K2900" s="19" t="str">
        <x:v>KuaiRec/EXP095/results/seed7209_Fixed_rank_25.json</x:v>
      </x:c>
    </x:row>
    <x:row r="2901" ht="15" hidden="0" customHeight="1">
      <x:c r="A2901" s="3" t="str">
        <x:v>EXP095</x:v>
      </x:c>
      <x:c r="B2901" s="3" t="str">
        <x:v>KuaiRec</x:v>
      </x:c>
      <x:c r="C2901" s="18" t="n">
        <x:v>7209</x:v>
      </x:c>
      <x:c r="D2901" s="3" t="str">
        <x:v>Relative cutoff 1e-6</x:v>
      </x:c>
      <x:c r="E2901" s="18" t="n">
        <x:v>600</x:v>
      </x:c>
      <x:c r="F2901" s="21" t="n">
        <x:v>1258.8466248171885</x:v>
      </x:c>
      <x:c r="G2901" s="21" t="n">
        <x:f>F2897</x:f>
        <x:v>1261.1096737574335</x:v>
      </x:c>
      <x:c r="H2901" s="21" t="n">
        <x:f>F2902</x:f>
        <x:v>1237.3296204201265</x:v>
      </x:c>
      <x:c r="I2901" s="27" t="n">
        <x:f>IF(AND(ISNUMBER(G2901),ISNUMBER(H2901),H2901&gt;0),G2901/H2901-1,"")</x:f>
        <x:v>0.01921885077739649</x:v>
      </x:c>
      <x:c r="J2901" s="27" t="n">
        <x:f>IF(AND(ISNUMBER(G2901),F2901&gt;0),G2901/F2901-1,"")</x:f>
        <x:v>0.0017977161757680715</x:v>
      </x:c>
      <x:c r="K2901" s="19" t="str">
        <x:v>KuaiRec/EXP095/results/seed7209_Relative_cutoff_1e-6.json</x:v>
      </x:c>
    </x:row>
    <x:row r="2902" ht="15" hidden="0" customHeight="1">
      <x:c r="A2902" s="3" t="str">
        <x:v>EXP095</x:v>
      </x:c>
      <x:c r="B2902" s="3" t="str">
        <x:v>KuaiRec</x:v>
      </x:c>
      <x:c r="C2902" s="18" t="n">
        <x:v>7209</x:v>
      </x:c>
      <x:c r="D2902" s="3" t="str">
        <x:v>Full</x:v>
      </x:c>
      <x:c r="E2902" s="18" t="n">
        <x:v>600</x:v>
      </x:c>
      <x:c r="F2902" s="21" t="n">
        <x:v>1237.3296204201265</x:v>
      </x:c>
      <x:c r="G2902" s="21" t="n">
        <x:f>F2897</x:f>
        <x:v>1261.1096737574335</x:v>
      </x:c>
      <x:c r="H2902" s="21" t="n">
        <x:f>F2902</x:f>
        <x:v>1237.3296204201265</x:v>
      </x:c>
      <x:c r="I2902" s="27" t="n">
        <x:f>IF(AND(ISNUMBER(G2902),ISNUMBER(H2902),H2902&gt;0),G2902/H2902-1,"")</x:f>
        <x:v>0.01921885077739649</x:v>
      </x:c>
      <x:c r="J2902" s="27" t="n">
        <x:f>IF(AND(ISNUMBER(G2902),F2902&gt;0),G2902/F2902-1,"")</x:f>
        <x:v>0.01921885077739649</x:v>
      </x:c>
      <x:c r="K2902" s="19" t="str">
        <x:v>KuaiRec/EXP095/results/seed7209_Full.json</x:v>
      </x:c>
    </x:row>
    <x:row r="2903" ht="15" hidden="0" customHeight="1">
      <x:c r="A2903" s="3" t="str">
        <x:v>EXP095</x:v>
      </x:c>
      <x:c r="B2903" s="3" t="str">
        <x:v>KuaiRec</x:v>
      </x:c>
      <x:c r="C2903" s="18" t="n">
        <x:v>7209</x:v>
      </x:c>
      <x:c r="D2903" s="3" t="str">
        <x:v>Relative cutoff 1e-2</x:v>
      </x:c>
      <x:c r="E2903" s="18" t="n">
        <x:v>600</x:v>
      </x:c>
      <x:c r="F2903" s="21" t="n">
        <x:v>1277.9838133744367</x:v>
      </x:c>
      <x:c r="G2903" s="21" t="n">
        <x:f>F2897</x:f>
        <x:v>1261.1096737574335</x:v>
      </x:c>
      <x:c r="H2903" s="21" t="n">
        <x:f>F2902</x:f>
        <x:v>1237.3296204201265</x:v>
      </x:c>
      <x:c r="I2903" s="27" t="n">
        <x:f>IF(AND(ISNUMBER(G2903),ISNUMBER(H2903),H2903&gt;0),G2903/H2903-1,"")</x:f>
        <x:v>0.01921885077739649</x:v>
      </x:c>
      <x:c r="J2903" s="27" t="n">
        <x:f>IF(AND(ISNUMBER(G2903),F2903&gt;0),G2903/F2903-1,"")</x:f>
        <x:v>-0.013203719358892418</x:v>
      </x:c>
      <x:c r="K2903" s="19" t="str">
        <x:v>KuaiRec/EXP095/results/seed7209_Relative_cutoff_1e-2.json</x:v>
      </x:c>
    </x:row>
    <x:row r="2904" ht="15" hidden="0" customHeight="1">
      <x:c r="A2904" s="3" t="str">
        <x:v>EXP095</x:v>
      </x:c>
      <x:c r="B2904" s="3" t="str">
        <x:v>KuaiRec</x:v>
      </x:c>
      <x:c r="C2904" s="18" t="n">
        <x:v>7209</x:v>
      </x:c>
      <x:c r="D2904" s="3" t="str">
        <x:v>Relative cutoff 1e-4</x:v>
      </x:c>
      <x:c r="E2904" s="18" t="n">
        <x:v>600</x:v>
      </x:c>
      <x:c r="F2904" s="21" t="n">
        <x:v>1240.42360499913</x:v>
      </x:c>
      <x:c r="G2904" s="21" t="n">
        <x:f>F2897</x:f>
        <x:v>1261.1096737574335</x:v>
      </x:c>
      <x:c r="H2904" s="21" t="n">
        <x:f>F2902</x:f>
        <x:v>1237.3296204201265</x:v>
      </x:c>
      <x:c r="I2904" s="27" t="n">
        <x:f>IF(AND(ISNUMBER(G2904),ISNUMBER(H2904),H2904&gt;0),G2904/H2904-1,"")</x:f>
        <x:v>0.01921885077739649</x:v>
      </x:c>
      <x:c r="J2904" s="27" t="n">
        <x:f>IF(AND(ISNUMBER(G2904),F2904&gt;0),G2904/F2904-1,"")</x:f>
        <x:v>0.01667661650014951</x:v>
      </x:c>
      <x:c r="K2904" s="19" t="str">
        <x:v>KuaiRec/EXP095/results/seed7209_Relative_cutoff_1e-4.json</x:v>
      </x:c>
    </x:row>
    <x:row r="2905" ht="15" hidden="0" customHeight="1">
      <x:c r="A2905" s="3" t="str">
        <x:v>EXP095</x:v>
      </x:c>
      <x:c r="B2905" s="3" t="str">
        <x:v>KuaiRec</x:v>
      </x:c>
      <x:c r="C2905" s="18" t="n">
        <x:v>7210</x:v>
      </x:c>
      <x:c r="D2905" s="3" t="str">
        <x:v>BBP</x:v>
      </x:c>
      <x:c r="E2905" s="18" t="n">
        <x:v>600</x:v>
      </x:c>
      <x:c r="F2905" s="21" t="n">
        <x:v>1411.9295540487694</x:v>
      </x:c>
      <x:c r="G2905" s="21" t="n">
        <x:f>F2905</x:f>
        <x:v>1411.9295540487694</x:v>
      </x:c>
      <x:c r="H2905" s="21" t="n">
        <x:f>F2910</x:f>
        <x:v>1351.590131427382</x:v>
      </x:c>
      <x:c r="I2905" s="27" t="n">
        <x:f>IF(AND(ISNUMBER(G2905),ISNUMBER(H2905),H2905&gt;0),G2905/H2905-1,"")</x:f>
        <x:v>0.0446432843939637</x:v>
      </x:c>
      <x:c r="J2905" s="27" t="n">
        <x:f>IF(AND(ISNUMBER(G2905),F2905&gt;0),G2905/F2905-1,"")</x:f>
        <x:v>0</x:v>
      </x:c>
      <x:c r="K2905" s="19" t="str">
        <x:v>KuaiRec/EXP095/results/seed7210_BBP.json</x:v>
      </x:c>
    </x:row>
    <x:row r="2906" ht="15" hidden="0" customHeight="1">
      <x:c r="A2906" s="3" t="str">
        <x:v>EXP095</x:v>
      </x:c>
      <x:c r="B2906" s="3" t="str">
        <x:v>KuaiRec</x:v>
      </x:c>
      <x:c r="C2906" s="18" t="n">
        <x:v>7210</x:v>
      </x:c>
      <x:c r="D2906" s="3" t="str">
        <x:v>Relative cutoff 1e-5</x:v>
      </x:c>
      <x:c r="E2906" s="18" t="n">
        <x:v>600</x:v>
      </x:c>
      <x:c r="F2906" s="21" t="n">
        <x:v>1317.49108019693</x:v>
      </x:c>
      <x:c r="G2906" s="21" t="n">
        <x:f>F2905</x:f>
        <x:v>1411.9295540487694</x:v>
      </x:c>
      <x:c r="H2906" s="21" t="n">
        <x:f>F2910</x:f>
        <x:v>1351.590131427382</x:v>
      </x:c>
      <x:c r="I2906" s="27" t="n">
        <x:f>IF(AND(ISNUMBER(G2906),ISNUMBER(H2906),H2906&gt;0),G2906/H2906-1,"")</x:f>
        <x:v>0.0446432843939637</x:v>
      </x:c>
      <x:c r="J2906" s="27" t="n">
        <x:f>IF(AND(ISNUMBER(G2906),F2906&gt;0),G2906/F2906-1,"")</x:f>
        <x:v>0.0716805413496413</x:v>
      </x:c>
      <x:c r="K2906" s="19" t="str">
        <x:v>KuaiRec/EXP095/results/seed7210_Relative_cutoff_1e-5.json</x:v>
      </x:c>
    </x:row>
    <x:row r="2907" ht="15" hidden="0" customHeight="1">
      <x:c r="A2907" s="3" t="str">
        <x:v>EXP095</x:v>
      </x:c>
      <x:c r="B2907" s="3" t="str">
        <x:v>KuaiRec</x:v>
      </x:c>
      <x:c r="C2907" s="18" t="n">
        <x:v>7210</x:v>
      </x:c>
      <x:c r="D2907" s="3" t="str">
        <x:v>Fixed rank 10</x:v>
      </x:c>
      <x:c r="E2907" s="18" t="n">
        <x:v>600</x:v>
      </x:c>
      <x:c r="F2907" s="21" t="n">
        <x:v>1391.256295632912</x:v>
      </x:c>
      <x:c r="G2907" s="21" t="n">
        <x:f>F2905</x:f>
        <x:v>1411.9295540487694</x:v>
      </x:c>
      <x:c r="H2907" s="21" t="n">
        <x:f>F2910</x:f>
        <x:v>1351.590131427382</x:v>
      </x:c>
      <x:c r="I2907" s="27" t="n">
        <x:f>IF(AND(ISNUMBER(G2907),ISNUMBER(H2907),H2907&gt;0),G2907/H2907-1,"")</x:f>
        <x:v>0.0446432843939637</x:v>
      </x:c>
      <x:c r="J2907" s="27" t="n">
        <x:f>IF(AND(ISNUMBER(G2907),F2907&gt;0),G2907/F2907-1,"")</x:f>
        <x:v>0.014859417693741772</x:v>
      </x:c>
      <x:c r="K2907" s="19" t="str">
        <x:v>KuaiRec/EXP095/results/seed7210_Fixed_rank_10.json</x:v>
      </x:c>
    </x:row>
    <x:row r="2908" ht="15" hidden="0" customHeight="1">
      <x:c r="A2908" s="3" t="str">
        <x:v>EXP095</x:v>
      </x:c>
      <x:c r="B2908" s="3" t="str">
        <x:v>KuaiRec</x:v>
      </x:c>
      <x:c r="C2908" s="18" t="n">
        <x:v>7210</x:v>
      </x:c>
      <x:c r="D2908" s="3" t="str">
        <x:v>Fixed rank 25</x:v>
      </x:c>
      <x:c r="E2908" s="18" t="n">
        <x:v>600</x:v>
      </x:c>
      <x:c r="F2908" s="21" t="n">
        <x:v>1411.9295540487694</x:v>
      </x:c>
      <x:c r="G2908" s="21" t="n">
        <x:f>F2905</x:f>
        <x:v>1411.9295540487694</x:v>
      </x:c>
      <x:c r="H2908" s="21" t="n">
        <x:f>F2910</x:f>
        <x:v>1351.590131427382</x:v>
      </x:c>
      <x:c r="I2908" s="27" t="n">
        <x:f>IF(AND(ISNUMBER(G2908),ISNUMBER(H2908),H2908&gt;0),G2908/H2908-1,"")</x:f>
        <x:v>0.0446432843939637</x:v>
      </x:c>
      <x:c r="J2908" s="27" t="n">
        <x:f>IF(AND(ISNUMBER(G2908),F2908&gt;0),G2908/F2908-1,"")</x:f>
        <x:v>0</x:v>
      </x:c>
      <x:c r="K2908" s="19" t="str">
        <x:v>KuaiRec/EXP095/results/seed7210_Fixed_rank_25.json</x:v>
      </x:c>
    </x:row>
    <x:row r="2909" ht="15" hidden="0" customHeight="1">
      <x:c r="A2909" s="3" t="str">
        <x:v>EXP095</x:v>
      </x:c>
      <x:c r="B2909" s="3" t="str">
        <x:v>KuaiRec</x:v>
      </x:c>
      <x:c r="C2909" s="18" t="n">
        <x:v>7210</x:v>
      </x:c>
      <x:c r="D2909" s="3" t="str">
        <x:v>Relative cutoff 1e-6</x:v>
      </x:c>
      <x:c r="E2909" s="18" t="n">
        <x:v>600</x:v>
      </x:c>
      <x:c r="F2909" s="21" t="n">
        <x:v>1420.4258929944056</x:v>
      </x:c>
      <x:c r="G2909" s="21" t="n">
        <x:f>F2905</x:f>
        <x:v>1411.9295540487694</x:v>
      </x:c>
      <x:c r="H2909" s="21" t="n">
        <x:f>F2910</x:f>
        <x:v>1351.590131427382</x:v>
      </x:c>
      <x:c r="I2909" s="27" t="n">
        <x:f>IF(AND(ISNUMBER(G2909),ISNUMBER(H2909),H2909&gt;0),G2909/H2909-1,"")</x:f>
        <x:v>0.0446432843939637</x:v>
      </x:c>
      <x:c r="J2909" s="27" t="n">
        <x:f>IF(AND(ISNUMBER(G2909),F2909&gt;0),G2909/F2909-1,"")</x:f>
        <x:v>-0.005981543273422707</x:v>
      </x:c>
      <x:c r="K2909" s="19" t="str">
        <x:v>KuaiRec/EXP095/results/seed7210_Relative_cutoff_1e-6.json</x:v>
      </x:c>
    </x:row>
    <x:row r="2910" ht="15" hidden="0" customHeight="1">
      <x:c r="A2910" s="3" t="str">
        <x:v>EXP095</x:v>
      </x:c>
      <x:c r="B2910" s="3" t="str">
        <x:v>KuaiRec</x:v>
      </x:c>
      <x:c r="C2910" s="18" t="n">
        <x:v>7210</x:v>
      </x:c>
      <x:c r="D2910" s="3" t="str">
        <x:v>Full</x:v>
      </x:c>
      <x:c r="E2910" s="18" t="n">
        <x:v>600</x:v>
      </x:c>
      <x:c r="F2910" s="21" t="n">
        <x:v>1351.590131427382</x:v>
      </x:c>
      <x:c r="G2910" s="21" t="n">
        <x:f>F2905</x:f>
        <x:v>1411.9295540487694</x:v>
      </x:c>
      <x:c r="H2910" s="21" t="n">
        <x:f>F2910</x:f>
        <x:v>1351.590131427382</x:v>
      </x:c>
      <x:c r="I2910" s="27" t="n">
        <x:f>IF(AND(ISNUMBER(G2910),ISNUMBER(H2910),H2910&gt;0),G2910/H2910-1,"")</x:f>
        <x:v>0.0446432843939637</x:v>
      </x:c>
      <x:c r="J2910" s="27" t="n">
        <x:f>IF(AND(ISNUMBER(G2910),F2910&gt;0),G2910/F2910-1,"")</x:f>
        <x:v>0.0446432843939637</x:v>
      </x:c>
      <x:c r="K2910" s="19" t="str">
        <x:v>KuaiRec/EXP095/results/seed7210_Full.json</x:v>
      </x:c>
    </x:row>
    <x:row r="2911" ht="15" hidden="0" customHeight="1">
      <x:c r="A2911" s="3" t="str">
        <x:v>EXP095</x:v>
      </x:c>
      <x:c r="B2911" s="3" t="str">
        <x:v>KuaiRec</x:v>
      </x:c>
      <x:c r="C2911" s="18" t="n">
        <x:v>7210</x:v>
      </x:c>
      <x:c r="D2911" s="3" t="str">
        <x:v>Relative cutoff 1e-2</x:v>
      </x:c>
      <x:c r="E2911" s="18" t="n">
        <x:v>600</x:v>
      </x:c>
      <x:c r="F2911" s="21" t="n">
        <x:v>1335.242406155712</x:v>
      </x:c>
      <x:c r="G2911" s="21" t="n">
        <x:f>F2905</x:f>
        <x:v>1411.9295540487694</x:v>
      </x:c>
      <x:c r="H2911" s="21" t="n">
        <x:f>F2910</x:f>
        <x:v>1351.590131427382</x:v>
      </x:c>
      <x:c r="I2911" s="27" t="n">
        <x:f>IF(AND(ISNUMBER(G2911),ISNUMBER(H2911),H2911&gt;0),G2911/H2911-1,"")</x:f>
        <x:v>0.0446432843939637</x:v>
      </x:c>
      <x:c r="J2911" s="27" t="n">
        <x:f>IF(AND(ISNUMBER(G2911),F2911&gt;0),G2911/F2911-1,"")</x:f>
        <x:v>0.05743312790210653</x:v>
      </x:c>
      <x:c r="K2911" s="19" t="str">
        <x:v>KuaiRec/EXP095/results/seed7210_Relative_cutoff_1e-2.json</x:v>
      </x:c>
    </x:row>
    <x:row r="2912" ht="15" hidden="0" customHeight="1">
      <x:c r="A2912" s="3" t="str">
        <x:v>EXP095</x:v>
      </x:c>
      <x:c r="B2912" s="3" t="str">
        <x:v>KuaiRec</x:v>
      </x:c>
      <x:c r="C2912" s="18" t="n">
        <x:v>7210</x:v>
      </x:c>
      <x:c r="D2912" s="3" t="str">
        <x:v>Relative cutoff 1e-4</x:v>
      </x:c>
      <x:c r="E2912" s="18" t="n">
        <x:v>600</x:v>
      </x:c>
      <x:c r="F2912" s="21" t="n">
        <x:v>1435.2970067617948</x:v>
      </x:c>
      <x:c r="G2912" s="21" t="n">
        <x:f>F2905</x:f>
        <x:v>1411.9295540487694</x:v>
      </x:c>
      <x:c r="H2912" s="21" t="n">
        <x:f>F2910</x:f>
        <x:v>1351.590131427382</x:v>
      </x:c>
      <x:c r="I2912" s="27" t="n">
        <x:f>IF(AND(ISNUMBER(G2912),ISNUMBER(H2912),H2912&gt;0),G2912/H2912-1,"")</x:f>
        <x:v>0.0446432843939637</x:v>
      </x:c>
      <x:c r="J2912" s="27" t="n">
        <x:f>IF(AND(ISNUMBER(G2912),F2912&gt;0),G2912/F2912-1,"")</x:f>
        <x:v>-0.016280569528773103</x:v>
      </x:c>
      <x:c r="K2912" s="19" t="str">
        <x:v>KuaiRec/EXP095/results/seed7210_Relative_cutoff_1e-4.json</x:v>
      </x:c>
    </x:row>
    <x:row r="2913" ht="15" hidden="0" customHeight="1">
      <x:c r="A2913" s="3" t="str">
        <x:v>EXP095</x:v>
      </x:c>
      <x:c r="B2913" s="3" t="str">
        <x:v>KuaiRec</x:v>
      </x:c>
      <x:c r="C2913" s="18" t="n">
        <x:v>7211</x:v>
      </x:c>
      <x:c r="D2913" s="3" t="str">
        <x:v>BBP</x:v>
      </x:c>
      <x:c r="E2913" s="18" t="n">
        <x:v>600</x:v>
      </x:c>
      <x:c r="F2913" s="21" t="n">
        <x:v>1479.8434273032917</x:v>
      </x:c>
      <x:c r="G2913" s="21" t="n">
        <x:f>F2913</x:f>
        <x:v>1479.8434273032917</x:v>
      </x:c>
      <x:c r="H2913" s="21" t="n">
        <x:f>F2918</x:f>
        <x:v>1479.8434273032917</x:v>
      </x:c>
      <x:c r="I2913" s="27" t="n">
        <x:f>IF(AND(ISNUMBER(G2913),ISNUMBER(H2913),H2913&gt;0),G2913/H2913-1,"")</x:f>
        <x:v>0</x:v>
      </x:c>
      <x:c r="J2913" s="27" t="n">
        <x:f>IF(AND(ISNUMBER(G2913),F2913&gt;0),G2913/F2913-1,"")</x:f>
        <x:v>0</x:v>
      </x:c>
      <x:c r="K2913" s="19" t="str">
        <x:v>KuaiRec/EXP095/results/seed7211_BBP.json</x:v>
      </x:c>
    </x:row>
    <x:row r="2914" ht="15" hidden="0" customHeight="1">
      <x:c r="A2914" s="3" t="str">
        <x:v>EXP095</x:v>
      </x:c>
      <x:c r="B2914" s="3" t="str">
        <x:v>KuaiRec</x:v>
      </x:c>
      <x:c r="C2914" s="18" t="n">
        <x:v>7211</x:v>
      </x:c>
      <x:c r="D2914" s="3" t="str">
        <x:v>Relative cutoff 1e-5</x:v>
      </x:c>
      <x:c r="E2914" s="18" t="n">
        <x:v>600</x:v>
      </x:c>
      <x:c r="F2914" s="21" t="n">
        <x:v>1455.2923706798483</x:v>
      </x:c>
      <x:c r="G2914" s="21" t="n">
        <x:f>F2913</x:f>
        <x:v>1479.8434273032917</x:v>
      </x:c>
      <x:c r="H2914" s="21" t="n">
        <x:f>F2918</x:f>
        <x:v>1479.8434273032917</x:v>
      </x:c>
      <x:c r="I2914" s="27" t="n">
        <x:f>IF(AND(ISNUMBER(G2914),ISNUMBER(H2914),H2914&gt;0),G2914/H2914-1,"")</x:f>
        <x:v>0</x:v>
      </x:c>
      <x:c r="J2914" s="27" t="n">
        <x:f>IF(AND(ISNUMBER(G2914),F2914&gt;0),G2914/F2914-1,"")</x:f>
        <x:v>0.016870188505127892</x:v>
      </x:c>
      <x:c r="K2914" s="19" t="str">
        <x:v>KuaiRec/EXP095/results/seed7211_Relative_cutoff_1e-5.json</x:v>
      </x:c>
    </x:row>
    <x:row r="2915" ht="15" hidden="0" customHeight="1">
      <x:c r="A2915" s="3" t="str">
        <x:v>EXP095</x:v>
      </x:c>
      <x:c r="B2915" s="3" t="str">
        <x:v>KuaiRec</x:v>
      </x:c>
      <x:c r="C2915" s="18" t="n">
        <x:v>7211</x:v>
      </x:c>
      <x:c r="D2915" s="3" t="str">
        <x:v>Fixed rank 10</x:v>
      </x:c>
      <x:c r="E2915" s="18" t="n">
        <x:v>600</x:v>
      </x:c>
      <x:c r="F2915" s="21" t="n">
        <x:v>1466.4359793087872</x:v>
      </x:c>
      <x:c r="G2915" s="21" t="n">
        <x:f>F2913</x:f>
        <x:v>1479.8434273032917</x:v>
      </x:c>
      <x:c r="H2915" s="21" t="n">
        <x:f>F2918</x:f>
        <x:v>1479.8434273032917</x:v>
      </x:c>
      <x:c r="I2915" s="27" t="n">
        <x:f>IF(AND(ISNUMBER(G2915),ISNUMBER(H2915),H2915&gt;0),G2915/H2915-1,"")</x:f>
        <x:v>0</x:v>
      </x:c>
      <x:c r="J2915" s="27" t="n">
        <x:f>IF(AND(ISNUMBER(G2915),F2915&gt;0),G2915/F2915-1,"")</x:f>
        <x:v>0.009142879869071585</x:v>
      </x:c>
      <x:c r="K2915" s="19" t="str">
        <x:v>KuaiRec/EXP095/results/seed7211_Fixed_rank_10.json</x:v>
      </x:c>
    </x:row>
    <x:row r="2916" ht="15" hidden="0" customHeight="1">
      <x:c r="A2916" s="3" t="str">
        <x:v>EXP095</x:v>
      </x:c>
      <x:c r="B2916" s="3" t="str">
        <x:v>KuaiRec</x:v>
      </x:c>
      <x:c r="C2916" s="18" t="n">
        <x:v>7211</x:v>
      </x:c>
      <x:c r="D2916" s="3" t="str">
        <x:v>Fixed rank 25</x:v>
      </x:c>
      <x:c r="E2916" s="18" t="n">
        <x:v>600</x:v>
      </x:c>
      <x:c r="F2916" s="21" t="n">
        <x:v>1479.8434273032917</x:v>
      </x:c>
      <x:c r="G2916" s="21" t="n">
        <x:f>F2913</x:f>
        <x:v>1479.8434273032917</x:v>
      </x:c>
      <x:c r="H2916" s="21" t="n">
        <x:f>F2918</x:f>
        <x:v>1479.8434273032917</x:v>
      </x:c>
      <x:c r="I2916" s="27" t="n">
        <x:f>IF(AND(ISNUMBER(G2916),ISNUMBER(H2916),H2916&gt;0),G2916/H2916-1,"")</x:f>
        <x:v>0</x:v>
      </x:c>
      <x:c r="J2916" s="27" t="n">
        <x:f>IF(AND(ISNUMBER(G2916),F2916&gt;0),G2916/F2916-1,"")</x:f>
        <x:v>0</x:v>
      </x:c>
      <x:c r="K2916" s="19" t="str">
        <x:v>KuaiRec/EXP095/results/seed7211_Fixed_rank_25.json</x:v>
      </x:c>
    </x:row>
    <x:row r="2917" ht="15" hidden="0" customHeight="1">
      <x:c r="A2917" s="3" t="str">
        <x:v>EXP095</x:v>
      </x:c>
      <x:c r="B2917" s="3" t="str">
        <x:v>KuaiRec</x:v>
      </x:c>
      <x:c r="C2917" s="18" t="n">
        <x:v>7211</x:v>
      </x:c>
      <x:c r="D2917" s="3" t="str">
        <x:v>Relative cutoff 1e-6</x:v>
      </x:c>
      <x:c r="E2917" s="18" t="n">
        <x:v>600</x:v>
      </x:c>
      <x:c r="F2917" s="21" t="n">
        <x:v>1479.8434273032917</x:v>
      </x:c>
      <x:c r="G2917" s="21" t="n">
        <x:f>F2913</x:f>
        <x:v>1479.8434273032917</x:v>
      </x:c>
      <x:c r="H2917" s="21" t="n">
        <x:f>F2918</x:f>
        <x:v>1479.8434273032917</x:v>
      </x:c>
      <x:c r="I2917" s="27" t="n">
        <x:f>IF(AND(ISNUMBER(G2917),ISNUMBER(H2917),H2917&gt;0),G2917/H2917-1,"")</x:f>
        <x:v>0</x:v>
      </x:c>
      <x:c r="J2917" s="27" t="n">
        <x:f>IF(AND(ISNUMBER(G2917),F2917&gt;0),G2917/F2917-1,"")</x:f>
        <x:v>0</x:v>
      </x:c>
      <x:c r="K2917" s="19" t="str">
        <x:v>KuaiRec/EXP095/results/seed7211_Relative_cutoff_1e-6.json</x:v>
      </x:c>
    </x:row>
    <x:row r="2918" ht="15" hidden="0" customHeight="1">
      <x:c r="A2918" s="3" t="str">
        <x:v>EXP095</x:v>
      </x:c>
      <x:c r="B2918" s="3" t="str">
        <x:v>KuaiRec</x:v>
      </x:c>
      <x:c r="C2918" s="18" t="n">
        <x:v>7211</x:v>
      </x:c>
      <x:c r="D2918" s="3" t="str">
        <x:v>Full</x:v>
      </x:c>
      <x:c r="E2918" s="18" t="n">
        <x:v>600</x:v>
      </x:c>
      <x:c r="F2918" s="21" t="n">
        <x:v>1479.8434273032917</x:v>
      </x:c>
      <x:c r="G2918" s="21" t="n">
        <x:f>F2913</x:f>
        <x:v>1479.8434273032917</x:v>
      </x:c>
      <x:c r="H2918" s="21" t="n">
        <x:f>F2918</x:f>
        <x:v>1479.8434273032917</x:v>
      </x:c>
      <x:c r="I2918" s="27" t="n">
        <x:f>IF(AND(ISNUMBER(G2918),ISNUMBER(H2918),H2918&gt;0),G2918/H2918-1,"")</x:f>
        <x:v>0</x:v>
      </x:c>
      <x:c r="J2918" s="27" t="n">
        <x:f>IF(AND(ISNUMBER(G2918),F2918&gt;0),G2918/F2918-1,"")</x:f>
        <x:v>0</x:v>
      </x:c>
      <x:c r="K2918" s="19" t="str">
        <x:v>KuaiRec/EXP095/results/seed7211_Full.json</x:v>
      </x:c>
    </x:row>
    <x:row r="2919" ht="15" hidden="0" customHeight="1">
      <x:c r="A2919" s="3" t="str">
        <x:v>EXP095</x:v>
      </x:c>
      <x:c r="B2919" s="3" t="str">
        <x:v>KuaiRec</x:v>
      </x:c>
      <x:c r="C2919" s="18" t="n">
        <x:v>7211</x:v>
      </x:c>
      <x:c r="D2919" s="3" t="str">
        <x:v>Relative cutoff 1e-2</x:v>
      </x:c>
      <x:c r="E2919" s="18" t="n">
        <x:v>600</x:v>
      </x:c>
      <x:c r="F2919" s="21" t="n">
        <x:v>1324.0283340905119</x:v>
      </x:c>
      <x:c r="G2919" s="21" t="n">
        <x:f>F2913</x:f>
        <x:v>1479.8434273032917</x:v>
      </x:c>
      <x:c r="H2919" s="21" t="n">
        <x:f>F2918</x:f>
        <x:v>1479.8434273032917</x:v>
      </x:c>
      <x:c r="I2919" s="27" t="n">
        <x:f>IF(AND(ISNUMBER(G2919),ISNUMBER(H2919),H2919&gt;0),G2919/H2919-1,"")</x:f>
        <x:v>0</x:v>
      </x:c>
      <x:c r="J2919" s="27" t="n">
        <x:f>IF(AND(ISNUMBER(G2919),F2919&gt;0),G2919/F2919-1,"")</x:f>
        <x:v>0.11768259726844188</x:v>
      </x:c>
      <x:c r="K2919" s="19" t="str">
        <x:v>KuaiRec/EXP095/results/seed7211_Relative_cutoff_1e-2.json</x:v>
      </x:c>
    </x:row>
    <x:row r="2920" ht="15" hidden="0" customHeight="1">
      <x:c r="A2920" s="3" t="str">
        <x:v>EXP095</x:v>
      </x:c>
      <x:c r="B2920" s="3" t="str">
        <x:v>KuaiRec</x:v>
      </x:c>
      <x:c r="C2920" s="18" t="n">
        <x:v>7211</x:v>
      </x:c>
      <x:c r="D2920" s="3" t="str">
        <x:v>Relative cutoff 1e-4</x:v>
      </x:c>
      <x:c r="E2920" s="18" t="n">
        <x:v>600</x:v>
      </x:c>
      <x:c r="F2920" s="21" t="n">
        <x:v>1436.3124313090466</x:v>
      </x:c>
      <x:c r="G2920" s="21" t="n">
        <x:f>F2913</x:f>
        <x:v>1479.8434273032917</x:v>
      </x:c>
      <x:c r="H2920" s="21" t="n">
        <x:f>F2918</x:f>
        <x:v>1479.8434273032917</x:v>
      </x:c>
      <x:c r="I2920" s="27" t="n">
        <x:f>IF(AND(ISNUMBER(G2920),ISNUMBER(H2920),H2920&gt;0),G2920/H2920-1,"")</x:f>
        <x:v>0</x:v>
      </x:c>
      <x:c r="J2920" s="27" t="n">
        <x:f>IF(AND(ISNUMBER(G2920),F2920&gt;0),G2920/F2920-1,"")</x:f>
        <x:v>0.03030747004993284</x:v>
      </x:c>
      <x:c r="K2920" s="19" t="str">
        <x:v>KuaiRec/EXP095/results/seed7211_Relative_cutoff_1e-4.json</x:v>
      </x:c>
    </x:row>
    <x:row r="2921" ht="15" hidden="0" customHeight="1">
      <x:c r="A2921" s="3" t="str">
        <x:v>EXP095</x:v>
      </x:c>
      <x:c r="B2921" s="3" t="str">
        <x:v>KuaiRec</x:v>
      </x:c>
      <x:c r="C2921" s="18" t="n">
        <x:v>7212</x:v>
      </x:c>
      <x:c r="D2921" s="3" t="str">
        <x:v>BBP</x:v>
      </x:c>
      <x:c r="E2921" s="18" t="n">
        <x:v>600</x:v>
      </x:c>
      <x:c r="F2921" s="21" t="n">
        <x:v>1378.4958559600614</x:v>
      </x:c>
      <x:c r="G2921" s="21" t="n">
        <x:f>F2921</x:f>
        <x:v>1378.4958559600614</x:v>
      </x:c>
      <x:c r="H2921" s="21" t="n">
        <x:f>F2926</x:f>
        <x:v>1312.652148117557</x:v>
      </x:c>
      <x:c r="I2921" s="27" t="n">
        <x:f>IF(AND(ISNUMBER(G2921),ISNUMBER(H2921),H2921&gt;0),G2921/H2921-1,"")</x:f>
        <x:v>0.0501608197852943</x:v>
      </x:c>
      <x:c r="J2921" s="27" t="n">
        <x:f>IF(AND(ISNUMBER(G2921),F2921&gt;0),G2921/F2921-1,"")</x:f>
        <x:v>0</x:v>
      </x:c>
      <x:c r="K2921" s="19" t="str">
        <x:v>KuaiRec/EXP095/results/seed7212_BBP.json</x:v>
      </x:c>
    </x:row>
    <x:row r="2922" ht="15" hidden="0" customHeight="1">
      <x:c r="A2922" s="3" t="str">
        <x:v>EXP095</x:v>
      </x:c>
      <x:c r="B2922" s="3" t="str">
        <x:v>KuaiRec</x:v>
      </x:c>
      <x:c r="C2922" s="18" t="n">
        <x:v>7212</x:v>
      </x:c>
      <x:c r="D2922" s="3" t="str">
        <x:v>Relative cutoff 1e-5</x:v>
      </x:c>
      <x:c r="E2922" s="18" t="n">
        <x:v>600</x:v>
      </x:c>
      <x:c r="F2922" s="21" t="n">
        <x:v>1348.051302762371</x:v>
      </x:c>
      <x:c r="G2922" s="21" t="n">
        <x:f>F2921</x:f>
        <x:v>1378.4958559600614</x:v>
      </x:c>
      <x:c r="H2922" s="21" t="n">
        <x:f>F2926</x:f>
        <x:v>1312.652148117557</x:v>
      </x:c>
      <x:c r="I2922" s="27" t="n">
        <x:f>IF(AND(ISNUMBER(G2922),ISNUMBER(H2922),H2922&gt;0),G2922/H2922-1,"")</x:f>
        <x:v>0.0501608197852943</x:v>
      </x:c>
      <x:c r="J2922" s="27" t="n">
        <x:f>IF(AND(ISNUMBER(G2922),F2922&gt;0),G2922/F2922-1,"")</x:f>
        <x:v>0.02258412060082926</x:v>
      </x:c>
      <x:c r="K2922" s="19" t="str">
        <x:v>KuaiRec/EXP095/results/seed7212_Relative_cutoff_1e-5.json</x:v>
      </x:c>
    </x:row>
    <x:row r="2923" ht="15" hidden="0" customHeight="1">
      <x:c r="A2923" s="3" t="str">
        <x:v>EXP095</x:v>
      </x:c>
      <x:c r="B2923" s="3" t="str">
        <x:v>KuaiRec</x:v>
      </x:c>
      <x:c r="C2923" s="18" t="n">
        <x:v>7212</x:v>
      </x:c>
      <x:c r="D2923" s="3" t="str">
        <x:v>Fixed rank 10</x:v>
      </x:c>
      <x:c r="E2923" s="18" t="n">
        <x:v>600</x:v>
      </x:c>
      <x:c r="F2923" s="21" t="n">
        <x:v>1417.0098052012831</x:v>
      </x:c>
      <x:c r="G2923" s="21" t="n">
        <x:f>F2921</x:f>
        <x:v>1378.4958559600614</x:v>
      </x:c>
      <x:c r="H2923" s="21" t="n">
        <x:f>F2926</x:f>
        <x:v>1312.652148117557</x:v>
      </x:c>
      <x:c r="I2923" s="27" t="n">
        <x:f>IF(AND(ISNUMBER(G2923),ISNUMBER(H2923),H2923&gt;0),G2923/H2923-1,"")</x:f>
        <x:v>0.0501608197852943</x:v>
      </x:c>
      <x:c r="J2923" s="27" t="n">
        <x:f>IF(AND(ISNUMBER(G2923),F2923&gt;0),G2923/F2923-1,"")</x:f>
        <x:v>-0.027179733760382074</x:v>
      </x:c>
      <x:c r="K2923" s="19" t="str">
        <x:v>KuaiRec/EXP095/results/seed7212_Fixed_rank_10.json</x:v>
      </x:c>
    </x:row>
    <x:row r="2924" ht="15" hidden="0" customHeight="1">
      <x:c r="A2924" s="3" t="str">
        <x:v>EXP095</x:v>
      </x:c>
      <x:c r="B2924" s="3" t="str">
        <x:v>KuaiRec</x:v>
      </x:c>
      <x:c r="C2924" s="18" t="n">
        <x:v>7212</x:v>
      </x:c>
      <x:c r="D2924" s="3" t="str">
        <x:v>Fixed rank 25</x:v>
      </x:c>
      <x:c r="E2924" s="18" t="n">
        <x:v>600</x:v>
      </x:c>
      <x:c r="F2924" s="21" t="n">
        <x:v>1378.4958559600614</x:v>
      </x:c>
      <x:c r="G2924" s="21" t="n">
        <x:f>F2921</x:f>
        <x:v>1378.4958559600614</x:v>
      </x:c>
      <x:c r="H2924" s="21" t="n">
        <x:f>F2926</x:f>
        <x:v>1312.652148117557</x:v>
      </x:c>
      <x:c r="I2924" s="27" t="n">
        <x:f>IF(AND(ISNUMBER(G2924),ISNUMBER(H2924),H2924&gt;0),G2924/H2924-1,"")</x:f>
        <x:v>0.0501608197852943</x:v>
      </x:c>
      <x:c r="J2924" s="27" t="n">
        <x:f>IF(AND(ISNUMBER(G2924),F2924&gt;0),G2924/F2924-1,"")</x:f>
        <x:v>0</x:v>
      </x:c>
      <x:c r="K2924" s="19" t="str">
        <x:v>KuaiRec/EXP095/results/seed7212_Fixed_rank_25.json</x:v>
      </x:c>
    </x:row>
    <x:row r="2925" ht="15" hidden="0" customHeight="1">
      <x:c r="A2925" s="3" t="str">
        <x:v>EXP095</x:v>
      </x:c>
      <x:c r="B2925" s="3" t="str">
        <x:v>KuaiRec</x:v>
      </x:c>
      <x:c r="C2925" s="18" t="n">
        <x:v>7212</x:v>
      </x:c>
      <x:c r="D2925" s="3" t="str">
        <x:v>Relative cutoff 1e-6</x:v>
      </x:c>
      <x:c r="E2925" s="18" t="n">
        <x:v>600</x:v>
      </x:c>
      <x:c r="F2925" s="21" t="n">
        <x:v>1312.652148117557</x:v>
      </x:c>
      <x:c r="G2925" s="21" t="n">
        <x:f>F2921</x:f>
        <x:v>1378.4958559600614</x:v>
      </x:c>
      <x:c r="H2925" s="21" t="n">
        <x:f>F2926</x:f>
        <x:v>1312.652148117557</x:v>
      </x:c>
      <x:c r="I2925" s="27" t="n">
        <x:f>IF(AND(ISNUMBER(G2925),ISNUMBER(H2925),H2925&gt;0),G2925/H2925-1,"")</x:f>
        <x:v>0.0501608197852943</x:v>
      </x:c>
      <x:c r="J2925" s="27" t="n">
        <x:f>IF(AND(ISNUMBER(G2925),F2925&gt;0),G2925/F2925-1,"")</x:f>
        <x:v>0.0501608197852943</x:v>
      </x:c>
      <x:c r="K2925" s="19" t="str">
        <x:v>KuaiRec/EXP095/results/seed7212_Relative_cutoff_1e-6.json</x:v>
      </x:c>
    </x:row>
    <x:row r="2926" ht="15" hidden="0" customHeight="1">
      <x:c r="A2926" s="3" t="str">
        <x:v>EXP095</x:v>
      </x:c>
      <x:c r="B2926" s="3" t="str">
        <x:v>KuaiRec</x:v>
      </x:c>
      <x:c r="C2926" s="18" t="n">
        <x:v>7212</x:v>
      </x:c>
      <x:c r="D2926" s="3" t="str">
        <x:v>Full</x:v>
      </x:c>
      <x:c r="E2926" s="18" t="n">
        <x:v>600</x:v>
      </x:c>
      <x:c r="F2926" s="21" t="n">
        <x:v>1312.652148117557</x:v>
      </x:c>
      <x:c r="G2926" s="21" t="n">
        <x:f>F2921</x:f>
        <x:v>1378.4958559600614</x:v>
      </x:c>
      <x:c r="H2926" s="21" t="n">
        <x:f>F2926</x:f>
        <x:v>1312.652148117557</x:v>
      </x:c>
      <x:c r="I2926" s="27" t="n">
        <x:f>IF(AND(ISNUMBER(G2926),ISNUMBER(H2926),H2926&gt;0),G2926/H2926-1,"")</x:f>
        <x:v>0.0501608197852943</x:v>
      </x:c>
      <x:c r="J2926" s="27" t="n">
        <x:f>IF(AND(ISNUMBER(G2926),F2926&gt;0),G2926/F2926-1,"")</x:f>
        <x:v>0.0501608197852943</x:v>
      </x:c>
      <x:c r="K2926" s="19" t="str">
        <x:v>KuaiRec/EXP095/results/seed7212_Full.json</x:v>
      </x:c>
    </x:row>
    <x:row r="2927" ht="15" hidden="0" customHeight="1">
      <x:c r="A2927" s="3" t="str">
        <x:v>EXP095</x:v>
      </x:c>
      <x:c r="B2927" s="3" t="str">
        <x:v>KuaiRec</x:v>
      </x:c>
      <x:c r="C2927" s="18" t="n">
        <x:v>7212</x:v>
      </x:c>
      <x:c r="D2927" s="3" t="str">
        <x:v>Relative cutoff 1e-2</x:v>
      </x:c>
      <x:c r="E2927" s="18" t="n">
        <x:v>600</x:v>
      </x:c>
      <x:c r="F2927" s="21" t="n">
        <x:v>1406.5815821525252</x:v>
      </x:c>
      <x:c r="G2927" s="21" t="n">
        <x:f>F2921</x:f>
        <x:v>1378.4958559600614</x:v>
      </x:c>
      <x:c r="H2927" s="21" t="n">
        <x:f>F2926</x:f>
        <x:v>1312.652148117557</x:v>
      </x:c>
      <x:c r="I2927" s="27" t="n">
        <x:f>IF(AND(ISNUMBER(G2927),ISNUMBER(H2927),H2927&gt;0),G2927/H2927-1,"")</x:f>
        <x:v>0.0501608197852943</x:v>
      </x:c>
      <x:c r="J2927" s="27" t="n">
        <x:f>IF(AND(ISNUMBER(G2927),F2927&gt;0),G2927/F2927-1,"")</x:f>
        <x:v>-0.019967363819369477</x:v>
      </x:c>
      <x:c r="K2927" s="19" t="str">
        <x:v>KuaiRec/EXP095/results/seed7212_Relative_cutoff_1e-2.json</x:v>
      </x:c>
    </x:row>
    <x:row r="2928" ht="15" hidden="0" customHeight="1">
      <x:c r="A2928" s="3" t="str">
        <x:v>EXP095</x:v>
      </x:c>
      <x:c r="B2928" s="3" t="str">
        <x:v>KuaiRec</x:v>
      </x:c>
      <x:c r="C2928" s="18" t="n">
        <x:v>7212</x:v>
      </x:c>
      <x:c r="D2928" s="3" t="str">
        <x:v>Relative cutoff 1e-4</x:v>
      </x:c>
      <x:c r="E2928" s="18" t="n">
        <x:v>600</x:v>
      </x:c>
      <x:c r="F2928" s="21" t="n">
        <x:v>1321.6017811746972</x:v>
      </x:c>
      <x:c r="G2928" s="21" t="n">
        <x:f>F2921</x:f>
        <x:v>1378.4958559600614</x:v>
      </x:c>
      <x:c r="H2928" s="21" t="n">
        <x:f>F2926</x:f>
        <x:v>1312.652148117557</x:v>
      </x:c>
      <x:c r="I2928" s="27" t="n">
        <x:f>IF(AND(ISNUMBER(G2928),ISNUMBER(H2928),H2928&gt;0),G2928/H2928-1,"")</x:f>
        <x:v>0.0501608197852943</x:v>
      </x:c>
      <x:c r="J2928" s="27" t="n">
        <x:f>IF(AND(ISNUMBER(G2928),F2928&gt;0),G2928/F2928-1,"")</x:f>
        <x:v>0.043049332708067434</x:v>
      </x:c>
      <x:c r="K2928" s="19" t="str">
        <x:v>KuaiRec/EXP095/results/seed7212_Relative_cutoff_1e-4.json</x:v>
      </x:c>
    </x:row>
    <x:row r="2929" ht="15" hidden="0" customHeight="1">
      <x:c r="A2929" s="3" t="str">
        <x:v>EXP095</x:v>
      </x:c>
      <x:c r="B2929" s="3" t="str">
        <x:v>KuaiRec</x:v>
      </x:c>
      <x:c r="C2929" s="18" t="n">
        <x:v>7213</x:v>
      </x:c>
      <x:c r="D2929" s="3" t="str">
        <x:v>BBP</x:v>
      </x:c>
      <x:c r="E2929" s="18" t="n">
        <x:v>600</x:v>
      </x:c>
      <x:c r="F2929" s="21" t="n">
        <x:v>1492.0856400893824</x:v>
      </x:c>
      <x:c r="G2929" s="21" t="n">
        <x:f>F2929</x:f>
        <x:v>1492.0856400893824</x:v>
      </x:c>
      <x:c r="H2929" s="21" t="n">
        <x:f>F2934</x:f>
        <x:v>1449.8846001452848</x:v>
      </x:c>
      <x:c r="I2929" s="27" t="n">
        <x:f>IF(AND(ISNUMBER(G2929),ISNUMBER(H2929),H2929&gt;0),G2929/H2929-1,"")</x:f>
        <x:v>0.029106481950266216</x:v>
      </x:c>
      <x:c r="J2929" s="27" t="n">
        <x:f>IF(AND(ISNUMBER(G2929),F2929&gt;0),G2929/F2929-1,"")</x:f>
        <x:v>0</x:v>
      </x:c>
      <x:c r="K2929" s="19" t="str">
        <x:v>KuaiRec/EXP095/results/seed7213_BBP.json</x:v>
      </x:c>
    </x:row>
    <x:row r="2930" ht="15" hidden="0" customHeight="1">
      <x:c r="A2930" s="3" t="str">
        <x:v>EXP095</x:v>
      </x:c>
      <x:c r="B2930" s="3" t="str">
        <x:v>KuaiRec</x:v>
      </x:c>
      <x:c r="C2930" s="18" t="n">
        <x:v>7213</x:v>
      </x:c>
      <x:c r="D2930" s="3" t="str">
        <x:v>Relative cutoff 1e-5</x:v>
      </x:c>
      <x:c r="E2930" s="18" t="n">
        <x:v>600</x:v>
      </x:c>
      <x:c r="F2930" s="21" t="n">
        <x:v>1414.942422839293</x:v>
      </x:c>
      <x:c r="G2930" s="21" t="n">
        <x:f>F2929</x:f>
        <x:v>1492.0856400893824</x:v>
      </x:c>
      <x:c r="H2930" s="21" t="n">
        <x:f>F2934</x:f>
        <x:v>1449.8846001452848</x:v>
      </x:c>
      <x:c r="I2930" s="27" t="n">
        <x:f>IF(AND(ISNUMBER(G2930),ISNUMBER(H2930),H2930&gt;0),G2930/H2930-1,"")</x:f>
        <x:v>0.029106481950266216</x:v>
      </x:c>
      <x:c r="J2930" s="27" t="n">
        <x:f>IF(AND(ISNUMBER(G2930),F2930&gt;0),G2930/F2930-1,"")</x:f>
        <x:v>0.05452039320108182</x:v>
      </x:c>
      <x:c r="K2930" s="19" t="str">
        <x:v>KuaiRec/EXP095/results/seed7213_Relative_cutoff_1e-5.json</x:v>
      </x:c>
    </x:row>
    <x:row r="2931" ht="15" hidden="0" customHeight="1">
      <x:c r="A2931" s="3" t="str">
        <x:v>EXP095</x:v>
      </x:c>
      <x:c r="B2931" s="3" t="str">
        <x:v>KuaiRec</x:v>
      </x:c>
      <x:c r="C2931" s="18" t="n">
        <x:v>7213</x:v>
      </x:c>
      <x:c r="D2931" s="3" t="str">
        <x:v>Fixed rank 10</x:v>
      </x:c>
      <x:c r="E2931" s="18" t="n">
        <x:v>600</x:v>
      </x:c>
      <x:c r="F2931" s="21" t="n">
        <x:v>1401.9305774415257</x:v>
      </x:c>
      <x:c r="G2931" s="21" t="n">
        <x:f>F2929</x:f>
        <x:v>1492.0856400893824</x:v>
      </x:c>
      <x:c r="H2931" s="21" t="n">
        <x:f>F2934</x:f>
        <x:v>1449.8846001452848</x:v>
      </x:c>
      <x:c r="I2931" s="27" t="n">
        <x:f>IF(AND(ISNUMBER(G2931),ISNUMBER(H2931),H2931&gt;0),G2931/H2931-1,"")</x:f>
        <x:v>0.029106481950266216</x:v>
      </x:c>
      <x:c r="J2931" s="27" t="n">
        <x:f>IF(AND(ISNUMBER(G2931),F2931&gt;0),G2931/F2931-1,"")</x:f>
        <x:v>0.06430779390830232</x:v>
      </x:c>
      <x:c r="K2931" s="19" t="str">
        <x:v>KuaiRec/EXP095/results/seed7213_Fixed_rank_10.json</x:v>
      </x:c>
    </x:row>
    <x:row r="2932" ht="15" hidden="0" customHeight="1">
      <x:c r="A2932" s="3" t="str">
        <x:v>EXP095</x:v>
      </x:c>
      <x:c r="B2932" s="3" t="str">
        <x:v>KuaiRec</x:v>
      </x:c>
      <x:c r="C2932" s="18" t="n">
        <x:v>7213</x:v>
      </x:c>
      <x:c r="D2932" s="3" t="str">
        <x:v>Fixed rank 25</x:v>
      </x:c>
      <x:c r="E2932" s="18" t="n">
        <x:v>600</x:v>
      </x:c>
      <x:c r="F2932" s="21" t="n">
        <x:v>1492.0856400893824</x:v>
      </x:c>
      <x:c r="G2932" s="21" t="n">
        <x:f>F2929</x:f>
        <x:v>1492.0856400893824</x:v>
      </x:c>
      <x:c r="H2932" s="21" t="n">
        <x:f>F2934</x:f>
        <x:v>1449.8846001452848</x:v>
      </x:c>
      <x:c r="I2932" s="27" t="n">
        <x:f>IF(AND(ISNUMBER(G2932),ISNUMBER(H2932),H2932&gt;0),G2932/H2932-1,"")</x:f>
        <x:v>0.029106481950266216</x:v>
      </x:c>
      <x:c r="J2932" s="27" t="n">
        <x:f>IF(AND(ISNUMBER(G2932),F2932&gt;0),G2932/F2932-1,"")</x:f>
        <x:v>0</x:v>
      </x:c>
      <x:c r="K2932" s="19" t="str">
        <x:v>KuaiRec/EXP095/results/seed7213_Fixed_rank_25.json</x:v>
      </x:c>
    </x:row>
    <x:row r="2933" ht="15" hidden="0" customHeight="1">
      <x:c r="A2933" s="3" t="str">
        <x:v>EXP095</x:v>
      </x:c>
      <x:c r="B2933" s="3" t="str">
        <x:v>KuaiRec</x:v>
      </x:c>
      <x:c r="C2933" s="18" t="n">
        <x:v>7213</x:v>
      </x:c>
      <x:c r="D2933" s="3" t="str">
        <x:v>Relative cutoff 1e-6</x:v>
      </x:c>
      <x:c r="E2933" s="18" t="n">
        <x:v>600</x:v>
      </x:c>
      <x:c r="F2933" s="21" t="n">
        <x:v>1444.3097401608252</x:v>
      </x:c>
      <x:c r="G2933" s="21" t="n">
        <x:f>F2929</x:f>
        <x:v>1492.0856400893824</x:v>
      </x:c>
      <x:c r="H2933" s="21" t="n">
        <x:f>F2934</x:f>
        <x:v>1449.8846001452848</x:v>
      </x:c>
      <x:c r="I2933" s="27" t="n">
        <x:f>IF(AND(ISNUMBER(G2933),ISNUMBER(H2933),H2933&gt;0),G2933/H2933-1,"")</x:f>
        <x:v>0.029106481950266216</x:v>
      </x:c>
      <x:c r="J2933" s="27" t="n">
        <x:f>IF(AND(ISNUMBER(G2933),F2933&gt;0),G2933/F2933-1,"")</x:f>
        <x:v>0.0330787078422925</x:v>
      </x:c>
      <x:c r="K2933" s="19" t="str">
        <x:v>KuaiRec/EXP095/results/seed7213_Relative_cutoff_1e-6.json</x:v>
      </x:c>
    </x:row>
    <x:row r="2934" ht="15" hidden="0" customHeight="1">
      <x:c r="A2934" s="3" t="str">
        <x:v>EXP095</x:v>
      </x:c>
      <x:c r="B2934" s="3" t="str">
        <x:v>KuaiRec</x:v>
      </x:c>
      <x:c r="C2934" s="18" t="n">
        <x:v>7213</x:v>
      </x:c>
      <x:c r="D2934" s="3" t="str">
        <x:v>Full</x:v>
      </x:c>
      <x:c r="E2934" s="18" t="n">
        <x:v>600</x:v>
      </x:c>
      <x:c r="F2934" s="21" t="n">
        <x:v>1449.8846001452848</x:v>
      </x:c>
      <x:c r="G2934" s="21" t="n">
        <x:f>F2929</x:f>
        <x:v>1492.0856400893824</x:v>
      </x:c>
      <x:c r="H2934" s="21" t="n">
        <x:f>F2934</x:f>
        <x:v>1449.8846001452848</x:v>
      </x:c>
      <x:c r="I2934" s="27" t="n">
        <x:f>IF(AND(ISNUMBER(G2934),ISNUMBER(H2934),H2934&gt;0),G2934/H2934-1,"")</x:f>
        <x:v>0.029106481950266216</x:v>
      </x:c>
      <x:c r="J2934" s="27" t="n">
        <x:f>IF(AND(ISNUMBER(G2934),F2934&gt;0),G2934/F2934-1,"")</x:f>
        <x:v>0.029106481950266216</x:v>
      </x:c>
      <x:c r="K2934" s="19" t="str">
        <x:v>KuaiRec/EXP095/results/seed7213_Full.json</x:v>
      </x:c>
    </x:row>
    <x:row r="2935" ht="15" hidden="0" customHeight="1">
      <x:c r="A2935" s="3" t="str">
        <x:v>EXP095</x:v>
      </x:c>
      <x:c r="B2935" s="3" t="str">
        <x:v>KuaiRec</x:v>
      </x:c>
      <x:c r="C2935" s="18" t="n">
        <x:v>7213</x:v>
      </x:c>
      <x:c r="D2935" s="3" t="str">
        <x:v>Relative cutoff 1e-2</x:v>
      </x:c>
      <x:c r="E2935" s="18" t="n">
        <x:v>600</x:v>
      </x:c>
      <x:c r="F2935" s="21" t="n">
        <x:v>1481.5462415795762</x:v>
      </x:c>
      <x:c r="G2935" s="21" t="n">
        <x:f>F2929</x:f>
        <x:v>1492.0856400893824</x:v>
      </x:c>
      <x:c r="H2935" s="21" t="n">
        <x:f>F2934</x:f>
        <x:v>1449.8846001452848</x:v>
      </x:c>
      <x:c r="I2935" s="27" t="n">
        <x:f>IF(AND(ISNUMBER(G2935),ISNUMBER(H2935),H2935&gt;0),G2935/H2935-1,"")</x:f>
        <x:v>0.029106481950266216</x:v>
      </x:c>
      <x:c r="J2935" s="27" t="n">
        <x:f>IF(AND(ISNUMBER(G2935),F2935&gt;0),G2935/F2935-1,"")</x:f>
        <x:v>0.007113783028850573</x:v>
      </x:c>
      <x:c r="K2935" s="19" t="str">
        <x:v>KuaiRec/EXP095/results/seed7213_Relative_cutoff_1e-2.json</x:v>
      </x:c>
    </x:row>
    <x:row r="2936" ht="15" hidden="0" customHeight="1">
      <x:c r="A2936" s="3" t="str">
        <x:v>EXP095</x:v>
      </x:c>
      <x:c r="B2936" s="3" t="str">
        <x:v>KuaiRec</x:v>
      </x:c>
      <x:c r="C2936" s="18" t="n">
        <x:v>7213</x:v>
      </x:c>
      <x:c r="D2936" s="3" t="str">
        <x:v>Relative cutoff 1e-4</x:v>
      </x:c>
      <x:c r="E2936" s="18" t="n">
        <x:v>600</x:v>
      </x:c>
      <x:c r="F2936" s="21" t="n">
        <x:v>1442.3038703962766</x:v>
      </x:c>
      <x:c r="G2936" s="21" t="n">
        <x:f>F2929</x:f>
        <x:v>1492.0856400893824</x:v>
      </x:c>
      <x:c r="H2936" s="21" t="n">
        <x:f>F2934</x:f>
        <x:v>1449.8846001452848</x:v>
      </x:c>
      <x:c r="I2936" s="27" t="n">
        <x:f>IF(AND(ISNUMBER(G2936),ISNUMBER(H2936),H2936&gt;0),G2936/H2936-1,"")</x:f>
        <x:v>0.029106481950266216</x:v>
      </x:c>
      <x:c r="J2936" s="27" t="n">
        <x:f>IF(AND(ISNUMBER(G2936),F2936&gt;0),G2936/F2936-1,"")</x:f>
        <x:v>0.03451545178161952</x:v>
      </x:c>
      <x:c r="K2936" s="19" t="str">
        <x:v>KuaiRec/EXP095/results/seed7213_Relative_cutoff_1e-4.json</x:v>
      </x:c>
    </x:row>
    <x:row r="2937" ht="15" hidden="0" customHeight="1">
      <x:c r="A2937" s="3" t="str">
        <x:v>EXP095</x:v>
      </x:c>
      <x:c r="B2937" s="3" t="str">
        <x:v>KuaiRec</x:v>
      </x:c>
      <x:c r="C2937" s="18" t="n">
        <x:v>7214</x:v>
      </x:c>
      <x:c r="D2937" s="3" t="str">
        <x:v>BBP</x:v>
      </x:c>
      <x:c r="E2937" s="18" t="n">
        <x:v>600</x:v>
      </x:c>
      <x:c r="F2937" s="21" t="n">
        <x:v>1382.7611524497618</x:v>
      </x:c>
      <x:c r="G2937" s="21" t="n">
        <x:f>F2937</x:f>
        <x:v>1382.7611524497618</x:v>
      </x:c>
      <x:c r="H2937" s="21" t="n">
        <x:f>F2942</x:f>
        <x:v>1318.578110080651</x:v>
      </x:c>
      <x:c r="I2937" s="27" t="n">
        <x:f>IF(AND(ISNUMBER(G2937),ISNUMBER(H2937),H2937&gt;0),G2937/H2937-1,"")</x:f>
        <x:v>0.04867595016057491</x:v>
      </x:c>
      <x:c r="J2937" s="27" t="n">
        <x:f>IF(AND(ISNUMBER(G2937),F2937&gt;0),G2937/F2937-1,"")</x:f>
        <x:v>0</x:v>
      </x:c>
      <x:c r="K2937" s="19" t="str">
        <x:v>KuaiRec/EXP095/results/seed7214_BBP.json</x:v>
      </x:c>
    </x:row>
    <x:row r="2938" ht="15" hidden="0" customHeight="1">
      <x:c r="A2938" s="3" t="str">
        <x:v>EXP095</x:v>
      </x:c>
      <x:c r="B2938" s="3" t="str">
        <x:v>KuaiRec</x:v>
      </x:c>
      <x:c r="C2938" s="18" t="n">
        <x:v>7214</x:v>
      </x:c>
      <x:c r="D2938" s="3" t="str">
        <x:v>Relative cutoff 1e-5</x:v>
      </x:c>
      <x:c r="E2938" s="18" t="n">
        <x:v>600</x:v>
      </x:c>
      <x:c r="F2938" s="21" t="n">
        <x:v>1372.715528781679</x:v>
      </x:c>
      <x:c r="G2938" s="21" t="n">
        <x:f>F2937</x:f>
        <x:v>1382.7611524497618</x:v>
      </x:c>
      <x:c r="H2938" s="21" t="n">
        <x:f>F2942</x:f>
        <x:v>1318.578110080651</x:v>
      </x:c>
      <x:c r="I2938" s="27" t="n">
        <x:f>IF(AND(ISNUMBER(G2938),ISNUMBER(H2938),H2938&gt;0),G2938/H2938-1,"")</x:f>
        <x:v>0.04867595016057491</x:v>
      </x:c>
      <x:c r="J2938" s="27" t="n">
        <x:f>IF(AND(ISNUMBER(G2938),F2938&gt;0),G2938/F2938-1,"")</x:f>
        <x:v>0.007318066604082629</x:v>
      </x:c>
      <x:c r="K2938" s="19" t="str">
        <x:v>KuaiRec/EXP095/results/seed7214_Relative_cutoff_1e-5.json</x:v>
      </x:c>
    </x:row>
    <x:row r="2939" ht="15" hidden="0" customHeight="1">
      <x:c r="A2939" s="3" t="str">
        <x:v>EXP095</x:v>
      </x:c>
      <x:c r="B2939" s="3" t="str">
        <x:v>KuaiRec</x:v>
      </x:c>
      <x:c r="C2939" s="18" t="n">
        <x:v>7214</x:v>
      </x:c>
      <x:c r="D2939" s="3" t="str">
        <x:v>Fixed rank 10</x:v>
      </x:c>
      <x:c r="E2939" s="18" t="n">
        <x:v>600</x:v>
      </x:c>
      <x:c r="F2939" s="21" t="n">
        <x:v>1345.1419664507043</x:v>
      </x:c>
      <x:c r="G2939" s="21" t="n">
        <x:f>F2937</x:f>
        <x:v>1382.7611524497618</x:v>
      </x:c>
      <x:c r="H2939" s="21" t="n">
        <x:f>F2942</x:f>
        <x:v>1318.578110080651</x:v>
      </x:c>
      <x:c r="I2939" s="27" t="n">
        <x:f>IF(AND(ISNUMBER(G2939),ISNUMBER(H2939),H2939&gt;0),G2939/H2939-1,"")</x:f>
        <x:v>0.04867595016057491</x:v>
      </x:c>
      <x:c r="J2939" s="27" t="n">
        <x:f>IF(AND(ISNUMBER(G2939),F2939&gt;0),G2939/F2939-1,"")</x:f>
        <x:v>0.02796670309701188</x:v>
      </x:c>
      <x:c r="K2939" s="19" t="str">
        <x:v>KuaiRec/EXP095/results/seed7214_Fixed_rank_10.json</x:v>
      </x:c>
    </x:row>
    <x:row r="2940" ht="15" hidden="0" customHeight="1">
      <x:c r="A2940" s="3" t="str">
        <x:v>EXP095</x:v>
      </x:c>
      <x:c r="B2940" s="3" t="str">
        <x:v>KuaiRec</x:v>
      </x:c>
      <x:c r="C2940" s="18" t="n">
        <x:v>7214</x:v>
      </x:c>
      <x:c r="D2940" s="3" t="str">
        <x:v>Fixed rank 25</x:v>
      </x:c>
      <x:c r="E2940" s="18" t="n">
        <x:v>600</x:v>
      </x:c>
      <x:c r="F2940" s="21" t="n">
        <x:v>1372.7155287816797</x:v>
      </x:c>
      <x:c r="G2940" s="21" t="n">
        <x:f>F2937</x:f>
        <x:v>1382.7611524497618</x:v>
      </x:c>
      <x:c r="H2940" s="21" t="n">
        <x:f>F2942</x:f>
        <x:v>1318.578110080651</x:v>
      </x:c>
      <x:c r="I2940" s="27" t="n">
        <x:f>IF(AND(ISNUMBER(G2940),ISNUMBER(H2940),H2940&gt;0),G2940/H2940-1,"")</x:f>
        <x:v>0.04867595016057491</x:v>
      </x:c>
      <x:c r="J2940" s="27" t="n">
        <x:f>IF(AND(ISNUMBER(G2940),F2940&gt;0),G2940/F2940-1,"")</x:f>
        <x:v>0.007318066604081963</x:v>
      </x:c>
      <x:c r="K2940" s="19" t="str">
        <x:v>KuaiRec/EXP095/results/seed7214_Fixed_rank_25.json</x:v>
      </x:c>
    </x:row>
    <x:row r="2941" ht="15" hidden="0" customHeight="1">
      <x:c r="A2941" s="3" t="str">
        <x:v>EXP095</x:v>
      </x:c>
      <x:c r="B2941" s="3" t="str">
        <x:v>KuaiRec</x:v>
      </x:c>
      <x:c r="C2941" s="18" t="n">
        <x:v>7214</x:v>
      </x:c>
      <x:c r="D2941" s="3" t="str">
        <x:v>Relative cutoff 1e-6</x:v>
      </x:c>
      <x:c r="E2941" s="18" t="n">
        <x:v>600</x:v>
      </x:c>
      <x:c r="F2941" s="21" t="n">
        <x:v>1382.7611524497618</x:v>
      </x:c>
      <x:c r="G2941" s="21" t="n">
        <x:f>F2937</x:f>
        <x:v>1382.7611524497618</x:v>
      </x:c>
      <x:c r="H2941" s="21" t="n">
        <x:f>F2942</x:f>
        <x:v>1318.578110080651</x:v>
      </x:c>
      <x:c r="I2941" s="27" t="n">
        <x:f>IF(AND(ISNUMBER(G2941),ISNUMBER(H2941),H2941&gt;0),G2941/H2941-1,"")</x:f>
        <x:v>0.04867595016057491</x:v>
      </x:c>
      <x:c r="J2941" s="27" t="n">
        <x:f>IF(AND(ISNUMBER(G2941),F2941&gt;0),G2941/F2941-1,"")</x:f>
        <x:v>0</x:v>
      </x:c>
      <x:c r="K2941" s="19" t="str">
        <x:v>KuaiRec/EXP095/results/seed7214_Relative_cutoff_1e-6.json</x:v>
      </x:c>
    </x:row>
    <x:row r="2942" ht="15" hidden="0" customHeight="1">
      <x:c r="A2942" s="3" t="str">
        <x:v>EXP095</x:v>
      </x:c>
      <x:c r="B2942" s="3" t="str">
        <x:v>KuaiRec</x:v>
      </x:c>
      <x:c r="C2942" s="18" t="n">
        <x:v>7214</x:v>
      </x:c>
      <x:c r="D2942" s="3" t="str">
        <x:v>Full</x:v>
      </x:c>
      <x:c r="E2942" s="18" t="n">
        <x:v>600</x:v>
      </x:c>
      <x:c r="F2942" s="21" t="n">
        <x:v>1318.578110080651</x:v>
      </x:c>
      <x:c r="G2942" s="21" t="n">
        <x:f>F2937</x:f>
        <x:v>1382.7611524497618</x:v>
      </x:c>
      <x:c r="H2942" s="21" t="n">
        <x:f>F2942</x:f>
        <x:v>1318.578110080651</x:v>
      </x:c>
      <x:c r="I2942" s="27" t="n">
        <x:f>IF(AND(ISNUMBER(G2942),ISNUMBER(H2942),H2942&gt;0),G2942/H2942-1,"")</x:f>
        <x:v>0.04867595016057491</x:v>
      </x:c>
      <x:c r="J2942" s="27" t="n">
        <x:f>IF(AND(ISNUMBER(G2942),F2942&gt;0),G2942/F2942-1,"")</x:f>
        <x:v>0.04867595016057491</x:v>
      </x:c>
      <x:c r="K2942" s="19" t="str">
        <x:v>KuaiRec/EXP095/results/seed7214_Full.json</x:v>
      </x:c>
    </x:row>
    <x:row r="2943" ht="15" hidden="0" customHeight="1">
      <x:c r="A2943" s="3" t="str">
        <x:v>EXP095</x:v>
      </x:c>
      <x:c r="B2943" s="3" t="str">
        <x:v>KuaiRec</x:v>
      </x:c>
      <x:c r="C2943" s="18" t="n">
        <x:v>7214</x:v>
      </x:c>
      <x:c r="D2943" s="3" t="str">
        <x:v>Relative cutoff 1e-2</x:v>
      </x:c>
      <x:c r="E2943" s="18" t="n">
        <x:v>600</x:v>
      </x:c>
      <x:c r="F2943" s="21" t="n">
        <x:v>1371.8483326205167</x:v>
      </x:c>
      <x:c r="G2943" s="21" t="n">
        <x:f>F2937</x:f>
        <x:v>1382.7611524497618</x:v>
      </x:c>
      <x:c r="H2943" s="21" t="n">
        <x:f>F2942</x:f>
        <x:v>1318.578110080651</x:v>
      </x:c>
      <x:c r="I2943" s="27" t="n">
        <x:f>IF(AND(ISNUMBER(G2943),ISNUMBER(H2943),H2943&gt;0),G2943/H2943-1,"")</x:f>
        <x:v>0.04867595016057491</x:v>
      </x:c>
      <x:c r="J2943" s="27" t="n">
        <x:f>IF(AND(ISNUMBER(G2943),F2943&gt;0),G2943/F2943-1,"")</x:f>
        <x:v>0.00795482967741723</x:v>
      </x:c>
      <x:c r="K2943" s="19" t="str">
        <x:v>KuaiRec/EXP095/results/seed7214_Relative_cutoff_1e-2.json</x:v>
      </x:c>
    </x:row>
    <x:row r="2944" ht="15" hidden="0" customHeight="1">
      <x:c r="A2944" s="3" t="str">
        <x:v>EXP095</x:v>
      </x:c>
      <x:c r="B2944" s="3" t="str">
        <x:v>KuaiRec</x:v>
      </x:c>
      <x:c r="C2944" s="18" t="n">
        <x:v>7214</x:v>
      </x:c>
      <x:c r="D2944" s="3" t="str">
        <x:v>Relative cutoff 1e-4</x:v>
      </x:c>
      <x:c r="E2944" s="18" t="n">
        <x:v>600</x:v>
      </x:c>
      <x:c r="F2944" s="21" t="n">
        <x:v>1321.2672754062853</x:v>
      </x:c>
      <x:c r="G2944" s="21" t="n">
        <x:f>F2937</x:f>
        <x:v>1382.7611524497618</x:v>
      </x:c>
      <x:c r="H2944" s="21" t="n">
        <x:f>F2942</x:f>
        <x:v>1318.578110080651</x:v>
      </x:c>
      <x:c r="I2944" s="27" t="n">
        <x:f>IF(AND(ISNUMBER(G2944),ISNUMBER(H2944),H2944&gt;0),G2944/H2944-1,"")</x:f>
        <x:v>0.04867595016057491</x:v>
      </x:c>
      <x:c r="J2944" s="27" t="n">
        <x:f>IF(AND(ISNUMBER(G2944),F2944&gt;0),G2944/F2944-1,"")</x:f>
        <x:v>0.04654158790436047</x:v>
      </x:c>
      <x:c r="K2944" s="19" t="str">
        <x:v>KuaiRec/EXP095/results/seed7214_Relative_cutoff_1e-4.json</x:v>
      </x:c>
    </x:row>
    <x:row r="2945" ht="15" hidden="0" customHeight="1">
      <x:c r="A2945" s="3" t="str">
        <x:v>EXP095</x:v>
      </x:c>
      <x:c r="B2945" s="3" t="str">
        <x:v>KuaiRec</x:v>
      </x:c>
      <x:c r="C2945" s="18" t="n">
        <x:v>5524256</x:v>
      </x:c>
      <x:c r="D2945" s="3" t="str">
        <x:v>BBP</x:v>
      </x:c>
      <x:c r="E2945" s="18" t="n">
        <x:v>600</x:v>
      </x:c>
      <x:c r="F2945" s="21" t="n">
        <x:v>1238.7436895675482</x:v>
      </x:c>
      <x:c r="G2945" s="21" t="n">
        <x:f>F2945</x:f>
        <x:v>1238.7436895675482</x:v>
      </x:c>
      <x:c r="H2945" s="21" t="n">
        <x:f>F2950</x:f>
        <x:v>1238.7436895675482</x:v>
      </x:c>
      <x:c r="I2945" s="27" t="n">
        <x:f>IF(AND(ISNUMBER(G2945),ISNUMBER(H2945),H2945&gt;0),G2945/H2945-1,"")</x:f>
        <x:v>0</x:v>
      </x:c>
      <x:c r="J2945" s="27" t="n">
        <x:f>IF(AND(ISNUMBER(G2945),F2945&gt;0),G2945/F2945-1,"")</x:f>
        <x:v>0</x:v>
      </x:c>
      <x:c r="K2945" s="19" t="str">
        <x:v>KuaiRec/EXP095/results/seed5524256_BBP.json</x:v>
      </x:c>
    </x:row>
    <x:row r="2946" ht="15" hidden="0" customHeight="1">
      <x:c r="A2946" s="3" t="str">
        <x:v>EXP095</x:v>
      </x:c>
      <x:c r="B2946" s="3" t="str">
        <x:v>KuaiRec</x:v>
      </x:c>
      <x:c r="C2946" s="18" t="n">
        <x:v>5524256</x:v>
      </x:c>
      <x:c r="D2946" s="3" t="str">
        <x:v>Relative cutoff 1e-5</x:v>
      </x:c>
      <x:c r="E2946" s="18" t="n">
        <x:v>600</x:v>
      </x:c>
      <x:c r="F2946" s="21" t="n">
        <x:v>1242.2608709639767</x:v>
      </x:c>
      <x:c r="G2946" s="21" t="n">
        <x:f>F2945</x:f>
        <x:v>1238.7436895675482</x:v>
      </x:c>
      <x:c r="H2946" s="21" t="n">
        <x:f>F2950</x:f>
        <x:v>1238.7436895675482</x:v>
      </x:c>
      <x:c r="I2946" s="27" t="n">
        <x:f>IF(AND(ISNUMBER(G2946),ISNUMBER(H2946),H2946&gt;0),G2946/H2946-1,"")</x:f>
        <x:v>0</x:v>
      </x:c>
      <x:c r="J2946" s="27" t="n">
        <x:f>IF(AND(ISNUMBER(G2946),F2946&gt;0),G2946/F2946-1,"")</x:f>
        <x:v>-0.002831274395448946</x:v>
      </x:c>
      <x:c r="K2946" s="19" t="str">
        <x:v>KuaiRec/EXP095/results/seed5524256_Relative_cutoff_1e-5.json</x:v>
      </x:c>
    </x:row>
    <x:row r="2947" ht="15" hidden="0" customHeight="1">
      <x:c r="A2947" s="3" t="str">
        <x:v>EXP095</x:v>
      </x:c>
      <x:c r="B2947" s="3" t="str">
        <x:v>KuaiRec</x:v>
      </x:c>
      <x:c r="C2947" s="18" t="n">
        <x:v>5524256</x:v>
      </x:c>
      <x:c r="D2947" s="3" t="str">
        <x:v>Fixed rank 10</x:v>
      </x:c>
      <x:c r="E2947" s="18" t="n">
        <x:v>600</x:v>
      </x:c>
      <x:c r="F2947" s="21" t="n">
        <x:v>1253.765484940544</x:v>
      </x:c>
      <x:c r="G2947" s="21" t="n">
        <x:f>F2945</x:f>
        <x:v>1238.7436895675482</x:v>
      </x:c>
      <x:c r="H2947" s="21" t="n">
        <x:f>F2950</x:f>
        <x:v>1238.7436895675482</x:v>
      </x:c>
      <x:c r="I2947" s="27" t="n">
        <x:f>IF(AND(ISNUMBER(G2947),ISNUMBER(H2947),H2947&gt;0),G2947/H2947-1,"")</x:f>
        <x:v>0</x:v>
      </x:c>
      <x:c r="J2947" s="27" t="n">
        <x:f>IF(AND(ISNUMBER(G2947),F2947&gt;0),G2947/F2947-1,"")</x:f>
        <x:v>-0.01198134384255134</x:v>
      </x:c>
      <x:c r="K2947" s="19" t="str">
        <x:v>KuaiRec/EXP095/results/seed5524256_Fixed_rank_10.json</x:v>
      </x:c>
    </x:row>
    <x:row r="2948" ht="15" hidden="0" customHeight="1">
      <x:c r="A2948" s="3" t="str">
        <x:v>EXP095</x:v>
      </x:c>
      <x:c r="B2948" s="3" t="str">
        <x:v>KuaiRec</x:v>
      </x:c>
      <x:c r="C2948" s="18" t="n">
        <x:v>5524256</x:v>
      </x:c>
      <x:c r="D2948" s="3" t="str">
        <x:v>Fixed rank 25</x:v>
      </x:c>
      <x:c r="E2948" s="18" t="n">
        <x:v>600</x:v>
      </x:c>
      <x:c r="F2948" s="21" t="n">
        <x:v>1238.7436895675482</x:v>
      </x:c>
      <x:c r="G2948" s="21" t="n">
        <x:f>F2945</x:f>
        <x:v>1238.7436895675482</x:v>
      </x:c>
      <x:c r="H2948" s="21" t="n">
        <x:f>F2950</x:f>
        <x:v>1238.7436895675482</x:v>
      </x:c>
      <x:c r="I2948" s="27" t="n">
        <x:f>IF(AND(ISNUMBER(G2948),ISNUMBER(H2948),H2948&gt;0),G2948/H2948-1,"")</x:f>
        <x:v>0</x:v>
      </x:c>
      <x:c r="J2948" s="27" t="n">
        <x:f>IF(AND(ISNUMBER(G2948),F2948&gt;0),G2948/F2948-1,"")</x:f>
        <x:v>0</x:v>
      </x:c>
      <x:c r="K2948" s="19" t="str">
        <x:v>KuaiRec/EXP095/results/seed5524256_Fixed_rank_25.json</x:v>
      </x:c>
    </x:row>
    <x:row r="2949" ht="15" hidden="0" customHeight="1">
      <x:c r="A2949" s="3" t="str">
        <x:v>EXP095</x:v>
      </x:c>
      <x:c r="B2949" s="3" t="str">
        <x:v>KuaiRec</x:v>
      </x:c>
      <x:c r="C2949" s="18" t="n">
        <x:v>5524256</x:v>
      </x:c>
      <x:c r="D2949" s="3" t="str">
        <x:v>Relative cutoff 1e-6</x:v>
      </x:c>
      <x:c r="E2949" s="18" t="n">
        <x:v>600</x:v>
      </x:c>
      <x:c r="F2949" s="21" t="n">
        <x:v>1238.7436895675482</x:v>
      </x:c>
      <x:c r="G2949" s="21" t="n">
        <x:f>F2945</x:f>
        <x:v>1238.7436895675482</x:v>
      </x:c>
      <x:c r="H2949" s="21" t="n">
        <x:f>F2950</x:f>
        <x:v>1238.7436895675482</x:v>
      </x:c>
      <x:c r="I2949" s="27" t="n">
        <x:f>IF(AND(ISNUMBER(G2949),ISNUMBER(H2949),H2949&gt;0),G2949/H2949-1,"")</x:f>
        <x:v>0</x:v>
      </x:c>
      <x:c r="J2949" s="27" t="n">
        <x:f>IF(AND(ISNUMBER(G2949),F2949&gt;0),G2949/F2949-1,"")</x:f>
        <x:v>0</x:v>
      </x:c>
      <x:c r="K2949" s="19" t="str">
        <x:v>KuaiRec/EXP095/results/seed5524256_Relative_cutoff_1e-6.json</x:v>
      </x:c>
    </x:row>
    <x:row r="2950" ht="15" hidden="0" customHeight="1">
      <x:c r="A2950" s="3" t="str">
        <x:v>EXP095</x:v>
      </x:c>
      <x:c r="B2950" s="3" t="str">
        <x:v>KuaiRec</x:v>
      </x:c>
      <x:c r="C2950" s="18" t="n">
        <x:v>5524256</x:v>
      </x:c>
      <x:c r="D2950" s="3" t="str">
        <x:v>Full</x:v>
      </x:c>
      <x:c r="E2950" s="18" t="n">
        <x:v>600</x:v>
      </x:c>
      <x:c r="F2950" s="21" t="n">
        <x:v>1238.7436895675482</x:v>
      </x:c>
      <x:c r="G2950" s="21" t="n">
        <x:f>F2945</x:f>
        <x:v>1238.7436895675482</x:v>
      </x:c>
      <x:c r="H2950" s="21" t="n">
        <x:f>F2950</x:f>
        <x:v>1238.7436895675482</x:v>
      </x:c>
      <x:c r="I2950" s="27" t="n">
        <x:f>IF(AND(ISNUMBER(G2950),ISNUMBER(H2950),H2950&gt;0),G2950/H2950-1,"")</x:f>
        <x:v>0</x:v>
      </x:c>
      <x:c r="J2950" s="27" t="n">
        <x:f>IF(AND(ISNUMBER(G2950),F2950&gt;0),G2950/F2950-1,"")</x:f>
        <x:v>0</x:v>
      </x:c>
      <x:c r="K2950" s="19" t="str">
        <x:v>KuaiRec/EXP095/results/seed5524256_Full.json</x:v>
      </x:c>
    </x:row>
    <x:row r="2951" ht="15" hidden="0" customHeight="1">
      <x:c r="A2951" s="3" t="str">
        <x:v>EXP095</x:v>
      </x:c>
      <x:c r="B2951" s="3" t="str">
        <x:v>KuaiRec</x:v>
      </x:c>
      <x:c r="C2951" s="18" t="n">
        <x:v>5524256</x:v>
      </x:c>
      <x:c r="D2951" s="3" t="str">
        <x:v>Relative cutoff 1e-2</x:v>
      </x:c>
      <x:c r="E2951" s="18" t="n">
        <x:v>600</x:v>
      </x:c>
      <x:c r="F2951" s="21" t="n">
        <x:v>1406.069645901094</x:v>
      </x:c>
      <x:c r="G2951" s="21" t="n">
        <x:f>F2945</x:f>
        <x:v>1238.7436895675482</x:v>
      </x:c>
      <x:c r="H2951" s="21" t="n">
        <x:f>F2950</x:f>
        <x:v>1238.7436895675482</x:v>
      </x:c>
      <x:c r="I2951" s="27" t="n">
        <x:f>IF(AND(ISNUMBER(G2951),ISNUMBER(H2951),H2951&gt;0),G2951/H2951-1,"")</x:f>
        <x:v>0</x:v>
      </x:c>
      <x:c r="J2951" s="27" t="n">
        <x:f>IF(AND(ISNUMBER(G2951),F2951&gt;0),G2951/F2951-1,"")</x:f>
        <x:v>-0.11900260902532545</x:v>
      </x:c>
      <x:c r="K2951" s="19" t="str">
        <x:v>KuaiRec/EXP095/results/seed5524256_Relative_cutoff_1e-2.json</x:v>
      </x:c>
    </x:row>
    <x:row r="2952" ht="15" hidden="0" customHeight="1">
      <x:c r="A2952" s="3" t="str">
        <x:v>EXP095</x:v>
      </x:c>
      <x:c r="B2952" s="3" t="str">
        <x:v>KuaiRec</x:v>
      </x:c>
      <x:c r="C2952" s="18" t="n">
        <x:v>5524256</x:v>
      </x:c>
      <x:c r="D2952" s="3" t="str">
        <x:v>Relative cutoff 1e-4</x:v>
      </x:c>
      <x:c r="E2952" s="18" t="n">
        <x:v>600</x:v>
      </x:c>
      <x:c r="F2952" s="21" t="n">
        <x:v>1199.1309517952293</x:v>
      </x:c>
      <x:c r="G2952" s="21" t="n">
        <x:f>F2945</x:f>
        <x:v>1238.7436895675482</x:v>
      </x:c>
      <x:c r="H2952" s="21" t="n">
        <x:f>F2950</x:f>
        <x:v>1238.7436895675482</x:v>
      </x:c>
      <x:c r="I2952" s="27" t="n">
        <x:f>IF(AND(ISNUMBER(G2952),ISNUMBER(H2952),H2952&gt;0),G2952/H2952-1,"")</x:f>
        <x:v>0</x:v>
      </x:c>
      <x:c r="J2952" s="27" t="n">
        <x:f>IF(AND(ISNUMBER(G2952),F2952&gt;0),G2952/F2952-1,"")</x:f>
        <x:v>0.03303453864902273</x:v>
      </x:c>
      <x:c r="K2952" s="19" t="str">
        <x:v>KuaiRec/EXP095/results/seed5524256_Relative_cutoff_1e-4.json</x:v>
      </x:c>
    </x:row>
    <x:row r="2953" ht="15" hidden="0" customHeight="1">
      <x:c r="A2953" s="3" t="str">
        <x:v>EXP095</x:v>
      </x:c>
      <x:c r="B2953" s="3" t="str">
        <x:v>KuaiRec</x:v>
      </x:c>
      <x:c r="C2953" s="18" t="n">
        <x:v>43992497</x:v>
      </x:c>
      <x:c r="D2953" s="3" t="str">
        <x:v>BBP</x:v>
      </x:c>
      <x:c r="E2953" s="18" t="n">
        <x:v>600</x:v>
      </x:c>
      <x:c r="F2953" s="21" t="n">
        <x:v>1340.5949909203653</x:v>
      </x:c>
      <x:c r="G2953" s="21" t="n">
        <x:f>F2953</x:f>
        <x:v>1340.5949909203653</x:v>
      </x:c>
      <x:c r="H2953" s="21" t="n">
        <x:f>F2958</x:f>
        <x:v>1353.3401426888784</x:v>
      </x:c>
      <x:c r="I2953" s="27" t="n">
        <x:f>IF(AND(ISNUMBER(G2953),ISNUMBER(H2953),H2953&gt;0),G2953/H2953-1,"")</x:f>
        <x:v>-0.009417552444125676</x:v>
      </x:c>
      <x:c r="J2953" s="27" t="n">
        <x:f>IF(AND(ISNUMBER(G2953),F2953&gt;0),G2953/F2953-1,"")</x:f>
        <x:v>0</x:v>
      </x:c>
      <x:c r="K2953" s="19" t="str">
        <x:v>KuaiRec/EXP095/results/seed43992497_BBP.json</x:v>
      </x:c>
    </x:row>
    <x:row r="2954" ht="15" hidden="0" customHeight="1">
      <x:c r="A2954" s="3" t="str">
        <x:v>EXP095</x:v>
      </x:c>
      <x:c r="B2954" s="3" t="str">
        <x:v>KuaiRec</x:v>
      </x:c>
      <x:c r="C2954" s="18" t="n">
        <x:v>43992497</x:v>
      </x:c>
      <x:c r="D2954" s="3" t="str">
        <x:v>Relative cutoff 1e-5</x:v>
      </x:c>
      <x:c r="E2954" s="18" t="n">
        <x:v>600</x:v>
      </x:c>
      <x:c r="F2954" s="21" t="n">
        <x:v>1379.106903963531</x:v>
      </x:c>
      <x:c r="G2954" s="21" t="n">
        <x:f>F2953</x:f>
        <x:v>1340.5949909203653</x:v>
      </x:c>
      <x:c r="H2954" s="21" t="n">
        <x:f>F2958</x:f>
        <x:v>1353.3401426888784</x:v>
      </x:c>
      <x:c r="I2954" s="27" t="n">
        <x:f>IF(AND(ISNUMBER(G2954),ISNUMBER(H2954),H2954&gt;0),G2954/H2954-1,"")</x:f>
        <x:v>-0.009417552444125676</x:v>
      </x:c>
      <x:c r="J2954" s="27" t="n">
        <x:f>IF(AND(ISNUMBER(G2954),F2954&gt;0),G2954/F2954-1,"")</x:f>
        <x:v>-0.027925255781464986</x:v>
      </x:c>
      <x:c r="K2954" s="19" t="str">
        <x:v>KuaiRec/EXP095/results/seed43992497_Relative_cutoff_1e-5.json</x:v>
      </x:c>
    </x:row>
    <x:row r="2955" ht="15" hidden="0" customHeight="1">
      <x:c r="A2955" s="3" t="str">
        <x:v>EXP095</x:v>
      </x:c>
      <x:c r="B2955" s="3" t="str">
        <x:v>KuaiRec</x:v>
      </x:c>
      <x:c r="C2955" s="18" t="n">
        <x:v>43992497</x:v>
      </x:c>
      <x:c r="D2955" s="3" t="str">
        <x:v>Fixed rank 10</x:v>
      </x:c>
      <x:c r="E2955" s="18" t="n">
        <x:v>600</x:v>
      </x:c>
      <x:c r="F2955" s="21" t="n">
        <x:v>1379.2832614195397</x:v>
      </x:c>
      <x:c r="G2955" s="21" t="n">
        <x:f>F2953</x:f>
        <x:v>1340.5949909203653</x:v>
      </x:c>
      <x:c r="H2955" s="21" t="n">
        <x:f>F2958</x:f>
        <x:v>1353.3401426888784</x:v>
      </x:c>
      <x:c r="I2955" s="27" t="n">
        <x:f>IF(AND(ISNUMBER(G2955),ISNUMBER(H2955),H2955&gt;0),G2955/H2955-1,"")</x:f>
        <x:v>-0.009417552444125676</x:v>
      </x:c>
      <x:c r="J2955" s="27" t="n">
        <x:f>IF(AND(ISNUMBER(G2955),F2955&gt;0),G2955/F2955-1,"")</x:f>
        <x:v>-0.02804954687796113</x:v>
      </x:c>
      <x:c r="K2955" s="19" t="str">
        <x:v>KuaiRec/EXP095/results/seed43992497_Fixed_rank_10.json</x:v>
      </x:c>
    </x:row>
    <x:row r="2956" ht="15" hidden="0" customHeight="1">
      <x:c r="A2956" s="3" t="str">
        <x:v>EXP095</x:v>
      </x:c>
      <x:c r="B2956" s="3" t="str">
        <x:v>KuaiRec</x:v>
      </x:c>
      <x:c r="C2956" s="18" t="n">
        <x:v>43992497</x:v>
      </x:c>
      <x:c r="D2956" s="3" t="str">
        <x:v>Fixed rank 25</x:v>
      </x:c>
      <x:c r="E2956" s="18" t="n">
        <x:v>600</x:v>
      </x:c>
      <x:c r="F2956" s="21" t="n">
        <x:v>1401.783821347955</x:v>
      </x:c>
      <x:c r="G2956" s="21" t="n">
        <x:f>F2953</x:f>
        <x:v>1340.5949909203653</x:v>
      </x:c>
      <x:c r="H2956" s="21" t="n">
        <x:f>F2958</x:f>
        <x:v>1353.3401426888784</x:v>
      </x:c>
      <x:c r="I2956" s="27" t="n">
        <x:f>IF(AND(ISNUMBER(G2956),ISNUMBER(H2956),H2956&gt;0),G2956/H2956-1,"")</x:f>
        <x:v>-0.009417552444125676</x:v>
      </x:c>
      <x:c r="J2956" s="27" t="n">
        <x:f>IF(AND(ISNUMBER(G2956),F2956&gt;0),G2956/F2956-1,"")</x:f>
        <x:v>-0.04365068956834617</x:v>
      </x:c>
      <x:c r="K2956" s="19" t="str">
        <x:v>KuaiRec/EXP095/results/seed43992497_Fixed_rank_25.json</x:v>
      </x:c>
    </x:row>
    <x:row r="2957" ht="15" hidden="0" customHeight="1">
      <x:c r="A2957" s="3" t="str">
        <x:v>EXP095</x:v>
      </x:c>
      <x:c r="B2957" s="3" t="str">
        <x:v>KuaiRec</x:v>
      </x:c>
      <x:c r="C2957" s="18" t="n">
        <x:v>43992497</x:v>
      </x:c>
      <x:c r="D2957" s="3" t="str">
        <x:v>Relative cutoff 1e-6</x:v>
      </x:c>
      <x:c r="E2957" s="18" t="n">
        <x:v>600</x:v>
      </x:c>
      <x:c r="F2957" s="21" t="n">
        <x:v>1340.5949909203653</x:v>
      </x:c>
      <x:c r="G2957" s="21" t="n">
        <x:f>F2953</x:f>
        <x:v>1340.5949909203653</x:v>
      </x:c>
      <x:c r="H2957" s="21" t="n">
        <x:f>F2958</x:f>
        <x:v>1353.3401426888784</x:v>
      </x:c>
      <x:c r="I2957" s="27" t="n">
        <x:f>IF(AND(ISNUMBER(G2957),ISNUMBER(H2957),H2957&gt;0),G2957/H2957-1,"")</x:f>
        <x:v>-0.009417552444125676</x:v>
      </x:c>
      <x:c r="J2957" s="27" t="n">
        <x:f>IF(AND(ISNUMBER(G2957),F2957&gt;0),G2957/F2957-1,"")</x:f>
        <x:v>0</x:v>
      </x:c>
      <x:c r="K2957" s="19" t="str">
        <x:v>KuaiRec/EXP095/results/seed43992497_Relative_cutoff_1e-6.json</x:v>
      </x:c>
    </x:row>
    <x:row r="2958" ht="15" hidden="0" customHeight="1">
      <x:c r="A2958" s="3" t="str">
        <x:v>EXP095</x:v>
      </x:c>
      <x:c r="B2958" s="3" t="str">
        <x:v>KuaiRec</x:v>
      </x:c>
      <x:c r="C2958" s="18" t="n">
        <x:v>43992497</x:v>
      </x:c>
      <x:c r="D2958" s="3" t="str">
        <x:v>Full</x:v>
      </x:c>
      <x:c r="E2958" s="18" t="n">
        <x:v>600</x:v>
      </x:c>
      <x:c r="F2958" s="21" t="n">
        <x:v>1353.3401426888784</x:v>
      </x:c>
      <x:c r="G2958" s="21" t="n">
        <x:f>F2953</x:f>
        <x:v>1340.5949909203653</x:v>
      </x:c>
      <x:c r="H2958" s="21" t="n">
        <x:f>F2958</x:f>
        <x:v>1353.3401426888784</x:v>
      </x:c>
      <x:c r="I2958" s="27" t="n">
        <x:f>IF(AND(ISNUMBER(G2958),ISNUMBER(H2958),H2958&gt;0),G2958/H2958-1,"")</x:f>
        <x:v>-0.009417552444125676</x:v>
      </x:c>
      <x:c r="J2958" s="27" t="n">
        <x:f>IF(AND(ISNUMBER(G2958),F2958&gt;0),G2958/F2958-1,"")</x:f>
        <x:v>-0.009417552444125676</x:v>
      </x:c>
      <x:c r="K2958" s="19" t="str">
        <x:v>KuaiRec/EXP095/results/seed43992497_Full.json</x:v>
      </x:c>
    </x:row>
    <x:row r="2959" ht="15" hidden="0" customHeight="1">
      <x:c r="A2959" s="3" t="str">
        <x:v>EXP095</x:v>
      </x:c>
      <x:c r="B2959" s="3" t="str">
        <x:v>KuaiRec</x:v>
      </x:c>
      <x:c r="C2959" s="18" t="n">
        <x:v>43992497</x:v>
      </x:c>
      <x:c r="D2959" s="3" t="str">
        <x:v>Relative cutoff 1e-2</x:v>
      </x:c>
      <x:c r="E2959" s="18" t="n">
        <x:v>600</x:v>
      </x:c>
      <x:c r="F2959" s="21" t="n">
        <x:v>1328.6249455879788</x:v>
      </x:c>
      <x:c r="G2959" s="21" t="n">
        <x:f>F2953</x:f>
        <x:v>1340.5949909203653</x:v>
      </x:c>
      <x:c r="H2959" s="21" t="n">
        <x:f>F2958</x:f>
        <x:v>1353.3401426888784</x:v>
      </x:c>
      <x:c r="I2959" s="27" t="n">
        <x:f>IF(AND(ISNUMBER(G2959),ISNUMBER(H2959),H2959&gt;0),G2959/H2959-1,"")</x:f>
        <x:v>-0.009417552444125676</x:v>
      </x:c>
      <x:c r="J2959" s="27" t="n">
        <x:f>IF(AND(ISNUMBER(G2959),F2959&gt;0),G2959/F2959-1,"")</x:f>
        <x:v>0.009009348629299696</x:v>
      </x:c>
      <x:c r="K2959" s="19" t="str">
        <x:v>KuaiRec/EXP095/results/seed43992497_Relative_cutoff_1e-2.json</x:v>
      </x:c>
    </x:row>
    <x:row r="2960" ht="15" hidden="0" customHeight="1">
      <x:c r="A2960" s="3" t="str">
        <x:v>EXP095</x:v>
      </x:c>
      <x:c r="B2960" s="3" t="str">
        <x:v>KuaiRec</x:v>
      </x:c>
      <x:c r="C2960" s="18" t="n">
        <x:v>43992497</x:v>
      </x:c>
      <x:c r="D2960" s="3" t="str">
        <x:v>Relative cutoff 1e-4</x:v>
      </x:c>
      <x:c r="E2960" s="18" t="n">
        <x:v>600</x:v>
      </x:c>
      <x:c r="F2960" s="21" t="n">
        <x:v>1281.4796153563661</x:v>
      </x:c>
      <x:c r="G2960" s="21" t="n">
        <x:f>F2953</x:f>
        <x:v>1340.5949909203653</x:v>
      </x:c>
      <x:c r="H2960" s="21" t="n">
        <x:f>F2958</x:f>
        <x:v>1353.3401426888784</x:v>
      </x:c>
      <x:c r="I2960" s="27" t="n">
        <x:f>IF(AND(ISNUMBER(G2960),ISNUMBER(H2960),H2960&gt;0),G2960/H2960-1,"")</x:f>
        <x:v>-0.009417552444125676</x:v>
      </x:c>
      <x:c r="J2960" s="27" t="n">
        <x:f>IF(AND(ISNUMBER(G2960),F2960&gt;0),G2960/F2960-1,"")</x:f>
        <x:v>0.046130562558780674</x:v>
      </x:c>
      <x:c r="K2960" s="19" t="str">
        <x:v>KuaiRec/EXP095/results/seed43992497_Relative_cutoff_1e-4.json</x:v>
      </x:c>
    </x:row>
    <x:row r="2961" ht="15" hidden="0" customHeight="1">
      <x:c r="A2961" s="3" t="str">
        <x:v>EXP095</x:v>
      </x:c>
      <x:c r="B2961" s="3" t="str">
        <x:v>KuaiRec</x:v>
      </x:c>
      <x:c r="C2961" s="18" t="n">
        <x:v>44579598</x:v>
      </x:c>
      <x:c r="D2961" s="3" t="str">
        <x:v>BBP</x:v>
      </x:c>
      <x:c r="E2961" s="18" t="n">
        <x:v>600</x:v>
      </x:c>
      <x:c r="F2961" s="21" t="n">
        <x:v>1335.173907459162</x:v>
      </x:c>
      <x:c r="G2961" s="21" t="n">
        <x:f>F2961</x:f>
        <x:v>1335.173907459162</x:v>
      </x:c>
      <x:c r="H2961" s="21" t="n">
        <x:f>F2966</x:f>
        <x:v>1258.5200036892013</x:v>
      </x:c>
      <x:c r="I2961" s="27" t="n">
        <x:f>IF(AND(ISNUMBER(G2961),ISNUMBER(H2961),H2961&gt;0),G2961/H2961-1,"")</x:f>
        <x:v>0.06090797408484483</x:v>
      </x:c>
      <x:c r="J2961" s="27" t="n">
        <x:f>IF(AND(ISNUMBER(G2961),F2961&gt;0),G2961/F2961-1,"")</x:f>
        <x:v>0</x:v>
      </x:c>
      <x:c r="K2961" s="19" t="str">
        <x:v>KuaiRec/EXP095/results/seed44579598_BBP.json</x:v>
      </x:c>
    </x:row>
    <x:row r="2962" ht="15" hidden="0" customHeight="1">
      <x:c r="A2962" s="3" t="str">
        <x:v>EXP095</x:v>
      </x:c>
      <x:c r="B2962" s="3" t="str">
        <x:v>KuaiRec</x:v>
      </x:c>
      <x:c r="C2962" s="18" t="n">
        <x:v>44579598</x:v>
      </x:c>
      <x:c r="D2962" s="3" t="str">
        <x:v>Relative cutoff 1e-5</x:v>
      </x:c>
      <x:c r="E2962" s="18" t="n">
        <x:v>600</x:v>
      </x:c>
      <x:c r="F2962" s="21" t="n">
        <x:v>1285.8534427947081</x:v>
      </x:c>
      <x:c r="G2962" s="21" t="n">
        <x:f>F2961</x:f>
        <x:v>1335.173907459162</x:v>
      </x:c>
      <x:c r="H2962" s="21" t="n">
        <x:f>F2966</x:f>
        <x:v>1258.5200036892013</x:v>
      </x:c>
      <x:c r="I2962" s="27" t="n">
        <x:f>IF(AND(ISNUMBER(G2962),ISNUMBER(H2962),H2962&gt;0),G2962/H2962-1,"")</x:f>
        <x:v>0.06090797408484483</x:v>
      </x:c>
      <x:c r="J2962" s="27" t="n">
        <x:f>IF(AND(ISNUMBER(G2962),F2962&gt;0),G2962/F2962-1,"")</x:f>
        <x:v>0.038356209987088</x:v>
      </x:c>
      <x:c r="K2962" s="19" t="str">
        <x:v>KuaiRec/EXP095/results/seed44579598_Relative_cutoff_1e-5.json</x:v>
      </x:c>
    </x:row>
    <x:row r="2963" ht="15" hidden="0" customHeight="1">
      <x:c r="A2963" s="3" t="str">
        <x:v>EXP095</x:v>
      </x:c>
      <x:c r="B2963" s="3" t="str">
        <x:v>KuaiRec</x:v>
      </x:c>
      <x:c r="C2963" s="18" t="n">
        <x:v>44579598</x:v>
      </x:c>
      <x:c r="D2963" s="3" t="str">
        <x:v>Fixed rank 10</x:v>
      </x:c>
      <x:c r="E2963" s="18" t="n">
        <x:v>600</x:v>
      </x:c>
      <x:c r="F2963" s="21" t="n">
        <x:v>1287.3571161120435</x:v>
      </x:c>
      <x:c r="G2963" s="21" t="n">
        <x:f>F2961</x:f>
        <x:v>1335.173907459162</x:v>
      </x:c>
      <x:c r="H2963" s="21" t="n">
        <x:f>F2966</x:f>
        <x:v>1258.5200036892013</x:v>
      </x:c>
      <x:c r="I2963" s="27" t="n">
        <x:f>IF(AND(ISNUMBER(G2963),ISNUMBER(H2963),H2963&gt;0),G2963/H2963-1,"")</x:f>
        <x:v>0.06090797408484483</x:v>
      </x:c>
      <x:c r="J2963" s="27" t="n">
        <x:f>IF(AND(ISNUMBER(G2963),F2963&gt;0),G2963/F2963-1,"")</x:f>
        <x:v>0.03714337750470542</x:v>
      </x:c>
      <x:c r="K2963" s="19" t="str">
        <x:v>KuaiRec/EXP095/results/seed44579598_Fixed_rank_10.json</x:v>
      </x:c>
    </x:row>
    <x:row r="2964" ht="15" hidden="0" customHeight="1">
      <x:c r="A2964" s="3" t="str">
        <x:v>EXP095</x:v>
      </x:c>
      <x:c r="B2964" s="3" t="str">
        <x:v>KuaiRec</x:v>
      </x:c>
      <x:c r="C2964" s="18" t="n">
        <x:v>44579598</x:v>
      </x:c>
      <x:c r="D2964" s="3" t="str">
        <x:v>Fixed rank 25</x:v>
      </x:c>
      <x:c r="E2964" s="18" t="n">
        <x:v>600</x:v>
      </x:c>
      <x:c r="F2964" s="21" t="n">
        <x:v>1335.173907459162</x:v>
      </x:c>
      <x:c r="G2964" s="21" t="n">
        <x:f>F2961</x:f>
        <x:v>1335.173907459162</x:v>
      </x:c>
      <x:c r="H2964" s="21" t="n">
        <x:f>F2966</x:f>
        <x:v>1258.5200036892013</x:v>
      </x:c>
      <x:c r="I2964" s="27" t="n">
        <x:f>IF(AND(ISNUMBER(G2964),ISNUMBER(H2964),H2964&gt;0),G2964/H2964-1,"")</x:f>
        <x:v>0.06090797408484483</x:v>
      </x:c>
      <x:c r="J2964" s="27" t="n">
        <x:f>IF(AND(ISNUMBER(G2964),F2964&gt;0),G2964/F2964-1,"")</x:f>
        <x:v>0</x:v>
      </x:c>
      <x:c r="K2964" s="19" t="str">
        <x:v>KuaiRec/EXP095/results/seed44579598_Fixed_rank_25.json</x:v>
      </x:c>
    </x:row>
    <x:row r="2965" ht="15" hidden="0" customHeight="1">
      <x:c r="A2965" s="3" t="str">
        <x:v>EXP095</x:v>
      </x:c>
      <x:c r="B2965" s="3" t="str">
        <x:v>KuaiRec</x:v>
      </x:c>
      <x:c r="C2965" s="18" t="n">
        <x:v>44579598</x:v>
      </x:c>
      <x:c r="D2965" s="3" t="str">
        <x:v>Relative cutoff 1e-6</x:v>
      </x:c>
      <x:c r="E2965" s="18" t="n">
        <x:v>600</x:v>
      </x:c>
      <x:c r="F2965" s="21" t="n">
        <x:v>1299.0953380837393</x:v>
      </x:c>
      <x:c r="G2965" s="21" t="n">
        <x:f>F2961</x:f>
        <x:v>1335.173907459162</x:v>
      </x:c>
      <x:c r="H2965" s="21" t="n">
        <x:f>F2966</x:f>
        <x:v>1258.5200036892013</x:v>
      </x:c>
      <x:c r="I2965" s="27" t="n">
        <x:f>IF(AND(ISNUMBER(G2965),ISNUMBER(H2965),H2965&gt;0),G2965/H2965-1,"")</x:f>
        <x:v>0.06090797408484483</x:v>
      </x:c>
      <x:c r="J2965" s="27" t="n">
        <x:f>IF(AND(ISNUMBER(G2965),F2965&gt;0),G2965/F2965-1,"")</x:f>
        <x:v>0.02777207208567245</x:v>
      </x:c>
      <x:c r="K2965" s="19" t="str">
        <x:v>KuaiRec/EXP095/results/seed44579598_Relative_cutoff_1e-6.json</x:v>
      </x:c>
    </x:row>
    <x:row r="2966" ht="15" hidden="0" customHeight="1">
      <x:c r="A2966" s="3" t="str">
        <x:v>EXP095</x:v>
      </x:c>
      <x:c r="B2966" s="3" t="str">
        <x:v>KuaiRec</x:v>
      </x:c>
      <x:c r="C2966" s="18" t="n">
        <x:v>44579598</x:v>
      </x:c>
      <x:c r="D2966" s="3" t="str">
        <x:v>Full</x:v>
      </x:c>
      <x:c r="E2966" s="18" t="n">
        <x:v>600</x:v>
      </x:c>
      <x:c r="F2966" s="21" t="n">
        <x:v>1258.5200036892013</x:v>
      </x:c>
      <x:c r="G2966" s="21" t="n">
        <x:f>F2961</x:f>
        <x:v>1335.173907459162</x:v>
      </x:c>
      <x:c r="H2966" s="21" t="n">
        <x:f>F2966</x:f>
        <x:v>1258.5200036892013</x:v>
      </x:c>
      <x:c r="I2966" s="27" t="n">
        <x:f>IF(AND(ISNUMBER(G2966),ISNUMBER(H2966),H2966&gt;0),G2966/H2966-1,"")</x:f>
        <x:v>0.06090797408484483</x:v>
      </x:c>
      <x:c r="J2966" s="27" t="n">
        <x:f>IF(AND(ISNUMBER(G2966),F2966&gt;0),G2966/F2966-1,"")</x:f>
        <x:v>0.06090797408484483</x:v>
      </x:c>
      <x:c r="K2966" s="19" t="str">
        <x:v>KuaiRec/EXP095/results/seed44579598_Full.json</x:v>
      </x:c>
    </x:row>
    <x:row r="2967" ht="15" hidden="0" customHeight="1">
      <x:c r="A2967" s="3" t="str">
        <x:v>EXP095</x:v>
      </x:c>
      <x:c r="B2967" s="3" t="str">
        <x:v>KuaiRec</x:v>
      </x:c>
      <x:c r="C2967" s="18" t="n">
        <x:v>44579598</x:v>
      </x:c>
      <x:c r="D2967" s="3" t="str">
        <x:v>Relative cutoff 1e-2</x:v>
      </x:c>
      <x:c r="E2967" s="18" t="n">
        <x:v>600</x:v>
      </x:c>
      <x:c r="F2967" s="21" t="n">
        <x:v>1321.3640465797616</x:v>
      </x:c>
      <x:c r="G2967" s="21" t="n">
        <x:f>F2961</x:f>
        <x:v>1335.173907459162</x:v>
      </x:c>
      <x:c r="H2967" s="21" t="n">
        <x:f>F2966</x:f>
        <x:v>1258.5200036892013</x:v>
      </x:c>
      <x:c r="I2967" s="27" t="n">
        <x:f>IF(AND(ISNUMBER(G2967),ISNUMBER(H2967),H2967&gt;0),G2967/H2967-1,"")</x:f>
        <x:v>0.06090797408484483</x:v>
      </x:c>
      <x:c r="J2967" s="27" t="n">
        <x:f>IF(AND(ISNUMBER(G2967),F2967&gt;0),G2967/F2967-1,"")</x:f>
        <x:v>0.010451215859206942</x:v>
      </x:c>
      <x:c r="K2967" s="19" t="str">
        <x:v>KuaiRec/EXP095/results/seed44579598_Relative_cutoff_1e-2.json</x:v>
      </x:c>
    </x:row>
    <x:row r="2968" ht="15" hidden="0" customHeight="1">
      <x:c r="A2968" s="3" t="str">
        <x:v>EXP095</x:v>
      </x:c>
      <x:c r="B2968" s="3" t="str">
        <x:v>KuaiRec</x:v>
      </x:c>
      <x:c r="C2968" s="18" t="n">
        <x:v>44579598</x:v>
      </x:c>
      <x:c r="D2968" s="3" t="str">
        <x:v>Relative cutoff 1e-4</x:v>
      </x:c>
      <x:c r="E2968" s="18" t="n">
        <x:v>600</x:v>
      </x:c>
      <x:c r="F2968" s="21" t="n">
        <x:v>1288.5333626802048</x:v>
      </x:c>
      <x:c r="G2968" s="21" t="n">
        <x:f>F2961</x:f>
        <x:v>1335.173907459162</x:v>
      </x:c>
      <x:c r="H2968" s="21" t="n">
        <x:f>F2966</x:f>
        <x:v>1258.5200036892013</x:v>
      </x:c>
      <x:c r="I2968" s="27" t="n">
        <x:f>IF(AND(ISNUMBER(G2968),ISNUMBER(H2968),H2968&gt;0),G2968/H2968-1,"")</x:f>
        <x:v>0.06090797408484483</x:v>
      </x:c>
      <x:c r="J2968" s="27" t="n">
        <x:f>IF(AND(ISNUMBER(G2968),F2968&gt;0),G2968/F2968-1,"")</x:f>
        <x:v>0.0361966140185479</x:v>
      </x:c>
      <x:c r="K2968" s="19" t="str">
        <x:v>KuaiRec/EXP095/results/seed44579598_Relative_cutoff_1e-4.json</x:v>
      </x:c>
    </x:row>
    <x:row r="2969" ht="15" hidden="0" customHeight="1">
      <x:c r="A2969" s="3" t="str">
        <x:v>EXP095</x:v>
      </x:c>
      <x:c r="B2969" s="3" t="str">
        <x:v>KuaiRec</x:v>
      </x:c>
      <x:c r="C2969" s="18" t="n">
        <x:v>83498340</x:v>
      </x:c>
      <x:c r="D2969" s="3" t="str">
        <x:v>BBP</x:v>
      </x:c>
      <x:c r="E2969" s="18" t="n">
        <x:v>600</x:v>
      </x:c>
      <x:c r="F2969" s="21" t="n">
        <x:v>1508.2651322684085</x:v>
      </x:c>
      <x:c r="G2969" s="21" t="n">
        <x:f>F2969</x:f>
        <x:v>1508.2651322684085</x:v>
      </x:c>
      <x:c r="H2969" s="21" t="n">
        <x:f>F2974</x:f>
        <x:v>1508.2651322684085</x:v>
      </x:c>
      <x:c r="I2969" s="27" t="n">
        <x:f>IF(AND(ISNUMBER(G2969),ISNUMBER(H2969),H2969&gt;0),G2969/H2969-1,"")</x:f>
        <x:v>0</x:v>
      </x:c>
      <x:c r="J2969" s="27" t="n">
        <x:f>IF(AND(ISNUMBER(G2969),F2969&gt;0),G2969/F2969-1,"")</x:f>
        <x:v>0</x:v>
      </x:c>
      <x:c r="K2969" s="19" t="str">
        <x:v>KuaiRec/EXP095/results/seed83498340_BBP.json</x:v>
      </x:c>
    </x:row>
    <x:row r="2970" ht="15" hidden="0" customHeight="1">
      <x:c r="A2970" s="3" t="str">
        <x:v>EXP095</x:v>
      </x:c>
      <x:c r="B2970" s="3" t="str">
        <x:v>KuaiRec</x:v>
      </x:c>
      <x:c r="C2970" s="18" t="n">
        <x:v>83498340</x:v>
      </x:c>
      <x:c r="D2970" s="3" t="str">
        <x:v>Relative cutoff 1e-5</x:v>
      </x:c>
      <x:c r="E2970" s="18" t="n">
        <x:v>600</x:v>
      </x:c>
      <x:c r="F2970" s="21" t="n">
        <x:v>1511.8709932621039</x:v>
      </x:c>
      <x:c r="G2970" s="21" t="n">
        <x:f>F2969</x:f>
        <x:v>1508.2651322684085</x:v>
      </x:c>
      <x:c r="H2970" s="21" t="n">
        <x:f>F2974</x:f>
        <x:v>1508.2651322684085</x:v>
      </x:c>
      <x:c r="I2970" s="27" t="n">
        <x:f>IF(AND(ISNUMBER(G2970),ISNUMBER(H2970),H2970&gt;0),G2970/H2970-1,"")</x:f>
        <x:v>0</x:v>
      </x:c>
      <x:c r="J2970" s="27" t="n">
        <x:f>IF(AND(ISNUMBER(G2970),F2970&gt;0),G2970/F2970-1,"")</x:f>
        <x:v>-0.0023850321950520392</x:v>
      </x:c>
      <x:c r="K2970" s="19" t="str">
        <x:v>KuaiRec/EXP095/results/seed83498340_Relative_cutoff_1e-5.json</x:v>
      </x:c>
    </x:row>
    <x:row r="2971" ht="15" hidden="0" customHeight="1">
      <x:c r="A2971" s="3" t="str">
        <x:v>EXP095</x:v>
      </x:c>
      <x:c r="B2971" s="3" t="str">
        <x:v>KuaiRec</x:v>
      </x:c>
      <x:c r="C2971" s="18" t="n">
        <x:v>83498340</x:v>
      </x:c>
      <x:c r="D2971" s="3" t="str">
        <x:v>Fixed rank 10</x:v>
      </x:c>
      <x:c r="E2971" s="18" t="n">
        <x:v>600</x:v>
      </x:c>
      <x:c r="F2971" s="21" t="n">
        <x:v>1526.5918171776989</x:v>
      </x:c>
      <x:c r="G2971" s="21" t="n">
        <x:f>F2969</x:f>
        <x:v>1508.2651322684085</x:v>
      </x:c>
      <x:c r="H2971" s="21" t="n">
        <x:f>F2974</x:f>
        <x:v>1508.2651322684085</x:v>
      </x:c>
      <x:c r="I2971" s="27" t="n">
        <x:f>IF(AND(ISNUMBER(G2971),ISNUMBER(H2971),H2971&gt;0),G2971/H2971-1,"")</x:f>
        <x:v>0</x:v>
      </x:c>
      <x:c r="J2971" s="27" t="n">
        <x:f>IF(AND(ISNUMBER(G2971),F2971&gt;0),G2971/F2971-1,"")</x:f>
        <x:v>-0.012004967341677553</x:v>
      </x:c>
      <x:c r="K2971" s="19" t="str">
        <x:v>KuaiRec/EXP095/results/seed83498340_Fixed_rank_10.json</x:v>
      </x:c>
    </x:row>
    <x:row r="2972" ht="15" hidden="0" customHeight="1">
      <x:c r="A2972" s="3" t="str">
        <x:v>EXP095</x:v>
      </x:c>
      <x:c r="B2972" s="3" t="str">
        <x:v>KuaiRec</x:v>
      </x:c>
      <x:c r="C2972" s="18" t="n">
        <x:v>83498340</x:v>
      </x:c>
      <x:c r="D2972" s="3" t="str">
        <x:v>Fixed rank 25</x:v>
      </x:c>
      <x:c r="E2972" s="18" t="n">
        <x:v>600</x:v>
      </x:c>
      <x:c r="F2972" s="21" t="n">
        <x:v>1508.2651322684085</x:v>
      </x:c>
      <x:c r="G2972" s="21" t="n">
        <x:f>F2969</x:f>
        <x:v>1508.2651322684085</x:v>
      </x:c>
      <x:c r="H2972" s="21" t="n">
        <x:f>F2974</x:f>
        <x:v>1508.2651322684085</x:v>
      </x:c>
      <x:c r="I2972" s="27" t="n">
        <x:f>IF(AND(ISNUMBER(G2972),ISNUMBER(H2972),H2972&gt;0),G2972/H2972-1,"")</x:f>
        <x:v>0</x:v>
      </x:c>
      <x:c r="J2972" s="27" t="n">
        <x:f>IF(AND(ISNUMBER(G2972),F2972&gt;0),G2972/F2972-1,"")</x:f>
        <x:v>0</x:v>
      </x:c>
      <x:c r="K2972" s="19" t="str">
        <x:v>KuaiRec/EXP095/results/seed83498340_Fixed_rank_25.json</x:v>
      </x:c>
    </x:row>
    <x:row r="2973" ht="15" hidden="0" customHeight="1">
      <x:c r="A2973" s="3" t="str">
        <x:v>EXP095</x:v>
      </x:c>
      <x:c r="B2973" s="3" t="str">
        <x:v>KuaiRec</x:v>
      </x:c>
      <x:c r="C2973" s="18" t="n">
        <x:v>83498340</x:v>
      </x:c>
      <x:c r="D2973" s="3" t="str">
        <x:v>Relative cutoff 1e-6</x:v>
      </x:c>
      <x:c r="E2973" s="18" t="n">
        <x:v>600</x:v>
      </x:c>
      <x:c r="F2973" s="21" t="n">
        <x:v>1508.2651322684085</x:v>
      </x:c>
      <x:c r="G2973" s="21" t="n">
        <x:f>F2969</x:f>
        <x:v>1508.2651322684085</x:v>
      </x:c>
      <x:c r="H2973" s="21" t="n">
        <x:f>F2974</x:f>
        <x:v>1508.2651322684085</x:v>
      </x:c>
      <x:c r="I2973" s="27" t="n">
        <x:f>IF(AND(ISNUMBER(G2973),ISNUMBER(H2973),H2973&gt;0),G2973/H2973-1,"")</x:f>
        <x:v>0</x:v>
      </x:c>
      <x:c r="J2973" s="27" t="n">
        <x:f>IF(AND(ISNUMBER(G2973),F2973&gt;0),G2973/F2973-1,"")</x:f>
        <x:v>0</x:v>
      </x:c>
      <x:c r="K2973" s="19" t="str">
        <x:v>KuaiRec/EXP095/results/seed83498340_Relative_cutoff_1e-6.json</x:v>
      </x:c>
    </x:row>
    <x:row r="2974" ht="15" hidden="0" customHeight="1">
      <x:c r="A2974" s="3" t="str">
        <x:v>EXP095</x:v>
      </x:c>
      <x:c r="B2974" s="3" t="str">
        <x:v>KuaiRec</x:v>
      </x:c>
      <x:c r="C2974" s="18" t="n">
        <x:v>83498340</x:v>
      </x:c>
      <x:c r="D2974" s="3" t="str">
        <x:v>Full</x:v>
      </x:c>
      <x:c r="E2974" s="18" t="n">
        <x:v>600</x:v>
      </x:c>
      <x:c r="F2974" s="21" t="n">
        <x:v>1508.2651322684085</x:v>
      </x:c>
      <x:c r="G2974" s="21" t="n">
        <x:f>F2969</x:f>
        <x:v>1508.2651322684085</x:v>
      </x:c>
      <x:c r="H2974" s="21" t="n">
        <x:f>F2974</x:f>
        <x:v>1508.2651322684085</x:v>
      </x:c>
      <x:c r="I2974" s="27" t="n">
        <x:f>IF(AND(ISNUMBER(G2974),ISNUMBER(H2974),H2974&gt;0),G2974/H2974-1,"")</x:f>
        <x:v>0</x:v>
      </x:c>
      <x:c r="J2974" s="27" t="n">
        <x:f>IF(AND(ISNUMBER(G2974),F2974&gt;0),G2974/F2974-1,"")</x:f>
        <x:v>0</x:v>
      </x:c>
      <x:c r="K2974" s="19" t="str">
        <x:v>KuaiRec/EXP095/results/seed83498340_Full.json</x:v>
      </x:c>
    </x:row>
    <x:row r="2975" ht="15" hidden="0" customHeight="1">
      <x:c r="A2975" s="3" t="str">
        <x:v>EXP095</x:v>
      </x:c>
      <x:c r="B2975" s="3" t="str">
        <x:v>KuaiRec</x:v>
      </x:c>
      <x:c r="C2975" s="18" t="n">
        <x:v>83498340</x:v>
      </x:c>
      <x:c r="D2975" s="3" t="str">
        <x:v>Relative cutoff 1e-2</x:v>
      </x:c>
      <x:c r="E2975" s="18" t="n">
        <x:v>600</x:v>
      </x:c>
      <x:c r="F2975" s="21" t="n">
        <x:v>1444.2722143587644</x:v>
      </x:c>
      <x:c r="G2975" s="21" t="n">
        <x:f>F2969</x:f>
        <x:v>1508.2651322684085</x:v>
      </x:c>
      <x:c r="H2975" s="21" t="n">
        <x:f>F2974</x:f>
        <x:v>1508.2651322684085</x:v>
      </x:c>
      <x:c r="I2975" s="27" t="n">
        <x:f>IF(AND(ISNUMBER(G2975),ISNUMBER(H2975),H2975&gt;0),G2975/H2975-1,"")</x:f>
        <x:v>0</x:v>
      </x:c>
      <x:c r="J2975" s="27" t="n">
        <x:f>IF(AND(ISNUMBER(G2975),F2975&gt;0),G2975/F2975-1,"")</x:f>
        <x:v>0.044308072448832725</x:v>
      </x:c>
      <x:c r="K2975" s="19" t="str">
        <x:v>KuaiRec/EXP095/results/seed83498340_Relative_cutoff_1e-2.json</x:v>
      </x:c>
    </x:row>
    <x:row r="2976" ht="15" hidden="0" customHeight="1">
      <x:c r="A2976" s="3" t="str">
        <x:v>EXP095</x:v>
      </x:c>
      <x:c r="B2976" s="3" t="str">
        <x:v>KuaiRec</x:v>
      </x:c>
      <x:c r="C2976" s="18" t="n">
        <x:v>83498340</x:v>
      </x:c>
      <x:c r="D2976" s="3" t="str">
        <x:v>Relative cutoff 1e-4</x:v>
      </x:c>
      <x:c r="E2976" s="18" t="n">
        <x:v>600</x:v>
      </x:c>
      <x:c r="F2976" s="21" t="n">
        <x:v>1537.792706626931</x:v>
      </x:c>
      <x:c r="G2976" s="21" t="n">
        <x:f>F2969</x:f>
        <x:v>1508.2651322684085</x:v>
      </x:c>
      <x:c r="H2976" s="21" t="n">
        <x:f>F2974</x:f>
        <x:v>1508.2651322684085</x:v>
      </x:c>
      <x:c r="I2976" s="27" t="n">
        <x:f>IF(AND(ISNUMBER(G2976),ISNUMBER(H2976),H2976&gt;0),G2976/H2976-1,"")</x:f>
        <x:v>0</x:v>
      </x:c>
      <x:c r="J2976" s="27" t="n">
        <x:f>IF(AND(ISNUMBER(G2976),F2976&gt;0),G2976/F2976-1,"")</x:f>
        <x:v>-0.01920127090685053</x:v>
      </x:c>
      <x:c r="K2976" s="19" t="str">
        <x:v>KuaiRec/EXP095/results/seed83498340_Relative_cutoff_1e-4.json</x:v>
      </x:c>
    </x:row>
    <x:row r="2977" ht="15" hidden="0" customHeight="1">
      <x:c r="A2977" s="3" t="str">
        <x:v>EXP095</x:v>
      </x:c>
      <x:c r="B2977" s="3" t="str">
        <x:v>KuaiRec</x:v>
      </x:c>
      <x:c r="C2977" s="18" t="n">
        <x:v>162494215</x:v>
      </x:c>
      <x:c r="D2977" s="3" t="str">
        <x:v>BBP</x:v>
      </x:c>
      <x:c r="E2977" s="18" t="n">
        <x:v>600</x:v>
      </x:c>
      <x:c r="F2977" s="21" t="n">
        <x:v>1311.0422023743201</x:v>
      </x:c>
      <x:c r="G2977" s="21" t="n">
        <x:f>F2977</x:f>
        <x:v>1311.0422023743201</x:v>
      </x:c>
      <x:c r="H2977" s="21" t="n">
        <x:f>F2982</x:f>
        <x:v>1311.0422023743201</x:v>
      </x:c>
      <x:c r="I2977" s="27" t="n">
        <x:f>IF(AND(ISNUMBER(G2977),ISNUMBER(H2977),H2977&gt;0),G2977/H2977-1,"")</x:f>
        <x:v>0</x:v>
      </x:c>
      <x:c r="J2977" s="27" t="n">
        <x:f>IF(AND(ISNUMBER(G2977),F2977&gt;0),G2977/F2977-1,"")</x:f>
        <x:v>0</x:v>
      </x:c>
      <x:c r="K2977" s="19" t="str">
        <x:v>KuaiRec/EXP095/results/seed162494215_BBP.json</x:v>
      </x:c>
    </x:row>
    <x:row r="2978" ht="15" hidden="0" customHeight="1">
      <x:c r="A2978" s="3" t="str">
        <x:v>EXP095</x:v>
      </x:c>
      <x:c r="B2978" s="3" t="str">
        <x:v>KuaiRec</x:v>
      </x:c>
      <x:c r="C2978" s="18" t="n">
        <x:v>162494215</x:v>
      </x:c>
      <x:c r="D2978" s="3" t="str">
        <x:v>Relative cutoff 1e-5</x:v>
      </x:c>
      <x:c r="E2978" s="18" t="n">
        <x:v>600</x:v>
      </x:c>
      <x:c r="F2978" s="21" t="n">
        <x:v>1314.7494689552475</x:v>
      </x:c>
      <x:c r="G2978" s="21" t="n">
        <x:f>F2977</x:f>
        <x:v>1311.0422023743201</x:v>
      </x:c>
      <x:c r="H2978" s="21" t="n">
        <x:f>F2982</x:f>
        <x:v>1311.0422023743201</x:v>
      </x:c>
      <x:c r="I2978" s="27" t="n">
        <x:f>IF(AND(ISNUMBER(G2978),ISNUMBER(H2978),H2978&gt;0),G2978/H2978-1,"")</x:f>
        <x:v>0</x:v>
      </x:c>
      <x:c r="J2978" s="27" t="n">
        <x:f>IF(AND(ISNUMBER(G2978),F2978&gt;0),G2978/F2978-1,"")</x:f>
        <x:v>-0.0028197513431006405</x:v>
      </x:c>
      <x:c r="K2978" s="19" t="str">
        <x:v>KuaiRec/EXP095/results/seed162494215_Relative_cutoff_1e-5.json</x:v>
      </x:c>
    </x:row>
    <x:row r="2979" ht="15" hidden="0" customHeight="1">
      <x:c r="A2979" s="3" t="str">
        <x:v>EXP095</x:v>
      </x:c>
      <x:c r="B2979" s="3" t="str">
        <x:v>KuaiRec</x:v>
      </x:c>
      <x:c r="C2979" s="18" t="n">
        <x:v>162494215</x:v>
      </x:c>
      <x:c r="D2979" s="3" t="str">
        <x:v>Fixed rank 10</x:v>
      </x:c>
      <x:c r="E2979" s="18" t="n">
        <x:v>600</x:v>
      </x:c>
      <x:c r="F2979" s="21" t="n">
        <x:v>1284.7385909432917</x:v>
      </x:c>
      <x:c r="G2979" s="21" t="n">
        <x:f>F2977</x:f>
        <x:v>1311.0422023743201</x:v>
      </x:c>
      <x:c r="H2979" s="21" t="n">
        <x:f>F2982</x:f>
        <x:v>1311.0422023743201</x:v>
      </x:c>
      <x:c r="I2979" s="27" t="n">
        <x:f>IF(AND(ISNUMBER(G2979),ISNUMBER(H2979),H2979&gt;0),G2979/H2979-1,"")</x:f>
        <x:v>0</x:v>
      </x:c>
      <x:c r="J2979" s="27" t="n">
        <x:f>IF(AND(ISNUMBER(G2979),F2979&gt;0),G2979/F2979-1,"")</x:f>
        <x:v>0.02047390155200013</x:v>
      </x:c>
      <x:c r="K2979" s="19" t="str">
        <x:v>KuaiRec/EXP095/results/seed162494215_Fixed_rank_10.json</x:v>
      </x:c>
    </x:row>
    <x:row r="2980" ht="15" hidden="0" customHeight="1">
      <x:c r="A2980" s="3" t="str">
        <x:v>EXP095</x:v>
      </x:c>
      <x:c r="B2980" s="3" t="str">
        <x:v>KuaiRec</x:v>
      </x:c>
      <x:c r="C2980" s="18" t="n">
        <x:v>162494215</x:v>
      </x:c>
      <x:c r="D2980" s="3" t="str">
        <x:v>Fixed rank 25</x:v>
      </x:c>
      <x:c r="E2980" s="18" t="n">
        <x:v>600</x:v>
      </x:c>
      <x:c r="F2980" s="21" t="n">
        <x:v>1311.0422023743201</x:v>
      </x:c>
      <x:c r="G2980" s="21" t="n">
        <x:f>F2977</x:f>
        <x:v>1311.0422023743201</x:v>
      </x:c>
      <x:c r="H2980" s="21" t="n">
        <x:f>F2982</x:f>
        <x:v>1311.0422023743201</x:v>
      </x:c>
      <x:c r="I2980" s="27" t="n">
        <x:f>IF(AND(ISNUMBER(G2980),ISNUMBER(H2980),H2980&gt;0),G2980/H2980-1,"")</x:f>
        <x:v>0</x:v>
      </x:c>
      <x:c r="J2980" s="27" t="n">
        <x:f>IF(AND(ISNUMBER(G2980),F2980&gt;0),G2980/F2980-1,"")</x:f>
        <x:v>0</x:v>
      </x:c>
      <x:c r="K2980" s="19" t="str">
        <x:v>KuaiRec/EXP095/results/seed162494215_Fixed_rank_25.json</x:v>
      </x:c>
    </x:row>
    <x:row r="2981" ht="15" hidden="0" customHeight="1">
      <x:c r="A2981" s="3" t="str">
        <x:v>EXP095</x:v>
      </x:c>
      <x:c r="B2981" s="3" t="str">
        <x:v>KuaiRec</x:v>
      </x:c>
      <x:c r="C2981" s="18" t="n">
        <x:v>162494215</x:v>
      </x:c>
      <x:c r="D2981" s="3" t="str">
        <x:v>Relative cutoff 1e-6</x:v>
      </x:c>
      <x:c r="E2981" s="18" t="n">
        <x:v>600</x:v>
      </x:c>
      <x:c r="F2981" s="21" t="n">
        <x:v>1311.0422023743201</x:v>
      </x:c>
      <x:c r="G2981" s="21" t="n">
        <x:f>F2977</x:f>
        <x:v>1311.0422023743201</x:v>
      </x:c>
      <x:c r="H2981" s="21" t="n">
        <x:f>F2982</x:f>
        <x:v>1311.0422023743201</x:v>
      </x:c>
      <x:c r="I2981" s="27" t="n">
        <x:f>IF(AND(ISNUMBER(G2981),ISNUMBER(H2981),H2981&gt;0),G2981/H2981-1,"")</x:f>
        <x:v>0</x:v>
      </x:c>
      <x:c r="J2981" s="27" t="n">
        <x:f>IF(AND(ISNUMBER(G2981),F2981&gt;0),G2981/F2981-1,"")</x:f>
        <x:v>0</x:v>
      </x:c>
      <x:c r="K2981" s="19" t="str">
        <x:v>KuaiRec/EXP095/results/seed162494215_Relative_cutoff_1e-6.json</x:v>
      </x:c>
    </x:row>
    <x:row r="2982" ht="15" hidden="0" customHeight="1">
      <x:c r="A2982" s="3" t="str">
        <x:v>EXP095</x:v>
      </x:c>
      <x:c r="B2982" s="3" t="str">
        <x:v>KuaiRec</x:v>
      </x:c>
      <x:c r="C2982" s="18" t="n">
        <x:v>162494215</x:v>
      </x:c>
      <x:c r="D2982" s="3" t="str">
        <x:v>Full</x:v>
      </x:c>
      <x:c r="E2982" s="18" t="n">
        <x:v>600</x:v>
      </x:c>
      <x:c r="F2982" s="21" t="n">
        <x:v>1311.0422023743201</x:v>
      </x:c>
      <x:c r="G2982" s="21" t="n">
        <x:f>F2977</x:f>
        <x:v>1311.0422023743201</x:v>
      </x:c>
      <x:c r="H2982" s="21" t="n">
        <x:f>F2982</x:f>
        <x:v>1311.0422023743201</x:v>
      </x:c>
      <x:c r="I2982" s="27" t="n">
        <x:f>IF(AND(ISNUMBER(G2982),ISNUMBER(H2982),H2982&gt;0),G2982/H2982-1,"")</x:f>
        <x:v>0</x:v>
      </x:c>
      <x:c r="J2982" s="27" t="n">
        <x:f>IF(AND(ISNUMBER(G2982),F2982&gt;0),G2982/F2982-1,"")</x:f>
        <x:v>0</x:v>
      </x:c>
      <x:c r="K2982" s="19" t="str">
        <x:v>KuaiRec/EXP095/results/seed162494215_Full.json</x:v>
      </x:c>
    </x:row>
    <x:row r="2983" ht="15" hidden="0" customHeight="1">
      <x:c r="A2983" s="3" t="str">
        <x:v>EXP095</x:v>
      </x:c>
      <x:c r="B2983" s="3" t="str">
        <x:v>KuaiRec</x:v>
      </x:c>
      <x:c r="C2983" s="18" t="n">
        <x:v>162494215</x:v>
      </x:c>
      <x:c r="D2983" s="3" t="str">
        <x:v>Relative cutoff 1e-2</x:v>
      </x:c>
      <x:c r="E2983" s="18" t="n">
        <x:v>600</x:v>
      </x:c>
      <x:c r="F2983" s="21" t="n">
        <x:v>1363.1507291708058</x:v>
      </x:c>
      <x:c r="G2983" s="21" t="n">
        <x:f>F2977</x:f>
        <x:v>1311.0422023743201</x:v>
      </x:c>
      <x:c r="H2983" s="21" t="n">
        <x:f>F2982</x:f>
        <x:v>1311.0422023743201</x:v>
      </x:c>
      <x:c r="I2983" s="27" t="n">
        <x:f>IF(AND(ISNUMBER(G2983),ISNUMBER(H2983),H2983&gt;0),G2983/H2983-1,"")</x:f>
        <x:v>0</x:v>
      </x:c>
      <x:c r="J2983" s="27" t="n">
        <x:f>IF(AND(ISNUMBER(G2983),F2983&gt;0),G2983/F2983-1,"")</x:f>
        <x:v>-0.038226533340287916</x:v>
      </x:c>
      <x:c r="K2983" s="19" t="str">
        <x:v>KuaiRec/EXP095/results/seed162494215_Relative_cutoff_1e-2.json</x:v>
      </x:c>
    </x:row>
    <x:row r="2984" ht="15" hidden="0" customHeight="1">
      <x:c r="A2984" s="3" t="str">
        <x:v>EXP095</x:v>
      </x:c>
      <x:c r="B2984" s="3" t="str">
        <x:v>KuaiRec</x:v>
      </x:c>
      <x:c r="C2984" s="18" t="n">
        <x:v>162494215</x:v>
      </x:c>
      <x:c r="D2984" s="3" t="str">
        <x:v>Relative cutoff 1e-4</x:v>
      </x:c>
      <x:c r="E2984" s="18" t="n">
        <x:v>600</x:v>
      </x:c>
      <x:c r="F2984" s="21" t="n">
        <x:v>1345.4941349551423</x:v>
      </x:c>
      <x:c r="G2984" s="21" t="n">
        <x:f>F2977</x:f>
        <x:v>1311.0422023743201</x:v>
      </x:c>
      <x:c r="H2984" s="21" t="n">
        <x:f>F2982</x:f>
        <x:v>1311.0422023743201</x:v>
      </x:c>
      <x:c r="I2984" s="27" t="n">
        <x:f>IF(AND(ISNUMBER(G2984),ISNUMBER(H2984),H2984&gt;0),G2984/H2984-1,"")</x:f>
        <x:v>0</x:v>
      </x:c>
      <x:c r="J2984" s="27" t="n">
        <x:f>IF(AND(ISNUMBER(G2984),F2984&gt;0),G2984/F2984-1,"")</x:f>
        <x:v>-0.025605412677603967</x:v>
      </x:c>
      <x:c r="K2984" s="19" t="str">
        <x:v>KuaiRec/EXP095/results/seed162494215_Relative_cutoff_1e-4.json</x:v>
      </x:c>
    </x:row>
    <x:row r="2985" ht="15" hidden="0" customHeight="1">
      <x:c r="A2985" s="3" t="str">
        <x:v>EXP095</x:v>
      </x:c>
      <x:c r="B2985" s="3" t="str">
        <x:v>KuaiRec</x:v>
      </x:c>
      <x:c r="C2985" s="18" t="n">
        <x:v>162854674</x:v>
      </x:c>
      <x:c r="D2985" s="3" t="str">
        <x:v>BBP</x:v>
      </x:c>
      <x:c r="E2985" s="18" t="n">
        <x:v>600</x:v>
      </x:c>
      <x:c r="F2985" s="21" t="n">
        <x:v>1313.9381397006543</x:v>
      </x:c>
      <x:c r="G2985" s="21" t="n">
        <x:f>F2985</x:f>
        <x:v>1313.9381397006543</x:v>
      </x:c>
      <x:c r="H2985" s="21" t="n">
        <x:f>F2990</x:f>
        <x:v>1313.9381397006543</x:v>
      </x:c>
      <x:c r="I2985" s="27" t="n">
        <x:f>IF(AND(ISNUMBER(G2985),ISNUMBER(H2985),H2985&gt;0),G2985/H2985-1,"")</x:f>
        <x:v>0</x:v>
      </x:c>
      <x:c r="J2985" s="27" t="n">
        <x:f>IF(AND(ISNUMBER(G2985),F2985&gt;0),G2985/F2985-1,"")</x:f>
        <x:v>0</x:v>
      </x:c>
      <x:c r="K2985" s="19" t="str">
        <x:v>KuaiRec/EXP095/results/seed162854674_BBP.json</x:v>
      </x:c>
    </x:row>
    <x:row r="2986" ht="15" hidden="0" customHeight="1">
      <x:c r="A2986" s="3" t="str">
        <x:v>EXP095</x:v>
      </x:c>
      <x:c r="B2986" s="3" t="str">
        <x:v>KuaiRec</x:v>
      </x:c>
      <x:c r="C2986" s="18" t="n">
        <x:v>162854674</x:v>
      </x:c>
      <x:c r="D2986" s="3" t="str">
        <x:v>Relative cutoff 1e-5</x:v>
      </x:c>
      <x:c r="E2986" s="18" t="n">
        <x:v>600</x:v>
      </x:c>
      <x:c r="F2986" s="21" t="n">
        <x:v>1352.0490205205429</x:v>
      </x:c>
      <x:c r="G2986" s="21" t="n">
        <x:f>F2985</x:f>
        <x:v>1313.9381397006543</x:v>
      </x:c>
      <x:c r="H2986" s="21" t="n">
        <x:f>F2990</x:f>
        <x:v>1313.9381397006543</x:v>
      </x:c>
      <x:c r="I2986" s="27" t="n">
        <x:f>IF(AND(ISNUMBER(G2986),ISNUMBER(H2986),H2986&gt;0),G2986/H2986-1,"")</x:f>
        <x:v>0</x:v>
      </x:c>
      <x:c r="J2986" s="27" t="n">
        <x:f>IF(AND(ISNUMBER(G2986),F2986&gt;0),G2986/F2986-1,"")</x:f>
        <x:v>-0.02818749930029585</x:v>
      </x:c>
      <x:c r="K2986" s="19" t="str">
        <x:v>KuaiRec/EXP095/results/seed162854674_Relative_cutoff_1e-5.json</x:v>
      </x:c>
    </x:row>
    <x:row r="2987" ht="15" hidden="0" customHeight="1">
      <x:c r="A2987" s="3" t="str">
        <x:v>EXP095</x:v>
      </x:c>
      <x:c r="B2987" s="3" t="str">
        <x:v>KuaiRec</x:v>
      </x:c>
      <x:c r="C2987" s="18" t="n">
        <x:v>162854674</x:v>
      </x:c>
      <x:c r="D2987" s="3" t="str">
        <x:v>Fixed rank 10</x:v>
      </x:c>
      <x:c r="E2987" s="18" t="n">
        <x:v>600</x:v>
      </x:c>
      <x:c r="F2987" s="21" t="n">
        <x:v>1346.7536635556714</x:v>
      </x:c>
      <x:c r="G2987" s="21" t="n">
        <x:f>F2985</x:f>
        <x:v>1313.9381397006543</x:v>
      </x:c>
      <x:c r="H2987" s="21" t="n">
        <x:f>F2990</x:f>
        <x:v>1313.9381397006543</x:v>
      </x:c>
      <x:c r="I2987" s="27" t="n">
        <x:f>IF(AND(ISNUMBER(G2987),ISNUMBER(H2987),H2987&gt;0),G2987/H2987-1,"")</x:f>
        <x:v>0</x:v>
      </x:c>
      <x:c r="J2987" s="27" t="n">
        <x:f>IF(AND(ISNUMBER(G2987),F2987&gt;0),G2987/F2987-1,"")</x:f>
        <x:v>-0.02436638914972633</x:v>
      </x:c>
      <x:c r="K2987" s="19" t="str">
        <x:v>KuaiRec/EXP095/results/seed162854674_Fixed_rank_10.json</x:v>
      </x:c>
    </x:row>
    <x:row r="2988" ht="15" hidden="0" customHeight="1">
      <x:c r="A2988" s="3" t="str">
        <x:v>EXP095</x:v>
      </x:c>
      <x:c r="B2988" s="3" t="str">
        <x:v>KuaiRec</x:v>
      </x:c>
      <x:c r="C2988" s="18" t="n">
        <x:v>162854674</x:v>
      </x:c>
      <x:c r="D2988" s="3" t="str">
        <x:v>Fixed rank 25</x:v>
      </x:c>
      <x:c r="E2988" s="18" t="n">
        <x:v>600</x:v>
      </x:c>
      <x:c r="F2988" s="21" t="n">
        <x:v>1322.630378233882</x:v>
      </x:c>
      <x:c r="G2988" s="21" t="n">
        <x:f>F2985</x:f>
        <x:v>1313.9381397006543</x:v>
      </x:c>
      <x:c r="H2988" s="21" t="n">
        <x:f>F2990</x:f>
        <x:v>1313.9381397006543</x:v>
      </x:c>
      <x:c r="I2988" s="27" t="n">
        <x:f>IF(AND(ISNUMBER(G2988),ISNUMBER(H2988),H2988&gt;0),G2988/H2988-1,"")</x:f>
        <x:v>0</x:v>
      </x:c>
      <x:c r="J2988" s="27" t="n">
        <x:f>IF(AND(ISNUMBER(G2988),F2988&gt;0),G2988/F2988-1,"")</x:f>
        <x:v>-0.006571933229625793</x:v>
      </x:c>
      <x:c r="K2988" s="19" t="str">
        <x:v>KuaiRec/EXP095/results/seed162854674_Fixed_rank_25.json</x:v>
      </x:c>
    </x:row>
    <x:row r="2989" ht="15" hidden="0" customHeight="1">
      <x:c r="A2989" s="3" t="str">
        <x:v>EXP095</x:v>
      </x:c>
      <x:c r="B2989" s="3" t="str">
        <x:v>KuaiRec</x:v>
      </x:c>
      <x:c r="C2989" s="18" t="n">
        <x:v>162854674</x:v>
      </x:c>
      <x:c r="D2989" s="3" t="str">
        <x:v>Relative cutoff 1e-6</x:v>
      </x:c>
      <x:c r="E2989" s="18" t="n">
        <x:v>600</x:v>
      </x:c>
      <x:c r="F2989" s="21" t="n">
        <x:v>1313.9381397006543</x:v>
      </x:c>
      <x:c r="G2989" s="21" t="n">
        <x:f>F2985</x:f>
        <x:v>1313.9381397006543</x:v>
      </x:c>
      <x:c r="H2989" s="21" t="n">
        <x:f>F2990</x:f>
        <x:v>1313.9381397006543</x:v>
      </x:c>
      <x:c r="I2989" s="27" t="n">
        <x:f>IF(AND(ISNUMBER(G2989),ISNUMBER(H2989),H2989&gt;0),G2989/H2989-1,"")</x:f>
        <x:v>0</x:v>
      </x:c>
      <x:c r="J2989" s="27" t="n">
        <x:f>IF(AND(ISNUMBER(G2989),F2989&gt;0),G2989/F2989-1,"")</x:f>
        <x:v>0</x:v>
      </x:c>
      <x:c r="K2989" s="19" t="str">
        <x:v>KuaiRec/EXP095/results/seed162854674_Relative_cutoff_1e-6.json</x:v>
      </x:c>
    </x:row>
    <x:row r="2990" ht="15" hidden="0" customHeight="1">
      <x:c r="A2990" s="3" t="str">
        <x:v>EXP095</x:v>
      </x:c>
      <x:c r="B2990" s="3" t="str">
        <x:v>KuaiRec</x:v>
      </x:c>
      <x:c r="C2990" s="18" t="n">
        <x:v>162854674</x:v>
      </x:c>
      <x:c r="D2990" s="3" t="str">
        <x:v>Full</x:v>
      </x:c>
      <x:c r="E2990" s="18" t="n">
        <x:v>600</x:v>
      </x:c>
      <x:c r="F2990" s="21" t="n">
        <x:v>1313.9381397006543</x:v>
      </x:c>
      <x:c r="G2990" s="21" t="n">
        <x:f>F2985</x:f>
        <x:v>1313.9381397006543</x:v>
      </x:c>
      <x:c r="H2990" s="21" t="n">
        <x:f>F2990</x:f>
        <x:v>1313.9381397006543</x:v>
      </x:c>
      <x:c r="I2990" s="27" t="n">
        <x:f>IF(AND(ISNUMBER(G2990),ISNUMBER(H2990),H2990&gt;0),G2990/H2990-1,"")</x:f>
        <x:v>0</x:v>
      </x:c>
      <x:c r="J2990" s="27" t="n">
        <x:f>IF(AND(ISNUMBER(G2990),F2990&gt;0),G2990/F2990-1,"")</x:f>
        <x:v>0</x:v>
      </x:c>
      <x:c r="K2990" s="19" t="str">
        <x:v>KuaiRec/EXP095/results/seed162854674_Full.json</x:v>
      </x:c>
    </x:row>
    <x:row r="2991" ht="15" hidden="0" customHeight="1">
      <x:c r="A2991" s="3" t="str">
        <x:v>EXP095</x:v>
      </x:c>
      <x:c r="B2991" s="3" t="str">
        <x:v>KuaiRec</x:v>
      </x:c>
      <x:c r="C2991" s="18" t="n">
        <x:v>162854674</x:v>
      </x:c>
      <x:c r="D2991" s="3" t="str">
        <x:v>Relative cutoff 1e-2</x:v>
      </x:c>
      <x:c r="E2991" s="18" t="n">
        <x:v>600</x:v>
      </x:c>
      <x:c r="F2991" s="21" t="n">
        <x:v>1314.2261105658918</x:v>
      </x:c>
      <x:c r="G2991" s="21" t="n">
        <x:f>F2985</x:f>
        <x:v>1313.9381397006543</x:v>
      </x:c>
      <x:c r="H2991" s="21" t="n">
        <x:f>F2990</x:f>
        <x:v>1313.9381397006543</x:v>
      </x:c>
      <x:c r="I2991" s="27" t="n">
        <x:f>IF(AND(ISNUMBER(G2991),ISNUMBER(H2991),H2991&gt;0),G2991/H2991-1,"")</x:f>
        <x:v>0</x:v>
      </x:c>
      <x:c r="J2991" s="27" t="n">
        <x:f>IF(AND(ISNUMBER(G2991),F2991&gt;0),G2991/F2991-1,"")</x:f>
        <x:v>-0.00021911820418285544</x:v>
      </x:c>
      <x:c r="K2991" s="19" t="str">
        <x:v>KuaiRec/EXP095/results/seed162854674_Relative_cutoff_1e-2.json</x:v>
      </x:c>
    </x:row>
    <x:row r="2992" ht="15" hidden="0" customHeight="1">
      <x:c r="A2992" s="3" t="str">
        <x:v>EXP095</x:v>
      </x:c>
      <x:c r="B2992" s="3" t="str">
        <x:v>KuaiRec</x:v>
      </x:c>
      <x:c r="C2992" s="18" t="n">
        <x:v>162854674</x:v>
      </x:c>
      <x:c r="D2992" s="3" t="str">
        <x:v>Relative cutoff 1e-4</x:v>
      </x:c>
      <x:c r="E2992" s="18" t="n">
        <x:v>600</x:v>
      </x:c>
      <x:c r="F2992" s="21" t="n">
        <x:v>1254.5782924329073</x:v>
      </x:c>
      <x:c r="G2992" s="21" t="n">
        <x:f>F2985</x:f>
        <x:v>1313.9381397006543</x:v>
      </x:c>
      <x:c r="H2992" s="21" t="n">
        <x:f>F2990</x:f>
        <x:v>1313.9381397006543</x:v>
      </x:c>
      <x:c r="I2992" s="27" t="n">
        <x:f>IF(AND(ISNUMBER(G2992),ISNUMBER(H2992),H2992&gt;0),G2992/H2992-1,"")</x:f>
        <x:v>0</x:v>
      </x:c>
      <x:c r="J2992" s="27" t="n">
        <x:f>IF(AND(ISNUMBER(G2992),F2992&gt;0),G2992/F2992-1,"")</x:f>
        <x:v>0.04731458182066506</x:v>
      </x:c>
      <x:c r="K2992" s="19" t="str">
        <x:v>KuaiRec/EXP095/results/seed162854674_Relative_cutoff_1e-4.json</x:v>
      </x:c>
    </x:row>
    <x:row r="2993" ht="15" hidden="0" customHeight="1">
      <x:c r="A2993" s="3" t="str">
        <x:v>EXP095</x:v>
      </x:c>
      <x:c r="B2993" s="3" t="str">
        <x:v>KuaiRec</x:v>
      </x:c>
      <x:c r="C2993" s="18" t="n">
        <x:v>295340044</x:v>
      </x:c>
      <x:c r="D2993" s="3" t="str">
        <x:v>BBP</x:v>
      </x:c>
      <x:c r="E2993" s="18" t="n">
        <x:v>600</x:v>
      </x:c>
      <x:c r="F2993" s="21" t="n">
        <x:v>1460.1016071152005</x:v>
      </x:c>
      <x:c r="G2993" s="21" t="n">
        <x:f>F2993</x:f>
        <x:v>1460.1016071152005</x:v>
      </x:c>
      <x:c r="H2993" s="21" t="n">
        <x:f>F2998</x:f>
        <x:v>1429.1729157684263</x:v>
      </x:c>
      <x:c r="I2993" s="27" t="n">
        <x:f>IF(AND(ISNUMBER(G2993),ISNUMBER(H2993),H2993&gt;0),G2993/H2993-1,"")</x:f>
        <x:v>0.021640972205343445</x:v>
      </x:c>
      <x:c r="J2993" s="27" t="n">
        <x:f>IF(AND(ISNUMBER(G2993),F2993&gt;0),G2993/F2993-1,"")</x:f>
        <x:v>0</x:v>
      </x:c>
      <x:c r="K2993" s="19" t="str">
        <x:v>KuaiRec/EXP095/results/seed295340044_BBP.json</x:v>
      </x:c>
    </x:row>
    <x:row r="2994" ht="15" hidden="0" customHeight="1">
      <x:c r="A2994" s="3" t="str">
        <x:v>EXP095</x:v>
      </x:c>
      <x:c r="B2994" s="3" t="str">
        <x:v>KuaiRec</x:v>
      </x:c>
      <x:c r="C2994" s="18" t="n">
        <x:v>295340044</x:v>
      </x:c>
      <x:c r="D2994" s="3" t="str">
        <x:v>Relative cutoff 1e-5</x:v>
      </x:c>
      <x:c r="E2994" s="18" t="n">
        <x:v>600</x:v>
      </x:c>
      <x:c r="F2994" s="21" t="n">
        <x:v>1460.1016071151998</x:v>
      </x:c>
      <x:c r="G2994" s="21" t="n">
        <x:f>F2993</x:f>
        <x:v>1460.1016071152005</x:v>
      </x:c>
      <x:c r="H2994" s="21" t="n">
        <x:f>F2998</x:f>
        <x:v>1429.1729157684263</x:v>
      </x:c>
      <x:c r="I2994" s="27" t="n">
        <x:f>IF(AND(ISNUMBER(G2994),ISNUMBER(H2994),H2994&gt;0),G2994/H2994-1,"")</x:f>
        <x:v>0.021640972205343445</x:v>
      </x:c>
      <x:c r="J2994" s="27" t="n">
        <x:f>IF(AND(ISNUMBER(G2994),F2994&gt;0),G2994/F2994-1,"")</x:f>
        <x:v>4.440892098500626e-16</x:v>
      </x:c>
      <x:c r="K2994" s="19" t="str">
        <x:v>KuaiRec/EXP095/results/seed295340044_Relative_cutoff_1e-5.json</x:v>
      </x:c>
    </x:row>
    <x:row r="2995" ht="15" hidden="0" customHeight="1">
      <x:c r="A2995" s="3" t="str">
        <x:v>EXP095</x:v>
      </x:c>
      <x:c r="B2995" s="3" t="str">
        <x:v>KuaiRec</x:v>
      </x:c>
      <x:c r="C2995" s="18" t="n">
        <x:v>295340044</x:v>
      </x:c>
      <x:c r="D2995" s="3" t="str">
        <x:v>Fixed rank 10</x:v>
      </x:c>
      <x:c r="E2995" s="18" t="n">
        <x:v>600</x:v>
      </x:c>
      <x:c r="F2995" s="21" t="n">
        <x:v>1443.2271804838408</x:v>
      </x:c>
      <x:c r="G2995" s="21" t="n">
        <x:f>F2993</x:f>
        <x:v>1460.1016071152005</x:v>
      </x:c>
      <x:c r="H2995" s="21" t="n">
        <x:f>F2998</x:f>
        <x:v>1429.1729157684263</x:v>
      </x:c>
      <x:c r="I2995" s="27" t="n">
        <x:f>IF(AND(ISNUMBER(G2995),ISNUMBER(H2995),H2995&gt;0),G2995/H2995-1,"")</x:f>
        <x:v>0.021640972205343445</x:v>
      </x:c>
      <x:c r="J2995" s="27" t="n">
        <x:f>IF(AND(ISNUMBER(G2995),F2995&gt;0),G2995/F2995-1,"")</x:f>
        <x:v>0.011692148581696316</x:v>
      </x:c>
      <x:c r="K2995" s="19" t="str">
        <x:v>KuaiRec/EXP095/results/seed295340044_Fixed_rank_10.json</x:v>
      </x:c>
    </x:row>
    <x:row r="2996" ht="15" hidden="0" customHeight="1">
      <x:c r="A2996" s="3" t="str">
        <x:v>EXP095</x:v>
      </x:c>
      <x:c r="B2996" s="3" t="str">
        <x:v>KuaiRec</x:v>
      </x:c>
      <x:c r="C2996" s="18" t="n">
        <x:v>295340044</x:v>
      </x:c>
      <x:c r="D2996" s="3" t="str">
        <x:v>Fixed rank 25</x:v>
      </x:c>
      <x:c r="E2996" s="18" t="n">
        <x:v>600</x:v>
      </x:c>
      <x:c r="F2996" s="21" t="n">
        <x:v>1460.1016071152005</x:v>
      </x:c>
      <x:c r="G2996" s="21" t="n">
        <x:f>F2993</x:f>
        <x:v>1460.1016071152005</x:v>
      </x:c>
      <x:c r="H2996" s="21" t="n">
        <x:f>F2998</x:f>
        <x:v>1429.1729157684263</x:v>
      </x:c>
      <x:c r="I2996" s="27" t="n">
        <x:f>IF(AND(ISNUMBER(G2996),ISNUMBER(H2996),H2996&gt;0),G2996/H2996-1,"")</x:f>
        <x:v>0.021640972205343445</x:v>
      </x:c>
      <x:c r="J2996" s="27" t="n">
        <x:f>IF(AND(ISNUMBER(G2996),F2996&gt;0),G2996/F2996-1,"")</x:f>
        <x:v>0</x:v>
      </x:c>
      <x:c r="K2996" s="19" t="str">
        <x:v>KuaiRec/EXP095/results/seed295340044_Fixed_rank_25.json</x:v>
      </x:c>
    </x:row>
    <x:row r="2997" ht="15" hidden="0" customHeight="1">
      <x:c r="A2997" s="3" t="str">
        <x:v>EXP095</x:v>
      </x:c>
      <x:c r="B2997" s="3" t="str">
        <x:v>KuaiRec</x:v>
      </x:c>
      <x:c r="C2997" s="18" t="n">
        <x:v>295340044</x:v>
      </x:c>
      <x:c r="D2997" s="3" t="str">
        <x:v>Relative cutoff 1e-6</x:v>
      </x:c>
      <x:c r="E2997" s="18" t="n">
        <x:v>600</x:v>
      </x:c>
      <x:c r="F2997" s="21" t="n">
        <x:v>1463.3040376340616</x:v>
      </x:c>
      <x:c r="G2997" s="21" t="n">
        <x:f>F2993</x:f>
        <x:v>1460.1016071152005</x:v>
      </x:c>
      <x:c r="H2997" s="21" t="n">
        <x:f>F2998</x:f>
        <x:v>1429.1729157684263</x:v>
      </x:c>
      <x:c r="I2997" s="27" t="n">
        <x:f>IF(AND(ISNUMBER(G2997),ISNUMBER(H2997),H2997&gt;0),G2997/H2997-1,"")</x:f>
        <x:v>0.021640972205343445</x:v>
      </x:c>
      <x:c r="J2997" s="27" t="n">
        <x:f>IF(AND(ISNUMBER(G2997),F2997&gt;0),G2997/F2997-1,"")</x:f>
        <x:v>-0.0021884929150055576</x:v>
      </x:c>
      <x:c r="K2997" s="19" t="str">
        <x:v>KuaiRec/EXP095/results/seed295340044_Relative_cutoff_1e-6.json</x:v>
      </x:c>
    </x:row>
    <x:row r="2998" ht="15" hidden="0" customHeight="1">
      <x:c r="A2998" s="3" t="str">
        <x:v>EXP095</x:v>
      </x:c>
      <x:c r="B2998" s="3" t="str">
        <x:v>KuaiRec</x:v>
      </x:c>
      <x:c r="C2998" s="18" t="n">
        <x:v>295340044</x:v>
      </x:c>
      <x:c r="D2998" s="3" t="str">
        <x:v>Full</x:v>
      </x:c>
      <x:c r="E2998" s="18" t="n">
        <x:v>600</x:v>
      </x:c>
      <x:c r="F2998" s="21" t="n">
        <x:v>1429.1729157684263</x:v>
      </x:c>
      <x:c r="G2998" s="21" t="n">
        <x:f>F2993</x:f>
        <x:v>1460.1016071152005</x:v>
      </x:c>
      <x:c r="H2998" s="21" t="n">
        <x:f>F2998</x:f>
        <x:v>1429.1729157684263</x:v>
      </x:c>
      <x:c r="I2998" s="27" t="n">
        <x:f>IF(AND(ISNUMBER(G2998),ISNUMBER(H2998),H2998&gt;0),G2998/H2998-1,"")</x:f>
        <x:v>0.021640972205343445</x:v>
      </x:c>
      <x:c r="J2998" s="27" t="n">
        <x:f>IF(AND(ISNUMBER(G2998),F2998&gt;0),G2998/F2998-1,"")</x:f>
        <x:v>0.021640972205343445</x:v>
      </x:c>
      <x:c r="K2998" s="19" t="str">
        <x:v>KuaiRec/EXP095/results/seed295340044_Full.json</x:v>
      </x:c>
    </x:row>
    <x:row r="2999" ht="15" hidden="0" customHeight="1">
      <x:c r="A2999" s="3" t="str">
        <x:v>EXP095</x:v>
      </x:c>
      <x:c r="B2999" s="3" t="str">
        <x:v>KuaiRec</x:v>
      </x:c>
      <x:c r="C2999" s="18" t="n">
        <x:v>295340044</x:v>
      </x:c>
      <x:c r="D2999" s="3" t="str">
        <x:v>Relative cutoff 1e-2</x:v>
      </x:c>
      <x:c r="E2999" s="18" t="n">
        <x:v>600</x:v>
      </x:c>
      <x:c r="F2999" s="21" t="n">
        <x:v>1438.1281632676016</x:v>
      </x:c>
      <x:c r="G2999" s="21" t="n">
        <x:f>F2993</x:f>
        <x:v>1460.1016071152005</x:v>
      </x:c>
      <x:c r="H2999" s="21" t="n">
        <x:f>F2998</x:f>
        <x:v>1429.1729157684263</x:v>
      </x:c>
      <x:c r="I2999" s="27" t="n">
        <x:f>IF(AND(ISNUMBER(G2999),ISNUMBER(H2999),H2999&gt;0),G2999/H2999-1,"")</x:f>
        <x:v>0.021640972205343445</x:v>
      </x:c>
      <x:c r="J2999" s="27" t="n">
        <x:f>IF(AND(ISNUMBER(G2999),F2999&gt;0),G2999/F2999-1,"")</x:f>
        <x:v>0.015279197229315589</x:v>
      </x:c>
      <x:c r="K2999" s="19" t="str">
        <x:v>KuaiRec/EXP095/results/seed295340044_Relative_cutoff_1e-2.json</x:v>
      </x:c>
    </x:row>
    <x:row r="3000" ht="15" hidden="0" customHeight="1">
      <x:c r="A3000" s="3" t="str">
        <x:v>EXP095</x:v>
      </x:c>
      <x:c r="B3000" s="3" t="str">
        <x:v>KuaiRec</x:v>
      </x:c>
      <x:c r="C3000" s="18" t="n">
        <x:v>295340044</x:v>
      </x:c>
      <x:c r="D3000" s="3" t="str">
        <x:v>Relative cutoff 1e-4</x:v>
      </x:c>
      <x:c r="E3000" s="18" t="n">
        <x:v>600</x:v>
      </x:c>
      <x:c r="F3000" s="21" t="n">
        <x:v>1425.6774688397654</x:v>
      </x:c>
      <x:c r="G3000" s="21" t="n">
        <x:f>F2993</x:f>
        <x:v>1460.1016071152005</x:v>
      </x:c>
      <x:c r="H3000" s="21" t="n">
        <x:f>F2998</x:f>
        <x:v>1429.1729157684263</x:v>
      </x:c>
      <x:c r="I3000" s="27" t="n">
        <x:f>IF(AND(ISNUMBER(G3000),ISNUMBER(H3000),H3000&gt;0),G3000/H3000-1,"")</x:f>
        <x:v>0.021640972205343445</x:v>
      </x:c>
      <x:c r="J3000" s="27" t="n">
        <x:f>IF(AND(ISNUMBER(G3000),F3000&gt;0),G3000/F3000-1,"")</x:f>
        <x:v>0.024145810695493264</x:v>
      </x:c>
      <x:c r="K3000" s="19" t="str">
        <x:v>KuaiRec/EXP095/results/seed295340044_Relative_cutoff_1e-4.json</x:v>
      </x:c>
    </x:row>
    <x:row r="3001" ht="15" hidden="0" customHeight="1">
      <x:c r="A3001" s="3" t="str">
        <x:v>EXP095</x:v>
      </x:c>
      <x:c r="B3001" s="3" t="str">
        <x:v>KuaiRec</x:v>
      </x:c>
      <x:c r="C3001" s="18" t="n">
        <x:v>302645401</x:v>
      </x:c>
      <x:c r="D3001" s="3" t="str">
        <x:v>BBP</x:v>
      </x:c>
      <x:c r="E3001" s="18" t="n">
        <x:v>600</x:v>
      </x:c>
      <x:c r="F3001" s="21" t="n">
        <x:v>1429.6492746636802</x:v>
      </x:c>
      <x:c r="G3001" s="21" t="n">
        <x:f>F3001</x:f>
        <x:v>1429.6492746636802</x:v>
      </x:c>
      <x:c r="H3001" s="21" t="n">
        <x:f>F3006</x:f>
        <x:v>1440.016601556994</x:v>
      </x:c>
      <x:c r="I3001" s="27" t="n">
        <x:f>IF(AND(ISNUMBER(G3001),ISNUMBER(H3001),H3001&gt;0),G3001/H3001-1,"")</x:f>
        <x:v>-0.007199449563362159</x:v>
      </x:c>
      <x:c r="J3001" s="27" t="n">
        <x:f>IF(AND(ISNUMBER(G3001),F3001&gt;0),G3001/F3001-1,"")</x:f>
        <x:v>0</x:v>
      </x:c>
      <x:c r="K3001" s="19" t="str">
        <x:v>KuaiRec/EXP095/results/seed302645401_BBP.json</x:v>
      </x:c>
    </x:row>
    <x:row r="3002" ht="15" hidden="0" customHeight="1">
      <x:c r="A3002" s="3" t="str">
        <x:v>EXP095</x:v>
      </x:c>
      <x:c r="B3002" s="3" t="str">
        <x:v>KuaiRec</x:v>
      </x:c>
      <x:c r="C3002" s="18" t="n">
        <x:v>302645401</x:v>
      </x:c>
      <x:c r="D3002" s="3" t="str">
        <x:v>Relative cutoff 1e-5</x:v>
      </x:c>
      <x:c r="E3002" s="18" t="n">
        <x:v>600</x:v>
      </x:c>
      <x:c r="F3002" s="21" t="n">
        <x:v>1439.5370401804282</x:v>
      </x:c>
      <x:c r="G3002" s="21" t="n">
        <x:f>F3001</x:f>
        <x:v>1429.6492746636802</x:v>
      </x:c>
      <x:c r="H3002" s="21" t="n">
        <x:f>F3006</x:f>
        <x:v>1440.016601556994</x:v>
      </x:c>
      <x:c r="I3002" s="27" t="n">
        <x:f>IF(AND(ISNUMBER(G3002),ISNUMBER(H3002),H3002&gt;0),G3002/H3002-1,"")</x:f>
        <x:v>-0.007199449563362159</x:v>
      </x:c>
      <x:c r="J3002" s="27" t="n">
        <x:f>IF(AND(ISNUMBER(G3002),F3002&gt;0),G3002/F3002-1,"")</x:f>
        <x:v>-0.006868712121161358</x:v>
      </x:c>
      <x:c r="K3002" s="19" t="str">
        <x:v>KuaiRec/EXP095/results/seed302645401_Relative_cutoff_1e-5.json</x:v>
      </x:c>
    </x:row>
    <x:row r="3003" ht="15" hidden="0" customHeight="1">
      <x:c r="A3003" s="3" t="str">
        <x:v>EXP095</x:v>
      </x:c>
      <x:c r="B3003" s="3" t="str">
        <x:v>KuaiRec</x:v>
      </x:c>
      <x:c r="C3003" s="18" t="n">
        <x:v>302645401</x:v>
      </x:c>
      <x:c r="D3003" s="3" t="str">
        <x:v>Fixed rank 10</x:v>
      </x:c>
      <x:c r="E3003" s="18" t="n">
        <x:v>600</x:v>
      </x:c>
      <x:c r="F3003" s="21" t="n">
        <x:v>1439.592813325206</x:v>
      </x:c>
      <x:c r="G3003" s="21" t="n">
        <x:f>F3001</x:f>
        <x:v>1429.6492746636802</x:v>
      </x:c>
      <x:c r="H3003" s="21" t="n">
        <x:f>F3006</x:f>
        <x:v>1440.016601556994</x:v>
      </x:c>
      <x:c r="I3003" s="27" t="n">
        <x:f>IF(AND(ISNUMBER(G3003),ISNUMBER(H3003),H3003&gt;0),G3003/H3003-1,"")</x:f>
        <x:v>-0.007199449563362159</x:v>
      </x:c>
      <x:c r="J3003" s="27" t="n">
        <x:f>IF(AND(ISNUMBER(G3003),F3003&gt;0),G3003/F3003-1,"")</x:f>
        <x:v>-0.006907188317061608</x:v>
      </x:c>
      <x:c r="K3003" s="19" t="str">
        <x:v>KuaiRec/EXP095/results/seed302645401_Fixed_rank_10.json</x:v>
      </x:c>
    </x:row>
    <x:row r="3004" ht="15" hidden="0" customHeight="1">
      <x:c r="A3004" s="3" t="str">
        <x:v>EXP095</x:v>
      </x:c>
      <x:c r="B3004" s="3" t="str">
        <x:v>KuaiRec</x:v>
      </x:c>
      <x:c r="C3004" s="18" t="n">
        <x:v>302645401</x:v>
      </x:c>
      <x:c r="D3004" s="3" t="str">
        <x:v>Fixed rank 25</x:v>
      </x:c>
      <x:c r="E3004" s="18" t="n">
        <x:v>600</x:v>
      </x:c>
      <x:c r="F3004" s="21" t="n">
        <x:v>1429.6492746636802</x:v>
      </x:c>
      <x:c r="G3004" s="21" t="n">
        <x:f>F3001</x:f>
        <x:v>1429.6492746636802</x:v>
      </x:c>
      <x:c r="H3004" s="21" t="n">
        <x:f>F3006</x:f>
        <x:v>1440.016601556994</x:v>
      </x:c>
      <x:c r="I3004" s="27" t="n">
        <x:f>IF(AND(ISNUMBER(G3004),ISNUMBER(H3004),H3004&gt;0),G3004/H3004-1,"")</x:f>
        <x:v>-0.007199449563362159</x:v>
      </x:c>
      <x:c r="J3004" s="27" t="n">
        <x:f>IF(AND(ISNUMBER(G3004),F3004&gt;0),G3004/F3004-1,"")</x:f>
        <x:v>0</x:v>
      </x:c>
      <x:c r="K3004" s="19" t="str">
        <x:v>KuaiRec/EXP095/results/seed302645401_Fixed_rank_25.json</x:v>
      </x:c>
    </x:row>
    <x:row r="3005" ht="15" hidden="0" customHeight="1">
      <x:c r="A3005" s="3" t="str">
        <x:v>EXP095</x:v>
      </x:c>
      <x:c r="B3005" s="3" t="str">
        <x:v>KuaiRec</x:v>
      </x:c>
      <x:c r="C3005" s="18" t="n">
        <x:v>302645401</x:v>
      </x:c>
      <x:c r="D3005" s="3" t="str">
        <x:v>Relative cutoff 1e-6</x:v>
      </x:c>
      <x:c r="E3005" s="18" t="n">
        <x:v>600</x:v>
      </x:c>
      <x:c r="F3005" s="21" t="n">
        <x:v>1429.6492746636802</x:v>
      </x:c>
      <x:c r="G3005" s="21" t="n">
        <x:f>F3001</x:f>
        <x:v>1429.6492746636802</x:v>
      </x:c>
      <x:c r="H3005" s="21" t="n">
        <x:f>F3006</x:f>
        <x:v>1440.016601556994</x:v>
      </x:c>
      <x:c r="I3005" s="27" t="n">
        <x:f>IF(AND(ISNUMBER(G3005),ISNUMBER(H3005),H3005&gt;0),G3005/H3005-1,"")</x:f>
        <x:v>-0.007199449563362159</x:v>
      </x:c>
      <x:c r="J3005" s="27" t="n">
        <x:f>IF(AND(ISNUMBER(G3005),F3005&gt;0),G3005/F3005-1,"")</x:f>
        <x:v>0</x:v>
      </x:c>
      <x:c r="K3005" s="19" t="str">
        <x:v>KuaiRec/EXP095/results/seed302645401_Relative_cutoff_1e-6.json</x:v>
      </x:c>
    </x:row>
    <x:row r="3006" ht="15" hidden="0" customHeight="1">
      <x:c r="A3006" s="3" t="str">
        <x:v>EXP095</x:v>
      </x:c>
      <x:c r="B3006" s="3" t="str">
        <x:v>KuaiRec</x:v>
      </x:c>
      <x:c r="C3006" s="18" t="n">
        <x:v>302645401</x:v>
      </x:c>
      <x:c r="D3006" s="3" t="str">
        <x:v>Full</x:v>
      </x:c>
      <x:c r="E3006" s="18" t="n">
        <x:v>600</x:v>
      </x:c>
      <x:c r="F3006" s="21" t="n">
        <x:v>1440.016601556994</x:v>
      </x:c>
      <x:c r="G3006" s="21" t="n">
        <x:f>F3001</x:f>
        <x:v>1429.6492746636802</x:v>
      </x:c>
      <x:c r="H3006" s="21" t="n">
        <x:f>F3006</x:f>
        <x:v>1440.016601556994</x:v>
      </x:c>
      <x:c r="I3006" s="27" t="n">
        <x:f>IF(AND(ISNUMBER(G3006),ISNUMBER(H3006),H3006&gt;0),G3006/H3006-1,"")</x:f>
        <x:v>-0.007199449563362159</x:v>
      </x:c>
      <x:c r="J3006" s="27" t="n">
        <x:f>IF(AND(ISNUMBER(G3006),F3006&gt;0),G3006/F3006-1,"")</x:f>
        <x:v>-0.007199449563362159</x:v>
      </x:c>
      <x:c r="K3006" s="19" t="str">
        <x:v>KuaiRec/EXP095/results/seed302645401_Full.json</x:v>
      </x:c>
    </x:row>
    <x:row r="3007" ht="15" hidden="0" customHeight="1">
      <x:c r="A3007" s="3" t="str">
        <x:v>EXP095</x:v>
      </x:c>
      <x:c r="B3007" s="3" t="str">
        <x:v>KuaiRec</x:v>
      </x:c>
      <x:c r="C3007" s="18" t="n">
        <x:v>302645401</x:v>
      </x:c>
      <x:c r="D3007" s="3" t="str">
        <x:v>Relative cutoff 1e-2</x:v>
      </x:c>
      <x:c r="E3007" s="18" t="n">
        <x:v>600</x:v>
      </x:c>
      <x:c r="F3007" s="21" t="n">
        <x:v>1418.2976871051117</x:v>
      </x:c>
      <x:c r="G3007" s="21" t="n">
        <x:f>F3001</x:f>
        <x:v>1429.6492746636802</x:v>
      </x:c>
      <x:c r="H3007" s="21" t="n">
        <x:f>F3006</x:f>
        <x:v>1440.016601556994</x:v>
      </x:c>
      <x:c r="I3007" s="27" t="n">
        <x:f>IF(AND(ISNUMBER(G3007),ISNUMBER(H3007),H3007&gt;0),G3007/H3007-1,"")</x:f>
        <x:v>-0.007199449563362159</x:v>
      </x:c>
      <x:c r="J3007" s="27" t="n">
        <x:f>IF(AND(ISNUMBER(G3007),F3007&gt;0),G3007/F3007-1,"")</x:f>
        <x:v>0.008003670641061555</x:v>
      </x:c>
      <x:c r="K3007" s="19" t="str">
        <x:v>KuaiRec/EXP095/results/seed302645401_Relative_cutoff_1e-2.json</x:v>
      </x:c>
    </x:row>
    <x:row r="3008" ht="15" hidden="0" customHeight="1">
      <x:c r="A3008" s="3" t="str">
        <x:v>EXP095</x:v>
      </x:c>
      <x:c r="B3008" s="3" t="str">
        <x:v>KuaiRec</x:v>
      </x:c>
      <x:c r="C3008" s="18" t="n">
        <x:v>302645401</x:v>
      </x:c>
      <x:c r="D3008" s="3" t="str">
        <x:v>Relative cutoff 1e-4</x:v>
      </x:c>
      <x:c r="E3008" s="18" t="n">
        <x:v>600</x:v>
      </x:c>
      <x:c r="F3008" s="21" t="n">
        <x:v>1468.5928373251015</x:v>
      </x:c>
      <x:c r="G3008" s="21" t="n">
        <x:f>F3001</x:f>
        <x:v>1429.6492746636802</x:v>
      </x:c>
      <x:c r="H3008" s="21" t="n">
        <x:f>F3006</x:f>
        <x:v>1440.016601556994</x:v>
      </x:c>
      <x:c r="I3008" s="27" t="n">
        <x:f>IF(AND(ISNUMBER(G3008),ISNUMBER(H3008),H3008&gt;0),G3008/H3008-1,"")</x:f>
        <x:v>-0.007199449563362159</x:v>
      </x:c>
      <x:c r="J3008" s="27" t="n">
        <x:f>IF(AND(ISNUMBER(G3008),F3008&gt;0),G3008/F3008-1,"")</x:f>
        <x:v>-0.026517603566930892</x:v>
      </x:c>
      <x:c r="K3008" s="19" t="str">
        <x:v>KuaiRec/EXP095/results/seed302645401_Relative_cutoff_1e-4.json</x:v>
      </x:c>
    </x:row>
    <x:row r="3009" ht="15" hidden="0" customHeight="1">
      <x:c r="A3009" s="3" t="str">
        <x:v>EXP095</x:v>
      </x:c>
      <x:c r="B3009" s="3" t="str">
        <x:v>KuaiRec</x:v>
      </x:c>
      <x:c r="C3009" s="18" t="n">
        <x:v>343947955</x:v>
      </x:c>
      <x:c r="D3009" s="3" t="str">
        <x:v>BBP</x:v>
      </x:c>
      <x:c r="E3009" s="18" t="n">
        <x:v>600</x:v>
      </x:c>
      <x:c r="F3009" s="21" t="n">
        <x:v>1220.5518894932</x:v>
      </x:c>
      <x:c r="G3009" s="21" t="n">
        <x:f>F3009</x:f>
        <x:v>1220.5518894932</x:v>
      </x:c>
      <x:c r="H3009" s="21" t="n">
        <x:f>F3014</x:f>
        <x:v>1218.1223860728696</x:v>
      </x:c>
      <x:c r="I3009" s="27" t="n">
        <x:f>IF(AND(ISNUMBER(G3009),ISNUMBER(H3009),H3009&gt;0),G3009/H3009-1,"")</x:f>
        <x:v>0.001994465784479038</x:v>
      </x:c>
      <x:c r="J3009" s="27" t="n">
        <x:f>IF(AND(ISNUMBER(G3009),F3009&gt;0),G3009/F3009-1,"")</x:f>
        <x:v>0</x:v>
      </x:c>
      <x:c r="K3009" s="19" t="str">
        <x:v>KuaiRec/EXP095/results/seed343947955_BBP.json</x:v>
      </x:c>
    </x:row>
    <x:row r="3010" ht="15" hidden="0" customHeight="1">
      <x:c r="A3010" s="3" t="str">
        <x:v>EXP095</x:v>
      </x:c>
      <x:c r="B3010" s="3" t="str">
        <x:v>KuaiRec</x:v>
      </x:c>
      <x:c r="C3010" s="18" t="n">
        <x:v>343947955</x:v>
      </x:c>
      <x:c r="D3010" s="3" t="str">
        <x:v>Relative cutoff 1e-5</x:v>
      </x:c>
      <x:c r="E3010" s="18" t="n">
        <x:v>600</x:v>
      </x:c>
      <x:c r="F3010" s="21" t="n">
        <x:v>1299.7771029990922</x:v>
      </x:c>
      <x:c r="G3010" s="21" t="n">
        <x:f>F3009</x:f>
        <x:v>1220.5518894932</x:v>
      </x:c>
      <x:c r="H3010" s="21" t="n">
        <x:f>F3014</x:f>
        <x:v>1218.1223860728696</x:v>
      </x:c>
      <x:c r="I3010" s="27" t="n">
        <x:f>IF(AND(ISNUMBER(G3010),ISNUMBER(H3010),H3010&gt;0),G3010/H3010-1,"")</x:f>
        <x:v>0.001994465784479038</x:v>
      </x:c>
      <x:c r="J3010" s="27" t="n">
        <x:f>IF(AND(ISNUMBER(G3010),F3010&gt;0),G3010/F3010-1,"")</x:f>
        <x:v>-0.06095292286892029</x:v>
      </x:c>
      <x:c r="K3010" s="19" t="str">
        <x:v>KuaiRec/EXP095/results/seed343947955_Relative_cutoff_1e-5.json</x:v>
      </x:c>
    </x:row>
    <x:row r="3011" ht="15" hidden="0" customHeight="1">
      <x:c r="A3011" s="3" t="str">
        <x:v>EXP095</x:v>
      </x:c>
      <x:c r="B3011" s="3" t="str">
        <x:v>KuaiRec</x:v>
      </x:c>
      <x:c r="C3011" s="18" t="n">
        <x:v>343947955</x:v>
      </x:c>
      <x:c r="D3011" s="3" t="str">
        <x:v>Fixed rank 10</x:v>
      </x:c>
      <x:c r="E3011" s="18" t="n">
        <x:v>600</x:v>
      </x:c>
      <x:c r="F3011" s="21" t="n">
        <x:v>1298.7203359244072</x:v>
      </x:c>
      <x:c r="G3011" s="21" t="n">
        <x:f>F3009</x:f>
        <x:v>1220.5518894932</x:v>
      </x:c>
      <x:c r="H3011" s="21" t="n">
        <x:f>F3014</x:f>
        <x:v>1218.1223860728696</x:v>
      </x:c>
      <x:c r="I3011" s="27" t="n">
        <x:f>IF(AND(ISNUMBER(G3011),ISNUMBER(H3011),H3011&gt;0),G3011/H3011-1,"")</x:f>
        <x:v>0.001994465784479038</x:v>
      </x:c>
      <x:c r="J3011" s="27" t="n">
        <x:f>IF(AND(ISNUMBER(G3011),F3011&gt;0),G3011/F3011-1,"")</x:f>
        <x:v>-0.060188821464452036</x:v>
      </x:c>
      <x:c r="K3011" s="19" t="str">
        <x:v>KuaiRec/EXP095/results/seed343947955_Fixed_rank_10.json</x:v>
      </x:c>
    </x:row>
    <x:row r="3012" ht="15" hidden="0" customHeight="1">
      <x:c r="A3012" s="3" t="str">
        <x:v>EXP095</x:v>
      </x:c>
      <x:c r="B3012" s="3" t="str">
        <x:v>KuaiRec</x:v>
      </x:c>
      <x:c r="C3012" s="18" t="n">
        <x:v>343947955</x:v>
      </x:c>
      <x:c r="D3012" s="3" t="str">
        <x:v>Fixed rank 25</x:v>
      </x:c>
      <x:c r="E3012" s="18" t="n">
        <x:v>600</x:v>
      </x:c>
      <x:c r="F3012" s="21" t="n">
        <x:v>1220.8389863918792</x:v>
      </x:c>
      <x:c r="G3012" s="21" t="n">
        <x:f>F3009</x:f>
        <x:v>1220.5518894932</x:v>
      </x:c>
      <x:c r="H3012" s="21" t="n">
        <x:f>F3014</x:f>
        <x:v>1218.1223860728696</x:v>
      </x:c>
      <x:c r="I3012" s="27" t="n">
        <x:f>IF(AND(ISNUMBER(G3012),ISNUMBER(H3012),H3012&gt;0),G3012/H3012-1,"")</x:f>
        <x:v>0.001994465784479038</x:v>
      </x:c>
      <x:c r="J3012" s="27" t="n">
        <x:f>IF(AND(ISNUMBER(G3012),F3012&gt;0),G3012/F3012-1,"")</x:f>
        <x:v>-0.0002351636062407625</x:v>
      </x:c>
      <x:c r="K3012" s="19" t="str">
        <x:v>KuaiRec/EXP095/results/seed343947955_Fixed_rank_25.json</x:v>
      </x:c>
    </x:row>
    <x:row r="3013" ht="15" hidden="0" customHeight="1">
      <x:c r="A3013" s="3" t="str">
        <x:v>EXP095</x:v>
      </x:c>
      <x:c r="B3013" s="3" t="str">
        <x:v>KuaiRec</x:v>
      </x:c>
      <x:c r="C3013" s="18" t="n">
        <x:v>343947955</x:v>
      </x:c>
      <x:c r="D3013" s="3" t="str">
        <x:v>Relative cutoff 1e-6</x:v>
      </x:c>
      <x:c r="E3013" s="18" t="n">
        <x:v>600</x:v>
      </x:c>
      <x:c r="F3013" s="21" t="n">
        <x:v>1220.8389863918792</x:v>
      </x:c>
      <x:c r="G3013" s="21" t="n">
        <x:f>F3009</x:f>
        <x:v>1220.5518894932</x:v>
      </x:c>
      <x:c r="H3013" s="21" t="n">
        <x:f>F3014</x:f>
        <x:v>1218.1223860728696</x:v>
      </x:c>
      <x:c r="I3013" s="27" t="n">
        <x:f>IF(AND(ISNUMBER(G3013),ISNUMBER(H3013),H3013&gt;0),G3013/H3013-1,"")</x:f>
        <x:v>0.001994465784479038</x:v>
      </x:c>
      <x:c r="J3013" s="27" t="n">
        <x:f>IF(AND(ISNUMBER(G3013),F3013&gt;0),G3013/F3013-1,"")</x:f>
        <x:v>-0.0002351636062407625</x:v>
      </x:c>
      <x:c r="K3013" s="19" t="str">
        <x:v>KuaiRec/EXP095/results/seed343947955_Relative_cutoff_1e-6.json</x:v>
      </x:c>
    </x:row>
    <x:row r="3014" ht="15" hidden="0" customHeight="1">
      <x:c r="A3014" s="3" t="str">
        <x:v>EXP095</x:v>
      </x:c>
      <x:c r="B3014" s="3" t="str">
        <x:v>KuaiRec</x:v>
      </x:c>
      <x:c r="C3014" s="18" t="n">
        <x:v>343947955</x:v>
      </x:c>
      <x:c r="D3014" s="3" t="str">
        <x:v>Full</x:v>
      </x:c>
      <x:c r="E3014" s="18" t="n">
        <x:v>600</x:v>
      </x:c>
      <x:c r="F3014" s="21" t="n">
        <x:v>1218.1223860728696</x:v>
      </x:c>
      <x:c r="G3014" s="21" t="n">
        <x:f>F3009</x:f>
        <x:v>1220.5518894932</x:v>
      </x:c>
      <x:c r="H3014" s="21" t="n">
        <x:f>F3014</x:f>
        <x:v>1218.1223860728696</x:v>
      </x:c>
      <x:c r="I3014" s="27" t="n">
        <x:f>IF(AND(ISNUMBER(G3014),ISNUMBER(H3014),H3014&gt;0),G3014/H3014-1,"")</x:f>
        <x:v>0.001994465784479038</x:v>
      </x:c>
      <x:c r="J3014" s="27" t="n">
        <x:f>IF(AND(ISNUMBER(G3014),F3014&gt;0),G3014/F3014-1,"")</x:f>
        <x:v>0.001994465784479038</x:v>
      </x:c>
      <x:c r="K3014" s="19" t="str">
        <x:v>KuaiRec/EXP095/results/seed343947955_Full.json</x:v>
      </x:c>
    </x:row>
    <x:row r="3015" ht="15" hidden="0" customHeight="1">
      <x:c r="A3015" s="3" t="str">
        <x:v>EXP095</x:v>
      </x:c>
      <x:c r="B3015" s="3" t="str">
        <x:v>KuaiRec</x:v>
      </x:c>
      <x:c r="C3015" s="18" t="n">
        <x:v>343947955</x:v>
      </x:c>
      <x:c r="D3015" s="3" t="str">
        <x:v>Relative cutoff 1e-2</x:v>
      </x:c>
      <x:c r="E3015" s="18" t="n">
        <x:v>600</x:v>
      </x:c>
      <x:c r="F3015" s="21" t="n">
        <x:v>1285.3143667949007</x:v>
      </x:c>
      <x:c r="G3015" s="21" t="n">
        <x:f>F3009</x:f>
        <x:v>1220.5518894932</x:v>
      </x:c>
      <x:c r="H3015" s="21" t="n">
        <x:f>F3014</x:f>
        <x:v>1218.1223860728696</x:v>
      </x:c>
      <x:c r="I3015" s="27" t="n">
        <x:f>IF(AND(ISNUMBER(G3015),ISNUMBER(H3015),H3015&gt;0),G3015/H3015-1,"")</x:f>
        <x:v>0.001994465784479038</x:v>
      </x:c>
      <x:c r="J3015" s="27" t="n">
        <x:f>IF(AND(ISNUMBER(G3015),F3015&gt;0),G3015/F3015-1,"")</x:f>
        <x:v>-0.05038648829795189</x:v>
      </x:c>
      <x:c r="K3015" s="19" t="str">
        <x:v>KuaiRec/EXP095/results/seed343947955_Relative_cutoff_1e-2.json</x:v>
      </x:c>
    </x:row>
    <x:row r="3016" ht="15" hidden="0" customHeight="1">
      <x:c r="A3016" s="3" t="str">
        <x:v>EXP095</x:v>
      </x:c>
      <x:c r="B3016" s="3" t="str">
        <x:v>KuaiRec</x:v>
      </x:c>
      <x:c r="C3016" s="18" t="n">
        <x:v>343947955</x:v>
      </x:c>
      <x:c r="D3016" s="3" t="str">
        <x:v>Relative cutoff 1e-4</x:v>
      </x:c>
      <x:c r="E3016" s="18" t="n">
        <x:v>600</x:v>
      </x:c>
      <x:c r="F3016" s="21" t="n">
        <x:v>1246.6270216445075</x:v>
      </x:c>
      <x:c r="G3016" s="21" t="n">
        <x:f>F3009</x:f>
        <x:v>1220.5518894932</x:v>
      </x:c>
      <x:c r="H3016" s="21" t="n">
        <x:f>F3014</x:f>
        <x:v>1218.1223860728696</x:v>
      </x:c>
      <x:c r="I3016" s="27" t="n">
        <x:f>IF(AND(ISNUMBER(G3016),ISNUMBER(H3016),H3016&gt;0),G3016/H3016-1,"")</x:f>
        <x:v>0.001994465784479038</x:v>
      </x:c>
      <x:c r="J3016" s="27" t="n">
        <x:f>IF(AND(ISNUMBER(G3016),F3016&gt;0),G3016/F3016-1,"")</x:f>
        <x:v>-0.020916546568122807</x:v>
      </x:c>
      <x:c r="K3016" s="19" t="str">
        <x:v>KuaiRec/EXP095/results/seed343947955_Relative_cutoff_1e-4.json</x:v>
      </x:c>
    </x:row>
    <x:row r="3017" ht="15" hidden="0" customHeight="1">
      <x:c r="A3017" s="3" t="str">
        <x:v>EXP095</x:v>
      </x:c>
      <x:c r="B3017" s="3" t="str">
        <x:v>KuaiRec</x:v>
      </x:c>
      <x:c r="C3017" s="18" t="n">
        <x:v>458737337</x:v>
      </x:c>
      <x:c r="D3017" s="3" t="str">
        <x:v>BBP</x:v>
      </x:c>
      <x:c r="E3017" s="18" t="n">
        <x:v>600</x:v>
      </x:c>
      <x:c r="F3017" s="21" t="n">
        <x:v>1473.1457485357887</x:v>
      </x:c>
      <x:c r="G3017" s="21" t="n">
        <x:f>F3017</x:f>
        <x:v>1473.1457485357887</x:v>
      </x:c>
      <x:c r="H3017" s="21" t="n">
        <x:f>F3022</x:f>
        <x:v>1504.4509098840174</x:v>
      </x:c>
      <x:c r="I3017" s="27" t="n">
        <x:f>IF(AND(ISNUMBER(G3017),ISNUMBER(H3017),H3017&gt;0),G3017/H3017-1,"")</x:f>
        <x:v>-0.02080836346507453</x:v>
      </x:c>
      <x:c r="J3017" s="27" t="n">
        <x:f>IF(AND(ISNUMBER(G3017),F3017&gt;0),G3017/F3017-1,"")</x:f>
        <x:v>0</x:v>
      </x:c>
      <x:c r="K3017" s="19" t="str">
        <x:v>KuaiRec/EXP095/results/seed458737337_BBP.json</x:v>
      </x:c>
    </x:row>
    <x:row r="3018" ht="15" hidden="0" customHeight="1">
      <x:c r="A3018" s="3" t="str">
        <x:v>EXP095</x:v>
      </x:c>
      <x:c r="B3018" s="3" t="str">
        <x:v>KuaiRec</x:v>
      </x:c>
      <x:c r="C3018" s="18" t="n">
        <x:v>458737337</x:v>
      </x:c>
      <x:c r="D3018" s="3" t="str">
        <x:v>Relative cutoff 1e-5</x:v>
      </x:c>
      <x:c r="E3018" s="18" t="n">
        <x:v>600</x:v>
      </x:c>
      <x:c r="F3018" s="21" t="n">
        <x:v>1518.5226256496396</x:v>
      </x:c>
      <x:c r="G3018" s="21" t="n">
        <x:f>F3017</x:f>
        <x:v>1473.1457485357887</x:v>
      </x:c>
      <x:c r="H3018" s="21" t="n">
        <x:f>F3022</x:f>
        <x:v>1504.4509098840174</x:v>
      </x:c>
      <x:c r="I3018" s="27" t="n">
        <x:f>IF(AND(ISNUMBER(G3018),ISNUMBER(H3018),H3018&gt;0),G3018/H3018-1,"")</x:f>
        <x:v>-0.02080836346507453</x:v>
      </x:c>
      <x:c r="J3018" s="27" t="n">
        <x:f>IF(AND(ISNUMBER(G3018),F3018&gt;0),G3018/F3018-1,"")</x:f>
        <x:v>-0.029882252886708427</x:v>
      </x:c>
      <x:c r="K3018" s="19" t="str">
        <x:v>KuaiRec/EXP095/results/seed458737337_Relative_cutoff_1e-5.json</x:v>
      </x:c>
    </x:row>
    <x:row r="3019" ht="15" hidden="0" customHeight="1">
      <x:c r="A3019" s="3" t="str">
        <x:v>EXP095</x:v>
      </x:c>
      <x:c r="B3019" s="3" t="str">
        <x:v>KuaiRec</x:v>
      </x:c>
      <x:c r="C3019" s="18" t="n">
        <x:v>458737337</x:v>
      </x:c>
      <x:c r="D3019" s="3" t="str">
        <x:v>Fixed rank 10</x:v>
      </x:c>
      <x:c r="E3019" s="18" t="n">
        <x:v>600</x:v>
      </x:c>
      <x:c r="F3019" s="21" t="n">
        <x:v>1522.123628634971</x:v>
      </x:c>
      <x:c r="G3019" s="21" t="n">
        <x:f>F3017</x:f>
        <x:v>1473.1457485357887</x:v>
      </x:c>
      <x:c r="H3019" s="21" t="n">
        <x:f>F3022</x:f>
        <x:v>1504.4509098840174</x:v>
      </x:c>
      <x:c r="I3019" s="27" t="n">
        <x:f>IF(AND(ISNUMBER(G3019),ISNUMBER(H3019),H3019&gt;0),G3019/H3019-1,"")</x:f>
        <x:v>-0.02080836346507453</x:v>
      </x:c>
      <x:c r="J3019" s="27" t="n">
        <x:f>IF(AND(ISNUMBER(G3019),F3019&gt;0),G3019/F3019-1,"")</x:f>
        <x:v>-0.03217733381033272</x:v>
      </x:c>
      <x:c r="K3019" s="19" t="str">
        <x:v>KuaiRec/EXP095/results/seed458737337_Fixed_rank_10.json</x:v>
      </x:c>
    </x:row>
    <x:row r="3020" ht="15" hidden="0" customHeight="1">
      <x:c r="A3020" s="3" t="str">
        <x:v>EXP095</x:v>
      </x:c>
      <x:c r="B3020" s="3" t="str">
        <x:v>KuaiRec</x:v>
      </x:c>
      <x:c r="C3020" s="18" t="n">
        <x:v>458737337</x:v>
      </x:c>
      <x:c r="D3020" s="3" t="str">
        <x:v>Fixed rank 25</x:v>
      </x:c>
      <x:c r="E3020" s="18" t="n">
        <x:v>600</x:v>
      </x:c>
      <x:c r="F3020" s="21" t="n">
        <x:v>1473.1457485357887</x:v>
      </x:c>
      <x:c r="G3020" s="21" t="n">
        <x:f>F3017</x:f>
        <x:v>1473.1457485357887</x:v>
      </x:c>
      <x:c r="H3020" s="21" t="n">
        <x:f>F3022</x:f>
        <x:v>1504.4509098840174</x:v>
      </x:c>
      <x:c r="I3020" s="27" t="n">
        <x:f>IF(AND(ISNUMBER(G3020),ISNUMBER(H3020),H3020&gt;0),G3020/H3020-1,"")</x:f>
        <x:v>-0.02080836346507453</x:v>
      </x:c>
      <x:c r="J3020" s="27" t="n">
        <x:f>IF(AND(ISNUMBER(G3020),F3020&gt;0),G3020/F3020-1,"")</x:f>
        <x:v>0</x:v>
      </x:c>
      <x:c r="K3020" s="19" t="str">
        <x:v>KuaiRec/EXP095/results/seed458737337_Fixed_rank_25.json</x:v>
      </x:c>
    </x:row>
    <x:row r="3021" ht="15" hidden="0" customHeight="1">
      <x:c r="A3021" s="3" t="str">
        <x:v>EXP095</x:v>
      </x:c>
      <x:c r="B3021" s="3" t="str">
        <x:v>KuaiRec</x:v>
      </x:c>
      <x:c r="C3021" s="18" t="n">
        <x:v>458737337</x:v>
      </x:c>
      <x:c r="D3021" s="3" t="str">
        <x:v>Relative cutoff 1e-6</x:v>
      </x:c>
      <x:c r="E3021" s="18" t="n">
        <x:v>600</x:v>
      </x:c>
      <x:c r="F3021" s="21" t="n">
        <x:v>1495.4379282974535</x:v>
      </x:c>
      <x:c r="G3021" s="21" t="n">
        <x:f>F3017</x:f>
        <x:v>1473.1457485357887</x:v>
      </x:c>
      <x:c r="H3021" s="21" t="n">
        <x:f>F3022</x:f>
        <x:v>1504.4509098840174</x:v>
      </x:c>
      <x:c r="I3021" s="27" t="n">
        <x:f>IF(AND(ISNUMBER(G3021),ISNUMBER(H3021),H3021&gt;0),G3021/H3021-1,"")</x:f>
        <x:v>-0.02080836346507453</x:v>
      </x:c>
      <x:c r="J3021" s="27" t="n">
        <x:f>IF(AND(ISNUMBER(G3021),F3021&gt;0),G3021/F3021-1,"")</x:f>
        <x:v>-0.014906790405566528</x:v>
      </x:c>
      <x:c r="K3021" s="19" t="str">
        <x:v>KuaiRec/EXP095/results/seed458737337_Relative_cutoff_1e-6.json</x:v>
      </x:c>
    </x:row>
    <x:row r="3022" ht="15" hidden="0" customHeight="1">
      <x:c r="A3022" s="3" t="str">
        <x:v>EXP095</x:v>
      </x:c>
      <x:c r="B3022" s="3" t="str">
        <x:v>KuaiRec</x:v>
      </x:c>
      <x:c r="C3022" s="18" t="n">
        <x:v>458737337</x:v>
      </x:c>
      <x:c r="D3022" s="3" t="str">
        <x:v>Full</x:v>
      </x:c>
      <x:c r="E3022" s="18" t="n">
        <x:v>600</x:v>
      </x:c>
      <x:c r="F3022" s="21" t="n">
        <x:v>1504.4509098840174</x:v>
      </x:c>
      <x:c r="G3022" s="21" t="n">
        <x:f>F3017</x:f>
        <x:v>1473.1457485357887</x:v>
      </x:c>
      <x:c r="H3022" s="21" t="n">
        <x:f>F3022</x:f>
        <x:v>1504.4509098840174</x:v>
      </x:c>
      <x:c r="I3022" s="27" t="n">
        <x:f>IF(AND(ISNUMBER(G3022),ISNUMBER(H3022),H3022&gt;0),G3022/H3022-1,"")</x:f>
        <x:v>-0.02080836346507453</x:v>
      </x:c>
      <x:c r="J3022" s="27" t="n">
        <x:f>IF(AND(ISNUMBER(G3022),F3022&gt;0),G3022/F3022-1,"")</x:f>
        <x:v>-0.02080836346507453</x:v>
      </x:c>
      <x:c r="K3022" s="19" t="str">
        <x:v>KuaiRec/EXP095/results/seed458737337_Full.json</x:v>
      </x:c>
    </x:row>
    <x:row r="3023" ht="15" hidden="0" customHeight="1">
      <x:c r="A3023" s="3" t="str">
        <x:v>EXP095</x:v>
      </x:c>
      <x:c r="B3023" s="3" t="str">
        <x:v>KuaiRec</x:v>
      </x:c>
      <x:c r="C3023" s="18" t="n">
        <x:v>458737337</x:v>
      </x:c>
      <x:c r="D3023" s="3" t="str">
        <x:v>Relative cutoff 1e-2</x:v>
      </x:c>
      <x:c r="E3023" s="18" t="n">
        <x:v>600</x:v>
      </x:c>
      <x:c r="F3023" s="21" t="n">
        <x:v>1527.3732943633217</x:v>
      </x:c>
      <x:c r="G3023" s="21" t="n">
        <x:f>F3017</x:f>
        <x:v>1473.1457485357887</x:v>
      </x:c>
      <x:c r="H3023" s="21" t="n">
        <x:f>F3022</x:f>
        <x:v>1504.4509098840174</x:v>
      </x:c>
      <x:c r="I3023" s="27" t="n">
        <x:f>IF(AND(ISNUMBER(G3023),ISNUMBER(H3023),H3023&gt;0),G3023/H3023-1,"")</x:f>
        <x:v>-0.02080836346507453</x:v>
      </x:c>
      <x:c r="J3023" s="27" t="n">
        <x:f>IF(AND(ISNUMBER(G3023),F3023&gt;0),G3023/F3023-1,"")</x:f>
        <x:v>-0.03550379336057308</x:v>
      </x:c>
      <x:c r="K3023" s="19" t="str">
        <x:v>KuaiRec/EXP095/results/seed458737337_Relative_cutoff_1e-2.json</x:v>
      </x:c>
    </x:row>
    <x:row r="3024" ht="15" hidden="0" customHeight="1">
      <x:c r="A3024" s="3" t="str">
        <x:v>EXP095</x:v>
      </x:c>
      <x:c r="B3024" s="3" t="str">
        <x:v>KuaiRec</x:v>
      </x:c>
      <x:c r="C3024" s="18" t="n">
        <x:v>458737337</x:v>
      </x:c>
      <x:c r="D3024" s="3" t="str">
        <x:v>Relative cutoff 1e-4</x:v>
      </x:c>
      <x:c r="E3024" s="18" t="n">
        <x:v>600</x:v>
      </x:c>
      <x:c r="F3024" s="21" t="n">
        <x:v>1484.4757920643576</x:v>
      </x:c>
      <x:c r="G3024" s="21" t="n">
        <x:f>F3017</x:f>
        <x:v>1473.1457485357887</x:v>
      </x:c>
      <x:c r="H3024" s="21" t="n">
        <x:f>F3022</x:f>
        <x:v>1504.4509098840174</x:v>
      </x:c>
      <x:c r="I3024" s="27" t="n">
        <x:f>IF(AND(ISNUMBER(G3024),ISNUMBER(H3024),H3024&gt;0),G3024/H3024-1,"")</x:f>
        <x:v>-0.02080836346507453</x:v>
      </x:c>
      <x:c r="J3024" s="27" t="n">
        <x:f>IF(AND(ISNUMBER(G3024),F3024&gt;0),G3024/F3024-1,"")</x:f>
        <x:v>-0.007632353177557061</x:v>
      </x:c>
      <x:c r="K3024" s="19" t="str">
        <x:v>KuaiRec/EXP095/results/seed458737337_Relative_cutoff_1e-4.json</x:v>
      </x:c>
    </x:row>
    <x:row r="3025" ht="15" hidden="0" customHeight="1">
      <x:c r="A3025" s="3" t="str">
        <x:v>EXP095</x:v>
      </x:c>
      <x:c r="B3025" s="3" t="str">
        <x:v>KuaiRec</x:v>
      </x:c>
      <x:c r="C3025" s="18" t="n">
        <x:v>488895996</x:v>
      </x:c>
      <x:c r="D3025" s="3" t="str">
        <x:v>BBP</x:v>
      </x:c>
      <x:c r="E3025" s="18" t="n">
        <x:v>600</x:v>
      </x:c>
      <x:c r="F3025" s="21" t="n">
        <x:v>1459.194855060369</x:v>
      </x:c>
      <x:c r="G3025" s="21" t="n">
        <x:f>F3025</x:f>
        <x:v>1459.194855060369</x:v>
      </x:c>
      <x:c r="H3025" s="21" t="n">
        <x:f>F3030</x:f>
        <x:v>1461.5745501691003</x:v>
      </x:c>
      <x:c r="I3025" s="27" t="n">
        <x:f>IF(AND(ISNUMBER(G3025),ISNUMBER(H3025),H3025&gt;0),G3025/H3025-1,"")</x:f>
        <x:v>-0.0016281722396274123</x:v>
      </x:c>
      <x:c r="J3025" s="27" t="n">
        <x:f>IF(AND(ISNUMBER(G3025),F3025&gt;0),G3025/F3025-1,"")</x:f>
        <x:v>0</x:v>
      </x:c>
      <x:c r="K3025" s="19" t="str">
        <x:v>KuaiRec/EXP095/results/seed488895996_BBP.json</x:v>
      </x:c>
    </x:row>
    <x:row r="3026" ht="15" hidden="0" customHeight="1">
      <x:c r="A3026" s="3" t="str">
        <x:v>EXP095</x:v>
      </x:c>
      <x:c r="B3026" s="3" t="str">
        <x:v>KuaiRec</x:v>
      </x:c>
      <x:c r="C3026" s="18" t="n">
        <x:v>488895996</x:v>
      </x:c>
      <x:c r="D3026" s="3" t="str">
        <x:v>Relative cutoff 1e-5</x:v>
      </x:c>
      <x:c r="E3026" s="18" t="n">
        <x:v>600</x:v>
      </x:c>
      <x:c r="F3026" s="21" t="n">
        <x:v>1457.0873927349965</x:v>
      </x:c>
      <x:c r="G3026" s="21" t="n">
        <x:f>F3025</x:f>
        <x:v>1459.194855060369</x:v>
      </x:c>
      <x:c r="H3026" s="21" t="n">
        <x:f>F3030</x:f>
        <x:v>1461.5745501691003</x:v>
      </x:c>
      <x:c r="I3026" s="27" t="n">
        <x:f>IF(AND(ISNUMBER(G3026),ISNUMBER(H3026),H3026&gt;0),G3026/H3026-1,"")</x:f>
        <x:v>-0.0016281722396274123</x:v>
      </x:c>
      <x:c r="J3026" s="27" t="n">
        <x:f>IF(AND(ISNUMBER(G3026),F3026&gt;0),G3026/F3026-1,"")</x:f>
        <x:v>0.0014463527279697797</x:v>
      </x:c>
      <x:c r="K3026" s="19" t="str">
        <x:v>KuaiRec/EXP095/results/seed488895996_Relative_cutoff_1e-5.json</x:v>
      </x:c>
    </x:row>
    <x:row r="3027" ht="15" hidden="0" customHeight="1">
      <x:c r="A3027" s="3" t="str">
        <x:v>EXP095</x:v>
      </x:c>
      <x:c r="B3027" s="3" t="str">
        <x:v>KuaiRec</x:v>
      </x:c>
      <x:c r="C3027" s="18" t="n">
        <x:v>488895996</x:v>
      </x:c>
      <x:c r="D3027" s="3" t="str">
        <x:v>Fixed rank 10</x:v>
      </x:c>
      <x:c r="E3027" s="18" t="n">
        <x:v>600</x:v>
      </x:c>
      <x:c r="F3027" s="21" t="n">
        <x:v>1450.8332943461787</x:v>
      </x:c>
      <x:c r="G3027" s="21" t="n">
        <x:f>F3025</x:f>
        <x:v>1459.194855060369</x:v>
      </x:c>
      <x:c r="H3027" s="21" t="n">
        <x:f>F3030</x:f>
        <x:v>1461.5745501691003</x:v>
      </x:c>
      <x:c r="I3027" s="27" t="n">
        <x:f>IF(AND(ISNUMBER(G3027),ISNUMBER(H3027),H3027&gt;0),G3027/H3027-1,"")</x:f>
        <x:v>-0.0016281722396274123</x:v>
      </x:c>
      <x:c r="J3027" s="27" t="n">
        <x:f>IF(AND(ISNUMBER(G3027),F3027&gt;0),G3027/F3027-1,"")</x:f>
        <x:v>0.005763281520196006</x:v>
      </x:c>
      <x:c r="K3027" s="19" t="str">
        <x:v>KuaiRec/EXP095/results/seed488895996_Fixed_rank_10.json</x:v>
      </x:c>
    </x:row>
    <x:row r="3028" ht="15" hidden="0" customHeight="1">
      <x:c r="A3028" s="3" t="str">
        <x:v>EXP095</x:v>
      </x:c>
      <x:c r="B3028" s="3" t="str">
        <x:v>KuaiRec</x:v>
      </x:c>
      <x:c r="C3028" s="18" t="n">
        <x:v>488895996</x:v>
      </x:c>
      <x:c r="D3028" s="3" t="str">
        <x:v>Fixed rank 25</x:v>
      </x:c>
      <x:c r="E3028" s="18" t="n">
        <x:v>600</x:v>
      </x:c>
      <x:c r="F3028" s="21" t="n">
        <x:v>1459.194855060369</x:v>
      </x:c>
      <x:c r="G3028" s="21" t="n">
        <x:f>F3025</x:f>
        <x:v>1459.194855060369</x:v>
      </x:c>
      <x:c r="H3028" s="21" t="n">
        <x:f>F3030</x:f>
        <x:v>1461.5745501691003</x:v>
      </x:c>
      <x:c r="I3028" s="27" t="n">
        <x:f>IF(AND(ISNUMBER(G3028),ISNUMBER(H3028),H3028&gt;0),G3028/H3028-1,"")</x:f>
        <x:v>-0.0016281722396274123</x:v>
      </x:c>
      <x:c r="J3028" s="27" t="n">
        <x:f>IF(AND(ISNUMBER(G3028),F3028&gt;0),G3028/F3028-1,"")</x:f>
        <x:v>0</x:v>
      </x:c>
      <x:c r="K3028" s="19" t="str">
        <x:v>KuaiRec/EXP095/results/seed488895996_Fixed_rank_25.json</x:v>
      </x:c>
    </x:row>
    <x:row r="3029" ht="15" hidden="0" customHeight="1">
      <x:c r="A3029" s="3" t="str">
        <x:v>EXP095</x:v>
      </x:c>
      <x:c r="B3029" s="3" t="str">
        <x:v>KuaiRec</x:v>
      </x:c>
      <x:c r="C3029" s="18" t="n">
        <x:v>488895996</x:v>
      </x:c>
      <x:c r="D3029" s="3" t="str">
        <x:v>Relative cutoff 1e-6</x:v>
      </x:c>
      <x:c r="E3029" s="18" t="n">
        <x:v>600</x:v>
      </x:c>
      <x:c r="F3029" s="21" t="n">
        <x:v>1459.194855060369</x:v>
      </x:c>
      <x:c r="G3029" s="21" t="n">
        <x:f>F3025</x:f>
        <x:v>1459.194855060369</x:v>
      </x:c>
      <x:c r="H3029" s="21" t="n">
        <x:f>F3030</x:f>
        <x:v>1461.5745501691003</x:v>
      </x:c>
      <x:c r="I3029" s="27" t="n">
        <x:f>IF(AND(ISNUMBER(G3029),ISNUMBER(H3029),H3029&gt;0),G3029/H3029-1,"")</x:f>
        <x:v>-0.0016281722396274123</x:v>
      </x:c>
      <x:c r="J3029" s="27" t="n">
        <x:f>IF(AND(ISNUMBER(G3029),F3029&gt;0),G3029/F3029-1,"")</x:f>
        <x:v>0</x:v>
      </x:c>
      <x:c r="K3029" s="19" t="str">
        <x:v>KuaiRec/EXP095/results/seed488895996_Relative_cutoff_1e-6.json</x:v>
      </x:c>
    </x:row>
    <x:row r="3030" ht="15" hidden="0" customHeight="1">
      <x:c r="A3030" s="3" t="str">
        <x:v>EXP095</x:v>
      </x:c>
      <x:c r="B3030" s="3" t="str">
        <x:v>KuaiRec</x:v>
      </x:c>
      <x:c r="C3030" s="18" t="n">
        <x:v>488895996</x:v>
      </x:c>
      <x:c r="D3030" s="3" t="str">
        <x:v>Full</x:v>
      </x:c>
      <x:c r="E3030" s="18" t="n">
        <x:v>600</x:v>
      </x:c>
      <x:c r="F3030" s="21" t="n">
        <x:v>1461.5745501691003</x:v>
      </x:c>
      <x:c r="G3030" s="21" t="n">
        <x:f>F3025</x:f>
        <x:v>1459.194855060369</x:v>
      </x:c>
      <x:c r="H3030" s="21" t="n">
        <x:f>F3030</x:f>
        <x:v>1461.5745501691003</x:v>
      </x:c>
      <x:c r="I3030" s="27" t="n">
        <x:f>IF(AND(ISNUMBER(G3030),ISNUMBER(H3030),H3030&gt;0),G3030/H3030-1,"")</x:f>
        <x:v>-0.0016281722396274123</x:v>
      </x:c>
      <x:c r="J3030" s="27" t="n">
        <x:f>IF(AND(ISNUMBER(G3030),F3030&gt;0),G3030/F3030-1,"")</x:f>
        <x:v>-0.0016281722396274123</x:v>
      </x:c>
      <x:c r="K3030" s="19" t="str">
        <x:v>KuaiRec/EXP095/results/seed488895996_Full.json</x:v>
      </x:c>
    </x:row>
    <x:row r="3031" ht="15" hidden="0" customHeight="1">
      <x:c r="A3031" s="3" t="str">
        <x:v>EXP095</x:v>
      </x:c>
      <x:c r="B3031" s="3" t="str">
        <x:v>KuaiRec</x:v>
      </x:c>
      <x:c r="C3031" s="18" t="n">
        <x:v>488895996</x:v>
      </x:c>
      <x:c r="D3031" s="3" t="str">
        <x:v>Relative cutoff 1e-2</x:v>
      </x:c>
      <x:c r="E3031" s="18" t="n">
        <x:v>600</x:v>
      </x:c>
      <x:c r="F3031" s="21" t="n">
        <x:v>1448.1321561520695</x:v>
      </x:c>
      <x:c r="G3031" s="21" t="n">
        <x:f>F3025</x:f>
        <x:v>1459.194855060369</x:v>
      </x:c>
      <x:c r="H3031" s="21" t="n">
        <x:f>F3030</x:f>
        <x:v>1461.5745501691003</x:v>
      </x:c>
      <x:c r="I3031" s="27" t="n">
        <x:f>IF(AND(ISNUMBER(G3031),ISNUMBER(H3031),H3031&gt;0),G3031/H3031-1,"")</x:f>
        <x:v>-0.0016281722396274123</x:v>
      </x:c>
      <x:c r="J3031" s="27" t="n">
        <x:f>IF(AND(ISNUMBER(G3031),F3031&gt;0),G3031/F3031-1,"")</x:f>
        <x:v>0.0076392882108875515</x:v>
      </x:c>
      <x:c r="K3031" s="19" t="str">
        <x:v>KuaiRec/EXP095/results/seed488895996_Relative_cutoff_1e-2.json</x:v>
      </x:c>
    </x:row>
    <x:row r="3032" ht="15" hidden="0" customHeight="1">
      <x:c r="A3032" s="3" t="str">
        <x:v>EXP095</x:v>
      </x:c>
      <x:c r="B3032" s="3" t="str">
        <x:v>KuaiRec</x:v>
      </x:c>
      <x:c r="C3032" s="18" t="n">
        <x:v>488895996</x:v>
      </x:c>
      <x:c r="D3032" s="3" t="str">
        <x:v>Relative cutoff 1e-4</x:v>
      </x:c>
      <x:c r="E3032" s="18" t="n">
        <x:v>600</x:v>
      </x:c>
      <x:c r="F3032" s="21" t="n">
        <x:v>1456.9121055502028</x:v>
      </x:c>
      <x:c r="G3032" s="21" t="n">
        <x:f>F3025</x:f>
        <x:v>1459.194855060369</x:v>
      </x:c>
      <x:c r="H3032" s="21" t="n">
        <x:f>F3030</x:f>
        <x:v>1461.5745501691003</x:v>
      </x:c>
      <x:c r="I3032" s="27" t="n">
        <x:f>IF(AND(ISNUMBER(G3032),ISNUMBER(H3032),H3032&gt;0),G3032/H3032-1,"")</x:f>
        <x:v>-0.0016281722396274123</x:v>
      </x:c>
      <x:c r="J3032" s="27" t="n">
        <x:f>IF(AND(ISNUMBER(G3032),F3032&gt;0),G3032/F3032-1,"")</x:f>
        <x:v>0.0015668409243563275</x:v>
      </x:c>
      <x:c r="K3032" s="19" t="str">
        <x:v>KuaiRec/EXP095/results/seed488895996_Relative_cutoff_1e-4.json</x:v>
      </x:c>
    </x:row>
    <x:row r="3033" ht="15" hidden="0" customHeight="1">
      <x:c r="A3033" s="3" t="str">
        <x:v>EXP095</x:v>
      </x:c>
      <x:c r="B3033" s="3" t="str">
        <x:v>KuaiRec</x:v>
      </x:c>
      <x:c r="C3033" s="18" t="n">
        <x:v>567341557</x:v>
      </x:c>
      <x:c r="D3033" s="3" t="str">
        <x:v>BBP</x:v>
      </x:c>
      <x:c r="E3033" s="18" t="n">
        <x:v>600</x:v>
      </x:c>
      <x:c r="F3033" s="21" t="n">
        <x:v>1438.6060824103743</x:v>
      </x:c>
      <x:c r="G3033" s="21" t="n">
        <x:f>F3033</x:f>
        <x:v>1438.6060824103743</x:v>
      </x:c>
      <x:c r="H3033" s="21" t="n">
        <x:f>F3038</x:f>
        <x:v>1367.4114651593065</x:v>
      </x:c>
      <x:c r="I3033" s="27" t="n">
        <x:f>IF(AND(ISNUMBER(G3033),ISNUMBER(H3033),H3033&gt;0),G3033/H3033-1,"")</x:f>
        <x:v>0.052065248145899856</x:v>
      </x:c>
      <x:c r="J3033" s="27" t="n">
        <x:f>IF(AND(ISNUMBER(G3033),F3033&gt;0),G3033/F3033-1,"")</x:f>
        <x:v>0</x:v>
      </x:c>
      <x:c r="K3033" s="19" t="str">
        <x:v>KuaiRec/EXP095/results/seed567341557_BBP.json</x:v>
      </x:c>
    </x:row>
    <x:row r="3034" ht="15" hidden="0" customHeight="1">
      <x:c r="A3034" s="3" t="str">
        <x:v>EXP095</x:v>
      </x:c>
      <x:c r="B3034" s="3" t="str">
        <x:v>KuaiRec</x:v>
      </x:c>
      <x:c r="C3034" s="18" t="n">
        <x:v>567341557</x:v>
      </x:c>
      <x:c r="D3034" s="3" t="str">
        <x:v>Relative cutoff 1e-5</x:v>
      </x:c>
      <x:c r="E3034" s="18" t="n">
        <x:v>600</x:v>
      </x:c>
      <x:c r="F3034" s="21" t="n">
        <x:v>1298.5473588727073</x:v>
      </x:c>
      <x:c r="G3034" s="21" t="n">
        <x:f>F3033</x:f>
        <x:v>1438.6060824103743</x:v>
      </x:c>
      <x:c r="H3034" s="21" t="n">
        <x:f>F3038</x:f>
        <x:v>1367.4114651593065</x:v>
      </x:c>
      <x:c r="I3034" s="27" t="n">
        <x:f>IF(AND(ISNUMBER(G3034),ISNUMBER(H3034),H3034&gt;0),G3034/H3034-1,"")</x:f>
        <x:v>0.052065248145899856</x:v>
      </x:c>
      <x:c r="J3034" s="27" t="n">
        <x:f>IF(AND(ISNUMBER(G3034),F3034&gt;0),G3034/F3034-1,"")</x:f>
        <x:v>0.10785800192859707</x:v>
      </x:c>
      <x:c r="K3034" s="19" t="str">
        <x:v>KuaiRec/EXP095/results/seed567341557_Relative_cutoff_1e-5.json</x:v>
      </x:c>
    </x:row>
    <x:row r="3035" ht="15" hidden="0" customHeight="1">
      <x:c r="A3035" s="3" t="str">
        <x:v>EXP095</x:v>
      </x:c>
      <x:c r="B3035" s="3" t="str">
        <x:v>KuaiRec</x:v>
      </x:c>
      <x:c r="C3035" s="18" t="n">
        <x:v>567341557</x:v>
      </x:c>
      <x:c r="D3035" s="3" t="str">
        <x:v>Fixed rank 10</x:v>
      </x:c>
      <x:c r="E3035" s="18" t="n">
        <x:v>600</x:v>
      </x:c>
      <x:c r="F3035" s="21" t="n">
        <x:v>1298.1939958156606</x:v>
      </x:c>
      <x:c r="G3035" s="21" t="n">
        <x:f>F3033</x:f>
        <x:v>1438.6060824103743</x:v>
      </x:c>
      <x:c r="H3035" s="21" t="n">
        <x:f>F3038</x:f>
        <x:v>1367.4114651593065</x:v>
      </x:c>
      <x:c r="I3035" s="27" t="n">
        <x:f>IF(AND(ISNUMBER(G3035),ISNUMBER(H3035),H3035&gt;0),G3035/H3035-1,"")</x:f>
        <x:v>0.052065248145899856</x:v>
      </x:c>
      <x:c r="J3035" s="27" t="n">
        <x:f>IF(AND(ISNUMBER(G3035),F3035&gt;0),G3035/F3035-1,"")</x:f>
        <x:v>0.1081595563122999</x:v>
      </x:c>
      <x:c r="K3035" s="19" t="str">
        <x:v>KuaiRec/EXP095/results/seed567341557_Fixed_rank_10.json</x:v>
      </x:c>
    </x:row>
    <x:row r="3036" ht="15" hidden="0" customHeight="1">
      <x:c r="A3036" s="3" t="str">
        <x:v>EXP095</x:v>
      </x:c>
      <x:c r="B3036" s="3" t="str">
        <x:v>KuaiRec</x:v>
      </x:c>
      <x:c r="C3036" s="18" t="n">
        <x:v>567341557</x:v>
      </x:c>
      <x:c r="D3036" s="3" t="str">
        <x:v>Fixed rank 25</x:v>
      </x:c>
      <x:c r="E3036" s="18" t="n">
        <x:v>600</x:v>
      </x:c>
      <x:c r="F3036" s="21" t="n">
        <x:v>1366.5598703380426</x:v>
      </x:c>
      <x:c r="G3036" s="21" t="n">
        <x:f>F3033</x:f>
        <x:v>1438.6060824103743</x:v>
      </x:c>
      <x:c r="H3036" s="21" t="n">
        <x:f>F3038</x:f>
        <x:v>1367.4114651593065</x:v>
      </x:c>
      <x:c r="I3036" s="27" t="n">
        <x:f>IF(AND(ISNUMBER(G3036),ISNUMBER(H3036),H3036&gt;0),G3036/H3036-1,"")</x:f>
        <x:v>0.052065248145899856</x:v>
      </x:c>
      <x:c r="J3036" s="27" t="n">
        <x:f>IF(AND(ISNUMBER(G3036),F3036&gt;0),G3036/F3036-1,"")</x:f>
        <x:v>0.052720860341457065</x:v>
      </x:c>
      <x:c r="K3036" s="19" t="str">
        <x:v>KuaiRec/EXP095/results/seed567341557_Fixed_rank_25.json</x:v>
      </x:c>
    </x:row>
    <x:row r="3037" ht="15" hidden="0" customHeight="1">
      <x:c r="A3037" s="3" t="str">
        <x:v>EXP095</x:v>
      </x:c>
      <x:c r="B3037" s="3" t="str">
        <x:v>KuaiRec</x:v>
      </x:c>
      <x:c r="C3037" s="18" t="n">
        <x:v>567341557</x:v>
      </x:c>
      <x:c r="D3037" s="3" t="str">
        <x:v>Relative cutoff 1e-6</x:v>
      </x:c>
      <x:c r="E3037" s="18" t="n">
        <x:v>600</x:v>
      </x:c>
      <x:c r="F3037" s="21" t="n">
        <x:v>1382.203740302464</x:v>
      </x:c>
      <x:c r="G3037" s="21" t="n">
        <x:f>F3033</x:f>
        <x:v>1438.6060824103743</x:v>
      </x:c>
      <x:c r="H3037" s="21" t="n">
        <x:f>F3038</x:f>
        <x:v>1367.4114651593065</x:v>
      </x:c>
      <x:c r="I3037" s="27" t="n">
        <x:f>IF(AND(ISNUMBER(G3037),ISNUMBER(H3037),H3037&gt;0),G3037/H3037-1,"")</x:f>
        <x:v>0.052065248145899856</x:v>
      </x:c>
      <x:c r="J3037" s="27" t="n">
        <x:f>IF(AND(ISNUMBER(G3037),F3037&gt;0),G3037/F3037-1,"")</x:f>
        <x:v>0.04080609859698958</x:v>
      </x:c>
      <x:c r="K3037" s="19" t="str">
        <x:v>KuaiRec/EXP095/results/seed567341557_Relative_cutoff_1e-6.json</x:v>
      </x:c>
    </x:row>
    <x:row r="3038" ht="15" hidden="0" customHeight="1">
      <x:c r="A3038" s="3" t="str">
        <x:v>EXP095</x:v>
      </x:c>
      <x:c r="B3038" s="3" t="str">
        <x:v>KuaiRec</x:v>
      </x:c>
      <x:c r="C3038" s="18" t="n">
        <x:v>567341557</x:v>
      </x:c>
      <x:c r="D3038" s="3" t="str">
        <x:v>Full</x:v>
      </x:c>
      <x:c r="E3038" s="18" t="n">
        <x:v>600</x:v>
      </x:c>
      <x:c r="F3038" s="21" t="n">
        <x:v>1367.4114651593065</x:v>
      </x:c>
      <x:c r="G3038" s="21" t="n">
        <x:f>F3033</x:f>
        <x:v>1438.6060824103743</x:v>
      </x:c>
      <x:c r="H3038" s="21" t="n">
        <x:f>F3038</x:f>
        <x:v>1367.4114651593065</x:v>
      </x:c>
      <x:c r="I3038" s="27" t="n">
        <x:f>IF(AND(ISNUMBER(G3038),ISNUMBER(H3038),H3038&gt;0),G3038/H3038-1,"")</x:f>
        <x:v>0.052065248145899856</x:v>
      </x:c>
      <x:c r="J3038" s="27" t="n">
        <x:f>IF(AND(ISNUMBER(G3038),F3038&gt;0),G3038/F3038-1,"")</x:f>
        <x:v>0.052065248145899856</x:v>
      </x:c>
      <x:c r="K3038" s="19" t="str">
        <x:v>KuaiRec/EXP095/results/seed567341557_Full.json</x:v>
      </x:c>
    </x:row>
    <x:row r="3039" ht="15" hidden="0" customHeight="1">
      <x:c r="A3039" s="3" t="str">
        <x:v>EXP095</x:v>
      </x:c>
      <x:c r="B3039" s="3" t="str">
        <x:v>KuaiRec</x:v>
      </x:c>
      <x:c r="C3039" s="18" t="n">
        <x:v>567341557</x:v>
      </x:c>
      <x:c r="D3039" s="3" t="str">
        <x:v>Relative cutoff 1e-2</x:v>
      </x:c>
      <x:c r="E3039" s="18" t="n">
        <x:v>600</x:v>
      </x:c>
      <x:c r="F3039" s="21" t="n">
        <x:v>1411.5031515152266</x:v>
      </x:c>
      <x:c r="G3039" s="21" t="n">
        <x:f>F3033</x:f>
        <x:v>1438.6060824103743</x:v>
      </x:c>
      <x:c r="H3039" s="21" t="n">
        <x:f>F3038</x:f>
        <x:v>1367.4114651593065</x:v>
      </x:c>
      <x:c r="I3039" s="27" t="n">
        <x:f>IF(AND(ISNUMBER(G3039),ISNUMBER(H3039),H3039&gt;0),G3039/H3039-1,"")</x:f>
        <x:v>0.052065248145899856</x:v>
      </x:c>
      <x:c r="J3039" s="27" t="n">
        <x:f>IF(AND(ISNUMBER(G3039),F3039&gt;0),G3039/F3039-1,"")</x:f>
        <x:v>0.019201466795205624</x:v>
      </x:c>
      <x:c r="K3039" s="19" t="str">
        <x:v>KuaiRec/EXP095/results/seed567341557_Relative_cutoff_1e-2.json</x:v>
      </x:c>
    </x:row>
    <x:row r="3040" ht="15" hidden="0" customHeight="1">
      <x:c r="A3040" s="3" t="str">
        <x:v>EXP095</x:v>
      </x:c>
      <x:c r="B3040" s="3" t="str">
        <x:v>KuaiRec</x:v>
      </x:c>
      <x:c r="C3040" s="18" t="n">
        <x:v>567341557</x:v>
      </x:c>
      <x:c r="D3040" s="3" t="str">
        <x:v>Relative cutoff 1e-4</x:v>
      </x:c>
      <x:c r="E3040" s="18" t="n">
        <x:v>600</x:v>
      </x:c>
      <x:c r="F3040" s="21" t="n">
        <x:v>1334.4762951918224</x:v>
      </x:c>
      <x:c r="G3040" s="21" t="n">
        <x:f>F3033</x:f>
        <x:v>1438.6060824103743</x:v>
      </x:c>
      <x:c r="H3040" s="21" t="n">
        <x:f>F3038</x:f>
        <x:v>1367.4114651593065</x:v>
      </x:c>
      <x:c r="I3040" s="27" t="n">
        <x:f>IF(AND(ISNUMBER(G3040),ISNUMBER(H3040),H3040&gt;0),G3040/H3040-1,"")</x:f>
        <x:v>0.052065248145899856</x:v>
      </x:c>
      <x:c r="J3040" s="27" t="n">
        <x:f>IF(AND(ISNUMBER(G3040),F3040&gt;0),G3040/F3040-1,"")</x:f>
        <x:v>0.07803045104190764</x:v>
      </x:c>
      <x:c r="K3040" s="19" t="str">
        <x:v>KuaiRec/EXP095/results/seed567341557_Relative_cutoff_1e-4.json</x:v>
      </x:c>
    </x:row>
    <x:row r="3041" ht="15" hidden="0" customHeight="1">
      <x:c r="A3041" s="3" t="str">
        <x:v>EXP095</x:v>
      </x:c>
      <x:c r="B3041" s="3" t="str">
        <x:v>KuaiRec</x:v>
      </x:c>
      <x:c r="C3041" s="18" t="n">
        <x:v>583910462</x:v>
      </x:c>
      <x:c r="D3041" s="3" t="str">
        <x:v>BBP</x:v>
      </x:c>
      <x:c r="E3041" s="18" t="n">
        <x:v>600</x:v>
      </x:c>
      <x:c r="F3041" s="21" t="n">
        <x:v>1605.4494048472684</x:v>
      </x:c>
      <x:c r="G3041" s="21" t="n">
        <x:f>F3041</x:f>
        <x:v>1605.4494048472684</x:v>
      </x:c>
      <x:c r="H3041" s="21" t="n">
        <x:f>F3046</x:f>
        <x:v>1622.6795440675755</x:v>
      </x:c>
      <x:c r="I3041" s="27" t="n">
        <x:f>IF(AND(ISNUMBER(G3041),ISNUMBER(H3041),H3041&gt;0),G3041/H3041-1,"")</x:f>
        <x:v>-0.010618325277655383</x:v>
      </x:c>
      <x:c r="J3041" s="27" t="n">
        <x:f>IF(AND(ISNUMBER(G3041),F3041&gt;0),G3041/F3041-1,"")</x:f>
        <x:v>0</x:v>
      </x:c>
      <x:c r="K3041" s="19" t="str">
        <x:v>KuaiRec/EXP095/results/seed583910462_BBP.json</x:v>
      </x:c>
    </x:row>
    <x:row r="3042" ht="15" hidden="0" customHeight="1">
      <x:c r="A3042" s="3" t="str">
        <x:v>EXP095</x:v>
      </x:c>
      <x:c r="B3042" s="3" t="str">
        <x:v>KuaiRec</x:v>
      </x:c>
      <x:c r="C3042" s="18" t="n">
        <x:v>583910462</x:v>
      </x:c>
      <x:c r="D3042" s="3" t="str">
        <x:v>Relative cutoff 1e-5</x:v>
      </x:c>
      <x:c r="E3042" s="18" t="n">
        <x:v>600</x:v>
      </x:c>
      <x:c r="F3042" s="21" t="n">
        <x:v>1527.3861945645967</x:v>
      </x:c>
      <x:c r="G3042" s="21" t="n">
        <x:f>F3041</x:f>
        <x:v>1605.4494048472684</x:v>
      </x:c>
      <x:c r="H3042" s="21" t="n">
        <x:f>F3046</x:f>
        <x:v>1622.6795440675755</x:v>
      </x:c>
      <x:c r="I3042" s="27" t="n">
        <x:f>IF(AND(ISNUMBER(G3042),ISNUMBER(H3042),H3042&gt;0),G3042/H3042-1,"")</x:f>
        <x:v>-0.010618325277655383</x:v>
      </x:c>
      <x:c r="J3042" s="27" t="n">
        <x:f>IF(AND(ISNUMBER(G3042),F3042&gt;0),G3042/F3042-1,"")</x:f>
        <x:v>0.05110901915996746</x:v>
      </x:c>
      <x:c r="K3042" s="19" t="str">
        <x:v>KuaiRec/EXP095/results/seed583910462_Relative_cutoff_1e-5.json</x:v>
      </x:c>
    </x:row>
    <x:row r="3043" ht="15" hidden="0" customHeight="1">
      <x:c r="A3043" s="3" t="str">
        <x:v>EXP095</x:v>
      </x:c>
      <x:c r="B3043" s="3" t="str">
        <x:v>KuaiRec</x:v>
      </x:c>
      <x:c r="C3043" s="18" t="n">
        <x:v>583910462</x:v>
      </x:c>
      <x:c r="D3043" s="3" t="str">
        <x:v>Fixed rank 10</x:v>
      </x:c>
      <x:c r="E3043" s="18" t="n">
        <x:v>600</x:v>
      </x:c>
      <x:c r="F3043" s="21" t="n">
        <x:v>1555.7244463690754</x:v>
      </x:c>
      <x:c r="G3043" s="21" t="n">
        <x:f>F3041</x:f>
        <x:v>1605.4494048472684</x:v>
      </x:c>
      <x:c r="H3043" s="21" t="n">
        <x:f>F3046</x:f>
        <x:v>1622.6795440675755</x:v>
      </x:c>
      <x:c r="I3043" s="27" t="n">
        <x:f>IF(AND(ISNUMBER(G3043),ISNUMBER(H3043),H3043&gt;0),G3043/H3043-1,"")</x:f>
        <x:v>-0.010618325277655383</x:v>
      </x:c>
      <x:c r="J3043" s="27" t="n">
        <x:f>IF(AND(ISNUMBER(G3043),F3043&gt;0),G3043/F3043-1,"")</x:f>
        <x:v>0.0319625744740637</x:v>
      </x:c>
      <x:c r="K3043" s="19" t="str">
        <x:v>KuaiRec/EXP095/results/seed583910462_Fixed_rank_10.json</x:v>
      </x:c>
    </x:row>
    <x:row r="3044" ht="15" hidden="0" customHeight="1">
      <x:c r="A3044" s="3" t="str">
        <x:v>EXP095</x:v>
      </x:c>
      <x:c r="B3044" s="3" t="str">
        <x:v>KuaiRec</x:v>
      </x:c>
      <x:c r="C3044" s="18" t="n">
        <x:v>583910462</x:v>
      </x:c>
      <x:c r="D3044" s="3" t="str">
        <x:v>Fixed rank 25</x:v>
      </x:c>
      <x:c r="E3044" s="18" t="n">
        <x:v>600</x:v>
      </x:c>
      <x:c r="F3044" s="21" t="n">
        <x:v>1605.4494048472684</x:v>
      </x:c>
      <x:c r="G3044" s="21" t="n">
        <x:f>F3041</x:f>
        <x:v>1605.4494048472684</x:v>
      </x:c>
      <x:c r="H3044" s="21" t="n">
        <x:f>F3046</x:f>
        <x:v>1622.6795440675755</x:v>
      </x:c>
      <x:c r="I3044" s="27" t="n">
        <x:f>IF(AND(ISNUMBER(G3044),ISNUMBER(H3044),H3044&gt;0),G3044/H3044-1,"")</x:f>
        <x:v>-0.010618325277655383</x:v>
      </x:c>
      <x:c r="J3044" s="27" t="n">
        <x:f>IF(AND(ISNUMBER(G3044),F3044&gt;0),G3044/F3044-1,"")</x:f>
        <x:v>0</x:v>
      </x:c>
      <x:c r="K3044" s="19" t="str">
        <x:v>KuaiRec/EXP095/results/seed583910462_Fixed_rank_25.json</x:v>
      </x:c>
    </x:row>
    <x:row r="3045" ht="15" hidden="0" customHeight="1">
      <x:c r="A3045" s="3" t="str">
        <x:v>EXP095</x:v>
      </x:c>
      <x:c r="B3045" s="3" t="str">
        <x:v>KuaiRec</x:v>
      </x:c>
      <x:c r="C3045" s="18" t="n">
        <x:v>583910462</x:v>
      </x:c>
      <x:c r="D3045" s="3" t="str">
        <x:v>Relative cutoff 1e-6</x:v>
      </x:c>
      <x:c r="E3045" s="18" t="n">
        <x:v>600</x:v>
      </x:c>
      <x:c r="F3045" s="21" t="n">
        <x:v>1566.814394269502</x:v>
      </x:c>
      <x:c r="G3045" s="21" t="n">
        <x:f>F3041</x:f>
        <x:v>1605.4494048472684</x:v>
      </x:c>
      <x:c r="H3045" s="21" t="n">
        <x:f>F3046</x:f>
        <x:v>1622.6795440675755</x:v>
      </x:c>
      <x:c r="I3045" s="27" t="n">
        <x:f>IF(AND(ISNUMBER(G3045),ISNUMBER(H3045),H3045&gt;0),G3045/H3045-1,"")</x:f>
        <x:v>-0.010618325277655383</x:v>
      </x:c>
      <x:c r="J3045" s="27" t="n">
        <x:f>IF(AND(ISNUMBER(G3045),F3045&gt;0),G3045/F3045-1,"")</x:f>
        <x:v>0.024658319912729265</x:v>
      </x:c>
      <x:c r="K3045" s="19" t="str">
        <x:v>KuaiRec/EXP095/results/seed583910462_Relative_cutoff_1e-6.json</x:v>
      </x:c>
    </x:row>
    <x:row r="3046" ht="15" hidden="0" customHeight="1">
      <x:c r="A3046" s="3" t="str">
        <x:v>EXP095</x:v>
      </x:c>
      <x:c r="B3046" s="3" t="str">
        <x:v>KuaiRec</x:v>
      </x:c>
      <x:c r="C3046" s="18" t="n">
        <x:v>583910462</x:v>
      </x:c>
      <x:c r="D3046" s="3" t="str">
        <x:v>Full</x:v>
      </x:c>
      <x:c r="E3046" s="18" t="n">
        <x:v>600</x:v>
      </x:c>
      <x:c r="F3046" s="21" t="n">
        <x:v>1622.6795440675755</x:v>
      </x:c>
      <x:c r="G3046" s="21" t="n">
        <x:f>F3041</x:f>
        <x:v>1605.4494048472684</x:v>
      </x:c>
      <x:c r="H3046" s="21" t="n">
        <x:f>F3046</x:f>
        <x:v>1622.6795440675755</x:v>
      </x:c>
      <x:c r="I3046" s="27" t="n">
        <x:f>IF(AND(ISNUMBER(G3046),ISNUMBER(H3046),H3046&gt;0),G3046/H3046-1,"")</x:f>
        <x:v>-0.010618325277655383</x:v>
      </x:c>
      <x:c r="J3046" s="27" t="n">
        <x:f>IF(AND(ISNUMBER(G3046),F3046&gt;0),G3046/F3046-1,"")</x:f>
        <x:v>-0.010618325277655383</x:v>
      </x:c>
      <x:c r="K3046" s="19" t="str">
        <x:v>KuaiRec/EXP095/results/seed583910462_Full.json</x:v>
      </x:c>
    </x:row>
    <x:row r="3047" ht="15" hidden="0" customHeight="1">
      <x:c r="A3047" s="3" t="str">
        <x:v>EXP095</x:v>
      </x:c>
      <x:c r="B3047" s="3" t="str">
        <x:v>KuaiRec</x:v>
      </x:c>
      <x:c r="C3047" s="18" t="n">
        <x:v>583910462</x:v>
      </x:c>
      <x:c r="D3047" s="3" t="str">
        <x:v>Relative cutoff 1e-2</x:v>
      </x:c>
      <x:c r="E3047" s="18" t="n">
        <x:v>600</x:v>
      </x:c>
      <x:c r="F3047" s="21" t="n">
        <x:v>1606.9272430787535</x:v>
      </x:c>
      <x:c r="G3047" s="21" t="n">
        <x:f>F3041</x:f>
        <x:v>1605.4494048472684</x:v>
      </x:c>
      <x:c r="H3047" s="21" t="n">
        <x:f>F3046</x:f>
        <x:v>1622.6795440675755</x:v>
      </x:c>
      <x:c r="I3047" s="27" t="n">
        <x:f>IF(AND(ISNUMBER(G3047),ISNUMBER(H3047),H3047&gt;0),G3047/H3047-1,"")</x:f>
        <x:v>-0.010618325277655383</x:v>
      </x:c>
      <x:c r="J3047" s="27" t="n">
        <x:f>IF(AND(ISNUMBER(G3047),F3047&gt;0),G3047/F3047-1,"")</x:f>
        <x:v>-0.0009196671709004178</x:v>
      </x:c>
      <x:c r="K3047" s="19" t="str">
        <x:v>KuaiRec/EXP095/results/seed583910462_Relative_cutoff_1e-2.json</x:v>
      </x:c>
    </x:row>
    <x:row r="3048" ht="15" hidden="0" customHeight="1">
      <x:c r="A3048" s="3" t="str">
        <x:v>EXP095</x:v>
      </x:c>
      <x:c r="B3048" s="3" t="str">
        <x:v>KuaiRec</x:v>
      </x:c>
      <x:c r="C3048" s="18" t="n">
        <x:v>583910462</x:v>
      </x:c>
      <x:c r="D3048" s="3" t="str">
        <x:v>Relative cutoff 1e-4</x:v>
      </x:c>
      <x:c r="E3048" s="18" t="n">
        <x:v>600</x:v>
      </x:c>
      <x:c r="F3048" s="21" t="n">
        <x:v>1554.8370371863732</x:v>
      </x:c>
      <x:c r="G3048" s="21" t="n">
        <x:f>F3041</x:f>
        <x:v>1605.4494048472684</x:v>
      </x:c>
      <x:c r="H3048" s="21" t="n">
        <x:f>F3046</x:f>
        <x:v>1622.6795440675755</x:v>
      </x:c>
      <x:c r="I3048" s="27" t="n">
        <x:f>IF(AND(ISNUMBER(G3048),ISNUMBER(H3048),H3048&gt;0),G3048/H3048-1,"")</x:f>
        <x:v>-0.010618325277655383</x:v>
      </x:c>
      <x:c r="J3048" s="27" t="n">
        <x:f>IF(AND(ISNUMBER(G3048),F3048&gt;0),G3048/F3048-1,"")</x:f>
        <x:v>0.032551557784141316</x:v>
      </x:c>
      <x:c r="K3048" s="19" t="str">
        <x:v>KuaiRec/EXP095/results/seed583910462_Relative_cutoff_1e-4.json</x:v>
      </x:c>
    </x:row>
    <x:row r="3049" ht="15" hidden="0" customHeight="1">
      <x:c r="A3049" s="3" t="str">
        <x:v>EXP095</x:v>
      </x:c>
      <x:c r="B3049" s="3" t="str">
        <x:v>KuaiRec</x:v>
      </x:c>
      <x:c r="C3049" s="18" t="n">
        <x:v>626863097</x:v>
      </x:c>
      <x:c r="D3049" s="3" t="str">
        <x:v>BBP</x:v>
      </x:c>
      <x:c r="E3049" s="18" t="n">
        <x:v>600</x:v>
      </x:c>
      <x:c r="F3049" s="21" t="n">
        <x:v>1453.0764678274709</x:v>
      </x:c>
      <x:c r="G3049" s="21" t="n">
        <x:f>F3049</x:f>
        <x:v>1453.0764678274709</x:v>
      </x:c>
      <x:c r="H3049" s="21" t="n">
        <x:f>F3054</x:f>
        <x:v>1411.4432394141381</x:v>
      </x:c>
      <x:c r="I3049" s="27" t="n">
        <x:f>IF(AND(ISNUMBER(G3049),ISNUMBER(H3049),H3049&gt;0),G3049/H3049-1,"")</x:f>
        <x:v>0.02949692006786897</x:v>
      </x:c>
      <x:c r="J3049" s="27" t="n">
        <x:f>IF(AND(ISNUMBER(G3049),F3049&gt;0),G3049/F3049-1,"")</x:f>
        <x:v>0</x:v>
      </x:c>
      <x:c r="K3049" s="19" t="str">
        <x:v>KuaiRec/EXP095/results/seed626863097_BBP.json</x:v>
      </x:c>
    </x:row>
    <x:row r="3050" ht="15" hidden="0" customHeight="1">
      <x:c r="A3050" s="3" t="str">
        <x:v>EXP095</x:v>
      </x:c>
      <x:c r="B3050" s="3" t="str">
        <x:v>KuaiRec</x:v>
      </x:c>
      <x:c r="C3050" s="18" t="n">
        <x:v>626863097</x:v>
      </x:c>
      <x:c r="D3050" s="3" t="str">
        <x:v>Relative cutoff 1e-5</x:v>
      </x:c>
      <x:c r="E3050" s="18" t="n">
        <x:v>600</x:v>
      </x:c>
      <x:c r="F3050" s="21" t="n">
        <x:v>1454.5096509222687</x:v>
      </x:c>
      <x:c r="G3050" s="21" t="n">
        <x:f>F3049</x:f>
        <x:v>1453.0764678274709</x:v>
      </x:c>
      <x:c r="H3050" s="21" t="n">
        <x:f>F3054</x:f>
        <x:v>1411.4432394141381</x:v>
      </x:c>
      <x:c r="I3050" s="27" t="n">
        <x:f>IF(AND(ISNUMBER(G3050),ISNUMBER(H3050),H3050&gt;0),G3050/H3050-1,"")</x:f>
        <x:v>0.02949692006786897</x:v>
      </x:c>
      <x:c r="J3050" s="27" t="n">
        <x:f>IF(AND(ISNUMBER(G3050),F3050&gt;0),G3050/F3050-1,"")</x:f>
        <x:v>-0.0009853376317504603</x:v>
      </x:c>
      <x:c r="K3050" s="19" t="str">
        <x:v>KuaiRec/EXP095/results/seed626863097_Relative_cutoff_1e-5.json</x:v>
      </x:c>
    </x:row>
    <x:row r="3051" ht="15" hidden="0" customHeight="1">
      <x:c r="A3051" s="3" t="str">
        <x:v>EXP095</x:v>
      </x:c>
      <x:c r="B3051" s="3" t="str">
        <x:v>KuaiRec</x:v>
      </x:c>
      <x:c r="C3051" s="18" t="n">
        <x:v>626863097</x:v>
      </x:c>
      <x:c r="D3051" s="3" t="str">
        <x:v>Fixed rank 10</x:v>
      </x:c>
      <x:c r="E3051" s="18" t="n">
        <x:v>600</x:v>
      </x:c>
      <x:c r="F3051" s="21" t="n">
        <x:v>1479.2508620645033</x:v>
      </x:c>
      <x:c r="G3051" s="21" t="n">
        <x:f>F3049</x:f>
        <x:v>1453.0764678274709</x:v>
      </x:c>
      <x:c r="H3051" s="21" t="n">
        <x:f>F3054</x:f>
        <x:v>1411.4432394141381</x:v>
      </x:c>
      <x:c r="I3051" s="27" t="n">
        <x:f>IF(AND(ISNUMBER(G3051),ISNUMBER(H3051),H3051&gt;0),G3051/H3051-1,"")</x:f>
        <x:v>0.02949692006786897</x:v>
      </x:c>
      <x:c r="J3051" s="27" t="n">
        <x:f>IF(AND(ISNUMBER(G3051),F3051&gt;0),G3051/F3051-1,"")</x:f>
        <x:v>-0.017694357940412075</x:v>
      </x:c>
      <x:c r="K3051" s="19" t="str">
        <x:v>KuaiRec/EXP095/results/seed626863097_Fixed_rank_10.json</x:v>
      </x:c>
    </x:row>
    <x:row r="3052" ht="15" hidden="0" customHeight="1">
      <x:c r="A3052" s="3" t="str">
        <x:v>EXP095</x:v>
      </x:c>
      <x:c r="B3052" s="3" t="str">
        <x:v>KuaiRec</x:v>
      </x:c>
      <x:c r="C3052" s="18" t="n">
        <x:v>626863097</x:v>
      </x:c>
      <x:c r="D3052" s="3" t="str">
        <x:v>Fixed rank 25</x:v>
      </x:c>
      <x:c r="E3052" s="18" t="n">
        <x:v>600</x:v>
      </x:c>
      <x:c r="F3052" s="21" t="n">
        <x:v>1453.0764678274709</x:v>
      </x:c>
      <x:c r="G3052" s="21" t="n">
        <x:f>F3049</x:f>
        <x:v>1453.0764678274709</x:v>
      </x:c>
      <x:c r="H3052" s="21" t="n">
        <x:f>F3054</x:f>
        <x:v>1411.4432394141381</x:v>
      </x:c>
      <x:c r="I3052" s="27" t="n">
        <x:f>IF(AND(ISNUMBER(G3052),ISNUMBER(H3052),H3052&gt;0),G3052/H3052-1,"")</x:f>
        <x:v>0.02949692006786897</x:v>
      </x:c>
      <x:c r="J3052" s="27" t="n">
        <x:f>IF(AND(ISNUMBER(G3052),F3052&gt;0),G3052/F3052-1,"")</x:f>
        <x:v>0</x:v>
      </x:c>
      <x:c r="K3052" s="19" t="str">
        <x:v>KuaiRec/EXP095/results/seed626863097_Fixed_rank_25.json</x:v>
      </x:c>
    </x:row>
    <x:row r="3053" ht="15" hidden="0" customHeight="1">
      <x:c r="A3053" s="3" t="str">
        <x:v>EXP095</x:v>
      </x:c>
      <x:c r="B3053" s="3" t="str">
        <x:v>KuaiRec</x:v>
      </x:c>
      <x:c r="C3053" s="18" t="n">
        <x:v>626863097</x:v>
      </x:c>
      <x:c r="D3053" s="3" t="str">
        <x:v>Relative cutoff 1e-6</x:v>
      </x:c>
      <x:c r="E3053" s="18" t="n">
        <x:v>600</x:v>
      </x:c>
      <x:c r="F3053" s="21" t="n">
        <x:v>1449.3722444132304</x:v>
      </x:c>
      <x:c r="G3053" s="21" t="n">
        <x:f>F3049</x:f>
        <x:v>1453.0764678274709</x:v>
      </x:c>
      <x:c r="H3053" s="21" t="n">
        <x:f>F3054</x:f>
        <x:v>1411.4432394141381</x:v>
      </x:c>
      <x:c r="I3053" s="27" t="n">
        <x:f>IF(AND(ISNUMBER(G3053),ISNUMBER(H3053),H3053&gt;0),G3053/H3053-1,"")</x:f>
        <x:v>0.02949692006786897</x:v>
      </x:c>
      <x:c r="J3053" s="27" t="n">
        <x:f>IF(AND(ISNUMBER(G3053),F3053&gt;0),G3053/F3053-1,"")</x:f>
        <x:v>0.002555743307848468</x:v>
      </x:c>
      <x:c r="K3053" s="19" t="str">
        <x:v>KuaiRec/EXP095/results/seed626863097_Relative_cutoff_1e-6.json</x:v>
      </x:c>
    </x:row>
    <x:row r="3054" ht="15" hidden="0" customHeight="1">
      <x:c r="A3054" s="3" t="str">
        <x:v>EXP095</x:v>
      </x:c>
      <x:c r="B3054" s="3" t="str">
        <x:v>KuaiRec</x:v>
      </x:c>
      <x:c r="C3054" s="18" t="n">
        <x:v>626863097</x:v>
      </x:c>
      <x:c r="D3054" s="3" t="str">
        <x:v>Full</x:v>
      </x:c>
      <x:c r="E3054" s="18" t="n">
        <x:v>600</x:v>
      </x:c>
      <x:c r="F3054" s="21" t="n">
        <x:v>1411.4432394141381</x:v>
      </x:c>
      <x:c r="G3054" s="21" t="n">
        <x:f>F3049</x:f>
        <x:v>1453.0764678274709</x:v>
      </x:c>
      <x:c r="H3054" s="21" t="n">
        <x:f>F3054</x:f>
        <x:v>1411.4432394141381</x:v>
      </x:c>
      <x:c r="I3054" s="27" t="n">
        <x:f>IF(AND(ISNUMBER(G3054),ISNUMBER(H3054),H3054&gt;0),G3054/H3054-1,"")</x:f>
        <x:v>0.02949692006786897</x:v>
      </x:c>
      <x:c r="J3054" s="27" t="n">
        <x:f>IF(AND(ISNUMBER(G3054),F3054&gt;0),G3054/F3054-1,"")</x:f>
        <x:v>0.02949692006786897</x:v>
      </x:c>
      <x:c r="K3054" s="19" t="str">
        <x:v>KuaiRec/EXP095/results/seed626863097_Full.json</x:v>
      </x:c>
    </x:row>
    <x:row r="3055" ht="15" hidden="0" customHeight="1">
      <x:c r="A3055" s="3" t="str">
        <x:v>EXP095</x:v>
      </x:c>
      <x:c r="B3055" s="3" t="str">
        <x:v>KuaiRec</x:v>
      </x:c>
      <x:c r="C3055" s="18" t="n">
        <x:v>626863097</x:v>
      </x:c>
      <x:c r="D3055" s="3" t="str">
        <x:v>Relative cutoff 1e-2</x:v>
      </x:c>
      <x:c r="E3055" s="18" t="n">
        <x:v>600</x:v>
      </x:c>
      <x:c r="F3055" s="21" t="n">
        <x:v>1510.6362273153825</x:v>
      </x:c>
      <x:c r="G3055" s="21" t="n">
        <x:f>F3049</x:f>
        <x:v>1453.0764678274709</x:v>
      </x:c>
      <x:c r="H3055" s="21" t="n">
        <x:f>F3054</x:f>
        <x:v>1411.4432394141381</x:v>
      </x:c>
      <x:c r="I3055" s="27" t="n">
        <x:f>IF(AND(ISNUMBER(G3055),ISNUMBER(H3055),H3055&gt;0),G3055/H3055-1,"")</x:f>
        <x:v>0.02949692006786897</x:v>
      </x:c>
      <x:c r="J3055" s="27" t="n">
        <x:f>IF(AND(ISNUMBER(G3055),F3055&gt;0),G3055/F3055-1,"")</x:f>
        <x:v>-0.0381029916052017</x:v>
      </x:c>
      <x:c r="K3055" s="19" t="str">
        <x:v>KuaiRec/EXP095/results/seed626863097_Relative_cutoff_1e-2.json</x:v>
      </x:c>
    </x:row>
    <x:row r="3056" ht="15" hidden="0" customHeight="1">
      <x:c r="A3056" s="3" t="str">
        <x:v>EXP095</x:v>
      </x:c>
      <x:c r="B3056" s="3" t="str">
        <x:v>KuaiRec</x:v>
      </x:c>
      <x:c r="C3056" s="18" t="n">
        <x:v>626863097</x:v>
      </x:c>
      <x:c r="D3056" s="3" t="str">
        <x:v>Relative cutoff 1e-4</x:v>
      </x:c>
      <x:c r="E3056" s="18" t="n">
        <x:v>600</x:v>
      </x:c>
      <x:c r="F3056" s="21" t="n">
        <x:v>1456.8541051131958</x:v>
      </x:c>
      <x:c r="G3056" s="21" t="n">
        <x:f>F3049</x:f>
        <x:v>1453.0764678274709</x:v>
      </x:c>
      <x:c r="H3056" s="21" t="n">
        <x:f>F3054</x:f>
        <x:v>1411.4432394141381</x:v>
      </x:c>
      <x:c r="I3056" s="27" t="n">
        <x:f>IF(AND(ISNUMBER(G3056),ISNUMBER(H3056),H3056&gt;0),G3056/H3056-1,"")</x:f>
        <x:v>0.02949692006786897</x:v>
      </x:c>
      <x:c r="J3056" s="27" t="n">
        <x:f>IF(AND(ISNUMBER(G3056),F3056&gt;0),G3056/F3056-1,"")</x:f>
        <x:v>-0.0025930100155302505</x:v>
      </x:c>
      <x:c r="K3056" s="19" t="str">
        <x:v>KuaiRec/EXP095/results/seed626863097_Relative_cutoff_1e-4.json</x:v>
      </x:c>
    </x:row>
    <x:row r="3057" ht="15" hidden="0" customHeight="1">
      <x:c r="A3057" s="3" t="str">
        <x:v>EXP095</x:v>
      </x:c>
      <x:c r="B3057" s="3" t="str">
        <x:v>KuaiRec</x:v>
      </x:c>
      <x:c r="C3057" s="18" t="n">
        <x:v>642579509</x:v>
      </x:c>
      <x:c r="D3057" s="3" t="str">
        <x:v>BBP</x:v>
      </x:c>
      <x:c r="E3057" s="18" t="n">
        <x:v>600</x:v>
      </x:c>
      <x:c r="F3057" s="21" t="n">
        <x:v>1475.1971998701745</x:v>
      </x:c>
      <x:c r="G3057" s="21" t="n">
        <x:f>F3057</x:f>
        <x:v>1475.1971998701745</x:v>
      </x:c>
      <x:c r="H3057" s="21" t="n">
        <x:f>F3062</x:f>
        <x:v>1437.9441449978085</x:v>
      </x:c>
      <x:c r="I3057" s="27" t="n">
        <x:f>IF(AND(ISNUMBER(G3057),ISNUMBER(H3057),H3057&gt;0),G3057/H3057-1,"")</x:f>
        <x:v>0.025907164059159493</x:v>
      </x:c>
      <x:c r="J3057" s="27" t="n">
        <x:f>IF(AND(ISNUMBER(G3057),F3057&gt;0),G3057/F3057-1,"")</x:f>
        <x:v>0</x:v>
      </x:c>
      <x:c r="K3057" s="19" t="str">
        <x:v>KuaiRec/EXP095/results/seed642579509_BBP.json</x:v>
      </x:c>
    </x:row>
    <x:row r="3058" ht="15" hidden="0" customHeight="1">
      <x:c r="A3058" s="3" t="str">
        <x:v>EXP095</x:v>
      </x:c>
      <x:c r="B3058" s="3" t="str">
        <x:v>KuaiRec</x:v>
      </x:c>
      <x:c r="C3058" s="18" t="n">
        <x:v>642579509</x:v>
      </x:c>
      <x:c r="D3058" s="3" t="str">
        <x:v>Relative cutoff 1e-5</x:v>
      </x:c>
      <x:c r="E3058" s="18" t="n">
        <x:v>600</x:v>
      </x:c>
      <x:c r="F3058" s="21" t="n">
        <x:v>1440.1138918928145</x:v>
      </x:c>
      <x:c r="G3058" s="21" t="n">
        <x:f>F3057</x:f>
        <x:v>1475.1971998701745</x:v>
      </x:c>
      <x:c r="H3058" s="21" t="n">
        <x:f>F3062</x:f>
        <x:v>1437.9441449978085</x:v>
      </x:c>
      <x:c r="I3058" s="27" t="n">
        <x:f>IF(AND(ISNUMBER(G3058),ISNUMBER(H3058),H3058&gt;0),G3058/H3058-1,"")</x:f>
        <x:v>0.025907164059159493</x:v>
      </x:c>
      <x:c r="J3058" s="27" t="n">
        <x:f>IF(AND(ISNUMBER(G3058),F3058&gt;0),G3058/F3058-1,"")</x:f>
        <x:v>0.024361481529247886</x:v>
      </x:c>
      <x:c r="K3058" s="19" t="str">
        <x:v>KuaiRec/EXP095/results/seed642579509_Relative_cutoff_1e-5.json</x:v>
      </x:c>
    </x:row>
    <x:row r="3059" ht="15" hidden="0" customHeight="1">
      <x:c r="A3059" s="3" t="str">
        <x:v>EXP095</x:v>
      </x:c>
      <x:c r="B3059" s="3" t="str">
        <x:v>KuaiRec</x:v>
      </x:c>
      <x:c r="C3059" s="18" t="n">
        <x:v>642579509</x:v>
      </x:c>
      <x:c r="D3059" s="3" t="str">
        <x:v>Fixed rank 10</x:v>
      </x:c>
      <x:c r="E3059" s="18" t="n">
        <x:v>600</x:v>
      </x:c>
      <x:c r="F3059" s="21" t="n">
        <x:v>1478.2228654507992</x:v>
      </x:c>
      <x:c r="G3059" s="21" t="n">
        <x:f>F3057</x:f>
        <x:v>1475.1971998701745</x:v>
      </x:c>
      <x:c r="H3059" s="21" t="n">
        <x:f>F3062</x:f>
        <x:v>1437.9441449978085</x:v>
      </x:c>
      <x:c r="I3059" s="27" t="n">
        <x:f>IF(AND(ISNUMBER(G3059),ISNUMBER(H3059),H3059&gt;0),G3059/H3059-1,"")</x:f>
        <x:v>0.025907164059159493</x:v>
      </x:c>
      <x:c r="J3059" s="27" t="n">
        <x:f>IF(AND(ISNUMBER(G3059),F3059&gt;0),G3059/F3059-1,"")</x:f>
        <x:v>-0.0020468263963039357</x:v>
      </x:c>
      <x:c r="K3059" s="19" t="str">
        <x:v>KuaiRec/EXP095/results/seed642579509_Fixed_rank_10.json</x:v>
      </x:c>
    </x:row>
    <x:row r="3060" ht="15" hidden="0" customHeight="1">
      <x:c r="A3060" s="3" t="str">
        <x:v>EXP095</x:v>
      </x:c>
      <x:c r="B3060" s="3" t="str">
        <x:v>KuaiRec</x:v>
      </x:c>
      <x:c r="C3060" s="18" t="n">
        <x:v>642579509</x:v>
      </x:c>
      <x:c r="D3060" s="3" t="str">
        <x:v>Fixed rank 25</x:v>
      </x:c>
      <x:c r="E3060" s="18" t="n">
        <x:v>600</x:v>
      </x:c>
      <x:c r="F3060" s="21" t="n">
        <x:v>1475.1971998701745</x:v>
      </x:c>
      <x:c r="G3060" s="21" t="n">
        <x:f>F3057</x:f>
        <x:v>1475.1971998701745</x:v>
      </x:c>
      <x:c r="H3060" s="21" t="n">
        <x:f>F3062</x:f>
        <x:v>1437.9441449978085</x:v>
      </x:c>
      <x:c r="I3060" s="27" t="n">
        <x:f>IF(AND(ISNUMBER(G3060),ISNUMBER(H3060),H3060&gt;0),G3060/H3060-1,"")</x:f>
        <x:v>0.025907164059159493</x:v>
      </x:c>
      <x:c r="J3060" s="27" t="n">
        <x:f>IF(AND(ISNUMBER(G3060),F3060&gt;0),G3060/F3060-1,"")</x:f>
        <x:v>0</x:v>
      </x:c>
      <x:c r="K3060" s="19" t="str">
        <x:v>KuaiRec/EXP095/results/seed642579509_Fixed_rank_25.json</x:v>
      </x:c>
    </x:row>
    <x:row r="3061" ht="15" hidden="0" customHeight="1">
      <x:c r="A3061" s="3" t="str">
        <x:v>EXP095</x:v>
      </x:c>
      <x:c r="B3061" s="3" t="str">
        <x:v>KuaiRec</x:v>
      </x:c>
      <x:c r="C3061" s="18" t="n">
        <x:v>642579509</x:v>
      </x:c>
      <x:c r="D3061" s="3" t="str">
        <x:v>Relative cutoff 1e-6</x:v>
      </x:c>
      <x:c r="E3061" s="18" t="n">
        <x:v>600</x:v>
      </x:c>
      <x:c r="F3061" s="21" t="n">
        <x:v>1446.2294405378195</x:v>
      </x:c>
      <x:c r="G3061" s="21" t="n">
        <x:f>F3057</x:f>
        <x:v>1475.1971998701745</x:v>
      </x:c>
      <x:c r="H3061" s="21" t="n">
        <x:f>F3062</x:f>
        <x:v>1437.9441449978085</x:v>
      </x:c>
      <x:c r="I3061" s="27" t="n">
        <x:f>IF(AND(ISNUMBER(G3061),ISNUMBER(H3061),H3061&gt;0),G3061/H3061-1,"")</x:f>
        <x:v>0.025907164059159493</x:v>
      </x:c>
      <x:c r="J3061" s="27" t="n">
        <x:f>IF(AND(ISNUMBER(G3061),F3061&gt;0),G3061/F3061-1,"")</x:f>
        <x:v>0.02002985039606342</x:v>
      </x:c>
      <x:c r="K3061" s="19" t="str">
        <x:v>KuaiRec/EXP095/results/seed642579509_Relative_cutoff_1e-6.json</x:v>
      </x:c>
    </x:row>
    <x:row r="3062" ht="15" hidden="0" customHeight="1">
      <x:c r="A3062" s="3" t="str">
        <x:v>EXP095</x:v>
      </x:c>
      <x:c r="B3062" s="3" t="str">
        <x:v>KuaiRec</x:v>
      </x:c>
      <x:c r="C3062" s="18" t="n">
        <x:v>642579509</x:v>
      </x:c>
      <x:c r="D3062" s="3" t="str">
        <x:v>Full</x:v>
      </x:c>
      <x:c r="E3062" s="18" t="n">
        <x:v>600</x:v>
      </x:c>
      <x:c r="F3062" s="21" t="n">
        <x:v>1437.9441449978085</x:v>
      </x:c>
      <x:c r="G3062" s="21" t="n">
        <x:f>F3057</x:f>
        <x:v>1475.1971998701745</x:v>
      </x:c>
      <x:c r="H3062" s="21" t="n">
        <x:f>F3062</x:f>
        <x:v>1437.9441449978085</x:v>
      </x:c>
      <x:c r="I3062" s="27" t="n">
        <x:f>IF(AND(ISNUMBER(G3062),ISNUMBER(H3062),H3062&gt;0),G3062/H3062-1,"")</x:f>
        <x:v>0.025907164059159493</x:v>
      </x:c>
      <x:c r="J3062" s="27" t="n">
        <x:f>IF(AND(ISNUMBER(G3062),F3062&gt;0),G3062/F3062-1,"")</x:f>
        <x:v>0.025907164059159493</x:v>
      </x:c>
      <x:c r="K3062" s="19" t="str">
        <x:v>KuaiRec/EXP095/results/seed642579509_Full.json</x:v>
      </x:c>
    </x:row>
    <x:row r="3063" ht="15" hidden="0" customHeight="1">
      <x:c r="A3063" s="3" t="str">
        <x:v>EXP095</x:v>
      </x:c>
      <x:c r="B3063" s="3" t="str">
        <x:v>KuaiRec</x:v>
      </x:c>
      <x:c r="C3063" s="18" t="n">
        <x:v>642579509</x:v>
      </x:c>
      <x:c r="D3063" s="3" t="str">
        <x:v>Relative cutoff 1e-2</x:v>
      </x:c>
      <x:c r="E3063" s="18" t="n">
        <x:v>600</x:v>
      </x:c>
      <x:c r="F3063" s="21" t="n">
        <x:v>1430.9718815440121</x:v>
      </x:c>
      <x:c r="G3063" s="21" t="n">
        <x:f>F3057</x:f>
        <x:v>1475.1971998701745</x:v>
      </x:c>
      <x:c r="H3063" s="21" t="n">
        <x:f>F3062</x:f>
        <x:v>1437.9441449978085</x:v>
      </x:c>
      <x:c r="I3063" s="27" t="n">
        <x:f>IF(AND(ISNUMBER(G3063),ISNUMBER(H3063),H3063&gt;0),G3063/H3063-1,"")</x:f>
        <x:v>0.025907164059159493</x:v>
      </x:c>
      <x:c r="J3063" s="27" t="n">
        <x:f>IF(AND(ISNUMBER(G3063),F3063&gt;0),G3063/F3063-1,"")</x:f>
        <x:v>0.030905791299297602</x:v>
      </x:c>
      <x:c r="K3063" s="19" t="str">
        <x:v>KuaiRec/EXP095/results/seed642579509_Relative_cutoff_1e-2.json</x:v>
      </x:c>
    </x:row>
    <x:row r="3064" ht="15" hidden="0" customHeight="1">
      <x:c r="A3064" s="3" t="str">
        <x:v>EXP095</x:v>
      </x:c>
      <x:c r="B3064" s="3" t="str">
        <x:v>KuaiRec</x:v>
      </x:c>
      <x:c r="C3064" s="18" t="n">
        <x:v>642579509</x:v>
      </x:c>
      <x:c r="D3064" s="3" t="str">
        <x:v>Relative cutoff 1e-4</x:v>
      </x:c>
      <x:c r="E3064" s="18" t="n">
        <x:v>600</x:v>
      </x:c>
      <x:c r="F3064" s="21" t="n">
        <x:v>1424.0504148717416</x:v>
      </x:c>
      <x:c r="G3064" s="21" t="n">
        <x:f>F3057</x:f>
        <x:v>1475.1971998701745</x:v>
      </x:c>
      <x:c r="H3064" s="21" t="n">
        <x:f>F3062</x:f>
        <x:v>1437.9441449978085</x:v>
      </x:c>
      <x:c r="I3064" s="27" t="n">
        <x:f>IF(AND(ISNUMBER(G3064),ISNUMBER(H3064),H3064&gt;0),G3064/H3064-1,"")</x:f>
        <x:v>0.025907164059159493</x:v>
      </x:c>
      <x:c r="J3064" s="27" t="n">
        <x:f>IF(AND(ISNUMBER(G3064),F3064&gt;0),G3064/F3064-1,"")</x:f>
        <x:v>0.03591641452036609</x:v>
      </x:c>
      <x:c r="K3064" s="19" t="str">
        <x:v>KuaiRec/EXP095/results/seed642579509_Relative_cutoff_1e-4.json</x:v>
      </x:c>
    </x:row>
    <x:row r="3065" ht="15" hidden="0" customHeight="1">
      <x:c r="A3065" s="3" t="str">
        <x:v>EXP095</x:v>
      </x:c>
      <x:c r="B3065" s="3" t="str">
        <x:v>KuaiRec</x:v>
      </x:c>
      <x:c r="C3065" s="18" t="n">
        <x:v>651056294</x:v>
      </x:c>
      <x:c r="D3065" s="3" t="str">
        <x:v>BBP</x:v>
      </x:c>
      <x:c r="E3065" s="18" t="n">
        <x:v>600</x:v>
      </x:c>
      <x:c r="F3065" s="21" t="n">
        <x:v>1367.5432605978651</x:v>
      </x:c>
      <x:c r="G3065" s="21" t="n">
        <x:f>F3065</x:f>
        <x:v>1367.5432605978651</x:v>
      </x:c>
      <x:c r="H3065" s="21" t="n">
        <x:f>F3070</x:f>
        <x:v>1367.5432605978651</x:v>
      </x:c>
      <x:c r="I3065" s="27" t="n">
        <x:f>IF(AND(ISNUMBER(G3065),ISNUMBER(H3065),H3065&gt;0),G3065/H3065-1,"")</x:f>
        <x:v>0</x:v>
      </x:c>
      <x:c r="J3065" s="27" t="n">
        <x:f>IF(AND(ISNUMBER(G3065),F3065&gt;0),G3065/F3065-1,"")</x:f>
        <x:v>0</x:v>
      </x:c>
      <x:c r="K3065" s="19" t="str">
        <x:v>KuaiRec/EXP095/results/seed651056294_BBP.json</x:v>
      </x:c>
    </x:row>
    <x:row r="3066" ht="15" hidden="0" customHeight="1">
      <x:c r="A3066" s="3" t="str">
        <x:v>EXP095</x:v>
      </x:c>
      <x:c r="B3066" s="3" t="str">
        <x:v>KuaiRec</x:v>
      </x:c>
      <x:c r="C3066" s="18" t="n">
        <x:v>651056294</x:v>
      </x:c>
      <x:c r="D3066" s="3" t="str">
        <x:v>Relative cutoff 1e-5</x:v>
      </x:c>
      <x:c r="E3066" s="18" t="n">
        <x:v>600</x:v>
      </x:c>
      <x:c r="F3066" s="21" t="n">
        <x:v>1368.2199432416105</x:v>
      </x:c>
      <x:c r="G3066" s="21" t="n">
        <x:f>F3065</x:f>
        <x:v>1367.5432605978651</x:v>
      </x:c>
      <x:c r="H3066" s="21" t="n">
        <x:f>F3070</x:f>
        <x:v>1367.5432605978651</x:v>
      </x:c>
      <x:c r="I3066" s="27" t="n">
        <x:f>IF(AND(ISNUMBER(G3066),ISNUMBER(H3066),H3066&gt;0),G3066/H3066-1,"")</x:f>
        <x:v>0</x:v>
      </x:c>
      <x:c r="J3066" s="27" t="n">
        <x:f>IF(AND(ISNUMBER(G3066),F3066&gt;0),G3066/F3066-1,"")</x:f>
        <x:v>-0.0004945715395305861</x:v>
      </x:c>
      <x:c r="K3066" s="19" t="str">
        <x:v>KuaiRec/EXP095/results/seed651056294_Relative_cutoff_1e-5.json</x:v>
      </x:c>
    </x:row>
    <x:row r="3067" ht="15" hidden="0" customHeight="1">
      <x:c r="A3067" s="3" t="str">
        <x:v>EXP095</x:v>
      </x:c>
      <x:c r="B3067" s="3" t="str">
        <x:v>KuaiRec</x:v>
      </x:c>
      <x:c r="C3067" s="18" t="n">
        <x:v>651056294</x:v>
      </x:c>
      <x:c r="D3067" s="3" t="str">
        <x:v>Fixed rank 10</x:v>
      </x:c>
      <x:c r="E3067" s="18" t="n">
        <x:v>600</x:v>
      </x:c>
      <x:c r="F3067" s="21" t="n">
        <x:v>1374.3792999133916</x:v>
      </x:c>
      <x:c r="G3067" s="21" t="n">
        <x:f>F3065</x:f>
        <x:v>1367.5432605978651</x:v>
      </x:c>
      <x:c r="H3067" s="21" t="n">
        <x:f>F3070</x:f>
        <x:v>1367.5432605978651</x:v>
      </x:c>
      <x:c r="I3067" s="27" t="n">
        <x:f>IF(AND(ISNUMBER(G3067),ISNUMBER(H3067),H3067&gt;0),G3067/H3067-1,"")</x:f>
        <x:v>0</x:v>
      </x:c>
      <x:c r="J3067" s="27" t="n">
        <x:f>IF(AND(ISNUMBER(G3067),F3067&gt;0),G3067/F3067-1,"")</x:f>
        <x:v>-0.004973910270590687</x:v>
      </x:c>
      <x:c r="K3067" s="19" t="str">
        <x:v>KuaiRec/EXP095/results/seed651056294_Fixed_rank_10.json</x:v>
      </x:c>
    </x:row>
    <x:row r="3068" ht="15" hidden="0" customHeight="1">
      <x:c r="A3068" s="3" t="str">
        <x:v>EXP095</x:v>
      </x:c>
      <x:c r="B3068" s="3" t="str">
        <x:v>KuaiRec</x:v>
      </x:c>
      <x:c r="C3068" s="18" t="n">
        <x:v>651056294</x:v>
      </x:c>
      <x:c r="D3068" s="3" t="str">
        <x:v>Fixed rank 25</x:v>
      </x:c>
      <x:c r="E3068" s="18" t="n">
        <x:v>600</x:v>
      </x:c>
      <x:c r="F3068" s="21" t="n">
        <x:v>1367.5432605978651</x:v>
      </x:c>
      <x:c r="G3068" s="21" t="n">
        <x:f>F3065</x:f>
        <x:v>1367.5432605978651</x:v>
      </x:c>
      <x:c r="H3068" s="21" t="n">
        <x:f>F3070</x:f>
        <x:v>1367.5432605978651</x:v>
      </x:c>
      <x:c r="I3068" s="27" t="n">
        <x:f>IF(AND(ISNUMBER(G3068),ISNUMBER(H3068),H3068&gt;0),G3068/H3068-1,"")</x:f>
        <x:v>0</x:v>
      </x:c>
      <x:c r="J3068" s="27" t="n">
        <x:f>IF(AND(ISNUMBER(G3068),F3068&gt;0),G3068/F3068-1,"")</x:f>
        <x:v>0</x:v>
      </x:c>
      <x:c r="K3068" s="19" t="str">
        <x:v>KuaiRec/EXP095/results/seed651056294_Fixed_rank_25.json</x:v>
      </x:c>
    </x:row>
    <x:row r="3069" ht="15" hidden="0" customHeight="1">
      <x:c r="A3069" s="3" t="str">
        <x:v>EXP095</x:v>
      </x:c>
      <x:c r="B3069" s="3" t="str">
        <x:v>KuaiRec</x:v>
      </x:c>
      <x:c r="C3069" s="18" t="n">
        <x:v>651056294</x:v>
      </x:c>
      <x:c r="D3069" s="3" t="str">
        <x:v>Relative cutoff 1e-6</x:v>
      </x:c>
      <x:c r="E3069" s="18" t="n">
        <x:v>600</x:v>
      </x:c>
      <x:c r="F3069" s="21" t="n">
        <x:v>1367.5432605978651</x:v>
      </x:c>
      <x:c r="G3069" s="21" t="n">
        <x:f>F3065</x:f>
        <x:v>1367.5432605978651</x:v>
      </x:c>
      <x:c r="H3069" s="21" t="n">
        <x:f>F3070</x:f>
        <x:v>1367.5432605978651</x:v>
      </x:c>
      <x:c r="I3069" s="27" t="n">
        <x:f>IF(AND(ISNUMBER(G3069),ISNUMBER(H3069),H3069&gt;0),G3069/H3069-1,"")</x:f>
        <x:v>0</x:v>
      </x:c>
      <x:c r="J3069" s="27" t="n">
        <x:f>IF(AND(ISNUMBER(G3069),F3069&gt;0),G3069/F3069-1,"")</x:f>
        <x:v>0</x:v>
      </x:c>
      <x:c r="K3069" s="19" t="str">
        <x:v>KuaiRec/EXP095/results/seed651056294_Relative_cutoff_1e-6.json</x:v>
      </x:c>
    </x:row>
    <x:row r="3070" ht="15" hidden="0" customHeight="1">
      <x:c r="A3070" s="3" t="str">
        <x:v>EXP095</x:v>
      </x:c>
      <x:c r="B3070" s="3" t="str">
        <x:v>KuaiRec</x:v>
      </x:c>
      <x:c r="C3070" s="18" t="n">
        <x:v>651056294</x:v>
      </x:c>
      <x:c r="D3070" s="3" t="str">
        <x:v>Full</x:v>
      </x:c>
      <x:c r="E3070" s="18" t="n">
        <x:v>600</x:v>
      </x:c>
      <x:c r="F3070" s="21" t="n">
        <x:v>1367.5432605978651</x:v>
      </x:c>
      <x:c r="G3070" s="21" t="n">
        <x:f>F3065</x:f>
        <x:v>1367.5432605978651</x:v>
      </x:c>
      <x:c r="H3070" s="21" t="n">
        <x:f>F3070</x:f>
        <x:v>1367.5432605978651</x:v>
      </x:c>
      <x:c r="I3070" s="27" t="n">
        <x:f>IF(AND(ISNUMBER(G3070),ISNUMBER(H3070),H3070&gt;0),G3070/H3070-1,"")</x:f>
        <x:v>0</x:v>
      </x:c>
      <x:c r="J3070" s="27" t="n">
        <x:f>IF(AND(ISNUMBER(G3070),F3070&gt;0),G3070/F3070-1,"")</x:f>
        <x:v>0</x:v>
      </x:c>
      <x:c r="K3070" s="19" t="str">
        <x:v>KuaiRec/EXP095/results/seed651056294_Full.json</x:v>
      </x:c>
    </x:row>
    <x:row r="3071" ht="15" hidden="0" customHeight="1">
      <x:c r="A3071" s="3" t="str">
        <x:v>EXP095</x:v>
      </x:c>
      <x:c r="B3071" s="3" t="str">
        <x:v>KuaiRec</x:v>
      </x:c>
      <x:c r="C3071" s="18" t="n">
        <x:v>651056294</x:v>
      </x:c>
      <x:c r="D3071" s="3" t="str">
        <x:v>Relative cutoff 1e-2</x:v>
      </x:c>
      <x:c r="E3071" s="18" t="n">
        <x:v>600</x:v>
      </x:c>
      <x:c r="F3071" s="21" t="n">
        <x:v>1341.0786230898216</x:v>
      </x:c>
      <x:c r="G3071" s="21" t="n">
        <x:f>F3065</x:f>
        <x:v>1367.5432605978651</x:v>
      </x:c>
      <x:c r="H3071" s="21" t="n">
        <x:f>F3070</x:f>
        <x:v>1367.5432605978651</x:v>
      </x:c>
      <x:c r="I3071" s="27" t="n">
        <x:f>IF(AND(ISNUMBER(G3071),ISNUMBER(H3071),H3071&gt;0),G3071/H3071-1,"")</x:f>
        <x:v>0</x:v>
      </x:c>
      <x:c r="J3071" s="27" t="n">
        <x:f>IF(AND(ISNUMBER(G3071),F3071&gt;0),G3071/F3071-1,"")</x:f>
        <x:v>0.01973384487113039</x:v>
      </x:c>
      <x:c r="K3071" s="19" t="str">
        <x:v>KuaiRec/EXP095/results/seed651056294_Relative_cutoff_1e-2.json</x:v>
      </x:c>
    </x:row>
    <x:row r="3072" ht="15" hidden="0" customHeight="1">
      <x:c r="A3072" s="3" t="str">
        <x:v>EXP095</x:v>
      </x:c>
      <x:c r="B3072" s="3" t="str">
        <x:v>KuaiRec</x:v>
      </x:c>
      <x:c r="C3072" s="18" t="n">
        <x:v>651056294</x:v>
      </x:c>
      <x:c r="D3072" s="3" t="str">
        <x:v>Relative cutoff 1e-4</x:v>
      </x:c>
      <x:c r="E3072" s="18" t="n">
        <x:v>600</x:v>
      </x:c>
      <x:c r="F3072" s="21" t="n">
        <x:v>1332.6958803412142</x:v>
      </x:c>
      <x:c r="G3072" s="21" t="n">
        <x:f>F3065</x:f>
        <x:v>1367.5432605978651</x:v>
      </x:c>
      <x:c r="H3072" s="21" t="n">
        <x:f>F3070</x:f>
        <x:v>1367.5432605978651</x:v>
      </x:c>
      <x:c r="I3072" s="27" t="n">
        <x:f>IF(AND(ISNUMBER(G3072),ISNUMBER(H3072),H3072&gt;0),G3072/H3072-1,"")</x:f>
        <x:v>0</x:v>
      </x:c>
      <x:c r="J3072" s="27" t="n">
        <x:f>IF(AND(ISNUMBER(G3072),F3072&gt;0),G3072/F3072-1,"")</x:f>
        <x:v>0.026148036300471578</x:v>
      </x:c>
      <x:c r="K3072" s="19" t="str">
        <x:v>KuaiRec/EXP095/results/seed651056294_Relative_cutoff_1e-4.json</x:v>
      </x:c>
    </x:row>
    <x:row r="3073" ht="15" hidden="0" customHeight="1">
      <x:c r="A3073" s="3" t="str">
        <x:v>EXP095</x:v>
      </x:c>
      <x:c r="B3073" s="3" t="str">
        <x:v>KuaiRec</x:v>
      </x:c>
      <x:c r="C3073" s="18" t="n">
        <x:v>676755751</x:v>
      </x:c>
      <x:c r="D3073" s="3" t="str">
        <x:v>BBP</x:v>
      </x:c>
      <x:c r="E3073" s="18" t="n">
        <x:v>600</x:v>
      </x:c>
      <x:c r="F3073" s="21" t="n">
        <x:v>1291.1741588174127</x:v>
      </x:c>
      <x:c r="G3073" s="21" t="n">
        <x:f>F3073</x:f>
        <x:v>1291.1741588174127</x:v>
      </x:c>
      <x:c r="H3073" s="21" t="n">
        <x:f>F3078</x:f>
        <x:v>1291.1741588174127</x:v>
      </x:c>
      <x:c r="I3073" s="27" t="n">
        <x:f>IF(AND(ISNUMBER(G3073),ISNUMBER(H3073),H3073&gt;0),G3073/H3073-1,"")</x:f>
        <x:v>0</x:v>
      </x:c>
      <x:c r="J3073" s="27" t="n">
        <x:f>IF(AND(ISNUMBER(G3073),F3073&gt;0),G3073/F3073-1,"")</x:f>
        <x:v>0</x:v>
      </x:c>
      <x:c r="K3073" s="19" t="str">
        <x:v>KuaiRec/EXP095/results/seed676755751_BBP.json</x:v>
      </x:c>
    </x:row>
    <x:row r="3074" ht="15" hidden="0" customHeight="1">
      <x:c r="A3074" s="3" t="str">
        <x:v>EXP095</x:v>
      </x:c>
      <x:c r="B3074" s="3" t="str">
        <x:v>KuaiRec</x:v>
      </x:c>
      <x:c r="C3074" s="18" t="n">
        <x:v>676755751</x:v>
      </x:c>
      <x:c r="D3074" s="3" t="str">
        <x:v>Relative cutoff 1e-5</x:v>
      </x:c>
      <x:c r="E3074" s="18" t="n">
        <x:v>600</x:v>
      </x:c>
      <x:c r="F3074" s="21" t="n">
        <x:v>1291.1741588174127</x:v>
      </x:c>
      <x:c r="G3074" s="21" t="n">
        <x:f>F3073</x:f>
        <x:v>1291.1741588174127</x:v>
      </x:c>
      <x:c r="H3074" s="21" t="n">
        <x:f>F3078</x:f>
        <x:v>1291.1741588174127</x:v>
      </x:c>
      <x:c r="I3074" s="27" t="n">
        <x:f>IF(AND(ISNUMBER(G3074),ISNUMBER(H3074),H3074&gt;0),G3074/H3074-1,"")</x:f>
        <x:v>0</x:v>
      </x:c>
      <x:c r="J3074" s="27" t="n">
        <x:f>IF(AND(ISNUMBER(G3074),F3074&gt;0),G3074/F3074-1,"")</x:f>
        <x:v>0</x:v>
      </x:c>
      <x:c r="K3074" s="19" t="str">
        <x:v>KuaiRec/EXP095/results/seed676755751_Relative_cutoff_1e-5.json</x:v>
      </x:c>
    </x:row>
    <x:row r="3075" ht="15" hidden="0" customHeight="1">
      <x:c r="A3075" s="3" t="str">
        <x:v>EXP095</x:v>
      </x:c>
      <x:c r="B3075" s="3" t="str">
        <x:v>KuaiRec</x:v>
      </x:c>
      <x:c r="C3075" s="18" t="n">
        <x:v>676755751</x:v>
      </x:c>
      <x:c r="D3075" s="3" t="str">
        <x:v>Fixed rank 10</x:v>
      </x:c>
      <x:c r="E3075" s="18" t="n">
        <x:v>600</x:v>
      </x:c>
      <x:c r="F3075" s="21" t="n">
        <x:v>1284.1577798992992</x:v>
      </x:c>
      <x:c r="G3075" s="21" t="n">
        <x:f>F3073</x:f>
        <x:v>1291.1741588174127</x:v>
      </x:c>
      <x:c r="H3075" s="21" t="n">
        <x:f>F3078</x:f>
        <x:v>1291.1741588174127</x:v>
      </x:c>
      <x:c r="I3075" s="27" t="n">
        <x:f>IF(AND(ISNUMBER(G3075),ISNUMBER(H3075),H3075&gt;0),G3075/H3075-1,"")</x:f>
        <x:v>0</x:v>
      </x:c>
      <x:c r="J3075" s="27" t="n">
        <x:f>IF(AND(ISNUMBER(G3075),F3075&gt;0),G3075/F3075-1,"")</x:f>
        <x:v>0.005463798162453015</x:v>
      </x:c>
      <x:c r="K3075" s="19" t="str">
        <x:v>KuaiRec/EXP095/results/seed676755751_Fixed_rank_10.json</x:v>
      </x:c>
    </x:row>
    <x:row r="3076" ht="15" hidden="0" customHeight="1">
      <x:c r="A3076" s="3" t="str">
        <x:v>EXP095</x:v>
      </x:c>
      <x:c r="B3076" s="3" t="str">
        <x:v>KuaiRec</x:v>
      </x:c>
      <x:c r="C3076" s="18" t="n">
        <x:v>676755751</x:v>
      </x:c>
      <x:c r="D3076" s="3" t="str">
        <x:v>Fixed rank 25</x:v>
      </x:c>
      <x:c r="E3076" s="18" t="n">
        <x:v>600</x:v>
      </x:c>
      <x:c r="F3076" s="21" t="n">
        <x:v>1291.1741588174127</x:v>
      </x:c>
      <x:c r="G3076" s="21" t="n">
        <x:f>F3073</x:f>
        <x:v>1291.1741588174127</x:v>
      </x:c>
      <x:c r="H3076" s="21" t="n">
        <x:f>F3078</x:f>
        <x:v>1291.1741588174127</x:v>
      </x:c>
      <x:c r="I3076" s="27" t="n">
        <x:f>IF(AND(ISNUMBER(G3076),ISNUMBER(H3076),H3076&gt;0),G3076/H3076-1,"")</x:f>
        <x:v>0</x:v>
      </x:c>
      <x:c r="J3076" s="27" t="n">
        <x:f>IF(AND(ISNUMBER(G3076),F3076&gt;0),G3076/F3076-1,"")</x:f>
        <x:v>0</x:v>
      </x:c>
      <x:c r="K3076" s="19" t="str">
        <x:v>KuaiRec/EXP095/results/seed676755751_Fixed_rank_25.json</x:v>
      </x:c>
    </x:row>
    <x:row r="3077" ht="15" hidden="0" customHeight="1">
      <x:c r="A3077" s="3" t="str">
        <x:v>EXP095</x:v>
      </x:c>
      <x:c r="B3077" s="3" t="str">
        <x:v>KuaiRec</x:v>
      </x:c>
      <x:c r="C3077" s="18" t="n">
        <x:v>676755751</x:v>
      </x:c>
      <x:c r="D3077" s="3" t="str">
        <x:v>Relative cutoff 1e-6</x:v>
      </x:c>
      <x:c r="E3077" s="18" t="n">
        <x:v>600</x:v>
      </x:c>
      <x:c r="F3077" s="21" t="n">
        <x:v>1291.1741588174127</x:v>
      </x:c>
      <x:c r="G3077" s="21" t="n">
        <x:f>F3073</x:f>
        <x:v>1291.1741588174127</x:v>
      </x:c>
      <x:c r="H3077" s="21" t="n">
        <x:f>F3078</x:f>
        <x:v>1291.1741588174127</x:v>
      </x:c>
      <x:c r="I3077" s="27" t="n">
        <x:f>IF(AND(ISNUMBER(G3077),ISNUMBER(H3077),H3077&gt;0),G3077/H3077-1,"")</x:f>
        <x:v>0</x:v>
      </x:c>
      <x:c r="J3077" s="27" t="n">
        <x:f>IF(AND(ISNUMBER(G3077),F3077&gt;0),G3077/F3077-1,"")</x:f>
        <x:v>0</x:v>
      </x:c>
      <x:c r="K3077" s="19" t="str">
        <x:v>KuaiRec/EXP095/results/seed676755751_Relative_cutoff_1e-6.json</x:v>
      </x:c>
    </x:row>
    <x:row r="3078" ht="15" hidden="0" customHeight="1">
      <x:c r="A3078" s="3" t="str">
        <x:v>EXP095</x:v>
      </x:c>
      <x:c r="B3078" s="3" t="str">
        <x:v>KuaiRec</x:v>
      </x:c>
      <x:c r="C3078" s="18" t="n">
        <x:v>676755751</x:v>
      </x:c>
      <x:c r="D3078" s="3" t="str">
        <x:v>Full</x:v>
      </x:c>
      <x:c r="E3078" s="18" t="n">
        <x:v>600</x:v>
      </x:c>
      <x:c r="F3078" s="21" t="n">
        <x:v>1291.1741588174127</x:v>
      </x:c>
      <x:c r="G3078" s="21" t="n">
        <x:f>F3073</x:f>
        <x:v>1291.1741588174127</x:v>
      </x:c>
      <x:c r="H3078" s="21" t="n">
        <x:f>F3078</x:f>
        <x:v>1291.1741588174127</x:v>
      </x:c>
      <x:c r="I3078" s="27" t="n">
        <x:f>IF(AND(ISNUMBER(G3078),ISNUMBER(H3078),H3078&gt;0),G3078/H3078-1,"")</x:f>
        <x:v>0</x:v>
      </x:c>
      <x:c r="J3078" s="27" t="n">
        <x:f>IF(AND(ISNUMBER(G3078),F3078&gt;0),G3078/F3078-1,"")</x:f>
        <x:v>0</x:v>
      </x:c>
      <x:c r="K3078" s="19" t="str">
        <x:v>KuaiRec/EXP095/results/seed676755751_Full.json</x:v>
      </x:c>
    </x:row>
    <x:row r="3079" ht="15" hidden="0" customHeight="1">
      <x:c r="A3079" s="3" t="str">
        <x:v>EXP095</x:v>
      </x:c>
      <x:c r="B3079" s="3" t="str">
        <x:v>KuaiRec</x:v>
      </x:c>
      <x:c r="C3079" s="18" t="n">
        <x:v>676755751</x:v>
      </x:c>
      <x:c r="D3079" s="3" t="str">
        <x:v>Relative cutoff 1e-2</x:v>
      </x:c>
      <x:c r="E3079" s="18" t="n">
        <x:v>600</x:v>
      </x:c>
      <x:c r="F3079" s="21" t="n">
        <x:v>1277.0801513660917</x:v>
      </x:c>
      <x:c r="G3079" s="21" t="n">
        <x:f>F3073</x:f>
        <x:v>1291.1741588174127</x:v>
      </x:c>
      <x:c r="H3079" s="21" t="n">
        <x:f>F3078</x:f>
        <x:v>1291.1741588174127</x:v>
      </x:c>
      <x:c r="I3079" s="27" t="n">
        <x:f>IF(AND(ISNUMBER(G3079),ISNUMBER(H3079),H3079&gt;0),G3079/H3079-1,"")</x:f>
        <x:v>0</x:v>
      </x:c>
      <x:c r="J3079" s="27" t="n">
        <x:f>IF(AND(ISNUMBER(G3079),F3079&gt;0),G3079/F3079-1,"")</x:f>
        <x:v>0.011036118160825392</x:v>
      </x:c>
      <x:c r="K3079" s="19" t="str">
        <x:v>KuaiRec/EXP095/results/seed676755751_Relative_cutoff_1e-2.json</x:v>
      </x:c>
    </x:row>
    <x:row r="3080" ht="15" hidden="0" customHeight="1">
      <x:c r="A3080" s="3" t="str">
        <x:v>EXP095</x:v>
      </x:c>
      <x:c r="B3080" s="3" t="str">
        <x:v>KuaiRec</x:v>
      </x:c>
      <x:c r="C3080" s="18" t="n">
        <x:v>676755751</x:v>
      </x:c>
      <x:c r="D3080" s="3" t="str">
        <x:v>Relative cutoff 1e-4</x:v>
      </x:c>
      <x:c r="E3080" s="18" t="n">
        <x:v>600</x:v>
      </x:c>
      <x:c r="F3080" s="21" t="n">
        <x:v>1303.1514894106651</x:v>
      </x:c>
      <x:c r="G3080" s="21" t="n">
        <x:f>F3073</x:f>
        <x:v>1291.1741588174127</x:v>
      </x:c>
      <x:c r="H3080" s="21" t="n">
        <x:f>F3078</x:f>
        <x:v>1291.1741588174127</x:v>
      </x:c>
      <x:c r="I3080" s="27" t="n">
        <x:f>IF(AND(ISNUMBER(G3080),ISNUMBER(H3080),H3080&gt;0),G3080/H3080-1,"")</x:f>
        <x:v>0</x:v>
      </x:c>
      <x:c r="J3080" s="27" t="n">
        <x:f>IF(AND(ISNUMBER(G3080),F3080&gt;0),G3080/F3080-1,"")</x:f>
        <x:v>-0.00919105007405474</x:v>
      </x:c>
      <x:c r="K3080" s="19" t="str">
        <x:v>KuaiRec/EXP095/results/seed676755751_Relative_cutoff_1e-4.json</x:v>
      </x:c>
    </x:row>
    <x:row r="3081" ht="15" hidden="0" customHeight="1">
      <x:c r="A3081" s="3" t="str">
        <x:v>EXP095</x:v>
      </x:c>
      <x:c r="B3081" s="3" t="str">
        <x:v>KuaiRec</x:v>
      </x:c>
      <x:c r="C3081" s="18" t="n">
        <x:v>709255664</x:v>
      </x:c>
      <x:c r="D3081" s="3" t="str">
        <x:v>BBP</x:v>
      </x:c>
      <x:c r="E3081" s="18" t="n">
        <x:v>600</x:v>
      </x:c>
      <x:c r="F3081" s="21" t="n">
        <x:v>1338.5165591534503</x:v>
      </x:c>
      <x:c r="G3081" s="21" t="n">
        <x:f>F3081</x:f>
        <x:v>1338.5165591534503</x:v>
      </x:c>
      <x:c r="H3081" s="21" t="n">
        <x:f>F3086</x:f>
        <x:v>1378.5896077024124</x:v>
      </x:c>
      <x:c r="I3081" s="27" t="n">
        <x:f>IF(AND(ISNUMBER(G3081),ISNUMBER(H3081),H3081&gt;0),G3081/H3081-1,"")</x:f>
        <x:v>-0.029068149306412328</x:v>
      </x:c>
      <x:c r="J3081" s="27" t="n">
        <x:f>IF(AND(ISNUMBER(G3081),F3081&gt;0),G3081/F3081-1,"")</x:f>
        <x:v>0</x:v>
      </x:c>
      <x:c r="K3081" s="19" t="str">
        <x:v>KuaiRec/EXP095/results/seed709255664_BBP.json</x:v>
      </x:c>
    </x:row>
    <x:row r="3082" ht="15" hidden="0" customHeight="1">
      <x:c r="A3082" s="3" t="str">
        <x:v>EXP095</x:v>
      </x:c>
      <x:c r="B3082" s="3" t="str">
        <x:v>KuaiRec</x:v>
      </x:c>
      <x:c r="C3082" s="18" t="n">
        <x:v>709255664</x:v>
      </x:c>
      <x:c r="D3082" s="3" t="str">
        <x:v>Relative cutoff 1e-5</x:v>
      </x:c>
      <x:c r="E3082" s="18" t="n">
        <x:v>600</x:v>
      </x:c>
      <x:c r="F3082" s="21" t="n">
        <x:v>1283.9041899477406</x:v>
      </x:c>
      <x:c r="G3082" s="21" t="n">
        <x:f>F3081</x:f>
        <x:v>1338.5165591534503</x:v>
      </x:c>
      <x:c r="H3082" s="21" t="n">
        <x:f>F3086</x:f>
        <x:v>1378.5896077024124</x:v>
      </x:c>
      <x:c r="I3082" s="27" t="n">
        <x:f>IF(AND(ISNUMBER(G3082),ISNUMBER(H3082),H3082&gt;0),G3082/H3082-1,"")</x:f>
        <x:v>-0.029068149306412328</x:v>
      </x:c>
      <x:c r="J3082" s="27" t="n">
        <x:f>IF(AND(ISNUMBER(G3082),F3082&gt;0),G3082/F3082-1,"")</x:f>
        <x:v>0.042536171805726886</x:v>
      </x:c>
      <x:c r="K3082" s="19" t="str">
        <x:v>KuaiRec/EXP095/results/seed709255664_Relative_cutoff_1e-5.json</x:v>
      </x:c>
    </x:row>
    <x:row r="3083" ht="15" hidden="0" customHeight="1">
      <x:c r="A3083" s="3" t="str">
        <x:v>EXP095</x:v>
      </x:c>
      <x:c r="B3083" s="3" t="str">
        <x:v>KuaiRec</x:v>
      </x:c>
      <x:c r="C3083" s="18" t="n">
        <x:v>709255664</x:v>
      </x:c>
      <x:c r="D3083" s="3" t="str">
        <x:v>Fixed rank 10</x:v>
      </x:c>
      <x:c r="E3083" s="18" t="n">
        <x:v>600</x:v>
      </x:c>
      <x:c r="F3083" s="21" t="n">
        <x:v>1333.144803687455</x:v>
      </x:c>
      <x:c r="G3083" s="21" t="n">
        <x:f>F3081</x:f>
        <x:v>1338.5165591534503</x:v>
      </x:c>
      <x:c r="H3083" s="21" t="n">
        <x:f>F3086</x:f>
        <x:v>1378.5896077024124</x:v>
      </x:c>
      <x:c r="I3083" s="27" t="n">
        <x:f>IF(AND(ISNUMBER(G3083),ISNUMBER(H3083),H3083&gt;0),G3083/H3083-1,"")</x:f>
        <x:v>-0.029068149306412328</x:v>
      </x:c>
      <x:c r="J3083" s="27" t="n">
        <x:f>IF(AND(ISNUMBER(G3083),F3083&gt;0),G3083/F3083-1,"")</x:f>
        <x:v>0.004029386343581853</x:v>
      </x:c>
      <x:c r="K3083" s="19" t="str">
        <x:v>KuaiRec/EXP095/results/seed709255664_Fixed_rank_10.json</x:v>
      </x:c>
    </x:row>
    <x:row r="3084" ht="15" hidden="0" customHeight="1">
      <x:c r="A3084" s="3" t="str">
        <x:v>EXP095</x:v>
      </x:c>
      <x:c r="B3084" s="3" t="str">
        <x:v>KuaiRec</x:v>
      </x:c>
      <x:c r="C3084" s="18" t="n">
        <x:v>709255664</x:v>
      </x:c>
      <x:c r="D3084" s="3" t="str">
        <x:v>Fixed rank 25</x:v>
      </x:c>
      <x:c r="E3084" s="18" t="n">
        <x:v>600</x:v>
      </x:c>
      <x:c r="F3084" s="21" t="n">
        <x:v>1338.5165591534503</x:v>
      </x:c>
      <x:c r="G3084" s="21" t="n">
        <x:f>F3081</x:f>
        <x:v>1338.5165591534503</x:v>
      </x:c>
      <x:c r="H3084" s="21" t="n">
        <x:f>F3086</x:f>
        <x:v>1378.5896077024124</x:v>
      </x:c>
      <x:c r="I3084" s="27" t="n">
        <x:f>IF(AND(ISNUMBER(G3084),ISNUMBER(H3084),H3084&gt;0),G3084/H3084-1,"")</x:f>
        <x:v>-0.029068149306412328</x:v>
      </x:c>
      <x:c r="J3084" s="27" t="n">
        <x:f>IF(AND(ISNUMBER(G3084),F3084&gt;0),G3084/F3084-1,"")</x:f>
        <x:v>0</x:v>
      </x:c>
      <x:c r="K3084" s="19" t="str">
        <x:v>KuaiRec/EXP095/results/seed709255664_Fixed_rank_25.json</x:v>
      </x:c>
    </x:row>
    <x:row r="3085" ht="15" hidden="0" customHeight="1">
      <x:c r="A3085" s="3" t="str">
        <x:v>EXP095</x:v>
      </x:c>
      <x:c r="B3085" s="3" t="str">
        <x:v>KuaiRec</x:v>
      </x:c>
      <x:c r="C3085" s="18" t="n">
        <x:v>709255664</x:v>
      </x:c>
      <x:c r="D3085" s="3" t="str">
        <x:v>Relative cutoff 1e-6</x:v>
      </x:c>
      <x:c r="E3085" s="18" t="n">
        <x:v>600</x:v>
      </x:c>
      <x:c r="F3085" s="21" t="n">
        <x:v>1338.5165591534503</x:v>
      </x:c>
      <x:c r="G3085" s="21" t="n">
        <x:f>F3081</x:f>
        <x:v>1338.5165591534503</x:v>
      </x:c>
      <x:c r="H3085" s="21" t="n">
        <x:f>F3086</x:f>
        <x:v>1378.5896077024124</x:v>
      </x:c>
      <x:c r="I3085" s="27" t="n">
        <x:f>IF(AND(ISNUMBER(G3085),ISNUMBER(H3085),H3085&gt;0),G3085/H3085-1,"")</x:f>
        <x:v>-0.029068149306412328</x:v>
      </x:c>
      <x:c r="J3085" s="27" t="n">
        <x:f>IF(AND(ISNUMBER(G3085),F3085&gt;0),G3085/F3085-1,"")</x:f>
        <x:v>0</x:v>
      </x:c>
      <x:c r="K3085" s="19" t="str">
        <x:v>KuaiRec/EXP095/results/seed709255664_Relative_cutoff_1e-6.json</x:v>
      </x:c>
    </x:row>
    <x:row r="3086" ht="15" hidden="0" customHeight="1">
      <x:c r="A3086" s="3" t="str">
        <x:v>EXP095</x:v>
      </x:c>
      <x:c r="B3086" s="3" t="str">
        <x:v>KuaiRec</x:v>
      </x:c>
      <x:c r="C3086" s="18" t="n">
        <x:v>709255664</x:v>
      </x:c>
      <x:c r="D3086" s="3" t="str">
        <x:v>Full</x:v>
      </x:c>
      <x:c r="E3086" s="18" t="n">
        <x:v>600</x:v>
      </x:c>
      <x:c r="F3086" s="21" t="n">
        <x:v>1378.5896077024124</x:v>
      </x:c>
      <x:c r="G3086" s="21" t="n">
        <x:f>F3081</x:f>
        <x:v>1338.5165591534503</x:v>
      </x:c>
      <x:c r="H3086" s="21" t="n">
        <x:f>F3086</x:f>
        <x:v>1378.5896077024124</x:v>
      </x:c>
      <x:c r="I3086" s="27" t="n">
        <x:f>IF(AND(ISNUMBER(G3086),ISNUMBER(H3086),H3086&gt;0),G3086/H3086-1,"")</x:f>
        <x:v>-0.029068149306412328</x:v>
      </x:c>
      <x:c r="J3086" s="27" t="n">
        <x:f>IF(AND(ISNUMBER(G3086),F3086&gt;0),G3086/F3086-1,"")</x:f>
        <x:v>-0.029068149306412328</x:v>
      </x:c>
      <x:c r="K3086" s="19" t="str">
        <x:v>KuaiRec/EXP095/results/seed709255664_Full.json</x:v>
      </x:c>
    </x:row>
    <x:row r="3087" ht="15" hidden="0" customHeight="1">
      <x:c r="A3087" s="3" t="str">
        <x:v>EXP095</x:v>
      </x:c>
      <x:c r="B3087" s="3" t="str">
        <x:v>KuaiRec</x:v>
      </x:c>
      <x:c r="C3087" s="18" t="n">
        <x:v>709255664</x:v>
      </x:c>
      <x:c r="D3087" s="3" t="str">
        <x:v>Relative cutoff 1e-2</x:v>
      </x:c>
      <x:c r="E3087" s="18" t="n">
        <x:v>600</x:v>
      </x:c>
      <x:c r="F3087" s="21" t="n">
        <x:v>1385.059597479299</x:v>
      </x:c>
      <x:c r="G3087" s="21" t="n">
        <x:f>F3081</x:f>
        <x:v>1338.5165591534503</x:v>
      </x:c>
      <x:c r="H3087" s="21" t="n">
        <x:f>F3086</x:f>
        <x:v>1378.5896077024124</x:v>
      </x:c>
      <x:c r="I3087" s="27" t="n">
        <x:f>IF(AND(ISNUMBER(G3087),ISNUMBER(H3087),H3087&gt;0),G3087/H3087-1,"")</x:f>
        <x:v>-0.029068149306412328</x:v>
      </x:c>
      <x:c r="J3087" s="27" t="n">
        <x:f>IF(AND(ISNUMBER(G3087),F3087&gt;0),G3087/F3087-1,"")</x:f>
        <x:v>-0.033603635836720325</x:v>
      </x:c>
      <x:c r="K3087" s="19" t="str">
        <x:v>KuaiRec/EXP095/results/seed709255664_Relative_cutoff_1e-2.json</x:v>
      </x:c>
    </x:row>
    <x:row r="3088" ht="15" hidden="0" customHeight="1">
      <x:c r="A3088" s="3" t="str">
        <x:v>EXP095</x:v>
      </x:c>
      <x:c r="B3088" s="3" t="str">
        <x:v>KuaiRec</x:v>
      </x:c>
      <x:c r="C3088" s="18" t="n">
        <x:v>709255664</x:v>
      </x:c>
      <x:c r="D3088" s="3" t="str">
        <x:v>Relative cutoff 1e-4</x:v>
      </x:c>
      <x:c r="E3088" s="18" t="n">
        <x:v>600</x:v>
      </x:c>
      <x:c r="F3088" s="21" t="n">
        <x:v>1398.008699798616</x:v>
      </x:c>
      <x:c r="G3088" s="21" t="n">
        <x:f>F3081</x:f>
        <x:v>1338.5165591534503</x:v>
      </x:c>
      <x:c r="H3088" s="21" t="n">
        <x:f>F3086</x:f>
        <x:v>1378.5896077024124</x:v>
      </x:c>
      <x:c r="I3088" s="27" t="n">
        <x:f>IF(AND(ISNUMBER(G3088),ISNUMBER(H3088),H3088&gt;0),G3088/H3088-1,"")</x:f>
        <x:v>-0.029068149306412328</x:v>
      </x:c>
      <x:c r="J3088" s="27" t="n">
        <x:f>IF(AND(ISNUMBER(G3088),F3088&gt;0),G3088/F3088-1,"")</x:f>
        <x:v>-0.04255491446779658</x:v>
      </x:c>
      <x:c r="K3088" s="19" t="str">
        <x:v>KuaiRec/EXP095/results/seed709255664_Relative_cutoff_1e-4.json</x:v>
      </x:c>
    </x:row>
    <x:row r="3089" ht="15" hidden="0" customHeight="1">
      <x:c r="A3089" s="3" t="str">
        <x:v>EXP095</x:v>
      </x:c>
      <x:c r="B3089" s="3" t="str">
        <x:v>KuaiRec</x:v>
      </x:c>
      <x:c r="C3089" s="18" t="n">
        <x:v>726091954</x:v>
      </x:c>
      <x:c r="D3089" s="3" t="str">
        <x:v>BBP</x:v>
      </x:c>
      <x:c r="E3089" s="18" t="n">
        <x:v>600</x:v>
      </x:c>
      <x:c r="F3089" s="21" t="n">
        <x:v>1275.801665192095</x:v>
      </x:c>
      <x:c r="G3089" s="21" t="n">
        <x:f>F3089</x:f>
        <x:v>1275.801665192095</x:v>
      </x:c>
      <x:c r="H3089" s="21" t="n">
        <x:f>F3094</x:f>
        <x:v>1282.9483994360266</x:v>
      </x:c>
      <x:c r="I3089" s="27" t="n">
        <x:f>IF(AND(ISNUMBER(G3089),ISNUMBER(H3089),H3089&gt;0),G3089/H3089-1,"")</x:f>
        <x:v>-0.005570554705920605</x:v>
      </x:c>
      <x:c r="J3089" s="27" t="n">
        <x:f>IF(AND(ISNUMBER(G3089),F3089&gt;0),G3089/F3089-1,"")</x:f>
        <x:v>0</x:v>
      </x:c>
      <x:c r="K3089" s="19" t="str">
        <x:v>KuaiRec/EXP095/results/seed726091954_BBP.json</x:v>
      </x:c>
    </x:row>
    <x:row r="3090" ht="15" hidden="0" customHeight="1">
      <x:c r="A3090" s="3" t="str">
        <x:v>EXP095</x:v>
      </x:c>
      <x:c r="B3090" s="3" t="str">
        <x:v>KuaiRec</x:v>
      </x:c>
      <x:c r="C3090" s="18" t="n">
        <x:v>726091954</x:v>
      </x:c>
      <x:c r="D3090" s="3" t="str">
        <x:v>Relative cutoff 1e-5</x:v>
      </x:c>
      <x:c r="E3090" s="18" t="n">
        <x:v>600</x:v>
      </x:c>
      <x:c r="F3090" s="21" t="n">
        <x:v>1275.9815575156408</x:v>
      </x:c>
      <x:c r="G3090" s="21" t="n">
        <x:f>F3089</x:f>
        <x:v>1275.801665192095</x:v>
      </x:c>
      <x:c r="H3090" s="21" t="n">
        <x:f>F3094</x:f>
        <x:v>1282.9483994360266</x:v>
      </x:c>
      <x:c r="I3090" s="27" t="n">
        <x:f>IF(AND(ISNUMBER(G3090),ISNUMBER(H3090),H3090&gt;0),G3090/H3090-1,"")</x:f>
        <x:v>-0.005570554705920605</x:v>
      </x:c>
      <x:c r="J3090" s="27" t="n">
        <x:f>IF(AND(ISNUMBER(G3090),F3090&gt;0),G3090/F3090-1,"")</x:f>
        <x:v>-0.00014098348246982528</x:v>
      </x:c>
      <x:c r="K3090" s="19" t="str">
        <x:v>KuaiRec/EXP095/results/seed726091954_Relative_cutoff_1e-5.json</x:v>
      </x:c>
    </x:row>
    <x:row r="3091" ht="15" hidden="0" customHeight="1">
      <x:c r="A3091" s="3" t="str">
        <x:v>EXP095</x:v>
      </x:c>
      <x:c r="B3091" s="3" t="str">
        <x:v>KuaiRec</x:v>
      </x:c>
      <x:c r="C3091" s="18" t="n">
        <x:v>726091954</x:v>
      </x:c>
      <x:c r="D3091" s="3" t="str">
        <x:v>Fixed rank 10</x:v>
      </x:c>
      <x:c r="E3091" s="18" t="n">
        <x:v>600</x:v>
      </x:c>
      <x:c r="F3091" s="21" t="n">
        <x:v>1278.2431179257696</x:v>
      </x:c>
      <x:c r="G3091" s="21" t="n">
        <x:f>F3089</x:f>
        <x:v>1275.801665192095</x:v>
      </x:c>
      <x:c r="H3091" s="21" t="n">
        <x:f>F3094</x:f>
        <x:v>1282.9483994360266</x:v>
      </x:c>
      <x:c r="I3091" s="27" t="n">
        <x:f>IF(AND(ISNUMBER(G3091),ISNUMBER(H3091),H3091&gt;0),G3091/H3091-1,"")</x:f>
        <x:v>-0.005570554705920605</x:v>
      </x:c>
      <x:c r="J3091" s="27" t="n">
        <x:f>IF(AND(ISNUMBER(G3091),F3091&gt;0),G3091/F3091-1,"")</x:f>
        <x:v>-0.0019100065546501233</x:v>
      </x:c>
      <x:c r="K3091" s="19" t="str">
        <x:v>KuaiRec/EXP095/results/seed726091954_Fixed_rank_10.json</x:v>
      </x:c>
    </x:row>
    <x:row r="3092" ht="15" hidden="0" customHeight="1">
      <x:c r="A3092" s="3" t="str">
        <x:v>EXP095</x:v>
      </x:c>
      <x:c r="B3092" s="3" t="str">
        <x:v>KuaiRec</x:v>
      </x:c>
      <x:c r="C3092" s="18" t="n">
        <x:v>726091954</x:v>
      </x:c>
      <x:c r="D3092" s="3" t="str">
        <x:v>Fixed rank 25</x:v>
      </x:c>
      <x:c r="E3092" s="18" t="n">
        <x:v>600</x:v>
      </x:c>
      <x:c r="F3092" s="21" t="n">
        <x:v>1275.801665192095</x:v>
      </x:c>
      <x:c r="G3092" s="21" t="n">
        <x:f>F3089</x:f>
        <x:v>1275.801665192095</x:v>
      </x:c>
      <x:c r="H3092" s="21" t="n">
        <x:f>F3094</x:f>
        <x:v>1282.9483994360266</x:v>
      </x:c>
      <x:c r="I3092" s="27" t="n">
        <x:f>IF(AND(ISNUMBER(G3092),ISNUMBER(H3092),H3092&gt;0),G3092/H3092-1,"")</x:f>
        <x:v>-0.005570554705920605</x:v>
      </x:c>
      <x:c r="J3092" s="27" t="n">
        <x:f>IF(AND(ISNUMBER(G3092),F3092&gt;0),G3092/F3092-1,"")</x:f>
        <x:v>0</x:v>
      </x:c>
      <x:c r="K3092" s="19" t="str">
        <x:v>KuaiRec/EXP095/results/seed726091954_Fixed_rank_25.json</x:v>
      </x:c>
    </x:row>
    <x:row r="3093" ht="15" hidden="0" customHeight="1">
      <x:c r="A3093" s="3" t="str">
        <x:v>EXP095</x:v>
      </x:c>
      <x:c r="B3093" s="3" t="str">
        <x:v>KuaiRec</x:v>
      </x:c>
      <x:c r="C3093" s="18" t="n">
        <x:v>726091954</x:v>
      </x:c>
      <x:c r="D3093" s="3" t="str">
        <x:v>Relative cutoff 1e-6</x:v>
      </x:c>
      <x:c r="E3093" s="18" t="n">
        <x:v>600</x:v>
      </x:c>
      <x:c r="F3093" s="21" t="n">
        <x:v>1282.9483994360266</x:v>
      </x:c>
      <x:c r="G3093" s="21" t="n">
        <x:f>F3089</x:f>
        <x:v>1275.801665192095</x:v>
      </x:c>
      <x:c r="H3093" s="21" t="n">
        <x:f>F3094</x:f>
        <x:v>1282.9483994360266</x:v>
      </x:c>
      <x:c r="I3093" s="27" t="n">
        <x:f>IF(AND(ISNUMBER(G3093),ISNUMBER(H3093),H3093&gt;0),G3093/H3093-1,"")</x:f>
        <x:v>-0.005570554705920605</x:v>
      </x:c>
      <x:c r="J3093" s="27" t="n">
        <x:f>IF(AND(ISNUMBER(G3093),F3093&gt;0),G3093/F3093-1,"")</x:f>
        <x:v>-0.005570554705920605</x:v>
      </x:c>
      <x:c r="K3093" s="19" t="str">
        <x:v>KuaiRec/EXP095/results/seed726091954_Relative_cutoff_1e-6.json</x:v>
      </x:c>
    </x:row>
    <x:row r="3094" ht="15" hidden="0" customHeight="1">
      <x:c r="A3094" s="3" t="str">
        <x:v>EXP095</x:v>
      </x:c>
      <x:c r="B3094" s="3" t="str">
        <x:v>KuaiRec</x:v>
      </x:c>
      <x:c r="C3094" s="18" t="n">
        <x:v>726091954</x:v>
      </x:c>
      <x:c r="D3094" s="3" t="str">
        <x:v>Full</x:v>
      </x:c>
      <x:c r="E3094" s="18" t="n">
        <x:v>600</x:v>
      </x:c>
      <x:c r="F3094" s="21" t="n">
        <x:v>1282.9483994360266</x:v>
      </x:c>
      <x:c r="G3094" s="21" t="n">
        <x:f>F3089</x:f>
        <x:v>1275.801665192095</x:v>
      </x:c>
      <x:c r="H3094" s="21" t="n">
        <x:f>F3094</x:f>
        <x:v>1282.9483994360266</x:v>
      </x:c>
      <x:c r="I3094" s="27" t="n">
        <x:f>IF(AND(ISNUMBER(G3094),ISNUMBER(H3094),H3094&gt;0),G3094/H3094-1,"")</x:f>
        <x:v>-0.005570554705920605</x:v>
      </x:c>
      <x:c r="J3094" s="27" t="n">
        <x:f>IF(AND(ISNUMBER(G3094),F3094&gt;0),G3094/F3094-1,"")</x:f>
        <x:v>-0.005570554705920605</x:v>
      </x:c>
      <x:c r="K3094" s="19" t="str">
        <x:v>KuaiRec/EXP095/results/seed726091954_Full.json</x:v>
      </x:c>
    </x:row>
    <x:row r="3095" ht="15" hidden="0" customHeight="1">
      <x:c r="A3095" s="3" t="str">
        <x:v>EXP095</x:v>
      </x:c>
      <x:c r="B3095" s="3" t="str">
        <x:v>KuaiRec</x:v>
      </x:c>
      <x:c r="C3095" s="18" t="n">
        <x:v>726091954</x:v>
      </x:c>
      <x:c r="D3095" s="3" t="str">
        <x:v>Relative cutoff 1e-2</x:v>
      </x:c>
      <x:c r="E3095" s="18" t="n">
        <x:v>600</x:v>
      </x:c>
      <x:c r="F3095" s="21" t="n">
        <x:v>1353.7827789713488</x:v>
      </x:c>
      <x:c r="G3095" s="21" t="n">
        <x:f>F3089</x:f>
        <x:v>1275.801665192095</x:v>
      </x:c>
      <x:c r="H3095" s="21" t="n">
        <x:f>F3094</x:f>
        <x:v>1282.9483994360266</x:v>
      </x:c>
      <x:c r="I3095" s="27" t="n">
        <x:f>IF(AND(ISNUMBER(G3095),ISNUMBER(H3095),H3095&gt;0),G3095/H3095-1,"")</x:f>
        <x:v>-0.005570554705920605</x:v>
      </x:c>
      <x:c r="J3095" s="27" t="n">
        <x:f>IF(AND(ISNUMBER(G3095),F3095&gt;0),G3095/F3095-1,"")</x:f>
        <x:v>-0.05760238273861518</x:v>
      </x:c>
      <x:c r="K3095" s="19" t="str">
        <x:v>KuaiRec/EXP095/results/seed726091954_Relative_cutoff_1e-2.json</x:v>
      </x:c>
    </x:row>
    <x:row r="3096" ht="15" hidden="0" customHeight="1">
      <x:c r="A3096" s="3" t="str">
        <x:v>EXP095</x:v>
      </x:c>
      <x:c r="B3096" s="3" t="str">
        <x:v>KuaiRec</x:v>
      </x:c>
      <x:c r="C3096" s="18" t="n">
        <x:v>726091954</x:v>
      </x:c>
      <x:c r="D3096" s="3" t="str">
        <x:v>Relative cutoff 1e-4</x:v>
      </x:c>
      <x:c r="E3096" s="18" t="n">
        <x:v>600</x:v>
      </x:c>
      <x:c r="F3096" s="21" t="n">
        <x:v>1387.174991832456</x:v>
      </x:c>
      <x:c r="G3096" s="21" t="n">
        <x:f>F3089</x:f>
        <x:v>1275.801665192095</x:v>
      </x:c>
      <x:c r="H3096" s="21" t="n">
        <x:f>F3094</x:f>
        <x:v>1282.9483994360266</x:v>
      </x:c>
      <x:c r="I3096" s="27" t="n">
        <x:f>IF(AND(ISNUMBER(G3096),ISNUMBER(H3096),H3096&gt;0),G3096/H3096-1,"")</x:f>
        <x:v>-0.005570554705920605</x:v>
      </x:c>
      <x:c r="J3096" s="27" t="n">
        <x:f>IF(AND(ISNUMBER(G3096),F3096&gt;0),G3096/F3096-1,"")</x:f>
        <x:v>-0.08028787088587652</x:v>
      </x:c>
      <x:c r="K3096" s="19" t="str">
        <x:v>KuaiRec/EXP095/results/seed726091954_Relative_cutoff_1e-4.json</x:v>
      </x:c>
    </x:row>
    <x:row r="3097" ht="15" hidden="0" customHeight="1">
      <x:c r="A3097" s="3" t="str">
        <x:v>EXP095</x:v>
      </x:c>
      <x:c r="B3097" s="3" t="str">
        <x:v>KuaiRec</x:v>
      </x:c>
      <x:c r="C3097" s="18" t="n">
        <x:v>764712097</x:v>
      </x:c>
      <x:c r="D3097" s="3" t="str">
        <x:v>BBP</x:v>
      </x:c>
      <x:c r="E3097" s="18" t="n">
        <x:v>600</x:v>
      </x:c>
      <x:c r="F3097" s="21" t="n">
        <x:v>1231.6853830985824</x:v>
      </x:c>
      <x:c r="G3097" s="21" t="n">
        <x:f>F3097</x:f>
        <x:v>1231.6853830985824</x:v>
      </x:c>
      <x:c r="H3097" s="21" t="n">
        <x:f>F3102</x:f>
        <x:v>1205.3314550091475</x:v>
      </x:c>
      <x:c r="I3097" s="27" t="n">
        <x:f>IF(AND(ISNUMBER(G3097),ISNUMBER(H3097),H3097&gt;0),G3097/H3097-1,"")</x:f>
        <x:v>0.02186446556249111</x:v>
      </x:c>
      <x:c r="J3097" s="27" t="n">
        <x:f>IF(AND(ISNUMBER(G3097),F3097&gt;0),G3097/F3097-1,"")</x:f>
        <x:v>0</x:v>
      </x:c>
      <x:c r="K3097" s="19" t="str">
        <x:v>KuaiRec/EXP095/results/seed764712097_BBP.json</x:v>
      </x:c>
    </x:row>
    <x:row r="3098" ht="15" hidden="0" customHeight="1">
      <x:c r="A3098" s="3" t="str">
        <x:v>EXP095</x:v>
      </x:c>
      <x:c r="B3098" s="3" t="str">
        <x:v>KuaiRec</x:v>
      </x:c>
      <x:c r="C3098" s="18" t="n">
        <x:v>764712097</x:v>
      </x:c>
      <x:c r="D3098" s="3" t="str">
        <x:v>Relative cutoff 1e-5</x:v>
      </x:c>
      <x:c r="E3098" s="18" t="n">
        <x:v>600</x:v>
      </x:c>
      <x:c r="F3098" s="21" t="n">
        <x:v>1354.2690250356195</x:v>
      </x:c>
      <x:c r="G3098" s="21" t="n">
        <x:f>F3097</x:f>
        <x:v>1231.6853830985824</x:v>
      </x:c>
      <x:c r="H3098" s="21" t="n">
        <x:f>F3102</x:f>
        <x:v>1205.3314550091475</x:v>
      </x:c>
      <x:c r="I3098" s="27" t="n">
        <x:f>IF(AND(ISNUMBER(G3098),ISNUMBER(H3098),H3098&gt;0),G3098/H3098-1,"")</x:f>
        <x:v>0.02186446556249111</x:v>
      </x:c>
      <x:c r="J3098" s="27" t="n">
        <x:f>IF(AND(ISNUMBER(G3098),F3098&gt;0),G3098/F3098-1,"")</x:f>
        <x:v>-0.09051646288211679</x:v>
      </x:c>
      <x:c r="K3098" s="19" t="str">
        <x:v>KuaiRec/EXP095/results/seed764712097_Relative_cutoff_1e-5.json</x:v>
      </x:c>
    </x:row>
    <x:row r="3099" ht="15" hidden="0" customHeight="1">
      <x:c r="A3099" s="3" t="str">
        <x:v>EXP095</x:v>
      </x:c>
      <x:c r="B3099" s="3" t="str">
        <x:v>KuaiRec</x:v>
      </x:c>
      <x:c r="C3099" s="18" t="n">
        <x:v>764712097</x:v>
      </x:c>
      <x:c r="D3099" s="3" t="str">
        <x:v>Fixed rank 10</x:v>
      </x:c>
      <x:c r="E3099" s="18" t="n">
        <x:v>600</x:v>
      </x:c>
      <x:c r="F3099" s="21" t="n">
        <x:v>1262.0818807876778</x:v>
      </x:c>
      <x:c r="G3099" s="21" t="n">
        <x:f>F3097</x:f>
        <x:v>1231.6853830985824</x:v>
      </x:c>
      <x:c r="H3099" s="21" t="n">
        <x:f>F3102</x:f>
        <x:v>1205.3314550091475</x:v>
      </x:c>
      <x:c r="I3099" s="27" t="n">
        <x:f>IF(AND(ISNUMBER(G3099),ISNUMBER(H3099),H3099&gt;0),G3099/H3099-1,"")</x:f>
        <x:v>0.02186446556249111</x:v>
      </x:c>
      <x:c r="J3099" s="27" t="n">
        <x:f>IF(AND(ISNUMBER(G3099),F3099&gt;0),G3099/F3099-1,"")</x:f>
        <x:v>-0.024084410173232706</x:v>
      </x:c>
      <x:c r="K3099" s="19" t="str">
        <x:v>KuaiRec/EXP095/results/seed764712097_Fixed_rank_10.json</x:v>
      </x:c>
    </x:row>
    <x:row r="3100" ht="15" hidden="0" customHeight="1">
      <x:c r="A3100" s="3" t="str">
        <x:v>EXP095</x:v>
      </x:c>
      <x:c r="B3100" s="3" t="str">
        <x:v>KuaiRec</x:v>
      </x:c>
      <x:c r="C3100" s="18" t="n">
        <x:v>764712097</x:v>
      </x:c>
      <x:c r="D3100" s="3" t="str">
        <x:v>Fixed rank 25</x:v>
      </x:c>
      <x:c r="E3100" s="18" t="n">
        <x:v>600</x:v>
      </x:c>
      <x:c r="F3100" s="21" t="n">
        <x:v>1231.6853830985824</x:v>
      </x:c>
      <x:c r="G3100" s="21" t="n">
        <x:f>F3097</x:f>
        <x:v>1231.6853830985824</x:v>
      </x:c>
      <x:c r="H3100" s="21" t="n">
        <x:f>F3102</x:f>
        <x:v>1205.3314550091475</x:v>
      </x:c>
      <x:c r="I3100" s="27" t="n">
        <x:f>IF(AND(ISNUMBER(G3100),ISNUMBER(H3100),H3100&gt;0),G3100/H3100-1,"")</x:f>
        <x:v>0.02186446556249111</x:v>
      </x:c>
      <x:c r="J3100" s="27" t="n">
        <x:f>IF(AND(ISNUMBER(G3100),F3100&gt;0),G3100/F3100-1,"")</x:f>
        <x:v>0</x:v>
      </x:c>
      <x:c r="K3100" s="19" t="str">
        <x:v>KuaiRec/EXP095/results/seed764712097_Fixed_rank_25.json</x:v>
      </x:c>
    </x:row>
    <x:row r="3101" ht="15" hidden="0" customHeight="1">
      <x:c r="A3101" s="3" t="str">
        <x:v>EXP095</x:v>
      </x:c>
      <x:c r="B3101" s="3" t="str">
        <x:v>KuaiRec</x:v>
      </x:c>
      <x:c r="C3101" s="18" t="n">
        <x:v>764712097</x:v>
      </x:c>
      <x:c r="D3101" s="3" t="str">
        <x:v>Relative cutoff 1e-6</x:v>
      </x:c>
      <x:c r="E3101" s="18" t="n">
        <x:v>600</x:v>
      </x:c>
      <x:c r="F3101" s="21" t="n">
        <x:v>1231.6853830985824</x:v>
      </x:c>
      <x:c r="G3101" s="21" t="n">
        <x:f>F3097</x:f>
        <x:v>1231.6853830985824</x:v>
      </x:c>
      <x:c r="H3101" s="21" t="n">
        <x:f>F3102</x:f>
        <x:v>1205.3314550091475</x:v>
      </x:c>
      <x:c r="I3101" s="27" t="n">
        <x:f>IF(AND(ISNUMBER(G3101),ISNUMBER(H3101),H3101&gt;0),G3101/H3101-1,"")</x:f>
        <x:v>0.02186446556249111</x:v>
      </x:c>
      <x:c r="J3101" s="27" t="n">
        <x:f>IF(AND(ISNUMBER(G3101),F3101&gt;0),G3101/F3101-1,"")</x:f>
        <x:v>0</x:v>
      </x:c>
      <x:c r="K3101" s="19" t="str">
        <x:v>KuaiRec/EXP095/results/seed764712097_Relative_cutoff_1e-6.json</x:v>
      </x:c>
    </x:row>
    <x:row r="3102" ht="15" hidden="0" customHeight="1">
      <x:c r="A3102" s="3" t="str">
        <x:v>EXP095</x:v>
      </x:c>
      <x:c r="B3102" s="3" t="str">
        <x:v>KuaiRec</x:v>
      </x:c>
      <x:c r="C3102" s="18" t="n">
        <x:v>764712097</x:v>
      </x:c>
      <x:c r="D3102" s="3" t="str">
        <x:v>Full</x:v>
      </x:c>
      <x:c r="E3102" s="18" t="n">
        <x:v>600</x:v>
      </x:c>
      <x:c r="F3102" s="21" t="n">
        <x:v>1205.3314550091475</x:v>
      </x:c>
      <x:c r="G3102" s="21" t="n">
        <x:f>F3097</x:f>
        <x:v>1231.6853830985824</x:v>
      </x:c>
      <x:c r="H3102" s="21" t="n">
        <x:f>F3102</x:f>
        <x:v>1205.3314550091475</x:v>
      </x:c>
      <x:c r="I3102" s="27" t="n">
        <x:f>IF(AND(ISNUMBER(G3102),ISNUMBER(H3102),H3102&gt;0),G3102/H3102-1,"")</x:f>
        <x:v>0.02186446556249111</x:v>
      </x:c>
      <x:c r="J3102" s="27" t="n">
        <x:f>IF(AND(ISNUMBER(G3102),F3102&gt;0),G3102/F3102-1,"")</x:f>
        <x:v>0.02186446556249111</x:v>
      </x:c>
      <x:c r="K3102" s="19" t="str">
        <x:v>KuaiRec/EXP095/results/seed764712097_Full.json</x:v>
      </x:c>
    </x:row>
    <x:row r="3103" ht="15" hidden="0" customHeight="1">
      <x:c r="A3103" s="3" t="str">
        <x:v>EXP095</x:v>
      </x:c>
      <x:c r="B3103" s="3" t="str">
        <x:v>KuaiRec</x:v>
      </x:c>
      <x:c r="C3103" s="18" t="n">
        <x:v>764712097</x:v>
      </x:c>
      <x:c r="D3103" s="3" t="str">
        <x:v>Relative cutoff 1e-2</x:v>
      </x:c>
      <x:c r="E3103" s="18" t="n">
        <x:v>600</x:v>
      </x:c>
      <x:c r="F3103" s="21" t="n">
        <x:v>1228.489277681902</x:v>
      </x:c>
      <x:c r="G3103" s="21" t="n">
        <x:f>F3097</x:f>
        <x:v>1231.6853830985824</x:v>
      </x:c>
      <x:c r="H3103" s="21" t="n">
        <x:f>F3102</x:f>
        <x:v>1205.3314550091475</x:v>
      </x:c>
      <x:c r="I3103" s="27" t="n">
        <x:f>IF(AND(ISNUMBER(G3103),ISNUMBER(H3103),H3103&gt;0),G3103/H3103-1,"")</x:f>
        <x:v>0.02186446556249111</x:v>
      </x:c>
      <x:c r="J3103" s="27" t="n">
        <x:f>IF(AND(ISNUMBER(G3103),F3103&gt;0),G3103/F3103-1,"")</x:f>
        <x:v>0.0026016551179928182</x:v>
      </x:c>
      <x:c r="K3103" s="19" t="str">
        <x:v>KuaiRec/EXP095/results/seed764712097_Relative_cutoff_1e-2.json</x:v>
      </x:c>
    </x:row>
    <x:row r="3104" ht="15" hidden="0" customHeight="1">
      <x:c r="A3104" s="3" t="str">
        <x:v>EXP095</x:v>
      </x:c>
      <x:c r="B3104" s="3" t="str">
        <x:v>KuaiRec</x:v>
      </x:c>
      <x:c r="C3104" s="18" t="n">
        <x:v>764712097</x:v>
      </x:c>
      <x:c r="D3104" s="3" t="str">
        <x:v>Relative cutoff 1e-4</x:v>
      </x:c>
      <x:c r="E3104" s="18" t="n">
        <x:v>600</x:v>
      </x:c>
      <x:c r="F3104" s="21" t="n">
        <x:v>1242.6308965961268</x:v>
      </x:c>
      <x:c r="G3104" s="21" t="n">
        <x:f>F3097</x:f>
        <x:v>1231.6853830985824</x:v>
      </x:c>
      <x:c r="H3104" s="21" t="n">
        <x:f>F3102</x:f>
        <x:v>1205.3314550091475</x:v>
      </x:c>
      <x:c r="I3104" s="27" t="n">
        <x:f>IF(AND(ISNUMBER(G3104),ISNUMBER(H3104),H3104&gt;0),G3104/H3104-1,"")</x:f>
        <x:v>0.02186446556249111</x:v>
      </x:c>
      <x:c r="J3104" s="27" t="n">
        <x:f>IF(AND(ISNUMBER(G3104),F3104&gt;0),G3104/F3104-1,"")</x:f>
        <x:v>-0.008808338443480612</x:v>
      </x:c>
      <x:c r="K3104" s="19" t="str">
        <x:v>KuaiRec/EXP095/results/seed764712097_Relative_cutoff_1e-4.json</x:v>
      </x:c>
    </x:row>
    <x:row r="3105" ht="15" hidden="0" customHeight="1">
      <x:c r="A3105" s="3" t="str">
        <x:v>EXP095</x:v>
      </x:c>
      <x:c r="B3105" s="3" t="str">
        <x:v>KuaiRec</x:v>
      </x:c>
      <x:c r="C3105" s="18" t="n">
        <x:v>784820884</x:v>
      </x:c>
      <x:c r="D3105" s="3" t="str">
        <x:v>BBP</x:v>
      </x:c>
      <x:c r="E3105" s="18" t="n">
        <x:v>600</x:v>
      </x:c>
      <x:c r="F3105" s="21" t="n">
        <x:v>1382.3790515287185</x:v>
      </x:c>
      <x:c r="G3105" s="21" t="n">
        <x:f>F3105</x:f>
        <x:v>1382.3790515287185</x:v>
      </x:c>
      <x:c r="H3105" s="21" t="n">
        <x:f>F3110</x:f>
        <x:v>1396.8802381982152</x:v>
      </x:c>
      <x:c r="I3105" s="27" t="n">
        <x:f>IF(AND(ISNUMBER(G3105),ISNUMBER(H3105),H3105&gt;0),G3105/H3105-1,"")</x:f>
        <x:v>-0.01038112378782119</x:v>
      </x:c>
      <x:c r="J3105" s="27" t="n">
        <x:f>IF(AND(ISNUMBER(G3105),F3105&gt;0),G3105/F3105-1,"")</x:f>
        <x:v>0</x:v>
      </x:c>
      <x:c r="K3105" s="19" t="str">
        <x:v>KuaiRec/EXP095/results/seed784820884_BBP.json</x:v>
      </x:c>
    </x:row>
    <x:row r="3106" ht="15" hidden="0" customHeight="1">
      <x:c r="A3106" s="3" t="str">
        <x:v>EXP095</x:v>
      </x:c>
      <x:c r="B3106" s="3" t="str">
        <x:v>KuaiRec</x:v>
      </x:c>
      <x:c r="C3106" s="18" t="n">
        <x:v>784820884</x:v>
      </x:c>
      <x:c r="D3106" s="3" t="str">
        <x:v>Relative cutoff 1e-5</x:v>
      </x:c>
      <x:c r="E3106" s="18" t="n">
        <x:v>600</x:v>
      </x:c>
      <x:c r="F3106" s="21" t="n">
        <x:v>1375.4705750405606</x:v>
      </x:c>
      <x:c r="G3106" s="21" t="n">
        <x:f>F3105</x:f>
        <x:v>1382.3790515287185</x:v>
      </x:c>
      <x:c r="H3106" s="21" t="n">
        <x:f>F3110</x:f>
        <x:v>1396.8802381982152</x:v>
      </x:c>
      <x:c r="I3106" s="27" t="n">
        <x:f>IF(AND(ISNUMBER(G3106),ISNUMBER(H3106),H3106&gt;0),G3106/H3106-1,"")</x:f>
        <x:v>-0.01038112378782119</x:v>
      </x:c>
      <x:c r="J3106" s="27" t="n">
        <x:f>IF(AND(ISNUMBER(G3106),F3106&gt;0),G3106/F3106-1,"")</x:f>
        <x:v>0.005022627610884456</x:v>
      </x:c>
      <x:c r="K3106" s="19" t="str">
        <x:v>KuaiRec/EXP095/results/seed784820884_Relative_cutoff_1e-5.json</x:v>
      </x:c>
    </x:row>
    <x:row r="3107" ht="15" hidden="0" customHeight="1">
      <x:c r="A3107" s="3" t="str">
        <x:v>EXP095</x:v>
      </x:c>
      <x:c r="B3107" s="3" t="str">
        <x:v>KuaiRec</x:v>
      </x:c>
      <x:c r="C3107" s="18" t="n">
        <x:v>784820884</x:v>
      </x:c>
      <x:c r="D3107" s="3" t="str">
        <x:v>Fixed rank 10</x:v>
      </x:c>
      <x:c r="E3107" s="18" t="n">
        <x:v>600</x:v>
      </x:c>
      <x:c r="F3107" s="21" t="n">
        <x:v>1314.8086343790592</x:v>
      </x:c>
      <x:c r="G3107" s="21" t="n">
        <x:f>F3105</x:f>
        <x:v>1382.3790515287185</x:v>
      </x:c>
      <x:c r="H3107" s="21" t="n">
        <x:f>F3110</x:f>
        <x:v>1396.8802381982152</x:v>
      </x:c>
      <x:c r="I3107" s="27" t="n">
        <x:f>IF(AND(ISNUMBER(G3107),ISNUMBER(H3107),H3107&gt;0),G3107/H3107-1,"")</x:f>
        <x:v>-0.01038112378782119</x:v>
      </x:c>
      <x:c r="J3107" s="27" t="n">
        <x:f>IF(AND(ISNUMBER(G3107),F3107&gt;0),G3107/F3107-1,"")</x:f>
        <x:v>0.05139182644748197</x:v>
      </x:c>
      <x:c r="K3107" s="19" t="str">
        <x:v>KuaiRec/EXP095/results/seed784820884_Fixed_rank_10.json</x:v>
      </x:c>
    </x:row>
    <x:row r="3108" ht="15" hidden="0" customHeight="1">
      <x:c r="A3108" s="3" t="str">
        <x:v>EXP095</x:v>
      </x:c>
      <x:c r="B3108" s="3" t="str">
        <x:v>KuaiRec</x:v>
      </x:c>
      <x:c r="C3108" s="18" t="n">
        <x:v>784820884</x:v>
      </x:c>
      <x:c r="D3108" s="3" t="str">
        <x:v>Fixed rank 25</x:v>
      </x:c>
      <x:c r="E3108" s="18" t="n">
        <x:v>600</x:v>
      </x:c>
      <x:c r="F3108" s="21" t="n">
        <x:v>1382.3790515287185</x:v>
      </x:c>
      <x:c r="G3108" s="21" t="n">
        <x:f>F3105</x:f>
        <x:v>1382.3790515287185</x:v>
      </x:c>
      <x:c r="H3108" s="21" t="n">
        <x:f>F3110</x:f>
        <x:v>1396.8802381982152</x:v>
      </x:c>
      <x:c r="I3108" s="27" t="n">
        <x:f>IF(AND(ISNUMBER(G3108),ISNUMBER(H3108),H3108&gt;0),G3108/H3108-1,"")</x:f>
        <x:v>-0.01038112378782119</x:v>
      </x:c>
      <x:c r="J3108" s="27" t="n">
        <x:f>IF(AND(ISNUMBER(G3108),F3108&gt;0),G3108/F3108-1,"")</x:f>
        <x:v>0</x:v>
      </x:c>
      <x:c r="K3108" s="19" t="str">
        <x:v>KuaiRec/EXP095/results/seed784820884_Fixed_rank_25.json</x:v>
      </x:c>
    </x:row>
    <x:row r="3109" ht="15" hidden="0" customHeight="1">
      <x:c r="A3109" s="3" t="str">
        <x:v>EXP095</x:v>
      </x:c>
      <x:c r="B3109" s="3" t="str">
        <x:v>KuaiRec</x:v>
      </x:c>
      <x:c r="C3109" s="18" t="n">
        <x:v>784820884</x:v>
      </x:c>
      <x:c r="D3109" s="3" t="str">
        <x:v>Relative cutoff 1e-6</x:v>
      </x:c>
      <x:c r="E3109" s="18" t="n">
        <x:v>600</x:v>
      </x:c>
      <x:c r="F3109" s="21" t="n">
        <x:v>1382.3790515287185</x:v>
      </x:c>
      <x:c r="G3109" s="21" t="n">
        <x:f>F3105</x:f>
        <x:v>1382.3790515287185</x:v>
      </x:c>
      <x:c r="H3109" s="21" t="n">
        <x:f>F3110</x:f>
        <x:v>1396.8802381982152</x:v>
      </x:c>
      <x:c r="I3109" s="27" t="n">
        <x:f>IF(AND(ISNUMBER(G3109),ISNUMBER(H3109),H3109&gt;0),G3109/H3109-1,"")</x:f>
        <x:v>-0.01038112378782119</x:v>
      </x:c>
      <x:c r="J3109" s="27" t="n">
        <x:f>IF(AND(ISNUMBER(G3109),F3109&gt;0),G3109/F3109-1,"")</x:f>
        <x:v>0</x:v>
      </x:c>
      <x:c r="K3109" s="19" t="str">
        <x:v>KuaiRec/EXP095/results/seed784820884_Relative_cutoff_1e-6.json</x:v>
      </x:c>
    </x:row>
    <x:row r="3110" ht="15" hidden="0" customHeight="1">
      <x:c r="A3110" s="3" t="str">
        <x:v>EXP095</x:v>
      </x:c>
      <x:c r="B3110" s="3" t="str">
        <x:v>KuaiRec</x:v>
      </x:c>
      <x:c r="C3110" s="18" t="n">
        <x:v>784820884</x:v>
      </x:c>
      <x:c r="D3110" s="3" t="str">
        <x:v>Full</x:v>
      </x:c>
      <x:c r="E3110" s="18" t="n">
        <x:v>600</x:v>
      </x:c>
      <x:c r="F3110" s="21" t="n">
        <x:v>1396.8802381982152</x:v>
      </x:c>
      <x:c r="G3110" s="21" t="n">
        <x:f>F3105</x:f>
        <x:v>1382.3790515287185</x:v>
      </x:c>
      <x:c r="H3110" s="21" t="n">
        <x:f>F3110</x:f>
        <x:v>1396.8802381982152</x:v>
      </x:c>
      <x:c r="I3110" s="27" t="n">
        <x:f>IF(AND(ISNUMBER(G3110),ISNUMBER(H3110),H3110&gt;0),G3110/H3110-1,"")</x:f>
        <x:v>-0.01038112378782119</x:v>
      </x:c>
      <x:c r="J3110" s="27" t="n">
        <x:f>IF(AND(ISNUMBER(G3110),F3110&gt;0),G3110/F3110-1,"")</x:f>
        <x:v>-0.01038112378782119</x:v>
      </x:c>
      <x:c r="K3110" s="19" t="str">
        <x:v>KuaiRec/EXP095/results/seed784820884_Full.json</x:v>
      </x:c>
    </x:row>
    <x:row r="3111" ht="15" hidden="0" customHeight="1">
      <x:c r="A3111" s="3" t="str">
        <x:v>EXP095</x:v>
      </x:c>
      <x:c r="B3111" s="3" t="str">
        <x:v>KuaiRec</x:v>
      </x:c>
      <x:c r="C3111" s="18" t="n">
        <x:v>784820884</x:v>
      </x:c>
      <x:c r="D3111" s="3" t="str">
        <x:v>Relative cutoff 1e-2</x:v>
      </x:c>
      <x:c r="E3111" s="18" t="n">
        <x:v>600</x:v>
      </x:c>
      <x:c r="F3111" s="21" t="n">
        <x:v>1433.219097896403</x:v>
      </x:c>
      <x:c r="G3111" s="21" t="n">
        <x:f>F3105</x:f>
        <x:v>1382.3790515287185</x:v>
      </x:c>
      <x:c r="H3111" s="21" t="n">
        <x:f>F3110</x:f>
        <x:v>1396.8802381982152</x:v>
      </x:c>
      <x:c r="I3111" s="27" t="n">
        <x:f>IF(AND(ISNUMBER(G3111),ISNUMBER(H3111),H3111&gt;0),G3111/H3111-1,"")</x:f>
        <x:v>-0.01038112378782119</x:v>
      </x:c>
      <x:c r="J3111" s="27" t="n">
        <x:f>IF(AND(ISNUMBER(G3111),F3111&gt;0),G3111/F3111-1,"")</x:f>
        <x:v>-0.035472626929340056</x:v>
      </x:c>
      <x:c r="K3111" s="19" t="str">
        <x:v>KuaiRec/EXP095/results/seed784820884_Relative_cutoff_1e-2.json</x:v>
      </x:c>
    </x:row>
    <x:row r="3112" ht="15" hidden="0" customHeight="1">
      <x:c r="A3112" s="3" t="str">
        <x:v>EXP095</x:v>
      </x:c>
      <x:c r="B3112" s="3" t="str">
        <x:v>KuaiRec</x:v>
      </x:c>
      <x:c r="C3112" s="18" t="n">
        <x:v>784820884</x:v>
      </x:c>
      <x:c r="D3112" s="3" t="str">
        <x:v>Relative cutoff 1e-4</x:v>
      </x:c>
      <x:c r="E3112" s="18" t="n">
        <x:v>600</x:v>
      </x:c>
      <x:c r="F3112" s="21" t="n">
        <x:v>1317.3959439315188</x:v>
      </x:c>
      <x:c r="G3112" s="21" t="n">
        <x:f>F3105</x:f>
        <x:v>1382.3790515287185</x:v>
      </x:c>
      <x:c r="H3112" s="21" t="n">
        <x:f>F3110</x:f>
        <x:v>1396.8802381982152</x:v>
      </x:c>
      <x:c r="I3112" s="27" t="n">
        <x:f>IF(AND(ISNUMBER(G3112),ISNUMBER(H3112),H3112&gt;0),G3112/H3112-1,"")</x:f>
        <x:v>-0.01038112378782119</x:v>
      </x:c>
      <x:c r="J3112" s="27" t="n">
        <x:f>IF(AND(ISNUMBER(G3112),F3112&gt;0),G3112/F3112-1,"")</x:f>
        <x:v>0.049326937657990566</x:v>
      </x:c>
      <x:c r="K3112" s="19" t="str">
        <x:v>KuaiRec/EXP095/results/seed784820884_Relative_cutoff_1e-4.json</x:v>
      </x:c>
    </x:row>
    <x:row r="3113" ht="15" hidden="0" customHeight="1">
      <x:c r="A3113" s="3" t="str">
        <x:v>EXP095</x:v>
      </x:c>
      <x:c r="B3113" s="3" t="str">
        <x:v>KuaiRec</x:v>
      </x:c>
      <x:c r="C3113" s="18" t="n">
        <x:v>806485893</x:v>
      </x:c>
      <x:c r="D3113" s="3" t="str">
        <x:v>BBP</x:v>
      </x:c>
      <x:c r="E3113" s="18" t="n">
        <x:v>600</x:v>
      </x:c>
      <x:c r="F3113" s="21" t="n">
        <x:v>1310.5295265353595</x:v>
      </x:c>
      <x:c r="G3113" s="21" t="n">
        <x:f>F3113</x:f>
        <x:v>1310.5295265353595</x:v>
      </x:c>
      <x:c r="H3113" s="21" t="n">
        <x:f>F3118</x:f>
        <x:v>1333.9043543110329</x:v>
      </x:c>
      <x:c r="I3113" s="27" t="n">
        <x:f>IF(AND(ISNUMBER(G3113),ISNUMBER(H3113),H3113&gt;0),G3113/H3113-1,"")</x:f>
        <x:v>-0.017523616067470216</x:v>
      </x:c>
      <x:c r="J3113" s="27" t="n">
        <x:f>IF(AND(ISNUMBER(G3113),F3113&gt;0),G3113/F3113-1,"")</x:f>
        <x:v>0</x:v>
      </x:c>
      <x:c r="K3113" s="19" t="str">
        <x:v>KuaiRec/EXP095/results/seed806485893_BBP.json</x:v>
      </x:c>
    </x:row>
    <x:row r="3114" ht="15" hidden="0" customHeight="1">
      <x:c r="A3114" s="3" t="str">
        <x:v>EXP095</x:v>
      </x:c>
      <x:c r="B3114" s="3" t="str">
        <x:v>KuaiRec</x:v>
      </x:c>
      <x:c r="C3114" s="18" t="n">
        <x:v>806485893</x:v>
      </x:c>
      <x:c r="D3114" s="3" t="str">
        <x:v>Relative cutoff 1e-5</x:v>
      </x:c>
      <x:c r="E3114" s="18" t="n">
        <x:v>600</x:v>
      </x:c>
      <x:c r="F3114" s="21" t="n">
        <x:v>1310.52952653536</x:v>
      </x:c>
      <x:c r="G3114" s="21" t="n">
        <x:f>F3113</x:f>
        <x:v>1310.5295265353595</x:v>
      </x:c>
      <x:c r="H3114" s="21" t="n">
        <x:f>F3118</x:f>
        <x:v>1333.9043543110329</x:v>
      </x:c>
      <x:c r="I3114" s="27" t="n">
        <x:f>IF(AND(ISNUMBER(G3114),ISNUMBER(H3114),H3114&gt;0),G3114/H3114-1,"")</x:f>
        <x:v>-0.017523616067470216</x:v>
      </x:c>
      <x:c r="J3114" s="27" t="n">
        <x:f>IF(AND(ISNUMBER(G3114),F3114&gt;0),G3114/F3114-1,"")</x:f>
        <x:v>-3.3306690738754696e-16</x:v>
      </x:c>
      <x:c r="K3114" s="19" t="str">
        <x:v>KuaiRec/EXP095/results/seed806485893_Relative_cutoff_1e-5.json</x:v>
      </x:c>
    </x:row>
    <x:row r="3115" ht="15" hidden="0" customHeight="1">
      <x:c r="A3115" s="3" t="str">
        <x:v>EXP095</x:v>
      </x:c>
      <x:c r="B3115" s="3" t="str">
        <x:v>KuaiRec</x:v>
      </x:c>
      <x:c r="C3115" s="18" t="n">
        <x:v>806485893</x:v>
      </x:c>
      <x:c r="D3115" s="3" t="str">
        <x:v>Fixed rank 10</x:v>
      </x:c>
      <x:c r="E3115" s="18" t="n">
        <x:v>600</x:v>
      </x:c>
      <x:c r="F3115" s="21" t="n">
        <x:v>1295.210587185509</x:v>
      </x:c>
      <x:c r="G3115" s="21" t="n">
        <x:f>F3113</x:f>
        <x:v>1310.5295265353595</x:v>
      </x:c>
      <x:c r="H3115" s="21" t="n">
        <x:f>F3118</x:f>
        <x:v>1333.9043543110329</x:v>
      </x:c>
      <x:c r="I3115" s="27" t="n">
        <x:f>IF(AND(ISNUMBER(G3115),ISNUMBER(H3115),H3115&gt;0),G3115/H3115-1,"")</x:f>
        <x:v>-0.017523616067470216</x:v>
      </x:c>
      <x:c r="J3115" s="27" t="n">
        <x:f>IF(AND(ISNUMBER(G3115),F3115&gt;0),G3115/F3115-1,"")</x:f>
        <x:v>0.011827373479967207</x:v>
      </x:c>
      <x:c r="K3115" s="19" t="str">
        <x:v>KuaiRec/EXP095/results/seed806485893_Fixed_rank_10.json</x:v>
      </x:c>
    </x:row>
    <x:row r="3116" ht="15" hidden="0" customHeight="1">
      <x:c r="A3116" s="3" t="str">
        <x:v>EXP095</x:v>
      </x:c>
      <x:c r="B3116" s="3" t="str">
        <x:v>KuaiRec</x:v>
      </x:c>
      <x:c r="C3116" s="18" t="n">
        <x:v>806485893</x:v>
      </x:c>
      <x:c r="D3116" s="3" t="str">
        <x:v>Fixed rank 25</x:v>
      </x:c>
      <x:c r="E3116" s="18" t="n">
        <x:v>600</x:v>
      </x:c>
      <x:c r="F3116" s="21" t="n">
        <x:v>1310.5295265353595</x:v>
      </x:c>
      <x:c r="G3116" s="21" t="n">
        <x:f>F3113</x:f>
        <x:v>1310.5295265353595</x:v>
      </x:c>
      <x:c r="H3116" s="21" t="n">
        <x:f>F3118</x:f>
        <x:v>1333.9043543110329</x:v>
      </x:c>
      <x:c r="I3116" s="27" t="n">
        <x:f>IF(AND(ISNUMBER(G3116),ISNUMBER(H3116),H3116&gt;0),G3116/H3116-1,"")</x:f>
        <x:v>-0.017523616067470216</x:v>
      </x:c>
      <x:c r="J3116" s="27" t="n">
        <x:f>IF(AND(ISNUMBER(G3116),F3116&gt;0),G3116/F3116-1,"")</x:f>
        <x:v>0</x:v>
      </x:c>
      <x:c r="K3116" s="19" t="str">
        <x:v>KuaiRec/EXP095/results/seed806485893_Fixed_rank_25.json</x:v>
      </x:c>
    </x:row>
    <x:row r="3117" ht="15" hidden="0" customHeight="1">
      <x:c r="A3117" s="3" t="str">
        <x:v>EXP095</x:v>
      </x:c>
      <x:c r="B3117" s="3" t="str">
        <x:v>KuaiRec</x:v>
      </x:c>
      <x:c r="C3117" s="18" t="n">
        <x:v>806485893</x:v>
      </x:c>
      <x:c r="D3117" s="3" t="str">
        <x:v>Relative cutoff 1e-6</x:v>
      </x:c>
      <x:c r="E3117" s="18" t="n">
        <x:v>600</x:v>
      </x:c>
      <x:c r="F3117" s="21" t="n">
        <x:v>1310.5295265353595</x:v>
      </x:c>
      <x:c r="G3117" s="21" t="n">
        <x:f>F3113</x:f>
        <x:v>1310.5295265353595</x:v>
      </x:c>
      <x:c r="H3117" s="21" t="n">
        <x:f>F3118</x:f>
        <x:v>1333.9043543110329</x:v>
      </x:c>
      <x:c r="I3117" s="27" t="n">
        <x:f>IF(AND(ISNUMBER(G3117),ISNUMBER(H3117),H3117&gt;0),G3117/H3117-1,"")</x:f>
        <x:v>-0.017523616067470216</x:v>
      </x:c>
      <x:c r="J3117" s="27" t="n">
        <x:f>IF(AND(ISNUMBER(G3117),F3117&gt;0),G3117/F3117-1,"")</x:f>
        <x:v>0</x:v>
      </x:c>
      <x:c r="K3117" s="19" t="str">
        <x:v>KuaiRec/EXP095/results/seed806485893_Relative_cutoff_1e-6.json</x:v>
      </x:c>
    </x:row>
    <x:row r="3118" ht="15" hidden="0" customHeight="1">
      <x:c r="A3118" s="3" t="str">
        <x:v>EXP095</x:v>
      </x:c>
      <x:c r="B3118" s="3" t="str">
        <x:v>KuaiRec</x:v>
      </x:c>
      <x:c r="C3118" s="18" t="n">
        <x:v>806485893</x:v>
      </x:c>
      <x:c r="D3118" s="3" t="str">
        <x:v>Full</x:v>
      </x:c>
      <x:c r="E3118" s="18" t="n">
        <x:v>600</x:v>
      </x:c>
      <x:c r="F3118" s="21" t="n">
        <x:v>1333.9043543110329</x:v>
      </x:c>
      <x:c r="G3118" s="21" t="n">
        <x:f>F3113</x:f>
        <x:v>1310.5295265353595</x:v>
      </x:c>
      <x:c r="H3118" s="21" t="n">
        <x:f>F3118</x:f>
        <x:v>1333.9043543110329</x:v>
      </x:c>
      <x:c r="I3118" s="27" t="n">
        <x:f>IF(AND(ISNUMBER(G3118),ISNUMBER(H3118),H3118&gt;0),G3118/H3118-1,"")</x:f>
        <x:v>-0.017523616067470216</x:v>
      </x:c>
      <x:c r="J3118" s="27" t="n">
        <x:f>IF(AND(ISNUMBER(G3118),F3118&gt;0),G3118/F3118-1,"")</x:f>
        <x:v>-0.017523616067470216</x:v>
      </x:c>
      <x:c r="K3118" s="19" t="str">
        <x:v>KuaiRec/EXP095/results/seed806485893_Full.json</x:v>
      </x:c>
    </x:row>
    <x:row r="3119" ht="15" hidden="0" customHeight="1">
      <x:c r="A3119" s="3" t="str">
        <x:v>EXP095</x:v>
      </x:c>
      <x:c r="B3119" s="3" t="str">
        <x:v>KuaiRec</x:v>
      </x:c>
      <x:c r="C3119" s="18" t="n">
        <x:v>806485893</x:v>
      </x:c>
      <x:c r="D3119" s="3" t="str">
        <x:v>Relative cutoff 1e-2</x:v>
      </x:c>
      <x:c r="E3119" s="18" t="n">
        <x:v>600</x:v>
      </x:c>
      <x:c r="F3119" s="21" t="n">
        <x:v>1260.3647462048116</x:v>
      </x:c>
      <x:c r="G3119" s="21" t="n">
        <x:f>F3113</x:f>
        <x:v>1310.5295265353595</x:v>
      </x:c>
      <x:c r="H3119" s="21" t="n">
        <x:f>F3118</x:f>
        <x:v>1333.9043543110329</x:v>
      </x:c>
      <x:c r="I3119" s="27" t="n">
        <x:f>IF(AND(ISNUMBER(G3119),ISNUMBER(H3119),H3119&gt;0),G3119/H3119-1,"")</x:f>
        <x:v>-0.017523616067470216</x:v>
      </x:c>
      <x:c r="J3119" s="27" t="n">
        <x:f>IF(AND(ISNUMBER(G3119),F3119&gt;0),G3119/F3119-1,"")</x:f>
        <x:v>0.03980179585441701</x:v>
      </x:c>
      <x:c r="K3119" s="19" t="str">
        <x:v>KuaiRec/EXP095/results/seed806485893_Relative_cutoff_1e-2.json</x:v>
      </x:c>
    </x:row>
    <x:row r="3120" ht="15" hidden="0" customHeight="1">
      <x:c r="A3120" s="3" t="str">
        <x:v>EXP095</x:v>
      </x:c>
      <x:c r="B3120" s="3" t="str">
        <x:v>KuaiRec</x:v>
      </x:c>
      <x:c r="C3120" s="18" t="n">
        <x:v>806485893</x:v>
      </x:c>
      <x:c r="D3120" s="3" t="str">
        <x:v>Relative cutoff 1e-4</x:v>
      </x:c>
      <x:c r="E3120" s="18" t="n">
        <x:v>600</x:v>
      </x:c>
      <x:c r="F3120" s="21" t="n">
        <x:v>1362.1397261297864</x:v>
      </x:c>
      <x:c r="G3120" s="21" t="n">
        <x:f>F3113</x:f>
        <x:v>1310.5295265353595</x:v>
      </x:c>
      <x:c r="H3120" s="21" t="n">
        <x:f>F3118</x:f>
        <x:v>1333.9043543110329</x:v>
      </x:c>
      <x:c r="I3120" s="27" t="n">
        <x:f>IF(AND(ISNUMBER(G3120),ISNUMBER(H3120),H3120&gt;0),G3120/H3120-1,"")</x:f>
        <x:v>-0.017523616067470216</x:v>
      </x:c>
      <x:c r="J3120" s="27" t="n">
        <x:f>IF(AND(ISNUMBER(G3120),F3120&gt;0),G3120/F3120-1,"")</x:f>
        <x:v>-0.037889064245314685</x:v>
      </x:c>
      <x:c r="K3120" s="19" t="str">
        <x:v>KuaiRec/EXP095/results/seed806485893_Relative_cutoff_1e-4.json</x:v>
      </x:c>
    </x:row>
    <x:row r="3121" ht="15" hidden="0" customHeight="1">
      <x:c r="A3121" s="3" t="str">
        <x:v>EXP095</x:v>
      </x:c>
      <x:c r="B3121" s="3" t="str">
        <x:v>KuaiRec</x:v>
      </x:c>
      <x:c r="C3121" s="18" t="n">
        <x:v>833816902</x:v>
      </x:c>
      <x:c r="D3121" s="3" t="str">
        <x:v>BBP</x:v>
      </x:c>
      <x:c r="E3121" s="18" t="n">
        <x:v>600</x:v>
      </x:c>
      <x:c r="F3121" s="21" t="n">
        <x:v>1247.501504602959</x:v>
      </x:c>
      <x:c r="G3121" s="21" t="n">
        <x:f>F3121</x:f>
        <x:v>1247.501504602959</x:v>
      </x:c>
      <x:c r="H3121" s="21" t="n">
        <x:f>F3126</x:f>
        <x:v>1239.9883306331685</x:v>
      </x:c>
      <x:c r="I3121" s="27" t="n">
        <x:f>IF(AND(ISNUMBER(G3121),ISNUMBER(H3121),H3121&gt;0),G3121/H3121-1,"")</x:f>
        <x:v>0.006059068286516922</x:v>
      </x:c>
      <x:c r="J3121" s="27" t="n">
        <x:f>IF(AND(ISNUMBER(G3121),F3121&gt;0),G3121/F3121-1,"")</x:f>
        <x:v>0</x:v>
      </x:c>
      <x:c r="K3121" s="19" t="str">
        <x:v>KuaiRec/EXP095/results/seed833816902_BBP.json</x:v>
      </x:c>
    </x:row>
    <x:row r="3122" ht="15" hidden="0" customHeight="1">
      <x:c r="A3122" s="3" t="str">
        <x:v>EXP095</x:v>
      </x:c>
      <x:c r="B3122" s="3" t="str">
        <x:v>KuaiRec</x:v>
      </x:c>
      <x:c r="C3122" s="18" t="n">
        <x:v>833816902</x:v>
      </x:c>
      <x:c r="D3122" s="3" t="str">
        <x:v>Relative cutoff 1e-5</x:v>
      </x:c>
      <x:c r="E3122" s="18" t="n">
        <x:v>600</x:v>
      </x:c>
      <x:c r="F3122" s="21" t="n">
        <x:v>1247.501504602958</x:v>
      </x:c>
      <x:c r="G3122" s="21" t="n">
        <x:f>F3121</x:f>
        <x:v>1247.501504602959</x:v>
      </x:c>
      <x:c r="H3122" s="21" t="n">
        <x:f>F3126</x:f>
        <x:v>1239.9883306331685</x:v>
      </x:c>
      <x:c r="I3122" s="27" t="n">
        <x:f>IF(AND(ISNUMBER(G3122),ISNUMBER(H3122),H3122&gt;0),G3122/H3122-1,"")</x:f>
        <x:v>0.006059068286516922</x:v>
      </x:c>
      <x:c r="J3122" s="27" t="n">
        <x:f>IF(AND(ISNUMBER(G3122),F3122&gt;0),G3122/F3122-1,"")</x:f>
        <x:v>6.661338147750939e-16</x:v>
      </x:c>
      <x:c r="K3122" s="19" t="str">
        <x:v>KuaiRec/EXP095/results/seed833816902_Relative_cutoff_1e-5.json</x:v>
      </x:c>
    </x:row>
    <x:row r="3123" ht="15" hidden="0" customHeight="1">
      <x:c r="A3123" s="3" t="str">
        <x:v>EXP095</x:v>
      </x:c>
      <x:c r="B3123" s="3" t="str">
        <x:v>KuaiRec</x:v>
      </x:c>
      <x:c r="C3123" s="18" t="n">
        <x:v>833816902</x:v>
      </x:c>
      <x:c r="D3123" s="3" t="str">
        <x:v>Fixed rank 10</x:v>
      </x:c>
      <x:c r="E3123" s="18" t="n">
        <x:v>600</x:v>
      </x:c>
      <x:c r="F3123" s="21" t="n">
        <x:v>1270.7095906269606</x:v>
      </x:c>
      <x:c r="G3123" s="21" t="n">
        <x:f>F3121</x:f>
        <x:v>1247.501504602959</x:v>
      </x:c>
      <x:c r="H3123" s="21" t="n">
        <x:f>F3126</x:f>
        <x:v>1239.9883306331685</x:v>
      </x:c>
      <x:c r="I3123" s="27" t="n">
        <x:f>IF(AND(ISNUMBER(G3123),ISNUMBER(H3123),H3123&gt;0),G3123/H3123-1,"")</x:f>
        <x:v>0.006059068286516922</x:v>
      </x:c>
      <x:c r="J3123" s="27" t="n">
        <x:f>IF(AND(ISNUMBER(G3123),F3123&gt;0),G3123/F3123-1,"")</x:f>
        <x:v>-0.01826387885571157</x:v>
      </x:c>
      <x:c r="K3123" s="19" t="str">
        <x:v>KuaiRec/EXP095/results/seed833816902_Fixed_rank_10.json</x:v>
      </x:c>
    </x:row>
    <x:row r="3124" ht="15" hidden="0" customHeight="1">
      <x:c r="A3124" s="3" t="str">
        <x:v>EXP095</x:v>
      </x:c>
      <x:c r="B3124" s="3" t="str">
        <x:v>KuaiRec</x:v>
      </x:c>
      <x:c r="C3124" s="18" t="n">
        <x:v>833816902</x:v>
      </x:c>
      <x:c r="D3124" s="3" t="str">
        <x:v>Fixed rank 25</x:v>
      </x:c>
      <x:c r="E3124" s="18" t="n">
        <x:v>600</x:v>
      </x:c>
      <x:c r="F3124" s="21" t="n">
        <x:v>1247.501504602959</x:v>
      </x:c>
      <x:c r="G3124" s="21" t="n">
        <x:f>F3121</x:f>
        <x:v>1247.501504602959</x:v>
      </x:c>
      <x:c r="H3124" s="21" t="n">
        <x:f>F3126</x:f>
        <x:v>1239.9883306331685</x:v>
      </x:c>
      <x:c r="I3124" s="27" t="n">
        <x:f>IF(AND(ISNUMBER(G3124),ISNUMBER(H3124),H3124&gt;0),G3124/H3124-1,"")</x:f>
        <x:v>0.006059068286516922</x:v>
      </x:c>
      <x:c r="J3124" s="27" t="n">
        <x:f>IF(AND(ISNUMBER(G3124),F3124&gt;0),G3124/F3124-1,"")</x:f>
        <x:v>0</x:v>
      </x:c>
      <x:c r="K3124" s="19" t="str">
        <x:v>KuaiRec/EXP095/results/seed833816902_Fixed_rank_25.json</x:v>
      </x:c>
    </x:row>
    <x:row r="3125" ht="15" hidden="0" customHeight="1">
      <x:c r="A3125" s="3" t="str">
        <x:v>EXP095</x:v>
      </x:c>
      <x:c r="B3125" s="3" t="str">
        <x:v>KuaiRec</x:v>
      </x:c>
      <x:c r="C3125" s="18" t="n">
        <x:v>833816902</x:v>
      </x:c>
      <x:c r="D3125" s="3" t="str">
        <x:v>Relative cutoff 1e-6</x:v>
      </x:c>
      <x:c r="E3125" s="18" t="n">
        <x:v>600</x:v>
      </x:c>
      <x:c r="F3125" s="21" t="n">
        <x:v>1247.501504602959</x:v>
      </x:c>
      <x:c r="G3125" s="21" t="n">
        <x:f>F3121</x:f>
        <x:v>1247.501504602959</x:v>
      </x:c>
      <x:c r="H3125" s="21" t="n">
        <x:f>F3126</x:f>
        <x:v>1239.9883306331685</x:v>
      </x:c>
      <x:c r="I3125" s="27" t="n">
        <x:f>IF(AND(ISNUMBER(G3125),ISNUMBER(H3125),H3125&gt;0),G3125/H3125-1,"")</x:f>
        <x:v>0.006059068286516922</x:v>
      </x:c>
      <x:c r="J3125" s="27" t="n">
        <x:f>IF(AND(ISNUMBER(G3125),F3125&gt;0),G3125/F3125-1,"")</x:f>
        <x:v>0</x:v>
      </x:c>
      <x:c r="K3125" s="19" t="str">
        <x:v>KuaiRec/EXP095/results/seed833816902_Relative_cutoff_1e-6.json</x:v>
      </x:c>
    </x:row>
    <x:row r="3126" ht="15" hidden="0" customHeight="1">
      <x:c r="A3126" s="3" t="str">
        <x:v>EXP095</x:v>
      </x:c>
      <x:c r="B3126" s="3" t="str">
        <x:v>KuaiRec</x:v>
      </x:c>
      <x:c r="C3126" s="18" t="n">
        <x:v>833816902</x:v>
      </x:c>
      <x:c r="D3126" s="3" t="str">
        <x:v>Full</x:v>
      </x:c>
      <x:c r="E3126" s="18" t="n">
        <x:v>600</x:v>
      </x:c>
      <x:c r="F3126" s="21" t="n">
        <x:v>1239.9883306331685</x:v>
      </x:c>
      <x:c r="G3126" s="21" t="n">
        <x:f>F3121</x:f>
        <x:v>1247.501504602959</x:v>
      </x:c>
      <x:c r="H3126" s="21" t="n">
        <x:f>F3126</x:f>
        <x:v>1239.9883306331685</x:v>
      </x:c>
      <x:c r="I3126" s="27" t="n">
        <x:f>IF(AND(ISNUMBER(G3126),ISNUMBER(H3126),H3126&gt;0),G3126/H3126-1,"")</x:f>
        <x:v>0.006059068286516922</x:v>
      </x:c>
      <x:c r="J3126" s="27" t="n">
        <x:f>IF(AND(ISNUMBER(G3126),F3126&gt;0),G3126/F3126-1,"")</x:f>
        <x:v>0.006059068286516922</x:v>
      </x:c>
      <x:c r="K3126" s="19" t="str">
        <x:v>KuaiRec/EXP095/results/seed833816902_Full.json</x:v>
      </x:c>
    </x:row>
    <x:row r="3127" ht="15" hidden="0" customHeight="1">
      <x:c r="A3127" s="3" t="str">
        <x:v>EXP095</x:v>
      </x:c>
      <x:c r="B3127" s="3" t="str">
        <x:v>KuaiRec</x:v>
      </x:c>
      <x:c r="C3127" s="18" t="n">
        <x:v>833816902</x:v>
      </x:c>
      <x:c r="D3127" s="3" t="str">
        <x:v>Relative cutoff 1e-2</x:v>
      </x:c>
      <x:c r="E3127" s="18" t="n">
        <x:v>600</x:v>
      </x:c>
      <x:c r="F3127" s="21" t="n">
        <x:v>1257.7194647788194</x:v>
      </x:c>
      <x:c r="G3127" s="21" t="n">
        <x:f>F3121</x:f>
        <x:v>1247.501504602959</x:v>
      </x:c>
      <x:c r="H3127" s="21" t="n">
        <x:f>F3126</x:f>
        <x:v>1239.9883306331685</x:v>
      </x:c>
      <x:c r="I3127" s="27" t="n">
        <x:f>IF(AND(ISNUMBER(G3127),ISNUMBER(H3127),H3127&gt;0),G3127/H3127-1,"")</x:f>
        <x:v>0.006059068286516922</x:v>
      </x:c>
      <x:c r="J3127" s="27" t="n">
        <x:f>IF(AND(ISNUMBER(G3127),F3127&gt;0),G3127/F3127-1,"")</x:f>
        <x:v>-0.008124196581196563</x:v>
      </x:c>
      <x:c r="K3127" s="19" t="str">
        <x:v>KuaiRec/EXP095/results/seed833816902_Relative_cutoff_1e-2.json</x:v>
      </x:c>
    </x:row>
    <x:row r="3128" ht="15" hidden="0" customHeight="1">
      <x:c r="A3128" s="3" t="str">
        <x:v>EXP095</x:v>
      </x:c>
      <x:c r="B3128" s="3" t="str">
        <x:v>KuaiRec</x:v>
      </x:c>
      <x:c r="C3128" s="18" t="n">
        <x:v>833816902</x:v>
      </x:c>
      <x:c r="D3128" s="3" t="str">
        <x:v>Relative cutoff 1e-4</x:v>
      </x:c>
      <x:c r="E3128" s="18" t="n">
        <x:v>600</x:v>
      </x:c>
      <x:c r="F3128" s="21" t="n">
        <x:v>1239.3258270327212</x:v>
      </x:c>
      <x:c r="G3128" s="21" t="n">
        <x:f>F3121</x:f>
        <x:v>1247.501504602959</x:v>
      </x:c>
      <x:c r="H3128" s="21" t="n">
        <x:f>F3126</x:f>
        <x:v>1239.9883306331685</x:v>
      </x:c>
      <x:c r="I3128" s="27" t="n">
        <x:f>IF(AND(ISNUMBER(G3128),ISNUMBER(H3128),H3128&gt;0),G3128/H3128-1,"")</x:f>
        <x:v>0.006059068286516922</x:v>
      </x:c>
      <x:c r="J3128" s="27" t="n">
        <x:f>IF(AND(ISNUMBER(G3128),F3128&gt;0),G3128/F3128-1,"")</x:f>
        <x:v>0.006596875004059699</x:v>
      </x:c>
      <x:c r="K3128" s="19" t="str">
        <x:v>KuaiRec/EXP095/results/seed833816902_Relative_cutoff_1e-4.json</x:v>
      </x:c>
    </x:row>
    <x:row r="3129" ht="15" hidden="0" customHeight="1">
      <x:c r="A3129" s="3" t="str">
        <x:v>EXP095</x:v>
      </x:c>
      <x:c r="B3129" s="3" t="str">
        <x:v>KuaiRec</x:v>
      </x:c>
      <x:c r="C3129" s="18" t="n">
        <x:v>842701295</x:v>
      </x:c>
      <x:c r="D3129" s="3" t="str">
        <x:v>BBP</x:v>
      </x:c>
      <x:c r="E3129" s="18" t="n">
        <x:v>600</x:v>
      </x:c>
      <x:c r="F3129" s="21" t="n">
        <x:v>1353.6019988273695</x:v>
      </x:c>
      <x:c r="G3129" s="21" t="n">
        <x:f>F3129</x:f>
        <x:v>1353.6019988273695</x:v>
      </x:c>
      <x:c r="H3129" s="21" t="n">
        <x:f>F3134</x:f>
        <x:v>1365.370147807565</x:v>
      </x:c>
      <x:c r="I3129" s="27" t="n">
        <x:f>IF(AND(ISNUMBER(G3129),ISNUMBER(H3129),H3129&gt;0),G3129/H3129-1,"")</x:f>
        <x:v>-0.008619017340530055</x:v>
      </x:c>
      <x:c r="J3129" s="27" t="n">
        <x:f>IF(AND(ISNUMBER(G3129),F3129&gt;0),G3129/F3129-1,"")</x:f>
        <x:v>0</x:v>
      </x:c>
      <x:c r="K3129" s="19" t="str">
        <x:v>KuaiRec/EXP095/results/seed842701295_BBP.json</x:v>
      </x:c>
    </x:row>
    <x:row r="3130" ht="15" hidden="0" customHeight="1">
      <x:c r="A3130" s="3" t="str">
        <x:v>EXP095</x:v>
      </x:c>
      <x:c r="B3130" s="3" t="str">
        <x:v>KuaiRec</x:v>
      </x:c>
      <x:c r="C3130" s="18" t="n">
        <x:v>842701295</x:v>
      </x:c>
      <x:c r="D3130" s="3" t="str">
        <x:v>Relative cutoff 1e-5</x:v>
      </x:c>
      <x:c r="E3130" s="18" t="n">
        <x:v>600</x:v>
      </x:c>
      <x:c r="F3130" s="21" t="n">
        <x:v>1414.575283823812</x:v>
      </x:c>
      <x:c r="G3130" s="21" t="n">
        <x:f>F3129</x:f>
        <x:v>1353.6019988273695</x:v>
      </x:c>
      <x:c r="H3130" s="21" t="n">
        <x:f>F3134</x:f>
        <x:v>1365.370147807565</x:v>
      </x:c>
      <x:c r="I3130" s="27" t="n">
        <x:f>IF(AND(ISNUMBER(G3130),ISNUMBER(H3130),H3130&gt;0),G3130/H3130-1,"")</x:f>
        <x:v>-0.008619017340530055</x:v>
      </x:c>
      <x:c r="J3130" s="27" t="n">
        <x:f>IF(AND(ISNUMBER(G3130),F3130&gt;0),G3130/F3130-1,"")</x:f>
        <x:v>-0.04310359843954181</x:v>
      </x:c>
      <x:c r="K3130" s="19" t="str">
        <x:v>KuaiRec/EXP095/results/seed842701295_Relative_cutoff_1e-5.json</x:v>
      </x:c>
    </x:row>
    <x:row r="3131" ht="15" hidden="0" customHeight="1">
      <x:c r="A3131" s="3" t="str">
        <x:v>EXP095</x:v>
      </x:c>
      <x:c r="B3131" s="3" t="str">
        <x:v>KuaiRec</x:v>
      </x:c>
      <x:c r="C3131" s="18" t="n">
        <x:v>842701295</x:v>
      </x:c>
      <x:c r="D3131" s="3" t="str">
        <x:v>Fixed rank 10</x:v>
      </x:c>
      <x:c r="E3131" s="18" t="n">
        <x:v>600</x:v>
      </x:c>
      <x:c r="F3131" s="21" t="n">
        <x:v>1418.8845496689883</x:v>
      </x:c>
      <x:c r="G3131" s="21" t="n">
        <x:f>F3129</x:f>
        <x:v>1353.6019988273695</x:v>
      </x:c>
      <x:c r="H3131" s="21" t="n">
        <x:f>F3134</x:f>
        <x:v>1365.370147807565</x:v>
      </x:c>
      <x:c r="I3131" s="27" t="n">
        <x:f>IF(AND(ISNUMBER(G3131),ISNUMBER(H3131),H3131&gt;0),G3131/H3131-1,"")</x:f>
        <x:v>-0.008619017340530055</x:v>
      </x:c>
      <x:c r="J3131" s="27" t="n">
        <x:f>IF(AND(ISNUMBER(G3131),F3131&gt;0),G3131/F3131-1,"")</x:f>
        <x:v>-0.04600976933383938</x:v>
      </x:c>
      <x:c r="K3131" s="19" t="str">
        <x:v>KuaiRec/EXP095/results/seed842701295_Fixed_rank_10.json</x:v>
      </x:c>
    </x:row>
    <x:row r="3132" ht="15" hidden="0" customHeight="1">
      <x:c r="A3132" s="3" t="str">
        <x:v>EXP095</x:v>
      </x:c>
      <x:c r="B3132" s="3" t="str">
        <x:v>KuaiRec</x:v>
      </x:c>
      <x:c r="C3132" s="18" t="n">
        <x:v>842701295</x:v>
      </x:c>
      <x:c r="D3132" s="3" t="str">
        <x:v>Fixed rank 25</x:v>
      </x:c>
      <x:c r="E3132" s="18" t="n">
        <x:v>600</x:v>
      </x:c>
      <x:c r="F3132" s="21" t="n">
        <x:v>1353.6019988273695</x:v>
      </x:c>
      <x:c r="G3132" s="21" t="n">
        <x:f>F3129</x:f>
        <x:v>1353.6019988273695</x:v>
      </x:c>
      <x:c r="H3132" s="21" t="n">
        <x:f>F3134</x:f>
        <x:v>1365.370147807565</x:v>
      </x:c>
      <x:c r="I3132" s="27" t="n">
        <x:f>IF(AND(ISNUMBER(G3132),ISNUMBER(H3132),H3132&gt;0),G3132/H3132-1,"")</x:f>
        <x:v>-0.008619017340530055</x:v>
      </x:c>
      <x:c r="J3132" s="27" t="n">
        <x:f>IF(AND(ISNUMBER(G3132),F3132&gt;0),G3132/F3132-1,"")</x:f>
        <x:v>0</x:v>
      </x:c>
      <x:c r="K3132" s="19" t="str">
        <x:v>KuaiRec/EXP095/results/seed842701295_Fixed_rank_25.json</x:v>
      </x:c>
    </x:row>
    <x:row r="3133" ht="15" hidden="0" customHeight="1">
      <x:c r="A3133" s="3" t="str">
        <x:v>EXP095</x:v>
      </x:c>
      <x:c r="B3133" s="3" t="str">
        <x:v>KuaiRec</x:v>
      </x:c>
      <x:c r="C3133" s="18" t="n">
        <x:v>842701295</x:v>
      </x:c>
      <x:c r="D3133" s="3" t="str">
        <x:v>Relative cutoff 1e-6</x:v>
      </x:c>
      <x:c r="E3133" s="18" t="n">
        <x:v>600</x:v>
      </x:c>
      <x:c r="F3133" s="21" t="n">
        <x:v>1353.6019988273695</x:v>
      </x:c>
      <x:c r="G3133" s="21" t="n">
        <x:f>F3129</x:f>
        <x:v>1353.6019988273695</x:v>
      </x:c>
      <x:c r="H3133" s="21" t="n">
        <x:f>F3134</x:f>
        <x:v>1365.370147807565</x:v>
      </x:c>
      <x:c r="I3133" s="27" t="n">
        <x:f>IF(AND(ISNUMBER(G3133),ISNUMBER(H3133),H3133&gt;0),G3133/H3133-1,"")</x:f>
        <x:v>-0.008619017340530055</x:v>
      </x:c>
      <x:c r="J3133" s="27" t="n">
        <x:f>IF(AND(ISNUMBER(G3133),F3133&gt;0),G3133/F3133-1,"")</x:f>
        <x:v>0</x:v>
      </x:c>
      <x:c r="K3133" s="19" t="str">
        <x:v>KuaiRec/EXP095/results/seed842701295_Relative_cutoff_1e-6.json</x:v>
      </x:c>
    </x:row>
    <x:row r="3134" ht="15" hidden="0" customHeight="1">
      <x:c r="A3134" s="3" t="str">
        <x:v>EXP095</x:v>
      </x:c>
      <x:c r="B3134" s="3" t="str">
        <x:v>KuaiRec</x:v>
      </x:c>
      <x:c r="C3134" s="18" t="n">
        <x:v>842701295</x:v>
      </x:c>
      <x:c r="D3134" s="3" t="str">
        <x:v>Full</x:v>
      </x:c>
      <x:c r="E3134" s="18" t="n">
        <x:v>600</x:v>
      </x:c>
      <x:c r="F3134" s="21" t="n">
        <x:v>1365.370147807565</x:v>
      </x:c>
      <x:c r="G3134" s="21" t="n">
        <x:f>F3129</x:f>
        <x:v>1353.6019988273695</x:v>
      </x:c>
      <x:c r="H3134" s="21" t="n">
        <x:f>F3134</x:f>
        <x:v>1365.370147807565</x:v>
      </x:c>
      <x:c r="I3134" s="27" t="n">
        <x:f>IF(AND(ISNUMBER(G3134),ISNUMBER(H3134),H3134&gt;0),G3134/H3134-1,"")</x:f>
        <x:v>-0.008619017340530055</x:v>
      </x:c>
      <x:c r="J3134" s="27" t="n">
        <x:f>IF(AND(ISNUMBER(G3134),F3134&gt;0),G3134/F3134-1,"")</x:f>
        <x:v>-0.008619017340530055</x:v>
      </x:c>
      <x:c r="K3134" s="19" t="str">
        <x:v>KuaiRec/EXP095/results/seed842701295_Full.json</x:v>
      </x:c>
    </x:row>
    <x:row r="3135" ht="15" hidden="0" customHeight="1">
      <x:c r="A3135" s="3" t="str">
        <x:v>EXP095</x:v>
      </x:c>
      <x:c r="B3135" s="3" t="str">
        <x:v>KuaiRec</x:v>
      </x:c>
      <x:c r="C3135" s="18" t="n">
        <x:v>842701295</x:v>
      </x:c>
      <x:c r="D3135" s="3" t="str">
        <x:v>Relative cutoff 1e-2</x:v>
      </x:c>
      <x:c r="E3135" s="18" t="n">
        <x:v>600</x:v>
      </x:c>
      <x:c r="F3135" s="21" t="n">
        <x:v>1532.3013212011317</x:v>
      </x:c>
      <x:c r="G3135" s="21" t="n">
        <x:f>F3129</x:f>
        <x:v>1353.6019988273695</x:v>
      </x:c>
      <x:c r="H3135" s="21" t="n">
        <x:f>F3134</x:f>
        <x:v>1365.370147807565</x:v>
      </x:c>
      <x:c r="I3135" s="27" t="n">
        <x:f>IF(AND(ISNUMBER(G3135),ISNUMBER(H3135),H3135&gt;0),G3135/H3135-1,"")</x:f>
        <x:v>-0.008619017340530055</x:v>
      </x:c>
      <x:c r="J3135" s="27" t="n">
        <x:f>IF(AND(ISNUMBER(G3135),F3135&gt;0),G3135/F3135-1,"")</x:f>
        <x:v>-0.11662152861271724</x:v>
      </x:c>
      <x:c r="K3135" s="19" t="str">
        <x:v>KuaiRec/EXP095/results/seed842701295_Relative_cutoff_1e-2.json</x:v>
      </x:c>
    </x:row>
    <x:row r="3136" ht="15" hidden="0" customHeight="1">
      <x:c r="A3136" s="3" t="str">
        <x:v>EXP095</x:v>
      </x:c>
      <x:c r="B3136" s="3" t="str">
        <x:v>KuaiRec</x:v>
      </x:c>
      <x:c r="C3136" s="18" t="n">
        <x:v>842701295</x:v>
      </x:c>
      <x:c r="D3136" s="3" t="str">
        <x:v>Relative cutoff 1e-4</x:v>
      </x:c>
      <x:c r="E3136" s="18" t="n">
        <x:v>600</x:v>
      </x:c>
      <x:c r="F3136" s="21" t="n">
        <x:v>1472.6151330532516</x:v>
      </x:c>
      <x:c r="G3136" s="21" t="n">
        <x:f>F3129</x:f>
        <x:v>1353.6019988273695</x:v>
      </x:c>
      <x:c r="H3136" s="21" t="n">
        <x:f>F3134</x:f>
        <x:v>1365.370147807565</x:v>
      </x:c>
      <x:c r="I3136" s="27" t="n">
        <x:f>IF(AND(ISNUMBER(G3136),ISNUMBER(H3136),H3136&gt;0),G3136/H3136-1,"")</x:f>
        <x:v>-0.008619017340530055</x:v>
      </x:c>
      <x:c r="J3136" s="27" t="n">
        <x:f>IF(AND(ISNUMBER(G3136),F3136&gt;0),G3136/F3136-1,"")</x:f>
        <x:v>-0.08081754122621698</x:v>
      </x:c>
      <x:c r="K3136" s="19" t="str">
        <x:v>KuaiRec/EXP095/results/seed842701295_Relative_cutoff_1e-4.json</x:v>
      </x:c>
    </x:row>
    <x:row r="3137" ht="15" hidden="0" customHeight="1">
      <x:c r="A3137" s="3" t="str">
        <x:v>EXP095</x:v>
      </x:c>
      <x:c r="B3137" s="3" t="str">
        <x:v>KuaiRec</x:v>
      </x:c>
      <x:c r="C3137" s="18" t="n">
        <x:v>844327520</x:v>
      </x:c>
      <x:c r="D3137" s="3" t="str">
        <x:v>BBP</x:v>
      </x:c>
      <x:c r="E3137" s="18" t="n">
        <x:v>600</x:v>
      </x:c>
      <x:c r="F3137" s="21" t="n">
        <x:v>1461.4466426337808</x:v>
      </x:c>
      <x:c r="G3137" s="21" t="n">
        <x:f>F3137</x:f>
        <x:v>1461.4466426337808</x:v>
      </x:c>
      <x:c r="H3137" s="21" t="n">
        <x:f>F3142</x:f>
        <x:v>1455.797881424464</x:v>
      </x:c>
      <x:c r="I3137" s="27" t="n">
        <x:f>IF(AND(ISNUMBER(G3137),ISNUMBER(H3137),H3137&gt;0),G3137/H3137-1,"")</x:f>
        <x:v>0.003880182325715076</x:v>
      </x:c>
      <x:c r="J3137" s="27" t="n">
        <x:f>IF(AND(ISNUMBER(G3137),F3137&gt;0),G3137/F3137-1,"")</x:f>
        <x:v>0</x:v>
      </x:c>
      <x:c r="K3137" s="19" t="str">
        <x:v>KuaiRec/EXP095/results/seed844327520_BBP.json</x:v>
      </x:c>
    </x:row>
    <x:row r="3138" ht="15" hidden="0" customHeight="1">
      <x:c r="A3138" s="3" t="str">
        <x:v>EXP095</x:v>
      </x:c>
      <x:c r="B3138" s="3" t="str">
        <x:v>KuaiRec</x:v>
      </x:c>
      <x:c r="C3138" s="18" t="n">
        <x:v>844327520</x:v>
      </x:c>
      <x:c r="D3138" s="3" t="str">
        <x:v>Relative cutoff 1e-5</x:v>
      </x:c>
      <x:c r="E3138" s="18" t="n">
        <x:v>600</x:v>
      </x:c>
      <x:c r="F3138" s="21" t="n">
        <x:v>1460.2567437906882</x:v>
      </x:c>
      <x:c r="G3138" s="21" t="n">
        <x:f>F3137</x:f>
        <x:v>1461.4466426337808</x:v>
      </x:c>
      <x:c r="H3138" s="21" t="n">
        <x:f>F3142</x:f>
        <x:v>1455.797881424464</x:v>
      </x:c>
      <x:c r="I3138" s="27" t="n">
        <x:f>IF(AND(ISNUMBER(G3138),ISNUMBER(H3138),H3138&gt;0),G3138/H3138-1,"")</x:f>
        <x:v>0.003880182325715076</x:v>
      </x:c>
      <x:c r="J3138" s="27" t="n">
        <x:f>IF(AND(ISNUMBER(G3138),F3138&gt;0),G3138/F3138-1,"")</x:f>
        <x:v>0.0008148559136276212</x:v>
      </x:c>
      <x:c r="K3138" s="19" t="str">
        <x:v>KuaiRec/EXP095/results/seed844327520_Relative_cutoff_1e-5.json</x:v>
      </x:c>
    </x:row>
    <x:row r="3139" ht="15" hidden="0" customHeight="1">
      <x:c r="A3139" s="3" t="str">
        <x:v>EXP095</x:v>
      </x:c>
      <x:c r="B3139" s="3" t="str">
        <x:v>KuaiRec</x:v>
      </x:c>
      <x:c r="C3139" s="18" t="n">
        <x:v>844327520</x:v>
      </x:c>
      <x:c r="D3139" s="3" t="str">
        <x:v>Fixed rank 10</x:v>
      </x:c>
      <x:c r="E3139" s="18" t="n">
        <x:v>600</x:v>
      </x:c>
      <x:c r="F3139" s="21" t="n">
        <x:v>1432.6644414111972</x:v>
      </x:c>
      <x:c r="G3139" s="21" t="n">
        <x:f>F3137</x:f>
        <x:v>1461.4466426337808</x:v>
      </x:c>
      <x:c r="H3139" s="21" t="n">
        <x:f>F3142</x:f>
        <x:v>1455.797881424464</x:v>
      </x:c>
      <x:c r="I3139" s="27" t="n">
        <x:f>IF(AND(ISNUMBER(G3139),ISNUMBER(H3139),H3139&gt;0),G3139/H3139-1,"")</x:f>
        <x:v>0.003880182325715076</x:v>
      </x:c>
      <x:c r="J3139" s="27" t="n">
        <x:f>IF(AND(ISNUMBER(G3139),F3139&gt;0),G3139/F3139-1,"")</x:f>
        <x:v>0.020089980871049296</x:v>
      </x:c>
      <x:c r="K3139" s="19" t="str">
        <x:v>KuaiRec/EXP095/results/seed844327520_Fixed_rank_10.json</x:v>
      </x:c>
    </x:row>
    <x:row r="3140" ht="15" hidden="0" customHeight="1">
      <x:c r="A3140" s="3" t="str">
        <x:v>EXP095</x:v>
      </x:c>
      <x:c r="B3140" s="3" t="str">
        <x:v>KuaiRec</x:v>
      </x:c>
      <x:c r="C3140" s="18" t="n">
        <x:v>844327520</x:v>
      </x:c>
      <x:c r="D3140" s="3" t="str">
        <x:v>Fixed rank 25</x:v>
      </x:c>
      <x:c r="E3140" s="18" t="n">
        <x:v>600</x:v>
      </x:c>
      <x:c r="F3140" s="21" t="n">
        <x:v>1432.6383814205908</x:v>
      </x:c>
      <x:c r="G3140" s="21" t="n">
        <x:f>F3137</x:f>
        <x:v>1461.4466426337808</x:v>
      </x:c>
      <x:c r="H3140" s="21" t="n">
        <x:f>F3142</x:f>
        <x:v>1455.797881424464</x:v>
      </x:c>
      <x:c r="I3140" s="27" t="n">
        <x:f>IF(AND(ISNUMBER(G3140),ISNUMBER(H3140),H3140&gt;0),G3140/H3140-1,"")</x:f>
        <x:v>0.003880182325715076</x:v>
      </x:c>
      <x:c r="J3140" s="27" t="n">
        <x:f>IF(AND(ISNUMBER(G3140),F3140&gt;0),G3140/F3140-1,"")</x:f>
        <x:v>0.020108536520307307</x:v>
      </x:c>
      <x:c r="K3140" s="19" t="str">
        <x:v>KuaiRec/EXP095/results/seed844327520_Fixed_rank_25.json</x:v>
      </x:c>
    </x:row>
    <x:row r="3141" ht="15" hidden="0" customHeight="1">
      <x:c r="A3141" s="3" t="str">
        <x:v>EXP095</x:v>
      </x:c>
      <x:c r="B3141" s="3" t="str">
        <x:v>KuaiRec</x:v>
      </x:c>
      <x:c r="C3141" s="18" t="n">
        <x:v>844327520</x:v>
      </x:c>
      <x:c r="D3141" s="3" t="str">
        <x:v>Relative cutoff 1e-6</x:v>
      </x:c>
      <x:c r="E3141" s="18" t="n">
        <x:v>600</x:v>
      </x:c>
      <x:c r="F3141" s="21" t="n">
        <x:v>1432.6383814205908</x:v>
      </x:c>
      <x:c r="G3141" s="21" t="n">
        <x:f>F3137</x:f>
        <x:v>1461.4466426337808</x:v>
      </x:c>
      <x:c r="H3141" s="21" t="n">
        <x:f>F3142</x:f>
        <x:v>1455.797881424464</x:v>
      </x:c>
      <x:c r="I3141" s="27" t="n">
        <x:f>IF(AND(ISNUMBER(G3141),ISNUMBER(H3141),H3141&gt;0),G3141/H3141-1,"")</x:f>
        <x:v>0.003880182325715076</x:v>
      </x:c>
      <x:c r="J3141" s="27" t="n">
        <x:f>IF(AND(ISNUMBER(G3141),F3141&gt;0),G3141/F3141-1,"")</x:f>
        <x:v>0.020108536520307307</x:v>
      </x:c>
      <x:c r="K3141" s="19" t="str">
        <x:v>KuaiRec/EXP095/results/seed844327520_Relative_cutoff_1e-6.json</x:v>
      </x:c>
    </x:row>
    <x:row r="3142" ht="15" hidden="0" customHeight="1">
      <x:c r="A3142" s="3" t="str">
        <x:v>EXP095</x:v>
      </x:c>
      <x:c r="B3142" s="3" t="str">
        <x:v>KuaiRec</x:v>
      </x:c>
      <x:c r="C3142" s="18" t="n">
        <x:v>844327520</x:v>
      </x:c>
      <x:c r="D3142" s="3" t="str">
        <x:v>Full</x:v>
      </x:c>
      <x:c r="E3142" s="18" t="n">
        <x:v>600</x:v>
      </x:c>
      <x:c r="F3142" s="21" t="n">
        <x:v>1455.797881424464</x:v>
      </x:c>
      <x:c r="G3142" s="21" t="n">
        <x:f>F3137</x:f>
        <x:v>1461.4466426337808</x:v>
      </x:c>
      <x:c r="H3142" s="21" t="n">
        <x:f>F3142</x:f>
        <x:v>1455.797881424464</x:v>
      </x:c>
      <x:c r="I3142" s="27" t="n">
        <x:f>IF(AND(ISNUMBER(G3142),ISNUMBER(H3142),H3142&gt;0),G3142/H3142-1,"")</x:f>
        <x:v>0.003880182325715076</x:v>
      </x:c>
      <x:c r="J3142" s="27" t="n">
        <x:f>IF(AND(ISNUMBER(G3142),F3142&gt;0),G3142/F3142-1,"")</x:f>
        <x:v>0.003880182325715076</x:v>
      </x:c>
      <x:c r="K3142" s="19" t="str">
        <x:v>KuaiRec/EXP095/results/seed844327520_Full.json</x:v>
      </x:c>
    </x:row>
    <x:row r="3143" ht="15" hidden="0" customHeight="1">
      <x:c r="A3143" s="3" t="str">
        <x:v>EXP095</x:v>
      </x:c>
      <x:c r="B3143" s="3" t="str">
        <x:v>KuaiRec</x:v>
      </x:c>
      <x:c r="C3143" s="18" t="n">
        <x:v>844327520</x:v>
      </x:c>
      <x:c r="D3143" s="3" t="str">
        <x:v>Relative cutoff 1e-2</x:v>
      </x:c>
      <x:c r="E3143" s="18" t="n">
        <x:v>600</x:v>
      </x:c>
      <x:c r="F3143" s="21" t="n">
        <x:v>1466.083652834963</x:v>
      </x:c>
      <x:c r="G3143" s="21" t="n">
        <x:f>F3137</x:f>
        <x:v>1461.4466426337808</x:v>
      </x:c>
      <x:c r="H3143" s="21" t="n">
        <x:f>F3142</x:f>
        <x:v>1455.797881424464</x:v>
      </x:c>
      <x:c r="I3143" s="27" t="n">
        <x:f>IF(AND(ISNUMBER(G3143),ISNUMBER(H3143),H3143&gt;0),G3143/H3143-1,"")</x:f>
        <x:v>0.003880182325715076</x:v>
      </x:c>
      <x:c r="J3143" s="27" t="n">
        <x:f>IF(AND(ISNUMBER(G3143),F3143&gt;0),G3143/F3143-1,"")</x:f>
        <x:v>-0.003162855129184239</x:v>
      </x:c>
      <x:c r="K3143" s="19" t="str">
        <x:v>KuaiRec/EXP095/results/seed844327520_Relative_cutoff_1e-2.json</x:v>
      </x:c>
    </x:row>
    <x:row r="3144" ht="15" hidden="0" customHeight="1">
      <x:c r="A3144" s="3" t="str">
        <x:v>EXP095</x:v>
      </x:c>
      <x:c r="B3144" s="3" t="str">
        <x:v>KuaiRec</x:v>
      </x:c>
      <x:c r="C3144" s="18" t="n">
        <x:v>844327520</x:v>
      </x:c>
      <x:c r="D3144" s="3" t="str">
        <x:v>Relative cutoff 1e-4</x:v>
      </x:c>
      <x:c r="E3144" s="18" t="n">
        <x:v>600</x:v>
      </x:c>
      <x:c r="F3144" s="21" t="n">
        <x:v>1474.772051859853</x:v>
      </x:c>
      <x:c r="G3144" s="21" t="n">
        <x:f>F3137</x:f>
        <x:v>1461.4466426337808</x:v>
      </x:c>
      <x:c r="H3144" s="21" t="n">
        <x:f>F3142</x:f>
        <x:v>1455.797881424464</x:v>
      </x:c>
      <x:c r="I3144" s="27" t="n">
        <x:f>IF(AND(ISNUMBER(G3144),ISNUMBER(H3144),H3144&gt;0),G3144/H3144-1,"")</x:f>
        <x:v>0.003880182325715076</x:v>
      </x:c>
      <x:c r="J3144" s="27" t="n">
        <x:f>IF(AND(ISNUMBER(G3144),F3144&gt;0),G3144/F3144-1,"")</x:f>
        <x:v>-0.009035572113851309</x:v>
      </x:c>
      <x:c r="K3144" s="19" t="str">
        <x:v>KuaiRec/EXP095/results/seed844327520_Relative_cutoff_1e-4.json</x:v>
      </x:c>
    </x:row>
    <x:row r="3145" ht="15" hidden="0" customHeight="1">
      <x:c r="A3145" s="3" t="str">
        <x:v>EXP095</x:v>
      </x:c>
      <x:c r="B3145" s="3" t="str">
        <x:v>KuaiRec</x:v>
      </x:c>
      <x:c r="C3145" s="18" t="n">
        <x:v>856092563</x:v>
      </x:c>
      <x:c r="D3145" s="3" t="str">
        <x:v>BBP</x:v>
      </x:c>
      <x:c r="E3145" s="18" t="n">
        <x:v>600</x:v>
      </x:c>
      <x:c r="F3145" s="21" t="n">
        <x:v>1492.1486103310579</x:v>
      </x:c>
      <x:c r="G3145" s="21" t="n">
        <x:f>F3145</x:f>
        <x:v>1492.1486103310579</x:v>
      </x:c>
      <x:c r="H3145" s="21" t="n">
        <x:f>F3150</x:f>
        <x:v>1499.2033087740817</x:v>
      </x:c>
      <x:c r="I3145" s="27" t="n">
        <x:f>IF(AND(ISNUMBER(G3145),ISNUMBER(H3145),H3145&gt;0),G3145/H3145-1,"")</x:f>
        <x:v>-0.004705631585613657</x:v>
      </x:c>
      <x:c r="J3145" s="27" t="n">
        <x:f>IF(AND(ISNUMBER(G3145),F3145&gt;0),G3145/F3145-1,"")</x:f>
        <x:v>0</x:v>
      </x:c>
      <x:c r="K3145" s="19" t="str">
        <x:v>KuaiRec/EXP095/results/seed856092563_BBP.json</x:v>
      </x:c>
    </x:row>
    <x:row r="3146" ht="15" hidden="0" customHeight="1">
      <x:c r="A3146" s="3" t="str">
        <x:v>EXP095</x:v>
      </x:c>
      <x:c r="B3146" s="3" t="str">
        <x:v>KuaiRec</x:v>
      </x:c>
      <x:c r="C3146" s="18" t="n">
        <x:v>856092563</x:v>
      </x:c>
      <x:c r="D3146" s="3" t="str">
        <x:v>Relative cutoff 1e-5</x:v>
      </x:c>
      <x:c r="E3146" s="18" t="n">
        <x:v>600</x:v>
      </x:c>
      <x:c r="F3146" s="21" t="n">
        <x:v>1490.640157616506</x:v>
      </x:c>
      <x:c r="G3146" s="21" t="n">
        <x:f>F3145</x:f>
        <x:v>1492.1486103310579</x:v>
      </x:c>
      <x:c r="H3146" s="21" t="n">
        <x:f>F3150</x:f>
        <x:v>1499.2033087740817</x:v>
      </x:c>
      <x:c r="I3146" s="27" t="n">
        <x:f>IF(AND(ISNUMBER(G3146),ISNUMBER(H3146),H3146&gt;0),G3146/H3146-1,"")</x:f>
        <x:v>-0.004705631585613657</x:v>
      </x:c>
      <x:c r="J3146" s="27" t="n">
        <x:f>IF(AND(ISNUMBER(G3146),F3146&gt;0),G3146/F3146-1,"")</x:f>
        <x:v>0.0010119496022191754</x:v>
      </x:c>
      <x:c r="K3146" s="19" t="str">
        <x:v>KuaiRec/EXP095/results/seed856092563_Relative_cutoff_1e-5.json</x:v>
      </x:c>
    </x:row>
    <x:row r="3147" ht="15" hidden="0" customHeight="1">
      <x:c r="A3147" s="3" t="str">
        <x:v>EXP095</x:v>
      </x:c>
      <x:c r="B3147" s="3" t="str">
        <x:v>KuaiRec</x:v>
      </x:c>
      <x:c r="C3147" s="18" t="n">
        <x:v>856092563</x:v>
      </x:c>
      <x:c r="D3147" s="3" t="str">
        <x:v>Fixed rank 10</x:v>
      </x:c>
      <x:c r="E3147" s="18" t="n">
        <x:v>600</x:v>
      </x:c>
      <x:c r="F3147" s="21" t="n">
        <x:v>1492.0909769636648</x:v>
      </x:c>
      <x:c r="G3147" s="21" t="n">
        <x:f>F3145</x:f>
        <x:v>1492.1486103310579</x:v>
      </x:c>
      <x:c r="H3147" s="21" t="n">
        <x:f>F3150</x:f>
        <x:v>1499.2033087740817</x:v>
      </x:c>
      <x:c r="I3147" s="27" t="n">
        <x:f>IF(AND(ISNUMBER(G3147),ISNUMBER(H3147),H3147&gt;0),G3147/H3147-1,"")</x:f>
        <x:v>-0.004705631585613657</x:v>
      </x:c>
      <x:c r="J3147" s="27" t="n">
        <x:f>IF(AND(ISNUMBER(G3147),F3147&gt;0),G3147/F3147-1,"")</x:f>
        <x:v>0.000038625907054390396</x:v>
      </x:c>
      <x:c r="K3147" s="19" t="str">
        <x:v>KuaiRec/EXP095/results/seed856092563_Fixed_rank_10.json</x:v>
      </x:c>
    </x:row>
    <x:row r="3148" ht="15" hidden="0" customHeight="1">
      <x:c r="A3148" s="3" t="str">
        <x:v>EXP095</x:v>
      </x:c>
      <x:c r="B3148" s="3" t="str">
        <x:v>KuaiRec</x:v>
      </x:c>
      <x:c r="C3148" s="18" t="n">
        <x:v>856092563</x:v>
      </x:c>
      <x:c r="D3148" s="3" t="str">
        <x:v>Fixed rank 25</x:v>
      </x:c>
      <x:c r="E3148" s="18" t="n">
        <x:v>600</x:v>
      </x:c>
      <x:c r="F3148" s="21" t="n">
        <x:v>1492.1486103310579</x:v>
      </x:c>
      <x:c r="G3148" s="21" t="n">
        <x:f>F3145</x:f>
        <x:v>1492.1486103310579</x:v>
      </x:c>
      <x:c r="H3148" s="21" t="n">
        <x:f>F3150</x:f>
        <x:v>1499.2033087740817</x:v>
      </x:c>
      <x:c r="I3148" s="27" t="n">
        <x:f>IF(AND(ISNUMBER(G3148),ISNUMBER(H3148),H3148&gt;0),G3148/H3148-1,"")</x:f>
        <x:v>-0.004705631585613657</x:v>
      </x:c>
      <x:c r="J3148" s="27" t="n">
        <x:f>IF(AND(ISNUMBER(G3148),F3148&gt;0),G3148/F3148-1,"")</x:f>
        <x:v>0</x:v>
      </x:c>
      <x:c r="K3148" s="19" t="str">
        <x:v>KuaiRec/EXP095/results/seed856092563_Fixed_rank_25.json</x:v>
      </x:c>
    </x:row>
    <x:row r="3149" ht="15" hidden="0" customHeight="1">
      <x:c r="A3149" s="3" t="str">
        <x:v>EXP095</x:v>
      </x:c>
      <x:c r="B3149" s="3" t="str">
        <x:v>KuaiRec</x:v>
      </x:c>
      <x:c r="C3149" s="18" t="n">
        <x:v>856092563</x:v>
      </x:c>
      <x:c r="D3149" s="3" t="str">
        <x:v>Relative cutoff 1e-6</x:v>
      </x:c>
      <x:c r="E3149" s="18" t="n">
        <x:v>600</x:v>
      </x:c>
      <x:c r="F3149" s="21" t="n">
        <x:v>1492.1486103310579</x:v>
      </x:c>
      <x:c r="G3149" s="21" t="n">
        <x:f>F3145</x:f>
        <x:v>1492.1486103310579</x:v>
      </x:c>
      <x:c r="H3149" s="21" t="n">
        <x:f>F3150</x:f>
        <x:v>1499.2033087740817</x:v>
      </x:c>
      <x:c r="I3149" s="27" t="n">
        <x:f>IF(AND(ISNUMBER(G3149),ISNUMBER(H3149),H3149&gt;0),G3149/H3149-1,"")</x:f>
        <x:v>-0.004705631585613657</x:v>
      </x:c>
      <x:c r="J3149" s="27" t="n">
        <x:f>IF(AND(ISNUMBER(G3149),F3149&gt;0),G3149/F3149-1,"")</x:f>
        <x:v>0</x:v>
      </x:c>
      <x:c r="K3149" s="19" t="str">
        <x:v>KuaiRec/EXP095/results/seed856092563_Relative_cutoff_1e-6.json</x:v>
      </x:c>
    </x:row>
    <x:row r="3150" ht="15" hidden="0" customHeight="1">
      <x:c r="A3150" s="3" t="str">
        <x:v>EXP095</x:v>
      </x:c>
      <x:c r="B3150" s="3" t="str">
        <x:v>KuaiRec</x:v>
      </x:c>
      <x:c r="C3150" s="18" t="n">
        <x:v>856092563</x:v>
      </x:c>
      <x:c r="D3150" s="3" t="str">
        <x:v>Full</x:v>
      </x:c>
      <x:c r="E3150" s="18" t="n">
        <x:v>600</x:v>
      </x:c>
      <x:c r="F3150" s="21" t="n">
        <x:v>1499.2033087740817</x:v>
      </x:c>
      <x:c r="G3150" s="21" t="n">
        <x:f>F3145</x:f>
        <x:v>1492.1486103310579</x:v>
      </x:c>
      <x:c r="H3150" s="21" t="n">
        <x:f>F3150</x:f>
        <x:v>1499.2033087740817</x:v>
      </x:c>
      <x:c r="I3150" s="27" t="n">
        <x:f>IF(AND(ISNUMBER(G3150),ISNUMBER(H3150),H3150&gt;0),G3150/H3150-1,"")</x:f>
        <x:v>-0.004705631585613657</x:v>
      </x:c>
      <x:c r="J3150" s="27" t="n">
        <x:f>IF(AND(ISNUMBER(G3150),F3150&gt;0),G3150/F3150-1,"")</x:f>
        <x:v>-0.004705631585613657</x:v>
      </x:c>
      <x:c r="K3150" s="19" t="str">
        <x:v>KuaiRec/EXP095/results/seed856092563_Full.json</x:v>
      </x:c>
    </x:row>
    <x:row r="3151" ht="15" hidden="0" customHeight="1">
      <x:c r="A3151" s="3" t="str">
        <x:v>EXP095</x:v>
      </x:c>
      <x:c r="B3151" s="3" t="str">
        <x:v>KuaiRec</x:v>
      </x:c>
      <x:c r="C3151" s="18" t="n">
        <x:v>856092563</x:v>
      </x:c>
      <x:c r="D3151" s="3" t="str">
        <x:v>Relative cutoff 1e-2</x:v>
      </x:c>
      <x:c r="E3151" s="18" t="n">
        <x:v>600</x:v>
      </x:c>
      <x:c r="F3151" s="21" t="n">
        <x:v>1473.5319547107285</x:v>
      </x:c>
      <x:c r="G3151" s="21" t="n">
        <x:f>F3145</x:f>
        <x:v>1492.1486103310579</x:v>
      </x:c>
      <x:c r="H3151" s="21" t="n">
        <x:f>F3150</x:f>
        <x:v>1499.2033087740817</x:v>
      </x:c>
      <x:c r="I3151" s="27" t="n">
        <x:f>IF(AND(ISNUMBER(G3151),ISNUMBER(H3151),H3151&gt;0),G3151/H3151-1,"")</x:f>
        <x:v>-0.004705631585613657</x:v>
      </x:c>
      <x:c r="J3151" s="27" t="n">
        <x:f>IF(AND(ISNUMBER(G3151),F3151&gt;0),G3151/F3151-1,"")</x:f>
        <x:v>0.012634035903201113</x:v>
      </x:c>
      <x:c r="K3151" s="19" t="str">
        <x:v>KuaiRec/EXP095/results/seed856092563_Relative_cutoff_1e-2.json</x:v>
      </x:c>
    </x:row>
    <x:row r="3152" ht="15" hidden="0" customHeight="1">
      <x:c r="A3152" s="3" t="str">
        <x:v>EXP095</x:v>
      </x:c>
      <x:c r="B3152" s="3" t="str">
        <x:v>KuaiRec</x:v>
      </x:c>
      <x:c r="C3152" s="18" t="n">
        <x:v>856092563</x:v>
      </x:c>
      <x:c r="D3152" s="3" t="str">
        <x:v>Relative cutoff 1e-4</x:v>
      </x:c>
      <x:c r="E3152" s="18" t="n">
        <x:v>600</x:v>
      </x:c>
      <x:c r="F3152" s="21" t="n">
        <x:v>1493.677552824787</x:v>
      </x:c>
      <x:c r="G3152" s="21" t="n">
        <x:f>F3145</x:f>
        <x:v>1492.1486103310579</x:v>
      </x:c>
      <x:c r="H3152" s="21" t="n">
        <x:f>F3150</x:f>
        <x:v>1499.2033087740817</x:v>
      </x:c>
      <x:c r="I3152" s="27" t="n">
        <x:f>IF(AND(ISNUMBER(G3152),ISNUMBER(H3152),H3152&gt;0),G3152/H3152-1,"")</x:f>
        <x:v>-0.004705631585613657</x:v>
      </x:c>
      <x:c r="J3152" s="27" t="n">
        <x:f>IF(AND(ISNUMBER(G3152),F3152&gt;0),G3152/F3152-1,"")</x:f>
        <x:v>-0.0010236094737030577</x:v>
      </x:c>
      <x:c r="K3152" s="19" t="str">
        <x:v>KuaiRec/EXP095/results/seed856092563_Relative_cutoff_1e-4.json</x:v>
      </x:c>
    </x:row>
    <x:row r="3153" ht="15" hidden="0" customHeight="1">
      <x:c r="A3153" s="3" t="str">
        <x:v>EXP095</x:v>
      </x:c>
      <x:c r="B3153" s="3" t="str">
        <x:v>KuaiRec</x:v>
      </x:c>
      <x:c r="C3153" s="18" t="n">
        <x:v>906338870</x:v>
      </x:c>
      <x:c r="D3153" s="3" t="str">
        <x:v>BBP</x:v>
      </x:c>
      <x:c r="E3153" s="18" t="n">
        <x:v>600</x:v>
      </x:c>
      <x:c r="F3153" s="21" t="n">
        <x:v>1338.6543799594233</x:v>
      </x:c>
      <x:c r="G3153" s="21" t="n">
        <x:f>F3153</x:f>
        <x:v>1338.6543799594233</x:v>
      </x:c>
      <x:c r="H3153" s="21" t="n">
        <x:f>F3158</x:f>
        <x:v>1442.816237262269</x:v>
      </x:c>
      <x:c r="I3153" s="27" t="n">
        <x:f>IF(AND(ISNUMBER(G3153),ISNUMBER(H3153),H3153&gt;0),G3153/H3153-1,"")</x:f>
        <x:v>-0.072193432963086</x:v>
      </x:c>
      <x:c r="J3153" s="27" t="n">
        <x:f>IF(AND(ISNUMBER(G3153),F3153&gt;0),G3153/F3153-1,"")</x:f>
        <x:v>0</x:v>
      </x:c>
      <x:c r="K3153" s="19" t="str">
        <x:v>KuaiRec/EXP095/results/seed906338870_BBP.json</x:v>
      </x:c>
    </x:row>
    <x:row r="3154" ht="15" hidden="0" customHeight="1">
      <x:c r="A3154" s="3" t="str">
        <x:v>EXP095</x:v>
      </x:c>
      <x:c r="B3154" s="3" t="str">
        <x:v>KuaiRec</x:v>
      </x:c>
      <x:c r="C3154" s="18" t="n">
        <x:v>906338870</x:v>
      </x:c>
      <x:c r="D3154" s="3" t="str">
        <x:v>Relative cutoff 1e-5</x:v>
      </x:c>
      <x:c r="E3154" s="18" t="n">
        <x:v>600</x:v>
      </x:c>
      <x:c r="F3154" s="21" t="n">
        <x:v>1375.5803060270362</x:v>
      </x:c>
      <x:c r="G3154" s="21" t="n">
        <x:f>F3153</x:f>
        <x:v>1338.6543799594233</x:v>
      </x:c>
      <x:c r="H3154" s="21" t="n">
        <x:f>F3158</x:f>
        <x:v>1442.816237262269</x:v>
      </x:c>
      <x:c r="I3154" s="27" t="n">
        <x:f>IF(AND(ISNUMBER(G3154),ISNUMBER(H3154),H3154&gt;0),G3154/H3154-1,"")</x:f>
        <x:v>-0.072193432963086</x:v>
      </x:c>
      <x:c r="J3154" s="27" t="n">
        <x:f>IF(AND(ISNUMBER(G3154),F3154&gt;0),G3154/F3154-1,"")</x:f>
        <x:v>-0.026843889742986127</x:v>
      </x:c>
      <x:c r="K3154" s="19" t="str">
        <x:v>KuaiRec/EXP095/results/seed906338870_Relative_cutoff_1e-5.json</x:v>
      </x:c>
    </x:row>
    <x:row r="3155" ht="15" hidden="0" customHeight="1">
      <x:c r="A3155" s="3" t="str">
        <x:v>EXP095</x:v>
      </x:c>
      <x:c r="B3155" s="3" t="str">
        <x:v>KuaiRec</x:v>
      </x:c>
      <x:c r="C3155" s="18" t="n">
        <x:v>906338870</x:v>
      </x:c>
      <x:c r="D3155" s="3" t="str">
        <x:v>Fixed rank 10</x:v>
      </x:c>
      <x:c r="E3155" s="18" t="n">
        <x:v>600</x:v>
      </x:c>
      <x:c r="F3155" s="21" t="n">
        <x:v>1343.1014767778092</x:v>
      </x:c>
      <x:c r="G3155" s="21" t="n">
        <x:f>F3153</x:f>
        <x:v>1338.6543799594233</x:v>
      </x:c>
      <x:c r="H3155" s="21" t="n">
        <x:f>F3158</x:f>
        <x:v>1442.816237262269</x:v>
      </x:c>
      <x:c r="I3155" s="27" t="n">
        <x:f>IF(AND(ISNUMBER(G3155),ISNUMBER(H3155),H3155&gt;0),G3155/H3155-1,"")</x:f>
        <x:v>-0.072193432963086</x:v>
      </x:c>
      <x:c r="J3155" s="27" t="n">
        <x:f>IF(AND(ISNUMBER(G3155),F3155&gt;0),G3155/F3155-1,"")</x:f>
        <x:v>-0.003311065392508361</x:v>
      </x:c>
      <x:c r="K3155" s="19" t="str">
        <x:v>KuaiRec/EXP095/results/seed906338870_Fixed_rank_10.json</x:v>
      </x:c>
    </x:row>
    <x:row r="3156" ht="15" hidden="0" customHeight="1">
      <x:c r="A3156" s="3" t="str">
        <x:v>EXP095</x:v>
      </x:c>
      <x:c r="B3156" s="3" t="str">
        <x:v>KuaiRec</x:v>
      </x:c>
      <x:c r="C3156" s="18" t="n">
        <x:v>906338870</x:v>
      </x:c>
      <x:c r="D3156" s="3" t="str">
        <x:v>Fixed rank 25</x:v>
      </x:c>
      <x:c r="E3156" s="18" t="n">
        <x:v>600</x:v>
      </x:c>
      <x:c r="F3156" s="21" t="n">
        <x:v>1340.5957658542823</x:v>
      </x:c>
      <x:c r="G3156" s="21" t="n">
        <x:f>F3153</x:f>
        <x:v>1338.6543799594233</x:v>
      </x:c>
      <x:c r="H3156" s="21" t="n">
        <x:f>F3158</x:f>
        <x:v>1442.816237262269</x:v>
      </x:c>
      <x:c r="I3156" s="27" t="n">
        <x:f>IF(AND(ISNUMBER(G3156),ISNUMBER(H3156),H3156&gt;0),G3156/H3156-1,"")</x:f>
        <x:v>-0.072193432963086</x:v>
      </x:c>
      <x:c r="J3156" s="27" t="n">
        <x:f>IF(AND(ISNUMBER(G3156),F3156&gt;0),G3156/F3156-1,"")</x:f>
        <x:v>-0.0014481515937221356</x:v>
      </x:c>
      <x:c r="K3156" s="19" t="str">
        <x:v>KuaiRec/EXP095/results/seed906338870_Fixed_rank_25.json</x:v>
      </x:c>
    </x:row>
    <x:row r="3157" ht="15" hidden="0" customHeight="1">
      <x:c r="A3157" s="3" t="str">
        <x:v>EXP095</x:v>
      </x:c>
      <x:c r="B3157" s="3" t="str">
        <x:v>KuaiRec</x:v>
      </x:c>
      <x:c r="C3157" s="18" t="n">
        <x:v>906338870</x:v>
      </x:c>
      <x:c r="D3157" s="3" t="str">
        <x:v>Relative cutoff 1e-6</x:v>
      </x:c>
      <x:c r="E3157" s="18" t="n">
        <x:v>600</x:v>
      </x:c>
      <x:c r="F3157" s="21" t="n">
        <x:v>1442.816237262269</x:v>
      </x:c>
      <x:c r="G3157" s="21" t="n">
        <x:f>F3153</x:f>
        <x:v>1338.6543799594233</x:v>
      </x:c>
      <x:c r="H3157" s="21" t="n">
        <x:f>F3158</x:f>
        <x:v>1442.816237262269</x:v>
      </x:c>
      <x:c r="I3157" s="27" t="n">
        <x:f>IF(AND(ISNUMBER(G3157),ISNUMBER(H3157),H3157&gt;0),G3157/H3157-1,"")</x:f>
        <x:v>-0.072193432963086</x:v>
      </x:c>
      <x:c r="J3157" s="27" t="n">
        <x:f>IF(AND(ISNUMBER(G3157),F3157&gt;0),G3157/F3157-1,"")</x:f>
        <x:v>-0.072193432963086</x:v>
      </x:c>
      <x:c r="K3157" s="19" t="str">
        <x:v>KuaiRec/EXP095/results/seed906338870_Relative_cutoff_1e-6.json</x:v>
      </x:c>
    </x:row>
    <x:row r="3158" ht="15" hidden="0" customHeight="1">
      <x:c r="A3158" s="3" t="str">
        <x:v>EXP095</x:v>
      </x:c>
      <x:c r="B3158" s="3" t="str">
        <x:v>KuaiRec</x:v>
      </x:c>
      <x:c r="C3158" s="18" t="n">
        <x:v>906338870</x:v>
      </x:c>
      <x:c r="D3158" s="3" t="str">
        <x:v>Full</x:v>
      </x:c>
      <x:c r="E3158" s="18" t="n">
        <x:v>600</x:v>
      </x:c>
      <x:c r="F3158" s="21" t="n">
        <x:v>1442.816237262269</x:v>
      </x:c>
      <x:c r="G3158" s="21" t="n">
        <x:f>F3153</x:f>
        <x:v>1338.6543799594233</x:v>
      </x:c>
      <x:c r="H3158" s="21" t="n">
        <x:f>F3158</x:f>
        <x:v>1442.816237262269</x:v>
      </x:c>
      <x:c r="I3158" s="27" t="n">
        <x:f>IF(AND(ISNUMBER(G3158),ISNUMBER(H3158),H3158&gt;0),G3158/H3158-1,"")</x:f>
        <x:v>-0.072193432963086</x:v>
      </x:c>
      <x:c r="J3158" s="27" t="n">
        <x:f>IF(AND(ISNUMBER(G3158),F3158&gt;0),G3158/F3158-1,"")</x:f>
        <x:v>-0.072193432963086</x:v>
      </x:c>
      <x:c r="K3158" s="19" t="str">
        <x:v>KuaiRec/EXP095/results/seed906338870_Full.json</x:v>
      </x:c>
    </x:row>
    <x:row r="3159" ht="15" hidden="0" customHeight="1">
      <x:c r="A3159" s="3" t="str">
        <x:v>EXP095</x:v>
      </x:c>
      <x:c r="B3159" s="3" t="str">
        <x:v>KuaiRec</x:v>
      </x:c>
      <x:c r="C3159" s="18" t="n">
        <x:v>906338870</x:v>
      </x:c>
      <x:c r="D3159" s="3" t="str">
        <x:v>Relative cutoff 1e-2</x:v>
      </x:c>
      <x:c r="E3159" s="18" t="n">
        <x:v>600</x:v>
      </x:c>
      <x:c r="F3159" s="21" t="n">
        <x:v>1406.1083668531926</x:v>
      </x:c>
      <x:c r="G3159" s="21" t="n">
        <x:f>F3153</x:f>
        <x:v>1338.6543799594233</x:v>
      </x:c>
      <x:c r="H3159" s="21" t="n">
        <x:f>F3158</x:f>
        <x:v>1442.816237262269</x:v>
      </x:c>
      <x:c r="I3159" s="27" t="n">
        <x:f>IF(AND(ISNUMBER(G3159),ISNUMBER(H3159),H3159&gt;0),G3159/H3159-1,"")</x:f>
        <x:v>-0.072193432963086</x:v>
      </x:c>
      <x:c r="J3159" s="27" t="n">
        <x:f>IF(AND(ISNUMBER(G3159),F3159&gt;0),G3159/F3159-1,"")</x:f>
        <x:v>-0.04797211117143718</x:v>
      </x:c>
      <x:c r="K3159" s="19" t="str">
        <x:v>KuaiRec/EXP095/results/seed906338870_Relative_cutoff_1e-2.json</x:v>
      </x:c>
    </x:row>
    <x:row r="3160" ht="15" hidden="0" customHeight="1">
      <x:c r="A3160" s="3" t="str">
        <x:v>EXP095</x:v>
      </x:c>
      <x:c r="B3160" s="3" t="str">
        <x:v>KuaiRec</x:v>
      </x:c>
      <x:c r="C3160" s="18" t="n">
        <x:v>906338870</x:v>
      </x:c>
      <x:c r="D3160" s="3" t="str">
        <x:v>Relative cutoff 1e-4</x:v>
      </x:c>
      <x:c r="E3160" s="18" t="n">
        <x:v>600</x:v>
      </x:c>
      <x:c r="F3160" s="21" t="n">
        <x:v>1378.9651648450185</x:v>
      </x:c>
      <x:c r="G3160" s="21" t="n">
        <x:f>F3153</x:f>
        <x:v>1338.6543799594233</x:v>
      </x:c>
      <x:c r="H3160" s="21" t="n">
        <x:f>F3158</x:f>
        <x:v>1442.816237262269</x:v>
      </x:c>
      <x:c r="I3160" s="27" t="n">
        <x:f>IF(AND(ISNUMBER(G3160),ISNUMBER(H3160),H3160&gt;0),G3160/H3160-1,"")</x:f>
        <x:v>-0.072193432963086</x:v>
      </x:c>
      <x:c r="J3160" s="27" t="n">
        <x:f>IF(AND(ISNUMBER(G3160),F3160&gt;0),G3160/F3160-1,"")</x:f>
        <x:v>-0.0292326346692926</x:v>
      </x:c>
      <x:c r="K3160" s="19" t="str">
        <x:v>KuaiRec/EXP095/results/seed906338870_Relative_cutoff_1e-4.json</x:v>
      </x:c>
    </x:row>
    <x:row r="3161" ht="15" hidden="0" customHeight="1">
      <x:c r="A3161" s="3" t="str">
        <x:v>EXP095</x:v>
      </x:c>
      <x:c r="B3161" s="3" t="str">
        <x:v>KuaiRec</x:v>
      </x:c>
      <x:c r="C3161" s="18" t="n">
        <x:v>939142453</x:v>
      </x:c>
      <x:c r="D3161" s="3" t="str">
        <x:v>BBP</x:v>
      </x:c>
      <x:c r="E3161" s="18" t="n">
        <x:v>600</x:v>
      </x:c>
      <x:c r="F3161" s="21" t="n">
        <x:v>1287.2351449166665</x:v>
      </x:c>
      <x:c r="G3161" s="21" t="n">
        <x:f>F3161</x:f>
        <x:v>1287.2351449166665</x:v>
      </x:c>
      <x:c r="H3161" s="21" t="n">
        <x:f>F3166</x:f>
        <x:v>1287.2351449166665</x:v>
      </x:c>
      <x:c r="I3161" s="27" t="n">
        <x:f>IF(AND(ISNUMBER(G3161),ISNUMBER(H3161),H3161&gt;0),G3161/H3161-1,"")</x:f>
        <x:v>0</x:v>
      </x:c>
      <x:c r="J3161" s="27" t="n">
        <x:f>IF(AND(ISNUMBER(G3161),F3161&gt;0),G3161/F3161-1,"")</x:f>
        <x:v>0</x:v>
      </x:c>
      <x:c r="K3161" s="19" t="str">
        <x:v>KuaiRec/EXP095/results/seed939142453_BBP.json</x:v>
      </x:c>
    </x:row>
    <x:row r="3162" ht="15" hidden="0" customHeight="1">
      <x:c r="A3162" s="3" t="str">
        <x:v>EXP095</x:v>
      </x:c>
      <x:c r="B3162" s="3" t="str">
        <x:v>KuaiRec</x:v>
      </x:c>
      <x:c r="C3162" s="18" t="n">
        <x:v>939142453</x:v>
      </x:c>
      <x:c r="D3162" s="3" t="str">
        <x:v>Relative cutoff 1e-5</x:v>
      </x:c>
      <x:c r="E3162" s="18" t="n">
        <x:v>600</x:v>
      </x:c>
      <x:c r="F3162" s="21" t="n">
        <x:v>1247.7492507132151</x:v>
      </x:c>
      <x:c r="G3162" s="21" t="n">
        <x:f>F3161</x:f>
        <x:v>1287.2351449166665</x:v>
      </x:c>
      <x:c r="H3162" s="21" t="n">
        <x:f>F3166</x:f>
        <x:v>1287.2351449166665</x:v>
      </x:c>
      <x:c r="I3162" s="27" t="n">
        <x:f>IF(AND(ISNUMBER(G3162),ISNUMBER(H3162),H3162&gt;0),G3162/H3162-1,"")</x:f>
        <x:v>0</x:v>
      </x:c>
      <x:c r="J3162" s="27" t="n">
        <x:f>IF(AND(ISNUMBER(G3162),F3162&gt;0),G3162/F3162-1,"")</x:f>
        <x:v>0.03164569658597771</x:v>
      </x:c>
      <x:c r="K3162" s="19" t="str">
        <x:v>KuaiRec/EXP095/results/seed939142453_Relative_cutoff_1e-5.json</x:v>
      </x:c>
    </x:row>
    <x:row r="3163" ht="15" hidden="0" customHeight="1">
      <x:c r="A3163" s="3" t="str">
        <x:v>EXP095</x:v>
      </x:c>
      <x:c r="B3163" s="3" t="str">
        <x:v>KuaiRec</x:v>
      </x:c>
      <x:c r="C3163" s="18" t="n">
        <x:v>939142453</x:v>
      </x:c>
      <x:c r="D3163" s="3" t="str">
        <x:v>Fixed rank 10</x:v>
      </x:c>
      <x:c r="E3163" s="18" t="n">
        <x:v>600</x:v>
      </x:c>
      <x:c r="F3163" s="21" t="n">
        <x:v>1253.8052589209128</x:v>
      </x:c>
      <x:c r="G3163" s="21" t="n">
        <x:f>F3161</x:f>
        <x:v>1287.2351449166665</x:v>
      </x:c>
      <x:c r="H3163" s="21" t="n">
        <x:f>F3166</x:f>
        <x:v>1287.2351449166665</x:v>
      </x:c>
      <x:c r="I3163" s="27" t="n">
        <x:f>IF(AND(ISNUMBER(G3163),ISNUMBER(H3163),H3163&gt;0),G3163/H3163-1,"")</x:f>
        <x:v>0</x:v>
      </x:c>
      <x:c r="J3163" s="27" t="n">
        <x:f>IF(AND(ISNUMBER(G3163),F3163&gt;0),G3163/F3163-1,"")</x:f>
        <x:v>0.026662741887464314</x:v>
      </x:c>
      <x:c r="K3163" s="19" t="str">
        <x:v>KuaiRec/EXP095/results/seed939142453_Fixed_rank_10.json</x:v>
      </x:c>
    </x:row>
    <x:row r="3164" ht="15" hidden="0" customHeight="1">
      <x:c r="A3164" s="3" t="str">
        <x:v>EXP095</x:v>
      </x:c>
      <x:c r="B3164" s="3" t="str">
        <x:v>KuaiRec</x:v>
      </x:c>
      <x:c r="C3164" s="18" t="n">
        <x:v>939142453</x:v>
      </x:c>
      <x:c r="D3164" s="3" t="str">
        <x:v>Fixed rank 25</x:v>
      </x:c>
      <x:c r="E3164" s="18" t="n">
        <x:v>600</x:v>
      </x:c>
      <x:c r="F3164" s="21" t="n">
        <x:v>1287.2351449166665</x:v>
      </x:c>
      <x:c r="G3164" s="21" t="n">
        <x:f>F3161</x:f>
        <x:v>1287.2351449166665</x:v>
      </x:c>
      <x:c r="H3164" s="21" t="n">
        <x:f>F3166</x:f>
        <x:v>1287.2351449166665</x:v>
      </x:c>
      <x:c r="I3164" s="27" t="n">
        <x:f>IF(AND(ISNUMBER(G3164),ISNUMBER(H3164),H3164&gt;0),G3164/H3164-1,"")</x:f>
        <x:v>0</x:v>
      </x:c>
      <x:c r="J3164" s="27" t="n">
        <x:f>IF(AND(ISNUMBER(G3164),F3164&gt;0),G3164/F3164-1,"")</x:f>
        <x:v>0</x:v>
      </x:c>
      <x:c r="K3164" s="19" t="str">
        <x:v>KuaiRec/EXP095/results/seed939142453_Fixed_rank_25.json</x:v>
      </x:c>
    </x:row>
    <x:row r="3165" ht="15" hidden="0" customHeight="1">
      <x:c r="A3165" s="3" t="str">
        <x:v>EXP095</x:v>
      </x:c>
      <x:c r="B3165" s="3" t="str">
        <x:v>KuaiRec</x:v>
      </x:c>
      <x:c r="C3165" s="18" t="n">
        <x:v>939142453</x:v>
      </x:c>
      <x:c r="D3165" s="3" t="str">
        <x:v>Relative cutoff 1e-6</x:v>
      </x:c>
      <x:c r="E3165" s="18" t="n">
        <x:v>600</x:v>
      </x:c>
      <x:c r="F3165" s="21" t="n">
        <x:v>1287.2351449166665</x:v>
      </x:c>
      <x:c r="G3165" s="21" t="n">
        <x:f>F3161</x:f>
        <x:v>1287.2351449166665</x:v>
      </x:c>
      <x:c r="H3165" s="21" t="n">
        <x:f>F3166</x:f>
        <x:v>1287.2351449166665</x:v>
      </x:c>
      <x:c r="I3165" s="27" t="n">
        <x:f>IF(AND(ISNUMBER(G3165),ISNUMBER(H3165),H3165&gt;0),G3165/H3165-1,"")</x:f>
        <x:v>0</x:v>
      </x:c>
      <x:c r="J3165" s="27" t="n">
        <x:f>IF(AND(ISNUMBER(G3165),F3165&gt;0),G3165/F3165-1,"")</x:f>
        <x:v>0</x:v>
      </x:c>
      <x:c r="K3165" s="19" t="str">
        <x:v>KuaiRec/EXP095/results/seed939142453_Relative_cutoff_1e-6.json</x:v>
      </x:c>
    </x:row>
    <x:row r="3166" ht="15" hidden="0" customHeight="1">
      <x:c r="A3166" s="3" t="str">
        <x:v>EXP095</x:v>
      </x:c>
      <x:c r="B3166" s="3" t="str">
        <x:v>KuaiRec</x:v>
      </x:c>
      <x:c r="C3166" s="18" t="n">
        <x:v>939142453</x:v>
      </x:c>
      <x:c r="D3166" s="3" t="str">
        <x:v>Full</x:v>
      </x:c>
      <x:c r="E3166" s="18" t="n">
        <x:v>600</x:v>
      </x:c>
      <x:c r="F3166" s="21" t="n">
        <x:v>1287.2351449166665</x:v>
      </x:c>
      <x:c r="G3166" s="21" t="n">
        <x:f>F3161</x:f>
        <x:v>1287.2351449166665</x:v>
      </x:c>
      <x:c r="H3166" s="21" t="n">
        <x:f>F3166</x:f>
        <x:v>1287.2351449166665</x:v>
      </x:c>
      <x:c r="I3166" s="27" t="n">
        <x:f>IF(AND(ISNUMBER(G3166),ISNUMBER(H3166),H3166&gt;0),G3166/H3166-1,"")</x:f>
        <x:v>0</x:v>
      </x:c>
      <x:c r="J3166" s="27" t="n">
        <x:f>IF(AND(ISNUMBER(G3166),F3166&gt;0),G3166/F3166-1,"")</x:f>
        <x:v>0</x:v>
      </x:c>
      <x:c r="K3166" s="19" t="str">
        <x:v>KuaiRec/EXP095/results/seed939142453_Full.json</x:v>
      </x:c>
    </x:row>
    <x:row r="3167" ht="15" hidden="0" customHeight="1">
      <x:c r="A3167" s="3" t="str">
        <x:v>EXP095</x:v>
      </x:c>
      <x:c r="B3167" s="3" t="str">
        <x:v>KuaiRec</x:v>
      </x:c>
      <x:c r="C3167" s="18" t="n">
        <x:v>939142453</x:v>
      </x:c>
      <x:c r="D3167" s="3" t="str">
        <x:v>Relative cutoff 1e-2</x:v>
      </x:c>
      <x:c r="E3167" s="18" t="n">
        <x:v>600</x:v>
      </x:c>
      <x:c r="F3167" s="21" t="n">
        <x:v>1261.859320678374</x:v>
      </x:c>
      <x:c r="G3167" s="21" t="n">
        <x:f>F3161</x:f>
        <x:v>1287.2351449166665</x:v>
      </x:c>
      <x:c r="H3167" s="21" t="n">
        <x:f>F3166</x:f>
        <x:v>1287.2351449166665</x:v>
      </x:c>
      <x:c r="I3167" s="27" t="n">
        <x:f>IF(AND(ISNUMBER(G3167),ISNUMBER(H3167),H3167&gt;0),G3167/H3167-1,"")</x:f>
        <x:v>0</x:v>
      </x:c>
      <x:c r="J3167" s="27" t="n">
        <x:f>IF(AND(ISNUMBER(G3167),F3167&gt;0),G3167/F3167-1,"")</x:f>
        <x:v>0.020109867892920574</x:v>
      </x:c>
      <x:c r="K3167" s="19" t="str">
        <x:v>KuaiRec/EXP095/results/seed939142453_Relative_cutoff_1e-2.json</x:v>
      </x:c>
    </x:row>
    <x:row r="3168" ht="15" hidden="0" customHeight="1">
      <x:c r="A3168" s="3" t="str">
        <x:v>EXP095</x:v>
      </x:c>
      <x:c r="B3168" s="3" t="str">
        <x:v>KuaiRec</x:v>
      </x:c>
      <x:c r="C3168" s="18" t="n">
        <x:v>939142453</x:v>
      </x:c>
      <x:c r="D3168" s="3" t="str">
        <x:v>Relative cutoff 1e-4</x:v>
      </x:c>
      <x:c r="E3168" s="18" t="n">
        <x:v>600</x:v>
      </x:c>
      <x:c r="F3168" s="21" t="n">
        <x:v>1245.4512785772508</x:v>
      </x:c>
      <x:c r="G3168" s="21" t="n">
        <x:f>F3161</x:f>
        <x:v>1287.2351449166665</x:v>
      </x:c>
      <x:c r="H3168" s="21" t="n">
        <x:f>F3166</x:f>
        <x:v>1287.2351449166665</x:v>
      </x:c>
      <x:c r="I3168" s="27" t="n">
        <x:f>IF(AND(ISNUMBER(G3168),ISNUMBER(H3168),H3168&gt;0),G3168/H3168-1,"")</x:f>
        <x:v>0</x:v>
      </x:c>
      <x:c r="J3168" s="27" t="n">
        <x:f>IF(AND(ISNUMBER(G3168),F3168&gt;0),G3168/F3168-1,"")</x:f>
        <x:v>0.03354917776241528</x:v>
      </x:c>
      <x:c r="K3168" s="19" t="str">
        <x:v>KuaiRec/EXP095/results/seed939142453_Relative_cutoff_1e-4.json</x:v>
      </x:c>
    </x:row>
    <x:row r="3169" ht="15" hidden="0" customHeight="1">
      <x:c r="A3169" s="3" t="str">
        <x:v>EXP095</x:v>
      </x:c>
      <x:c r="B3169" s="3" t="str">
        <x:v>KuaiRec</x:v>
      </x:c>
      <x:c r="C3169" s="18" t="n">
        <x:v>964415178</x:v>
      </x:c>
      <x:c r="D3169" s="3" t="str">
        <x:v>BBP</x:v>
      </x:c>
      <x:c r="E3169" s="18" t="n">
        <x:v>600</x:v>
      </x:c>
      <x:c r="F3169" s="21" t="n">
        <x:v>1299.9299569197694</x:v>
      </x:c>
      <x:c r="G3169" s="21" t="n">
        <x:f>F3169</x:f>
        <x:v>1299.9299569197694</x:v>
      </x:c>
      <x:c r="H3169" s="21" t="n">
        <x:f>F3174</x:f>
        <x:v>1312.115139929897</x:v>
      </x:c>
      <x:c r="I3169" s="27" t="n">
        <x:f>IF(AND(ISNUMBER(G3169),ISNUMBER(H3169),H3169&gt;0),G3169/H3169-1,"")</x:f>
        <x:v>-0.009286672060485834</x:v>
      </x:c>
      <x:c r="J3169" s="27" t="n">
        <x:f>IF(AND(ISNUMBER(G3169),F3169&gt;0),G3169/F3169-1,"")</x:f>
        <x:v>0</x:v>
      </x:c>
      <x:c r="K3169" s="19" t="str">
        <x:v>KuaiRec/EXP095/results/seed964415178_BBP.json</x:v>
      </x:c>
    </x:row>
    <x:row r="3170" ht="15" hidden="0" customHeight="1">
      <x:c r="A3170" s="3" t="str">
        <x:v>EXP095</x:v>
      </x:c>
      <x:c r="B3170" s="3" t="str">
        <x:v>KuaiRec</x:v>
      </x:c>
      <x:c r="C3170" s="18" t="n">
        <x:v>964415178</x:v>
      </x:c>
      <x:c r="D3170" s="3" t="str">
        <x:v>Relative cutoff 1e-5</x:v>
      </x:c>
      <x:c r="E3170" s="18" t="n">
        <x:v>600</x:v>
      </x:c>
      <x:c r="F3170" s="21" t="n">
        <x:v>1258.0473782403783</x:v>
      </x:c>
      <x:c r="G3170" s="21" t="n">
        <x:f>F3169</x:f>
        <x:v>1299.9299569197694</x:v>
      </x:c>
      <x:c r="H3170" s="21" t="n">
        <x:f>F3174</x:f>
        <x:v>1312.115139929897</x:v>
      </x:c>
      <x:c r="I3170" s="27" t="n">
        <x:f>IF(AND(ISNUMBER(G3170),ISNUMBER(H3170),H3170&gt;0),G3170/H3170-1,"")</x:f>
        <x:v>-0.009286672060485834</x:v>
      </x:c>
      <x:c r="J3170" s="27" t="n">
        <x:f>IF(AND(ISNUMBER(G3170),F3170&gt;0),G3170/F3170-1,"")</x:f>
        <x:v>0.03329173400287355</x:v>
      </x:c>
      <x:c r="K3170" s="19" t="str">
        <x:v>KuaiRec/EXP095/results/seed964415178_Relative_cutoff_1e-5.json</x:v>
      </x:c>
    </x:row>
    <x:row r="3171" ht="15" hidden="0" customHeight="1">
      <x:c r="A3171" s="3" t="str">
        <x:v>EXP095</x:v>
      </x:c>
      <x:c r="B3171" s="3" t="str">
        <x:v>KuaiRec</x:v>
      </x:c>
      <x:c r="C3171" s="18" t="n">
        <x:v>964415178</x:v>
      </x:c>
      <x:c r="D3171" s="3" t="str">
        <x:v>Fixed rank 10</x:v>
      </x:c>
      <x:c r="E3171" s="18" t="n">
        <x:v>600</x:v>
      </x:c>
      <x:c r="F3171" s="21" t="n">
        <x:v>1319.5791356672419</x:v>
      </x:c>
      <x:c r="G3171" s="21" t="n">
        <x:f>F3169</x:f>
        <x:v>1299.9299569197694</x:v>
      </x:c>
      <x:c r="H3171" s="21" t="n">
        <x:f>F3174</x:f>
        <x:v>1312.115139929897</x:v>
      </x:c>
      <x:c r="I3171" s="27" t="n">
        <x:f>IF(AND(ISNUMBER(G3171),ISNUMBER(H3171),H3171&gt;0),G3171/H3171-1,"")</x:f>
        <x:v>-0.009286672060485834</x:v>
      </x:c>
      <x:c r="J3171" s="27" t="n">
        <x:f>IF(AND(ISNUMBER(G3171),F3171&gt;0),G3171/F3171-1,"")</x:f>
        <x:v>-0.014890489108511762</x:v>
      </x:c>
      <x:c r="K3171" s="19" t="str">
        <x:v>KuaiRec/EXP095/results/seed964415178_Fixed_rank_10.json</x:v>
      </x:c>
    </x:row>
    <x:row r="3172" ht="15" hidden="0" customHeight="1">
      <x:c r="A3172" s="3" t="str">
        <x:v>EXP095</x:v>
      </x:c>
      <x:c r="B3172" s="3" t="str">
        <x:v>KuaiRec</x:v>
      </x:c>
      <x:c r="C3172" s="18" t="n">
        <x:v>964415178</x:v>
      </x:c>
      <x:c r="D3172" s="3" t="str">
        <x:v>Fixed rank 25</x:v>
      </x:c>
      <x:c r="E3172" s="18" t="n">
        <x:v>600</x:v>
      </x:c>
      <x:c r="F3172" s="21" t="n">
        <x:v>1299.9299569197694</x:v>
      </x:c>
      <x:c r="G3172" s="21" t="n">
        <x:f>F3169</x:f>
        <x:v>1299.9299569197694</x:v>
      </x:c>
      <x:c r="H3172" s="21" t="n">
        <x:f>F3174</x:f>
        <x:v>1312.115139929897</x:v>
      </x:c>
      <x:c r="I3172" s="27" t="n">
        <x:f>IF(AND(ISNUMBER(G3172),ISNUMBER(H3172),H3172&gt;0),G3172/H3172-1,"")</x:f>
        <x:v>-0.009286672060485834</x:v>
      </x:c>
      <x:c r="J3172" s="27" t="n">
        <x:f>IF(AND(ISNUMBER(G3172),F3172&gt;0),G3172/F3172-1,"")</x:f>
        <x:v>0</x:v>
      </x:c>
      <x:c r="K3172" s="19" t="str">
        <x:v>KuaiRec/EXP095/results/seed964415178_Fixed_rank_25.json</x:v>
      </x:c>
    </x:row>
    <x:row r="3173" ht="15" hidden="0" customHeight="1">
      <x:c r="A3173" s="3" t="str">
        <x:v>EXP095</x:v>
      </x:c>
      <x:c r="B3173" s="3" t="str">
        <x:v>KuaiRec</x:v>
      </x:c>
      <x:c r="C3173" s="18" t="n">
        <x:v>964415178</x:v>
      </x:c>
      <x:c r="D3173" s="3" t="str">
        <x:v>Relative cutoff 1e-6</x:v>
      </x:c>
      <x:c r="E3173" s="18" t="n">
        <x:v>600</x:v>
      </x:c>
      <x:c r="F3173" s="21" t="n">
        <x:v>1299.9299569197694</x:v>
      </x:c>
      <x:c r="G3173" s="21" t="n">
        <x:f>F3169</x:f>
        <x:v>1299.9299569197694</x:v>
      </x:c>
      <x:c r="H3173" s="21" t="n">
        <x:f>F3174</x:f>
        <x:v>1312.115139929897</x:v>
      </x:c>
      <x:c r="I3173" s="27" t="n">
        <x:f>IF(AND(ISNUMBER(G3173),ISNUMBER(H3173),H3173&gt;0),G3173/H3173-1,"")</x:f>
        <x:v>-0.009286672060485834</x:v>
      </x:c>
      <x:c r="J3173" s="27" t="n">
        <x:f>IF(AND(ISNUMBER(G3173),F3173&gt;0),G3173/F3173-1,"")</x:f>
        <x:v>0</x:v>
      </x:c>
      <x:c r="K3173" s="19" t="str">
        <x:v>KuaiRec/EXP095/results/seed964415178_Relative_cutoff_1e-6.json</x:v>
      </x:c>
    </x:row>
    <x:row r="3174" ht="15" hidden="0" customHeight="1">
      <x:c r="A3174" s="3" t="str">
        <x:v>EXP095</x:v>
      </x:c>
      <x:c r="B3174" s="3" t="str">
        <x:v>KuaiRec</x:v>
      </x:c>
      <x:c r="C3174" s="18" t="n">
        <x:v>964415178</x:v>
      </x:c>
      <x:c r="D3174" s="3" t="str">
        <x:v>Full</x:v>
      </x:c>
      <x:c r="E3174" s="18" t="n">
        <x:v>600</x:v>
      </x:c>
      <x:c r="F3174" s="21" t="n">
        <x:v>1312.115139929897</x:v>
      </x:c>
      <x:c r="G3174" s="21" t="n">
        <x:f>F3169</x:f>
        <x:v>1299.9299569197694</x:v>
      </x:c>
      <x:c r="H3174" s="21" t="n">
        <x:f>F3174</x:f>
        <x:v>1312.115139929897</x:v>
      </x:c>
      <x:c r="I3174" s="27" t="n">
        <x:f>IF(AND(ISNUMBER(G3174),ISNUMBER(H3174),H3174&gt;0),G3174/H3174-1,"")</x:f>
        <x:v>-0.009286672060485834</x:v>
      </x:c>
      <x:c r="J3174" s="27" t="n">
        <x:f>IF(AND(ISNUMBER(G3174),F3174&gt;0),G3174/F3174-1,"")</x:f>
        <x:v>-0.009286672060485834</x:v>
      </x:c>
      <x:c r="K3174" s="19" t="str">
        <x:v>KuaiRec/EXP095/results/seed964415178_Full.json</x:v>
      </x:c>
    </x:row>
    <x:row r="3175" ht="15" hidden="0" customHeight="1">
      <x:c r="A3175" s="3" t="str">
        <x:v>EXP095</x:v>
      </x:c>
      <x:c r="B3175" s="3" t="str">
        <x:v>KuaiRec</x:v>
      </x:c>
      <x:c r="C3175" s="18" t="n">
        <x:v>964415178</x:v>
      </x:c>
      <x:c r="D3175" s="3" t="str">
        <x:v>Relative cutoff 1e-2</x:v>
      </x:c>
      <x:c r="E3175" s="18" t="n">
        <x:v>600</x:v>
      </x:c>
      <x:c r="F3175" s="21" t="n">
        <x:v>1321.9022013656388</x:v>
      </x:c>
      <x:c r="G3175" s="21" t="n">
        <x:f>F3169</x:f>
        <x:v>1299.9299569197694</x:v>
      </x:c>
      <x:c r="H3175" s="21" t="n">
        <x:f>F3174</x:f>
        <x:v>1312.115139929897</x:v>
      </x:c>
      <x:c r="I3175" s="27" t="n">
        <x:f>IF(AND(ISNUMBER(G3175),ISNUMBER(H3175),H3175&gt;0),G3175/H3175-1,"")</x:f>
        <x:v>-0.009286672060485834</x:v>
      </x:c>
      <x:c r="J3175" s="27" t="n">
        <x:f>IF(AND(ISNUMBER(G3175),F3175&gt;0),G3175/F3175-1,"")</x:f>
        <x:v>-0.016621686856387874</x:v>
      </x:c>
      <x:c r="K3175" s="19" t="str">
        <x:v>KuaiRec/EXP095/results/seed964415178_Relative_cutoff_1e-2.json</x:v>
      </x:c>
    </x:row>
    <x:row r="3176" ht="15" hidden="0" customHeight="1">
      <x:c r="A3176" s="3" t="str">
        <x:v>EXP095</x:v>
      </x:c>
      <x:c r="B3176" s="3" t="str">
        <x:v>KuaiRec</x:v>
      </x:c>
      <x:c r="C3176" s="18" t="n">
        <x:v>964415178</x:v>
      </x:c>
      <x:c r="D3176" s="3" t="str">
        <x:v>Relative cutoff 1e-4</x:v>
      </x:c>
      <x:c r="E3176" s="18" t="n">
        <x:v>600</x:v>
      </x:c>
      <x:c r="F3176" s="21" t="n">
        <x:v>1354.6686321097134</x:v>
      </x:c>
      <x:c r="G3176" s="21" t="n">
        <x:f>F3169</x:f>
        <x:v>1299.9299569197694</x:v>
      </x:c>
      <x:c r="H3176" s="21" t="n">
        <x:f>F3174</x:f>
        <x:v>1312.115139929897</x:v>
      </x:c>
      <x:c r="I3176" s="27" t="n">
        <x:f>IF(AND(ISNUMBER(G3176),ISNUMBER(H3176),H3176&gt;0),G3176/H3176-1,"")</x:f>
        <x:v>-0.009286672060485834</x:v>
      </x:c>
      <x:c r="J3176" s="27" t="n">
        <x:f>IF(AND(ISNUMBER(G3176),F3176&gt;0),G3176/F3176-1,"")</x:f>
        <x:v>-0.04040742798088992</x:v>
      </x:c>
      <x:c r="K3176" s="19" t="str">
        <x:v>KuaiRec/EXP095/results/seed964415178_Relative_cutoff_1e-4.json</x:v>
      </x:c>
    </x:row>
    <x:row r="3177" ht="15" hidden="0" customHeight="1">
      <x:c r="A3177" s="3" t="str">
        <x:v>EXP095</x:v>
      </x:c>
      <x:c r="B3177" s="3" t="str">
        <x:v>KuaiRec</x:v>
      </x:c>
      <x:c r="C3177" s="18" t="n">
        <x:v>977002178</x:v>
      </x:c>
      <x:c r="D3177" s="3" t="str">
        <x:v>BBP</x:v>
      </x:c>
      <x:c r="E3177" s="18" t="n">
        <x:v>600</x:v>
      </x:c>
      <x:c r="F3177" s="21" t="n">
        <x:v>1426.4985159017024</x:v>
      </x:c>
      <x:c r="G3177" s="21" t="n">
        <x:f>F3177</x:f>
        <x:v>1426.4985159017024</x:v>
      </x:c>
      <x:c r="H3177" s="21" t="n">
        <x:f>F3182</x:f>
        <x:v>1472.7764431557525</x:v>
      </x:c>
      <x:c r="I3177" s="27" t="n">
        <x:f>IF(AND(ISNUMBER(G3177),ISNUMBER(H3177),H3177&gt;0),G3177/H3177-1,"")</x:f>
        <x:v>-0.03142223483347506</x:v>
      </x:c>
      <x:c r="J3177" s="27" t="n">
        <x:f>IF(AND(ISNUMBER(G3177),F3177&gt;0),G3177/F3177-1,"")</x:f>
        <x:v>0</x:v>
      </x:c>
      <x:c r="K3177" s="19" t="str">
        <x:v>KuaiRec/EXP095/results/seed977002178_BBP.json</x:v>
      </x:c>
    </x:row>
    <x:row r="3178" ht="15" hidden="0" customHeight="1">
      <x:c r="A3178" s="3" t="str">
        <x:v>EXP095</x:v>
      </x:c>
      <x:c r="B3178" s="3" t="str">
        <x:v>KuaiRec</x:v>
      </x:c>
      <x:c r="C3178" s="18" t="n">
        <x:v>977002178</x:v>
      </x:c>
      <x:c r="D3178" s="3" t="str">
        <x:v>Relative cutoff 1e-5</x:v>
      </x:c>
      <x:c r="E3178" s="18" t="n">
        <x:v>600</x:v>
      </x:c>
      <x:c r="F3178" s="21" t="n">
        <x:v>1469.1680271482824</x:v>
      </x:c>
      <x:c r="G3178" s="21" t="n">
        <x:f>F3177</x:f>
        <x:v>1426.4985159017024</x:v>
      </x:c>
      <x:c r="H3178" s="21" t="n">
        <x:f>F3182</x:f>
        <x:v>1472.7764431557525</x:v>
      </x:c>
      <x:c r="I3178" s="27" t="n">
        <x:f>IF(AND(ISNUMBER(G3178),ISNUMBER(H3178),H3178&gt;0),G3178/H3178-1,"")</x:f>
        <x:v>-0.03142223483347506</x:v>
      </x:c>
      <x:c r="J3178" s="27" t="n">
        <x:f>IF(AND(ISNUMBER(G3178),F3178&gt;0),G3178/F3178-1,"")</x:f>
        <x:v>-0.02904331598435561</x:v>
      </x:c>
      <x:c r="K3178" s="19" t="str">
        <x:v>KuaiRec/EXP095/results/seed977002178_Relative_cutoff_1e-5.json</x:v>
      </x:c>
    </x:row>
    <x:row r="3179" ht="15" hidden="0" customHeight="1">
      <x:c r="A3179" s="3" t="str">
        <x:v>EXP095</x:v>
      </x:c>
      <x:c r="B3179" s="3" t="str">
        <x:v>KuaiRec</x:v>
      </x:c>
      <x:c r="C3179" s="18" t="n">
        <x:v>977002178</x:v>
      </x:c>
      <x:c r="D3179" s="3" t="str">
        <x:v>Fixed rank 10</x:v>
      </x:c>
      <x:c r="E3179" s="18" t="n">
        <x:v>600</x:v>
      </x:c>
      <x:c r="F3179" s="21" t="n">
        <x:v>1515.5428413869342</x:v>
      </x:c>
      <x:c r="G3179" s="21" t="n">
        <x:f>F3177</x:f>
        <x:v>1426.4985159017024</x:v>
      </x:c>
      <x:c r="H3179" s="21" t="n">
        <x:f>F3182</x:f>
        <x:v>1472.7764431557525</x:v>
      </x:c>
      <x:c r="I3179" s="27" t="n">
        <x:f>IF(AND(ISNUMBER(G3179),ISNUMBER(H3179),H3179&gt;0),G3179/H3179-1,"")</x:f>
        <x:v>-0.03142223483347506</x:v>
      </x:c>
      <x:c r="J3179" s="27" t="n">
        <x:f>IF(AND(ISNUMBER(G3179),F3179&gt;0),G3179/F3179-1,"")</x:f>
        <x:v>-0.0587540800916877</x:v>
      </x:c>
      <x:c r="K3179" s="19" t="str">
        <x:v>KuaiRec/EXP095/results/seed977002178_Fixed_rank_10.json</x:v>
      </x:c>
    </x:row>
    <x:row r="3180" ht="15" hidden="0" customHeight="1">
      <x:c r="A3180" s="3" t="str">
        <x:v>EXP095</x:v>
      </x:c>
      <x:c r="B3180" s="3" t="str">
        <x:v>KuaiRec</x:v>
      </x:c>
      <x:c r="C3180" s="18" t="n">
        <x:v>977002178</x:v>
      </x:c>
      <x:c r="D3180" s="3" t="str">
        <x:v>Fixed rank 25</x:v>
      </x:c>
      <x:c r="E3180" s="18" t="n">
        <x:v>600</x:v>
      </x:c>
      <x:c r="F3180" s="21" t="n">
        <x:v>1426.4985159017024</x:v>
      </x:c>
      <x:c r="G3180" s="21" t="n">
        <x:f>F3177</x:f>
        <x:v>1426.4985159017024</x:v>
      </x:c>
      <x:c r="H3180" s="21" t="n">
        <x:f>F3182</x:f>
        <x:v>1472.7764431557525</x:v>
      </x:c>
      <x:c r="I3180" s="27" t="n">
        <x:f>IF(AND(ISNUMBER(G3180),ISNUMBER(H3180),H3180&gt;0),G3180/H3180-1,"")</x:f>
        <x:v>-0.03142223483347506</x:v>
      </x:c>
      <x:c r="J3180" s="27" t="n">
        <x:f>IF(AND(ISNUMBER(G3180),F3180&gt;0),G3180/F3180-1,"")</x:f>
        <x:v>0</x:v>
      </x:c>
      <x:c r="K3180" s="19" t="str">
        <x:v>KuaiRec/EXP095/results/seed977002178_Fixed_rank_25.json</x:v>
      </x:c>
    </x:row>
    <x:row r="3181" ht="15" hidden="0" customHeight="1">
      <x:c r="A3181" s="3" t="str">
        <x:v>EXP095</x:v>
      </x:c>
      <x:c r="B3181" s="3" t="str">
        <x:v>KuaiRec</x:v>
      </x:c>
      <x:c r="C3181" s="18" t="n">
        <x:v>977002178</x:v>
      </x:c>
      <x:c r="D3181" s="3" t="str">
        <x:v>Relative cutoff 1e-6</x:v>
      </x:c>
      <x:c r="E3181" s="18" t="n">
        <x:v>600</x:v>
      </x:c>
      <x:c r="F3181" s="21" t="n">
        <x:v>1426.4985159017024</x:v>
      </x:c>
      <x:c r="G3181" s="21" t="n">
        <x:f>F3177</x:f>
        <x:v>1426.4985159017024</x:v>
      </x:c>
      <x:c r="H3181" s="21" t="n">
        <x:f>F3182</x:f>
        <x:v>1472.7764431557525</x:v>
      </x:c>
      <x:c r="I3181" s="27" t="n">
        <x:f>IF(AND(ISNUMBER(G3181),ISNUMBER(H3181),H3181&gt;0),G3181/H3181-1,"")</x:f>
        <x:v>-0.03142223483347506</x:v>
      </x:c>
      <x:c r="J3181" s="27" t="n">
        <x:f>IF(AND(ISNUMBER(G3181),F3181&gt;0),G3181/F3181-1,"")</x:f>
        <x:v>0</x:v>
      </x:c>
      <x:c r="K3181" s="19" t="str">
        <x:v>KuaiRec/EXP095/results/seed977002178_Relative_cutoff_1e-6.json</x:v>
      </x:c>
    </x:row>
    <x:row r="3182" ht="15" hidden="0" customHeight="1">
      <x:c r="A3182" s="3" t="str">
        <x:v>EXP095</x:v>
      </x:c>
      <x:c r="B3182" s="3" t="str">
        <x:v>KuaiRec</x:v>
      </x:c>
      <x:c r="C3182" s="18" t="n">
        <x:v>977002178</x:v>
      </x:c>
      <x:c r="D3182" s="3" t="str">
        <x:v>Full</x:v>
      </x:c>
      <x:c r="E3182" s="18" t="n">
        <x:v>600</x:v>
      </x:c>
      <x:c r="F3182" s="21" t="n">
        <x:v>1472.7764431557525</x:v>
      </x:c>
      <x:c r="G3182" s="21" t="n">
        <x:f>F3177</x:f>
        <x:v>1426.4985159017024</x:v>
      </x:c>
      <x:c r="H3182" s="21" t="n">
        <x:f>F3182</x:f>
        <x:v>1472.7764431557525</x:v>
      </x:c>
      <x:c r="I3182" s="27" t="n">
        <x:f>IF(AND(ISNUMBER(G3182),ISNUMBER(H3182),H3182&gt;0),G3182/H3182-1,"")</x:f>
        <x:v>-0.03142223483347506</x:v>
      </x:c>
      <x:c r="J3182" s="27" t="n">
        <x:f>IF(AND(ISNUMBER(G3182),F3182&gt;0),G3182/F3182-1,"")</x:f>
        <x:v>-0.03142223483347506</x:v>
      </x:c>
      <x:c r="K3182" s="19" t="str">
        <x:v>KuaiRec/EXP095/results/seed977002178_Full.json</x:v>
      </x:c>
    </x:row>
    <x:row r="3183" ht="15" hidden="0" customHeight="1">
      <x:c r="A3183" s="3" t="str">
        <x:v>EXP095</x:v>
      </x:c>
      <x:c r="B3183" s="3" t="str">
        <x:v>KuaiRec</x:v>
      </x:c>
      <x:c r="C3183" s="18" t="n">
        <x:v>977002178</x:v>
      </x:c>
      <x:c r="D3183" s="3" t="str">
        <x:v>Relative cutoff 1e-2</x:v>
      </x:c>
      <x:c r="E3183" s="18" t="n">
        <x:v>600</x:v>
      </x:c>
      <x:c r="F3183" s="21" t="n">
        <x:v>1438.3898821602106</x:v>
      </x:c>
      <x:c r="G3183" s="21" t="n">
        <x:f>F3177</x:f>
        <x:v>1426.4985159017024</x:v>
      </x:c>
      <x:c r="H3183" s="21" t="n">
        <x:f>F3182</x:f>
        <x:v>1472.7764431557525</x:v>
      </x:c>
      <x:c r="I3183" s="27" t="n">
        <x:f>IF(AND(ISNUMBER(G3183),ISNUMBER(H3183),H3183&gt;0),G3183/H3183-1,"")</x:f>
        <x:v>-0.03142223483347506</x:v>
      </x:c>
      <x:c r="J3183" s="27" t="n">
        <x:f>IF(AND(ISNUMBER(G3183),F3183&gt;0),G3183/F3183-1,"")</x:f>
        <x:v>-0.008267137030086413</x:v>
      </x:c>
      <x:c r="K3183" s="19" t="str">
        <x:v>KuaiRec/EXP095/results/seed977002178_Relative_cutoff_1e-2.json</x:v>
      </x:c>
    </x:row>
    <x:row r="3184" ht="15" hidden="0" customHeight="1">
      <x:c r="A3184" s="3" t="str">
        <x:v>EXP095</x:v>
      </x:c>
      <x:c r="B3184" s="3" t="str">
        <x:v>KuaiRec</x:v>
      </x:c>
      <x:c r="C3184" s="18" t="n">
        <x:v>977002178</x:v>
      </x:c>
      <x:c r="D3184" s="3" t="str">
        <x:v>Relative cutoff 1e-4</x:v>
      </x:c>
      <x:c r="E3184" s="18" t="n">
        <x:v>600</x:v>
      </x:c>
      <x:c r="F3184" s="21" t="n">
        <x:v>1524.5557952533966</x:v>
      </x:c>
      <x:c r="G3184" s="21" t="n">
        <x:f>F3177</x:f>
        <x:v>1426.4985159017024</x:v>
      </x:c>
      <x:c r="H3184" s="21" t="n">
        <x:f>F3182</x:f>
        <x:v>1472.7764431557525</x:v>
      </x:c>
      <x:c r="I3184" s="27" t="n">
        <x:f>IF(AND(ISNUMBER(G3184),ISNUMBER(H3184),H3184&gt;0),G3184/H3184-1,"")</x:f>
        <x:v>-0.03142223483347506</x:v>
      </x:c>
      <x:c r="J3184" s="27" t="n">
        <x:f>IF(AND(ISNUMBER(G3184),F3184&gt;0),G3184/F3184-1,"")</x:f>
        <x:v>-0.06431859014736563</x:v>
      </x:c>
      <x:c r="K3184" s="19" t="str">
        <x:v>KuaiRec/EXP095/results/seed977002178_Relative_cutoff_1e-4.json</x:v>
      </x:c>
    </x:row>
    <x:row r="3185" ht="15" hidden="0" customHeight="1">
      <x:c r="A3185" s="3" t="str">
        <x:v>EXP095</x:v>
      </x:c>
      <x:c r="B3185" s="3" t="str">
        <x:v>KuaiRec</x:v>
      </x:c>
      <x:c r="C3185" s="18" t="n">
        <x:v>998350375</x:v>
      </x:c>
      <x:c r="D3185" s="3" t="str">
        <x:v>BBP</x:v>
      </x:c>
      <x:c r="E3185" s="18" t="n">
        <x:v>600</x:v>
      </x:c>
      <x:c r="F3185" s="21" t="n">
        <x:v>1327.6116959179142</x:v>
      </x:c>
      <x:c r="G3185" s="21" t="n">
        <x:f>F3185</x:f>
        <x:v>1327.6116959179142</x:v>
      </x:c>
      <x:c r="H3185" s="21" t="n">
        <x:f>F3190</x:f>
        <x:v>1409.3413018623864</x:v>
      </x:c>
      <x:c r="I3185" s="27" t="n">
        <x:f>IF(AND(ISNUMBER(G3185),ISNUMBER(H3185),H3185&gt;0),G3185/H3185-1,"")</x:f>
        <x:v>-0.05799135087893181</x:v>
      </x:c>
      <x:c r="J3185" s="27" t="n">
        <x:f>IF(AND(ISNUMBER(G3185),F3185&gt;0),G3185/F3185-1,"")</x:f>
        <x:v>0</x:v>
      </x:c>
      <x:c r="K3185" s="19" t="str">
        <x:v>KuaiRec/EXP095/results/seed998350375_BBP.json</x:v>
      </x:c>
    </x:row>
    <x:row r="3186" ht="15" hidden="0" customHeight="1">
      <x:c r="A3186" s="3" t="str">
        <x:v>EXP095</x:v>
      </x:c>
      <x:c r="B3186" s="3" t="str">
        <x:v>KuaiRec</x:v>
      </x:c>
      <x:c r="C3186" s="18" t="n">
        <x:v>998350375</x:v>
      </x:c>
      <x:c r="D3186" s="3" t="str">
        <x:v>Relative cutoff 1e-5</x:v>
      </x:c>
      <x:c r="E3186" s="18" t="n">
        <x:v>600</x:v>
      </x:c>
      <x:c r="F3186" s="21" t="n">
        <x:v>1367.8111766548104</x:v>
      </x:c>
      <x:c r="G3186" s="21" t="n">
        <x:f>F3185</x:f>
        <x:v>1327.6116959179142</x:v>
      </x:c>
      <x:c r="H3186" s="21" t="n">
        <x:f>F3190</x:f>
        <x:v>1409.3413018623864</x:v>
      </x:c>
      <x:c r="I3186" s="27" t="n">
        <x:f>IF(AND(ISNUMBER(G3186),ISNUMBER(H3186),H3186&gt;0),G3186/H3186-1,"")</x:f>
        <x:v>-0.05799135087893181</x:v>
      </x:c>
      <x:c r="J3186" s="27" t="n">
        <x:f>IF(AND(ISNUMBER(G3186),F3186&gt;0),G3186/F3186-1,"")</x:f>
        <x:v>-0.02938964194985605</x:v>
      </x:c>
      <x:c r="K3186" s="19" t="str">
        <x:v>KuaiRec/EXP095/results/seed998350375_Relative_cutoff_1e-5.json</x:v>
      </x:c>
    </x:row>
    <x:row r="3187" ht="15" hidden="0" customHeight="1">
      <x:c r="A3187" s="3" t="str">
        <x:v>EXP095</x:v>
      </x:c>
      <x:c r="B3187" s="3" t="str">
        <x:v>KuaiRec</x:v>
      </x:c>
      <x:c r="C3187" s="18" t="n">
        <x:v>998350375</x:v>
      </x:c>
      <x:c r="D3187" s="3" t="str">
        <x:v>Fixed rank 10</x:v>
      </x:c>
      <x:c r="E3187" s="18" t="n">
        <x:v>600</x:v>
      </x:c>
      <x:c r="F3187" s="21" t="n">
        <x:v>1352.0032623352636</x:v>
      </x:c>
      <x:c r="G3187" s="21" t="n">
        <x:f>F3185</x:f>
        <x:v>1327.6116959179142</x:v>
      </x:c>
      <x:c r="H3187" s="21" t="n">
        <x:f>F3190</x:f>
        <x:v>1409.3413018623864</x:v>
      </x:c>
      <x:c r="I3187" s="27" t="n">
        <x:f>IF(AND(ISNUMBER(G3187),ISNUMBER(H3187),H3187&gt;0),G3187/H3187-1,"")</x:f>
        <x:v>-0.05799135087893181</x:v>
      </x:c>
      <x:c r="J3187" s="27" t="n">
        <x:f>IF(AND(ISNUMBER(G3187),F3187&gt;0),G3187/F3187-1,"")</x:f>
        <x:v>-0.018041055888592172</x:v>
      </x:c>
      <x:c r="K3187" s="19" t="str">
        <x:v>KuaiRec/EXP095/results/seed998350375_Fixed_rank_10.json</x:v>
      </x:c>
    </x:row>
    <x:row r="3188" ht="15" hidden="0" customHeight="1">
      <x:c r="A3188" s="3" t="str">
        <x:v>EXP095</x:v>
      </x:c>
      <x:c r="B3188" s="3" t="str">
        <x:v>KuaiRec</x:v>
      </x:c>
      <x:c r="C3188" s="18" t="n">
        <x:v>998350375</x:v>
      </x:c>
      <x:c r="D3188" s="3" t="str">
        <x:v>Fixed rank 25</x:v>
      </x:c>
      <x:c r="E3188" s="18" t="n">
        <x:v>600</x:v>
      </x:c>
      <x:c r="F3188" s="21" t="n">
        <x:v>1327.6116959179142</x:v>
      </x:c>
      <x:c r="G3188" s="21" t="n">
        <x:f>F3185</x:f>
        <x:v>1327.6116959179142</x:v>
      </x:c>
      <x:c r="H3188" s="21" t="n">
        <x:f>F3190</x:f>
        <x:v>1409.3413018623864</x:v>
      </x:c>
      <x:c r="I3188" s="27" t="n">
        <x:f>IF(AND(ISNUMBER(G3188),ISNUMBER(H3188),H3188&gt;0),G3188/H3188-1,"")</x:f>
        <x:v>-0.05799135087893181</x:v>
      </x:c>
      <x:c r="J3188" s="27" t="n">
        <x:f>IF(AND(ISNUMBER(G3188),F3188&gt;0),G3188/F3188-1,"")</x:f>
        <x:v>0</x:v>
      </x:c>
      <x:c r="K3188" s="19" t="str">
        <x:v>KuaiRec/EXP095/results/seed998350375_Fixed_rank_25.json</x:v>
      </x:c>
    </x:row>
    <x:row r="3189" ht="15" hidden="0" customHeight="1">
      <x:c r="A3189" s="3" t="str">
        <x:v>EXP095</x:v>
      </x:c>
      <x:c r="B3189" s="3" t="str">
        <x:v>KuaiRec</x:v>
      </x:c>
      <x:c r="C3189" s="18" t="n">
        <x:v>998350375</x:v>
      </x:c>
      <x:c r="D3189" s="3" t="str">
        <x:v>Relative cutoff 1e-6</x:v>
      </x:c>
      <x:c r="E3189" s="18" t="n">
        <x:v>600</x:v>
      </x:c>
      <x:c r="F3189" s="21" t="n">
        <x:v>1392.1124418286945</x:v>
      </x:c>
      <x:c r="G3189" s="21" t="n">
        <x:f>F3185</x:f>
        <x:v>1327.6116959179142</x:v>
      </x:c>
      <x:c r="H3189" s="21" t="n">
        <x:f>F3190</x:f>
        <x:v>1409.3413018623864</x:v>
      </x:c>
      <x:c r="I3189" s="27" t="n">
        <x:f>IF(AND(ISNUMBER(G3189),ISNUMBER(H3189),H3189&gt;0),G3189/H3189-1,"")</x:f>
        <x:v>-0.05799135087893181</x:v>
      </x:c>
      <x:c r="J3189" s="27" t="n">
        <x:f>IF(AND(ISNUMBER(G3189),F3189&gt;0),G3189/F3189-1,"")</x:f>
        <x:v>-0.04633300010310337</x:v>
      </x:c>
      <x:c r="K3189" s="19" t="str">
        <x:v>KuaiRec/EXP095/results/seed998350375_Relative_cutoff_1e-6.json</x:v>
      </x:c>
    </x:row>
    <x:row r="3190" ht="15" hidden="0" customHeight="1">
      <x:c r="A3190" s="3" t="str">
        <x:v>EXP095</x:v>
      </x:c>
      <x:c r="B3190" s="3" t="str">
        <x:v>KuaiRec</x:v>
      </x:c>
      <x:c r="C3190" s="18" t="n">
        <x:v>998350375</x:v>
      </x:c>
      <x:c r="D3190" s="3" t="str">
        <x:v>Full</x:v>
      </x:c>
      <x:c r="E3190" s="18" t="n">
        <x:v>600</x:v>
      </x:c>
      <x:c r="F3190" s="21" t="n">
        <x:v>1409.3413018623864</x:v>
      </x:c>
      <x:c r="G3190" s="21" t="n">
        <x:f>F3185</x:f>
        <x:v>1327.6116959179142</x:v>
      </x:c>
      <x:c r="H3190" s="21" t="n">
        <x:f>F3190</x:f>
        <x:v>1409.3413018623864</x:v>
      </x:c>
      <x:c r="I3190" s="27" t="n">
        <x:f>IF(AND(ISNUMBER(G3190),ISNUMBER(H3190),H3190&gt;0),G3190/H3190-1,"")</x:f>
        <x:v>-0.05799135087893181</x:v>
      </x:c>
      <x:c r="J3190" s="27" t="n">
        <x:f>IF(AND(ISNUMBER(G3190),F3190&gt;0),G3190/F3190-1,"")</x:f>
        <x:v>-0.05799135087893181</x:v>
      </x:c>
      <x:c r="K3190" s="19" t="str">
        <x:v>KuaiRec/EXP095/results/seed998350375_Full.json</x:v>
      </x:c>
    </x:row>
    <x:row r="3191" ht="15" hidden="0" customHeight="1">
      <x:c r="A3191" s="3" t="str">
        <x:v>EXP095</x:v>
      </x:c>
      <x:c r="B3191" s="3" t="str">
        <x:v>KuaiRec</x:v>
      </x:c>
      <x:c r="C3191" s="18" t="n">
        <x:v>998350375</x:v>
      </x:c>
      <x:c r="D3191" s="3" t="str">
        <x:v>Relative cutoff 1e-2</x:v>
      </x:c>
      <x:c r="E3191" s="18" t="n">
        <x:v>600</x:v>
      </x:c>
      <x:c r="F3191" s="21" t="n">
        <x:v>1373.6018758347957</x:v>
      </x:c>
      <x:c r="G3191" s="21" t="n">
        <x:f>F3185</x:f>
        <x:v>1327.6116959179142</x:v>
      </x:c>
      <x:c r="H3191" s="21" t="n">
        <x:f>F3190</x:f>
        <x:v>1409.3413018623864</x:v>
      </x:c>
      <x:c r="I3191" s="27" t="n">
        <x:f>IF(AND(ISNUMBER(G3191),ISNUMBER(H3191),H3191&gt;0),G3191/H3191-1,"")</x:f>
        <x:v>-0.05799135087893181</x:v>
      </x:c>
      <x:c r="J3191" s="27" t="n">
        <x:f>IF(AND(ISNUMBER(G3191),F3191&gt;0),G3191/F3191-1,"")</x:f>
        <x:v>-0.03348144810076892</x:v>
      </x:c>
      <x:c r="K3191" s="19" t="str">
        <x:v>KuaiRec/EXP095/results/seed998350375_Relative_cutoff_1e-2.json</x:v>
      </x:c>
    </x:row>
    <x:row r="3192" ht="15" hidden="0" customHeight="1">
      <x:c r="A3192" s="3" t="str">
        <x:v>EXP095</x:v>
      </x:c>
      <x:c r="B3192" s="3" t="str">
        <x:v>KuaiRec</x:v>
      </x:c>
      <x:c r="C3192" s="18" t="n">
        <x:v>998350375</x:v>
      </x:c>
      <x:c r="D3192" s="3" t="str">
        <x:v>Relative cutoff 1e-4</x:v>
      </x:c>
      <x:c r="E3192" s="18" t="n">
        <x:v>600</x:v>
      </x:c>
      <x:c r="F3192" s="21" t="n">
        <x:v>1395.3223646555869</x:v>
      </x:c>
      <x:c r="G3192" s="21" t="n">
        <x:f>F3185</x:f>
        <x:v>1327.6116959179142</x:v>
      </x:c>
      <x:c r="H3192" s="21" t="n">
        <x:f>F3190</x:f>
        <x:v>1409.3413018623864</x:v>
      </x:c>
      <x:c r="I3192" s="27" t="n">
        <x:f>IF(AND(ISNUMBER(G3192),ISNUMBER(H3192),H3192&gt;0),G3192/H3192-1,"")</x:f>
        <x:v>-0.05799135087893181</x:v>
      </x:c>
      <x:c r="J3192" s="27" t="n">
        <x:f>IF(AND(ISNUMBER(G3192),F3192&gt;0),G3192/F3192-1,"")</x:f>
        <x:v>-0.048526899914190014</x:v>
      </x:c>
      <x:c r="K3192" s="19" t="str">
        <x:v>KuaiRec/EXP095/results/seed998350375_Relative_cutoff_1e-4.json</x:v>
      </x:c>
    </x:row>
    <x:row r="3193" ht="15" hidden="0" customHeight="1">
      <x:c r="A3193" s="3" t="str">
        <x:v>EXP095</x:v>
      </x:c>
      <x:c r="B3193" s="3" t="str">
        <x:v>KuaiRec</x:v>
      </x:c>
      <x:c r="C3193" s="18" t="n">
        <x:v>998733448</x:v>
      </x:c>
      <x:c r="D3193" s="3" t="str">
        <x:v>BBP</x:v>
      </x:c>
      <x:c r="E3193" s="18" t="n">
        <x:v>600</x:v>
      </x:c>
      <x:c r="F3193" s="21" t="n">
        <x:v>1417.555876833564</x:v>
      </x:c>
      <x:c r="G3193" s="21" t="n">
        <x:f>F3193</x:f>
        <x:v>1417.555876833564</x:v>
      </x:c>
      <x:c r="H3193" s="21" t="n">
        <x:f>F3198</x:f>
        <x:v>1416.4137460561437</x:v>
      </x:c>
      <x:c r="I3193" s="27" t="n">
        <x:f>IF(AND(ISNUMBER(G3193),ISNUMBER(H3193),H3193&gt;0),G3193/H3193-1,"")</x:f>
        <x:v>0.0008063539206679682</x:v>
      </x:c>
      <x:c r="J3193" s="27" t="n">
        <x:f>IF(AND(ISNUMBER(G3193),F3193&gt;0),G3193/F3193-1,"")</x:f>
        <x:v>0</x:v>
      </x:c>
      <x:c r="K3193" s="19" t="str">
        <x:v>KuaiRec/EXP095/results/seed998733448_BBP.json</x:v>
      </x:c>
    </x:row>
    <x:row r="3194" ht="15" hidden="0" customHeight="1">
      <x:c r="A3194" s="3" t="str">
        <x:v>EXP095</x:v>
      </x:c>
      <x:c r="B3194" s="3" t="str">
        <x:v>KuaiRec</x:v>
      </x:c>
      <x:c r="C3194" s="18" t="n">
        <x:v>998733448</x:v>
      </x:c>
      <x:c r="D3194" s="3" t="str">
        <x:v>Relative cutoff 1e-5</x:v>
      </x:c>
      <x:c r="E3194" s="18" t="n">
        <x:v>600</x:v>
      </x:c>
      <x:c r="F3194" s="21" t="n">
        <x:v>1395.8337967635514</x:v>
      </x:c>
      <x:c r="G3194" s="21" t="n">
        <x:f>F3193</x:f>
        <x:v>1417.555876833564</x:v>
      </x:c>
      <x:c r="H3194" s="21" t="n">
        <x:f>F3198</x:f>
        <x:v>1416.4137460561437</x:v>
      </x:c>
      <x:c r="I3194" s="27" t="n">
        <x:f>IF(AND(ISNUMBER(G3194),ISNUMBER(H3194),H3194&gt;0),G3194/H3194-1,"")</x:f>
        <x:v>0.0008063539206679682</x:v>
      </x:c>
      <x:c r="J3194" s="27" t="n">
        <x:f>IF(AND(ISNUMBER(G3194),F3194&gt;0),G3194/F3194-1,"")</x:f>
        <x:v>0.015562082047575032</x:v>
      </x:c>
      <x:c r="K3194" s="19" t="str">
        <x:v>KuaiRec/EXP095/results/seed998733448_Relative_cutoff_1e-5.json</x:v>
      </x:c>
    </x:row>
    <x:row r="3195" ht="15" hidden="0" customHeight="1">
      <x:c r="A3195" s="3" t="str">
        <x:v>EXP095</x:v>
      </x:c>
      <x:c r="B3195" s="3" t="str">
        <x:v>KuaiRec</x:v>
      </x:c>
      <x:c r="C3195" s="18" t="n">
        <x:v>998733448</x:v>
      </x:c>
      <x:c r="D3195" s="3" t="str">
        <x:v>Fixed rank 10</x:v>
      </x:c>
      <x:c r="E3195" s="18" t="n">
        <x:v>600</x:v>
      </x:c>
      <x:c r="F3195" s="21" t="n">
        <x:v>1473.6701518823063</x:v>
      </x:c>
      <x:c r="G3195" s="21" t="n">
        <x:f>F3193</x:f>
        <x:v>1417.555876833564</x:v>
      </x:c>
      <x:c r="H3195" s="21" t="n">
        <x:f>F3198</x:f>
        <x:v>1416.4137460561437</x:v>
      </x:c>
      <x:c r="I3195" s="27" t="n">
        <x:f>IF(AND(ISNUMBER(G3195),ISNUMBER(H3195),H3195&gt;0),G3195/H3195-1,"")</x:f>
        <x:v>0.0008063539206679682</x:v>
      </x:c>
      <x:c r="J3195" s="27" t="n">
        <x:f>IF(AND(ISNUMBER(G3195),F3195&gt;0),G3195/F3195-1,"")</x:f>
        <x:v>-0.038077907038469916</x:v>
      </x:c>
      <x:c r="K3195" s="19" t="str">
        <x:v>KuaiRec/EXP095/results/seed998733448_Fixed_rank_10.json</x:v>
      </x:c>
    </x:row>
    <x:row r="3196" ht="15" hidden="0" customHeight="1">
      <x:c r="A3196" s="3" t="str">
        <x:v>EXP095</x:v>
      </x:c>
      <x:c r="B3196" s="3" t="str">
        <x:v>KuaiRec</x:v>
      </x:c>
      <x:c r="C3196" s="18" t="n">
        <x:v>998733448</x:v>
      </x:c>
      <x:c r="D3196" s="3" t="str">
        <x:v>Fixed rank 25</x:v>
      </x:c>
      <x:c r="E3196" s="18" t="n">
        <x:v>600</x:v>
      </x:c>
      <x:c r="F3196" s="21" t="n">
        <x:v>1417.555876833564</x:v>
      </x:c>
      <x:c r="G3196" s="21" t="n">
        <x:f>F3193</x:f>
        <x:v>1417.555876833564</x:v>
      </x:c>
      <x:c r="H3196" s="21" t="n">
        <x:f>F3198</x:f>
        <x:v>1416.4137460561437</x:v>
      </x:c>
      <x:c r="I3196" s="27" t="n">
        <x:f>IF(AND(ISNUMBER(G3196),ISNUMBER(H3196),H3196&gt;0),G3196/H3196-1,"")</x:f>
        <x:v>0.0008063539206679682</x:v>
      </x:c>
      <x:c r="J3196" s="27" t="n">
        <x:f>IF(AND(ISNUMBER(G3196),F3196&gt;0),G3196/F3196-1,"")</x:f>
        <x:v>0</x:v>
      </x:c>
      <x:c r="K3196" s="19" t="str">
        <x:v>KuaiRec/EXP095/results/seed998733448_Fixed_rank_25.json</x:v>
      </x:c>
    </x:row>
    <x:row r="3197" ht="15" hidden="0" customHeight="1">
      <x:c r="A3197" s="3" t="str">
        <x:v>EXP095</x:v>
      </x:c>
      <x:c r="B3197" s="3" t="str">
        <x:v>KuaiRec</x:v>
      </x:c>
      <x:c r="C3197" s="18" t="n">
        <x:v>998733448</x:v>
      </x:c>
      <x:c r="D3197" s="3" t="str">
        <x:v>Relative cutoff 1e-6</x:v>
      </x:c>
      <x:c r="E3197" s="18" t="n">
        <x:v>600</x:v>
      </x:c>
      <x:c r="F3197" s="21" t="n">
        <x:v>1426.6130930967631</x:v>
      </x:c>
      <x:c r="G3197" s="21" t="n">
        <x:f>F3193</x:f>
        <x:v>1417.555876833564</x:v>
      </x:c>
      <x:c r="H3197" s="21" t="n">
        <x:f>F3198</x:f>
        <x:v>1416.4137460561437</x:v>
      </x:c>
      <x:c r="I3197" s="27" t="n">
        <x:f>IF(AND(ISNUMBER(G3197),ISNUMBER(H3197),H3197&gt;0),G3197/H3197-1,"")</x:f>
        <x:v>0.0008063539206679682</x:v>
      </x:c>
      <x:c r="J3197" s="27" t="n">
        <x:f>IF(AND(ISNUMBER(G3197),F3197&gt;0),G3197/F3197-1,"")</x:f>
        <x:v>-0.006348754478019303</x:v>
      </x:c>
      <x:c r="K3197" s="19" t="str">
        <x:v>KuaiRec/EXP095/results/seed998733448_Relative_cutoff_1e-6.json</x:v>
      </x:c>
    </x:row>
    <x:row r="3198" ht="15" hidden="0" customHeight="1">
      <x:c r="A3198" s="3" t="str">
        <x:v>EXP095</x:v>
      </x:c>
      <x:c r="B3198" s="3" t="str">
        <x:v>KuaiRec</x:v>
      </x:c>
      <x:c r="C3198" s="18" t="n">
        <x:v>998733448</x:v>
      </x:c>
      <x:c r="D3198" s="3" t="str">
        <x:v>Full</x:v>
      </x:c>
      <x:c r="E3198" s="18" t="n">
        <x:v>600</x:v>
      </x:c>
      <x:c r="F3198" s="21" t="n">
        <x:v>1416.4137460561437</x:v>
      </x:c>
      <x:c r="G3198" s="21" t="n">
        <x:f>F3193</x:f>
        <x:v>1417.555876833564</x:v>
      </x:c>
      <x:c r="H3198" s="21" t="n">
        <x:f>F3198</x:f>
        <x:v>1416.4137460561437</x:v>
      </x:c>
      <x:c r="I3198" s="27" t="n">
        <x:f>IF(AND(ISNUMBER(G3198),ISNUMBER(H3198),H3198&gt;0),G3198/H3198-1,"")</x:f>
        <x:v>0.0008063539206679682</x:v>
      </x:c>
      <x:c r="J3198" s="27" t="n">
        <x:f>IF(AND(ISNUMBER(G3198),F3198&gt;0),G3198/F3198-1,"")</x:f>
        <x:v>0.0008063539206679682</x:v>
      </x:c>
      <x:c r="K3198" s="19" t="str">
        <x:v>KuaiRec/EXP095/results/seed998733448_Full.json</x:v>
      </x:c>
    </x:row>
    <x:row r="3199" ht="15" hidden="0" customHeight="1">
      <x:c r="A3199" s="3" t="str">
        <x:v>EXP095</x:v>
      </x:c>
      <x:c r="B3199" s="3" t="str">
        <x:v>KuaiRec</x:v>
      </x:c>
      <x:c r="C3199" s="18" t="n">
        <x:v>998733448</x:v>
      </x:c>
      <x:c r="D3199" s="3" t="str">
        <x:v>Relative cutoff 1e-2</x:v>
      </x:c>
      <x:c r="E3199" s="18" t="n">
        <x:v>600</x:v>
      </x:c>
      <x:c r="F3199" s="21" t="n">
        <x:v>1407.5681177021304</x:v>
      </x:c>
      <x:c r="G3199" s="21" t="n">
        <x:f>F3193</x:f>
        <x:v>1417.555876833564</x:v>
      </x:c>
      <x:c r="H3199" s="21" t="n">
        <x:f>F3198</x:f>
        <x:v>1416.4137460561437</x:v>
      </x:c>
      <x:c r="I3199" s="27" t="n">
        <x:f>IF(AND(ISNUMBER(G3199),ISNUMBER(H3199),H3199&gt;0),G3199/H3199-1,"")</x:f>
        <x:v>0.0008063539206679682</x:v>
      </x:c>
      <x:c r="J3199" s="27" t="n">
        <x:f>IF(AND(ISNUMBER(G3199),F3199&gt;0),G3199/F3199-1,"")</x:f>
        <x:v>0.00709575544218688</x:v>
      </x:c>
      <x:c r="K3199" s="19" t="str">
        <x:v>KuaiRec/EXP095/results/seed998733448_Relative_cutoff_1e-2.json</x:v>
      </x:c>
    </x:row>
    <x:row r="3200" ht="15" hidden="0" customHeight="1">
      <x:c r="A3200" s="3" t="str">
        <x:v>EXP095</x:v>
      </x:c>
      <x:c r="B3200" s="3" t="str">
        <x:v>KuaiRec</x:v>
      </x:c>
      <x:c r="C3200" s="18" t="n">
        <x:v>998733448</x:v>
      </x:c>
      <x:c r="D3200" s="3" t="str">
        <x:v>Relative cutoff 1e-4</x:v>
      </x:c>
      <x:c r="E3200" s="18" t="n">
        <x:v>600</x:v>
      </x:c>
      <x:c r="F3200" s="21" t="n">
        <x:v>1447.2855463718438</x:v>
      </x:c>
      <x:c r="G3200" s="21" t="n">
        <x:f>F3193</x:f>
        <x:v>1417.555876833564</x:v>
      </x:c>
      <x:c r="H3200" s="21" t="n">
        <x:f>F3198</x:f>
        <x:v>1416.4137460561437</x:v>
      </x:c>
      <x:c r="I3200" s="27" t="n">
        <x:f>IF(AND(ISNUMBER(G3200),ISNUMBER(H3200),H3200&gt;0),G3200/H3200-1,"")</x:f>
        <x:v>0.0008063539206679682</x:v>
      </x:c>
      <x:c r="J3200" s="27" t="n">
        <x:f>IF(AND(ISNUMBER(G3200),F3200&gt;0),G3200/F3200-1,"")</x:f>
        <x:v>-0.020541675146834804</x:v>
      </x:c>
      <x:c r="K3200" s="19" t="str">
        <x:v>KuaiRec/EXP095/results/seed998733448_Relative_cutoff_1e-4.json</x:v>
      </x:c>
    </x:row>
    <x:row r="3201" ht="15" hidden="0" customHeight="1">
      <x:c r="A3201" s="3" t="str">
        <x:v>EXP095</x:v>
      </x:c>
      <x:c r="B3201" s="3" t="str">
        <x:v>KuaiRec</x:v>
      </x:c>
      <x:c r="C3201" s="18" t="n">
        <x:v>1004566682</x:v>
      </x:c>
      <x:c r="D3201" s="3" t="str">
        <x:v>BBP</x:v>
      </x:c>
      <x:c r="E3201" s="18" t="n">
        <x:v>600</x:v>
      </x:c>
      <x:c r="F3201" s="21" t="n">
        <x:v>1352.472545458901</x:v>
      </x:c>
      <x:c r="G3201" s="21" t="n">
        <x:f>F3201</x:f>
        <x:v>1352.472545458901</x:v>
      </x:c>
      <x:c r="H3201" s="21" t="n">
        <x:f>F3206</x:f>
        <x:v>1396.5273030392393</x:v>
      </x:c>
      <x:c r="I3201" s="27" t="n">
        <x:f>IF(AND(ISNUMBER(G3201),ISNUMBER(H3201),H3201&gt;0),G3201/H3201-1,"")</x:f>
        <x:v>-0.031545933605782395</x:v>
      </x:c>
      <x:c r="J3201" s="27" t="n">
        <x:f>IF(AND(ISNUMBER(G3201),F3201&gt;0),G3201/F3201-1,"")</x:f>
        <x:v>0</x:v>
      </x:c>
      <x:c r="K3201" s="19" t="str">
        <x:v>KuaiRec/EXP095/results/seed1004566682_BBP.json</x:v>
      </x:c>
    </x:row>
    <x:row r="3202" ht="15" hidden="0" customHeight="1">
      <x:c r="A3202" s="3" t="str">
        <x:v>EXP095</x:v>
      </x:c>
      <x:c r="B3202" s="3" t="str">
        <x:v>KuaiRec</x:v>
      </x:c>
      <x:c r="C3202" s="18" t="n">
        <x:v>1004566682</x:v>
      </x:c>
      <x:c r="D3202" s="3" t="str">
        <x:v>Relative cutoff 1e-5</x:v>
      </x:c>
      <x:c r="E3202" s="18" t="n">
        <x:v>600</x:v>
      </x:c>
      <x:c r="F3202" s="21" t="n">
        <x:v>1394.254328278845</x:v>
      </x:c>
      <x:c r="G3202" s="21" t="n">
        <x:f>F3201</x:f>
        <x:v>1352.472545458901</x:v>
      </x:c>
      <x:c r="H3202" s="21" t="n">
        <x:f>F3206</x:f>
        <x:v>1396.5273030392393</x:v>
      </x:c>
      <x:c r="I3202" s="27" t="n">
        <x:f>IF(AND(ISNUMBER(G3202),ISNUMBER(H3202),H3202&gt;0),G3202/H3202-1,"")</x:f>
        <x:v>-0.031545933605782395</x:v>
      </x:c>
      <x:c r="J3202" s="27" t="n">
        <x:f>IF(AND(ISNUMBER(G3202),F3202&gt;0),G3202/F3202-1,"")</x:f>
        <x:v>-0.0299671171697361</x:v>
      </x:c>
      <x:c r="K3202" s="19" t="str">
        <x:v>KuaiRec/EXP095/results/seed1004566682_Relative_cutoff_1e-5.json</x:v>
      </x:c>
    </x:row>
    <x:row r="3203" ht="15" hidden="0" customHeight="1">
      <x:c r="A3203" s="3" t="str">
        <x:v>EXP095</x:v>
      </x:c>
      <x:c r="B3203" s="3" t="str">
        <x:v>KuaiRec</x:v>
      </x:c>
      <x:c r="C3203" s="18" t="n">
        <x:v>1004566682</x:v>
      </x:c>
      <x:c r="D3203" s="3" t="str">
        <x:v>Fixed rank 10</x:v>
      </x:c>
      <x:c r="E3203" s="18" t="n">
        <x:v>600</x:v>
      </x:c>
      <x:c r="F3203" s="21" t="n">
        <x:v>1379.6711937571374</x:v>
      </x:c>
      <x:c r="G3203" s="21" t="n">
        <x:f>F3201</x:f>
        <x:v>1352.472545458901</x:v>
      </x:c>
      <x:c r="H3203" s="21" t="n">
        <x:f>F3206</x:f>
        <x:v>1396.5273030392393</x:v>
      </x:c>
      <x:c r="I3203" s="27" t="n">
        <x:f>IF(AND(ISNUMBER(G3203),ISNUMBER(H3203),H3203&gt;0),G3203/H3203-1,"")</x:f>
        <x:v>-0.031545933605782395</x:v>
      </x:c>
      <x:c r="J3203" s="27" t="n">
        <x:f>IF(AND(ISNUMBER(G3203),F3203&gt;0),G3203/F3203-1,"")</x:f>
        <x:v>-0.019713862564723628</x:v>
      </x:c>
      <x:c r="K3203" s="19" t="str">
        <x:v>KuaiRec/EXP095/results/seed1004566682_Fixed_rank_10.json</x:v>
      </x:c>
    </x:row>
    <x:row r="3204" ht="15" hidden="0" customHeight="1">
      <x:c r="A3204" s="3" t="str">
        <x:v>EXP095</x:v>
      </x:c>
      <x:c r="B3204" s="3" t="str">
        <x:v>KuaiRec</x:v>
      </x:c>
      <x:c r="C3204" s="18" t="n">
        <x:v>1004566682</x:v>
      </x:c>
      <x:c r="D3204" s="3" t="str">
        <x:v>Fixed rank 25</x:v>
      </x:c>
      <x:c r="E3204" s="18" t="n">
        <x:v>600</x:v>
      </x:c>
      <x:c r="F3204" s="21" t="n">
        <x:v>1352.472545458901</x:v>
      </x:c>
      <x:c r="G3204" s="21" t="n">
        <x:f>F3201</x:f>
        <x:v>1352.472545458901</x:v>
      </x:c>
      <x:c r="H3204" s="21" t="n">
        <x:f>F3206</x:f>
        <x:v>1396.5273030392393</x:v>
      </x:c>
      <x:c r="I3204" s="27" t="n">
        <x:f>IF(AND(ISNUMBER(G3204),ISNUMBER(H3204),H3204&gt;0),G3204/H3204-1,"")</x:f>
        <x:v>-0.031545933605782395</x:v>
      </x:c>
      <x:c r="J3204" s="27" t="n">
        <x:f>IF(AND(ISNUMBER(G3204),F3204&gt;0),G3204/F3204-1,"")</x:f>
        <x:v>0</x:v>
      </x:c>
      <x:c r="K3204" s="19" t="str">
        <x:v>KuaiRec/EXP095/results/seed1004566682_Fixed_rank_25.json</x:v>
      </x:c>
    </x:row>
    <x:row r="3205" ht="15" hidden="0" customHeight="1">
      <x:c r="A3205" s="3" t="str">
        <x:v>EXP095</x:v>
      </x:c>
      <x:c r="B3205" s="3" t="str">
        <x:v>KuaiRec</x:v>
      </x:c>
      <x:c r="C3205" s="18" t="n">
        <x:v>1004566682</x:v>
      </x:c>
      <x:c r="D3205" s="3" t="str">
        <x:v>Relative cutoff 1e-6</x:v>
      </x:c>
      <x:c r="E3205" s="18" t="n">
        <x:v>600</x:v>
      </x:c>
      <x:c r="F3205" s="21" t="n">
        <x:v>1374.2992640752752</x:v>
      </x:c>
      <x:c r="G3205" s="21" t="n">
        <x:f>F3201</x:f>
        <x:v>1352.472545458901</x:v>
      </x:c>
      <x:c r="H3205" s="21" t="n">
        <x:f>F3206</x:f>
        <x:v>1396.5273030392393</x:v>
      </x:c>
      <x:c r="I3205" s="27" t="n">
        <x:f>IF(AND(ISNUMBER(G3205),ISNUMBER(H3205),H3205&gt;0),G3205/H3205-1,"")</x:f>
        <x:v>-0.031545933605782395</x:v>
      </x:c>
      <x:c r="J3205" s="27" t="n">
        <x:f>IF(AND(ISNUMBER(G3205),F3205&gt;0),G3205/F3205-1,"")</x:f>
        <x:v>-0.015882071093926364</x:v>
      </x:c>
      <x:c r="K3205" s="19" t="str">
        <x:v>KuaiRec/EXP095/results/seed1004566682_Relative_cutoff_1e-6.json</x:v>
      </x:c>
    </x:row>
    <x:row r="3206" ht="15" hidden="0" customHeight="1">
      <x:c r="A3206" s="3" t="str">
        <x:v>EXP095</x:v>
      </x:c>
      <x:c r="B3206" s="3" t="str">
        <x:v>KuaiRec</x:v>
      </x:c>
      <x:c r="C3206" s="18" t="n">
        <x:v>1004566682</x:v>
      </x:c>
      <x:c r="D3206" s="3" t="str">
        <x:v>Full</x:v>
      </x:c>
      <x:c r="E3206" s="18" t="n">
        <x:v>600</x:v>
      </x:c>
      <x:c r="F3206" s="21" t="n">
        <x:v>1396.5273030392393</x:v>
      </x:c>
      <x:c r="G3206" s="21" t="n">
        <x:f>F3201</x:f>
        <x:v>1352.472545458901</x:v>
      </x:c>
      <x:c r="H3206" s="21" t="n">
        <x:f>F3206</x:f>
        <x:v>1396.5273030392393</x:v>
      </x:c>
      <x:c r="I3206" s="27" t="n">
        <x:f>IF(AND(ISNUMBER(G3206),ISNUMBER(H3206),H3206&gt;0),G3206/H3206-1,"")</x:f>
        <x:v>-0.031545933605782395</x:v>
      </x:c>
      <x:c r="J3206" s="27" t="n">
        <x:f>IF(AND(ISNUMBER(G3206),F3206&gt;0),G3206/F3206-1,"")</x:f>
        <x:v>-0.031545933605782395</x:v>
      </x:c>
      <x:c r="K3206" s="19" t="str">
        <x:v>KuaiRec/EXP095/results/seed1004566682_Full.json</x:v>
      </x:c>
    </x:row>
    <x:row r="3207" ht="15" hidden="0" customHeight="1">
      <x:c r="A3207" s="3" t="str">
        <x:v>EXP095</x:v>
      </x:c>
      <x:c r="B3207" s="3" t="str">
        <x:v>KuaiRec</x:v>
      </x:c>
      <x:c r="C3207" s="18" t="n">
        <x:v>1004566682</x:v>
      </x:c>
      <x:c r="D3207" s="3" t="str">
        <x:v>Relative cutoff 1e-2</x:v>
      </x:c>
      <x:c r="E3207" s="18" t="n">
        <x:v>600</x:v>
      </x:c>
      <x:c r="F3207" s="21" t="n">
        <x:v>1434.0958555422835</x:v>
      </x:c>
      <x:c r="G3207" s="21" t="n">
        <x:f>F3201</x:f>
        <x:v>1352.472545458901</x:v>
      </x:c>
      <x:c r="H3207" s="21" t="n">
        <x:f>F3206</x:f>
        <x:v>1396.5273030392393</x:v>
      </x:c>
      <x:c r="I3207" s="27" t="n">
        <x:f>IF(AND(ISNUMBER(G3207),ISNUMBER(H3207),H3207&gt;0),G3207/H3207-1,"")</x:f>
        <x:v>-0.031545933605782395</x:v>
      </x:c>
      <x:c r="J3207" s="27" t="n">
        <x:f>IF(AND(ISNUMBER(G3207),F3207&gt;0),G3207/F3207-1,"")</x:f>
        <x:v>-0.05691621642161271</x:v>
      </x:c>
      <x:c r="K3207" s="19" t="str">
        <x:v>KuaiRec/EXP095/results/seed1004566682_Relative_cutoff_1e-2.json</x:v>
      </x:c>
    </x:row>
    <x:row r="3208" ht="15" hidden="0" customHeight="1">
      <x:c r="A3208" s="3" t="str">
        <x:v>EXP095</x:v>
      </x:c>
      <x:c r="B3208" s="3" t="str">
        <x:v>KuaiRec</x:v>
      </x:c>
      <x:c r="C3208" s="18" t="n">
        <x:v>1004566682</x:v>
      </x:c>
      <x:c r="D3208" s="3" t="str">
        <x:v>Relative cutoff 1e-4</x:v>
      </x:c>
      <x:c r="E3208" s="18" t="n">
        <x:v>600</x:v>
      </x:c>
      <x:c r="F3208" s="21" t="n">
        <x:v>1395.4567895752907</x:v>
      </x:c>
      <x:c r="G3208" s="21" t="n">
        <x:f>F3201</x:f>
        <x:v>1352.472545458901</x:v>
      </x:c>
      <x:c r="H3208" s="21" t="n">
        <x:f>F3206</x:f>
        <x:v>1396.5273030392393</x:v>
      </x:c>
      <x:c r="I3208" s="27" t="n">
        <x:f>IF(AND(ISNUMBER(G3208),ISNUMBER(H3208),H3208&gt;0),G3208/H3208-1,"")</x:f>
        <x:v>-0.031545933605782395</x:v>
      </x:c>
      <x:c r="J3208" s="27" t="n">
        <x:f>IF(AND(ISNUMBER(G3208),F3208&gt;0),G3208/F3208-1,"")</x:f>
        <x:v>-0.03080299185005353</x:v>
      </x:c>
      <x:c r="K3208" s="19" t="str">
        <x:v>KuaiRec/EXP095/results/seed1004566682_Relative_cutoff_1e-4.json</x:v>
      </x:c>
    </x:row>
    <x:row r="3209" ht="15" hidden="0" customHeight="1">
      <x:c r="A3209" s="3" t="str">
        <x:v>EXP095</x:v>
      </x:c>
      <x:c r="B3209" s="3" t="str">
        <x:v>KuaiRec</x:v>
      </x:c>
      <x:c r="C3209" s="18" t="n">
        <x:v>1176065761</x:v>
      </x:c>
      <x:c r="D3209" s="3" t="str">
        <x:v>BBP</x:v>
      </x:c>
      <x:c r="E3209" s="18" t="n">
        <x:v>600</x:v>
      </x:c>
      <x:c r="F3209" s="21" t="n">
        <x:v>1412.6276930474248</x:v>
      </x:c>
      <x:c r="G3209" s="21" t="n">
        <x:f>F3209</x:f>
        <x:v>1412.6276930474248</x:v>
      </x:c>
      <x:c r="H3209" s="21" t="n">
        <x:f>F3214</x:f>
        <x:v>1413.4968586308887</x:v>
      </x:c>
      <x:c r="I3209" s="27" t="n">
        <x:f>IF(AND(ISNUMBER(G3209),ISNUMBER(H3209),H3209&gt;0),G3209/H3209-1,"")</x:f>
        <x:v>-0.0006149045030816591</x:v>
      </x:c>
      <x:c r="J3209" s="27" t="n">
        <x:f>IF(AND(ISNUMBER(G3209),F3209&gt;0),G3209/F3209-1,"")</x:f>
        <x:v>0</x:v>
      </x:c>
      <x:c r="K3209" s="19" t="str">
        <x:v>KuaiRec/EXP095/results/seed1176065761_BBP.json</x:v>
      </x:c>
    </x:row>
    <x:row r="3210" ht="15" hidden="0" customHeight="1">
      <x:c r="A3210" s="3" t="str">
        <x:v>EXP095</x:v>
      </x:c>
      <x:c r="B3210" s="3" t="str">
        <x:v>KuaiRec</x:v>
      </x:c>
      <x:c r="C3210" s="18" t="n">
        <x:v>1176065761</x:v>
      </x:c>
      <x:c r="D3210" s="3" t="str">
        <x:v>Relative cutoff 1e-5</x:v>
      </x:c>
      <x:c r="E3210" s="18" t="n">
        <x:v>600</x:v>
      </x:c>
      <x:c r="F3210" s="21" t="n">
        <x:v>1410.5814892595774</x:v>
      </x:c>
      <x:c r="G3210" s="21" t="n">
        <x:f>F3209</x:f>
        <x:v>1412.6276930474248</x:v>
      </x:c>
      <x:c r="H3210" s="21" t="n">
        <x:f>F3214</x:f>
        <x:v>1413.4968586308887</x:v>
      </x:c>
      <x:c r="I3210" s="27" t="n">
        <x:f>IF(AND(ISNUMBER(G3210),ISNUMBER(H3210),H3210&gt;0),G3210/H3210-1,"")</x:f>
        <x:v>-0.0006149045030816591</x:v>
      </x:c>
      <x:c r="J3210" s="27" t="n">
        <x:f>IF(AND(ISNUMBER(G3210),F3210&gt;0),G3210/F3210-1,"")</x:f>
        <x:v>0.0014506101231495094</x:v>
      </x:c>
      <x:c r="K3210" s="19" t="str">
        <x:v>KuaiRec/EXP095/results/seed1176065761_Relative_cutoff_1e-5.json</x:v>
      </x:c>
    </x:row>
    <x:row r="3211" ht="15" hidden="0" customHeight="1">
      <x:c r="A3211" s="3" t="str">
        <x:v>EXP095</x:v>
      </x:c>
      <x:c r="B3211" s="3" t="str">
        <x:v>KuaiRec</x:v>
      </x:c>
      <x:c r="C3211" s="18" t="n">
        <x:v>1176065761</x:v>
      </x:c>
      <x:c r="D3211" s="3" t="str">
        <x:v>Fixed rank 10</x:v>
      </x:c>
      <x:c r="E3211" s="18" t="n">
        <x:v>600</x:v>
      </x:c>
      <x:c r="F3211" s="21" t="n">
        <x:v>1435.3015679786292</x:v>
      </x:c>
      <x:c r="G3211" s="21" t="n">
        <x:f>F3209</x:f>
        <x:v>1412.6276930474248</x:v>
      </x:c>
      <x:c r="H3211" s="21" t="n">
        <x:f>F3214</x:f>
        <x:v>1413.4968586308887</x:v>
      </x:c>
      <x:c r="I3211" s="27" t="n">
        <x:f>IF(AND(ISNUMBER(G3211),ISNUMBER(H3211),H3211&gt;0),G3211/H3211-1,"")</x:f>
        <x:v>-0.0006149045030816591</x:v>
      </x:c>
      <x:c r="J3211" s="27" t="n">
        <x:f>IF(AND(ISNUMBER(G3211),F3211&gt;0),G3211/F3211-1,"")</x:f>
        <x:v>-0.015797289877650278</x:v>
      </x:c>
      <x:c r="K3211" s="19" t="str">
        <x:v>KuaiRec/EXP095/results/seed1176065761_Fixed_rank_10.json</x:v>
      </x:c>
    </x:row>
    <x:row r="3212" ht="15" hidden="0" customHeight="1">
      <x:c r="A3212" s="3" t="str">
        <x:v>EXP095</x:v>
      </x:c>
      <x:c r="B3212" s="3" t="str">
        <x:v>KuaiRec</x:v>
      </x:c>
      <x:c r="C3212" s="18" t="n">
        <x:v>1176065761</x:v>
      </x:c>
      <x:c r="D3212" s="3" t="str">
        <x:v>Fixed rank 25</x:v>
      </x:c>
      <x:c r="E3212" s="18" t="n">
        <x:v>600</x:v>
      </x:c>
      <x:c r="F3212" s="21" t="n">
        <x:v>1420.8981828655938</x:v>
      </x:c>
      <x:c r="G3212" s="21" t="n">
        <x:f>F3209</x:f>
        <x:v>1412.6276930474248</x:v>
      </x:c>
      <x:c r="H3212" s="21" t="n">
        <x:f>F3214</x:f>
        <x:v>1413.4968586308887</x:v>
      </x:c>
      <x:c r="I3212" s="27" t="n">
        <x:f>IF(AND(ISNUMBER(G3212),ISNUMBER(H3212),H3212&gt;0),G3212/H3212-1,"")</x:f>
        <x:v>-0.0006149045030816591</x:v>
      </x:c>
      <x:c r="J3212" s="27" t="n">
        <x:f>IF(AND(ISNUMBER(G3212),F3212&gt;0),G3212/F3212-1,"")</x:f>
        <x:v>-0.005820606935740713</x:v>
      </x:c>
      <x:c r="K3212" s="19" t="str">
        <x:v>KuaiRec/EXP095/results/seed1176065761_Fixed_rank_25.json</x:v>
      </x:c>
    </x:row>
    <x:row r="3213" ht="15" hidden="0" customHeight="1">
      <x:c r="A3213" s="3" t="str">
        <x:v>EXP095</x:v>
      </x:c>
      <x:c r="B3213" s="3" t="str">
        <x:v>KuaiRec</x:v>
      </x:c>
      <x:c r="C3213" s="18" t="n">
        <x:v>1176065761</x:v>
      </x:c>
      <x:c r="D3213" s="3" t="str">
        <x:v>Relative cutoff 1e-6</x:v>
      </x:c>
      <x:c r="E3213" s="18" t="n">
        <x:v>600</x:v>
      </x:c>
      <x:c r="F3213" s="21" t="n">
        <x:v>1399.242316439696</x:v>
      </x:c>
      <x:c r="G3213" s="21" t="n">
        <x:f>F3209</x:f>
        <x:v>1412.6276930474248</x:v>
      </x:c>
      <x:c r="H3213" s="21" t="n">
        <x:f>F3214</x:f>
        <x:v>1413.4968586308887</x:v>
      </x:c>
      <x:c r="I3213" s="27" t="n">
        <x:f>IF(AND(ISNUMBER(G3213),ISNUMBER(H3213),H3213&gt;0),G3213/H3213-1,"")</x:f>
        <x:v>-0.0006149045030816591</x:v>
      </x:c>
      <x:c r="J3213" s="27" t="n">
        <x:f>IF(AND(ISNUMBER(G3213),F3213&gt;0),G3213/F3213-1,"")</x:f>
        <x:v>0.009566160521636613</x:v>
      </x:c>
      <x:c r="K3213" s="19" t="str">
        <x:v>KuaiRec/EXP095/results/seed1176065761_Relative_cutoff_1e-6.json</x:v>
      </x:c>
    </x:row>
    <x:row r="3214" ht="15" hidden="0" customHeight="1">
      <x:c r="A3214" s="3" t="str">
        <x:v>EXP095</x:v>
      </x:c>
      <x:c r="B3214" s="3" t="str">
        <x:v>KuaiRec</x:v>
      </x:c>
      <x:c r="C3214" s="18" t="n">
        <x:v>1176065761</x:v>
      </x:c>
      <x:c r="D3214" s="3" t="str">
        <x:v>Full</x:v>
      </x:c>
      <x:c r="E3214" s="18" t="n">
        <x:v>600</x:v>
      </x:c>
      <x:c r="F3214" s="21" t="n">
        <x:v>1413.4968586308887</x:v>
      </x:c>
      <x:c r="G3214" s="21" t="n">
        <x:f>F3209</x:f>
        <x:v>1412.6276930474248</x:v>
      </x:c>
      <x:c r="H3214" s="21" t="n">
        <x:f>F3214</x:f>
        <x:v>1413.4968586308887</x:v>
      </x:c>
      <x:c r="I3214" s="27" t="n">
        <x:f>IF(AND(ISNUMBER(G3214),ISNUMBER(H3214),H3214&gt;0),G3214/H3214-1,"")</x:f>
        <x:v>-0.0006149045030816591</x:v>
      </x:c>
      <x:c r="J3214" s="27" t="n">
        <x:f>IF(AND(ISNUMBER(G3214),F3214&gt;0),G3214/F3214-1,"")</x:f>
        <x:v>-0.0006149045030816591</x:v>
      </x:c>
      <x:c r="K3214" s="19" t="str">
        <x:v>KuaiRec/EXP095/results/seed1176065761_Full.json</x:v>
      </x:c>
    </x:row>
    <x:row r="3215" ht="15" hidden="0" customHeight="1">
      <x:c r="A3215" s="3" t="str">
        <x:v>EXP095</x:v>
      </x:c>
      <x:c r="B3215" s="3" t="str">
        <x:v>KuaiRec</x:v>
      </x:c>
      <x:c r="C3215" s="18" t="n">
        <x:v>1176065761</x:v>
      </x:c>
      <x:c r="D3215" s="3" t="str">
        <x:v>Relative cutoff 1e-2</x:v>
      </x:c>
      <x:c r="E3215" s="18" t="n">
        <x:v>600</x:v>
      </x:c>
      <x:c r="F3215" s="21" t="n">
        <x:v>1410.3263002596627</x:v>
      </x:c>
      <x:c r="G3215" s="21" t="n">
        <x:f>F3209</x:f>
        <x:v>1412.6276930474248</x:v>
      </x:c>
      <x:c r="H3215" s="21" t="n">
        <x:f>F3214</x:f>
        <x:v>1413.4968586308887</x:v>
      </x:c>
      <x:c r="I3215" s="27" t="n">
        <x:f>IF(AND(ISNUMBER(G3215),ISNUMBER(H3215),H3215&gt;0),G3215/H3215-1,"")</x:f>
        <x:v>-0.0006149045030816591</x:v>
      </x:c>
      <x:c r="J3215" s="27" t="n">
        <x:f>IF(AND(ISNUMBER(G3215),F3215&gt;0),G3215/F3215-1,"")</x:f>
        <x:v>0.0016318158339232447</x:v>
      </x:c>
      <x:c r="K3215" s="19" t="str">
        <x:v>KuaiRec/EXP095/results/seed1176065761_Relative_cutoff_1e-2.json</x:v>
      </x:c>
    </x:row>
    <x:row r="3216" ht="15" hidden="0" customHeight="1">
      <x:c r="A3216" s="3" t="str">
        <x:v>EXP095</x:v>
      </x:c>
      <x:c r="B3216" s="3" t="str">
        <x:v>KuaiRec</x:v>
      </x:c>
      <x:c r="C3216" s="18" t="n">
        <x:v>1176065761</x:v>
      </x:c>
      <x:c r="D3216" s="3" t="str">
        <x:v>Relative cutoff 1e-4</x:v>
      </x:c>
      <x:c r="E3216" s="18" t="n">
        <x:v>600</x:v>
      </x:c>
      <x:c r="F3216" s="21" t="n">
        <x:v>1438.7845323215422</x:v>
      </x:c>
      <x:c r="G3216" s="21" t="n">
        <x:f>F3209</x:f>
        <x:v>1412.6276930474248</x:v>
      </x:c>
      <x:c r="H3216" s="21" t="n">
        <x:f>F3214</x:f>
        <x:v>1413.4968586308887</x:v>
      </x:c>
      <x:c r="I3216" s="27" t="n">
        <x:f>IF(AND(ISNUMBER(G3216),ISNUMBER(H3216),H3216&gt;0),G3216/H3216-1,"")</x:f>
        <x:v>-0.0006149045030816591</x:v>
      </x:c>
      <x:c r="J3216" s="27" t="n">
        <x:f>IF(AND(ISNUMBER(G3216),F3216&gt;0),G3216/F3216-1,"")</x:f>
        <x:v>-0.018179816842979424</x:v>
      </x:c>
      <x:c r="K3216" s="19" t="str">
        <x:v>KuaiRec/EXP095/results/seed1176065761_Relative_cutoff_1e-4.json</x:v>
      </x:c>
    </x:row>
    <x:row r="3217" ht="15" hidden="0" customHeight="1">
      <x:c r="A3217" s="3" t="str">
        <x:v>EXP095</x:v>
      </x:c>
      <x:c r="B3217" s="3" t="str">
        <x:v>KuaiRec</x:v>
      </x:c>
      <x:c r="C3217" s="18" t="n">
        <x:v>1204695200</x:v>
      </x:c>
      <x:c r="D3217" s="3" t="str">
        <x:v>BBP</x:v>
      </x:c>
      <x:c r="E3217" s="18" t="n">
        <x:v>600</x:v>
      </x:c>
      <x:c r="F3217" s="21" t="n">
        <x:v>1288.0266406233823</x:v>
      </x:c>
      <x:c r="G3217" s="21" t="n">
        <x:f>F3217</x:f>
        <x:v>1288.0266406233823</x:v>
      </x:c>
      <x:c r="H3217" s="21" t="n">
        <x:f>F3222</x:f>
        <x:v>1322.995514803084</x:v>
      </x:c>
      <x:c r="I3217" s="27" t="n">
        <x:f>IF(AND(ISNUMBER(G3217),ISNUMBER(H3217),H3217&gt;0),G3217/H3217-1,"")</x:f>
        <x:v>-0.02643158936552148</x:v>
      </x:c>
      <x:c r="J3217" s="27" t="n">
        <x:f>IF(AND(ISNUMBER(G3217),F3217&gt;0),G3217/F3217-1,"")</x:f>
        <x:v>0</x:v>
      </x:c>
      <x:c r="K3217" s="19" t="str">
        <x:v>KuaiRec/EXP095/results/seed1204695200_BBP.json</x:v>
      </x:c>
    </x:row>
    <x:row r="3218" ht="15" hidden="0" customHeight="1">
      <x:c r="A3218" s="3" t="str">
        <x:v>EXP095</x:v>
      </x:c>
      <x:c r="B3218" s="3" t="str">
        <x:v>KuaiRec</x:v>
      </x:c>
      <x:c r="C3218" s="18" t="n">
        <x:v>1204695200</x:v>
      </x:c>
      <x:c r="D3218" s="3" t="str">
        <x:v>Relative cutoff 1e-5</x:v>
      </x:c>
      <x:c r="E3218" s="18" t="n">
        <x:v>600</x:v>
      </x:c>
      <x:c r="F3218" s="21" t="n">
        <x:v>1197.8455737096808</x:v>
      </x:c>
      <x:c r="G3218" s="21" t="n">
        <x:f>F3217</x:f>
        <x:v>1288.0266406233823</x:v>
      </x:c>
      <x:c r="H3218" s="21" t="n">
        <x:f>F3222</x:f>
        <x:v>1322.995514803084</x:v>
      </x:c>
      <x:c r="I3218" s="27" t="n">
        <x:f>IF(AND(ISNUMBER(G3218),ISNUMBER(H3218),H3218&gt;0),G3218/H3218-1,"")</x:f>
        <x:v>-0.02643158936552148</x:v>
      </x:c>
      <x:c r="J3218" s="27" t="n">
        <x:f>IF(AND(ISNUMBER(G3218),F3218&gt;0),G3218/F3218-1,"")</x:f>
        <x:v>0.07528605430699575</x:v>
      </x:c>
      <x:c r="K3218" s="19" t="str">
        <x:v>KuaiRec/EXP095/results/seed1204695200_Relative_cutoff_1e-5.json</x:v>
      </x:c>
    </x:row>
    <x:row r="3219" ht="15" hidden="0" customHeight="1">
      <x:c r="A3219" s="3" t="str">
        <x:v>EXP095</x:v>
      </x:c>
      <x:c r="B3219" s="3" t="str">
        <x:v>KuaiRec</x:v>
      </x:c>
      <x:c r="C3219" s="18" t="n">
        <x:v>1204695200</x:v>
      </x:c>
      <x:c r="D3219" s="3" t="str">
        <x:v>Fixed rank 10</x:v>
      </x:c>
      <x:c r="E3219" s="18" t="n">
        <x:v>600</x:v>
      </x:c>
      <x:c r="F3219" s="21" t="n">
        <x:v>1213.7245568462122</x:v>
      </x:c>
      <x:c r="G3219" s="21" t="n">
        <x:f>F3217</x:f>
        <x:v>1288.0266406233823</x:v>
      </x:c>
      <x:c r="H3219" s="21" t="n">
        <x:f>F3222</x:f>
        <x:v>1322.995514803084</x:v>
      </x:c>
      <x:c r="I3219" s="27" t="n">
        <x:f>IF(AND(ISNUMBER(G3219),ISNUMBER(H3219),H3219&gt;0),G3219/H3219-1,"")</x:f>
        <x:v>-0.02643158936552148</x:v>
      </x:c>
      <x:c r="J3219" s="27" t="n">
        <x:f>IF(AND(ISNUMBER(G3219),F3219&gt;0),G3219/F3219-1,"")</x:f>
        <x:v>0.06121824211107629</x:v>
      </x:c>
      <x:c r="K3219" s="19" t="str">
        <x:v>KuaiRec/EXP095/results/seed1204695200_Fixed_rank_10.json</x:v>
      </x:c>
    </x:row>
    <x:row r="3220" ht="15" hidden="0" customHeight="1">
      <x:c r="A3220" s="3" t="str">
        <x:v>EXP095</x:v>
      </x:c>
      <x:c r="B3220" s="3" t="str">
        <x:v>KuaiRec</x:v>
      </x:c>
      <x:c r="C3220" s="18" t="n">
        <x:v>1204695200</x:v>
      </x:c>
      <x:c r="D3220" s="3" t="str">
        <x:v>Fixed rank 25</x:v>
      </x:c>
      <x:c r="E3220" s="18" t="n">
        <x:v>600</x:v>
      </x:c>
      <x:c r="F3220" s="21" t="n">
        <x:v>1239.404377953066</x:v>
      </x:c>
      <x:c r="G3220" s="21" t="n">
        <x:f>F3217</x:f>
        <x:v>1288.0266406233823</x:v>
      </x:c>
      <x:c r="H3220" s="21" t="n">
        <x:f>F3222</x:f>
        <x:v>1322.995514803084</x:v>
      </x:c>
      <x:c r="I3220" s="27" t="n">
        <x:f>IF(AND(ISNUMBER(G3220),ISNUMBER(H3220),H3220&gt;0),G3220/H3220-1,"")</x:f>
        <x:v>-0.02643158936552148</x:v>
      </x:c>
      <x:c r="J3220" s="27" t="n">
        <x:f>IF(AND(ISNUMBER(G3220),F3220&gt;0),G3220/F3220-1,"")</x:f>
        <x:v>0.03923034607205289</x:v>
      </x:c>
      <x:c r="K3220" s="19" t="str">
        <x:v>KuaiRec/EXP095/results/seed1204695200_Fixed_rank_25.json</x:v>
      </x:c>
    </x:row>
    <x:row r="3221" ht="15" hidden="0" customHeight="1">
      <x:c r="A3221" s="3" t="str">
        <x:v>EXP095</x:v>
      </x:c>
      <x:c r="B3221" s="3" t="str">
        <x:v>KuaiRec</x:v>
      </x:c>
      <x:c r="C3221" s="18" t="n">
        <x:v>1204695200</x:v>
      </x:c>
      <x:c r="D3221" s="3" t="str">
        <x:v>Relative cutoff 1e-6</x:v>
      </x:c>
      <x:c r="E3221" s="18" t="n">
        <x:v>600</x:v>
      </x:c>
      <x:c r="F3221" s="21" t="n">
        <x:v>1322.995514803084</x:v>
      </x:c>
      <x:c r="G3221" s="21" t="n">
        <x:f>F3217</x:f>
        <x:v>1288.0266406233823</x:v>
      </x:c>
      <x:c r="H3221" s="21" t="n">
        <x:f>F3222</x:f>
        <x:v>1322.995514803084</x:v>
      </x:c>
      <x:c r="I3221" s="27" t="n">
        <x:f>IF(AND(ISNUMBER(G3221),ISNUMBER(H3221),H3221&gt;0),G3221/H3221-1,"")</x:f>
        <x:v>-0.02643158936552148</x:v>
      </x:c>
      <x:c r="J3221" s="27" t="n">
        <x:f>IF(AND(ISNUMBER(G3221),F3221&gt;0),G3221/F3221-1,"")</x:f>
        <x:v>-0.02643158936552148</x:v>
      </x:c>
      <x:c r="K3221" s="19" t="str">
        <x:v>KuaiRec/EXP095/results/seed1204695200_Relative_cutoff_1e-6.json</x:v>
      </x:c>
    </x:row>
    <x:row r="3222" ht="15" hidden="0" customHeight="1">
      <x:c r="A3222" s="3" t="str">
        <x:v>EXP095</x:v>
      </x:c>
      <x:c r="B3222" s="3" t="str">
        <x:v>KuaiRec</x:v>
      </x:c>
      <x:c r="C3222" s="18" t="n">
        <x:v>1204695200</x:v>
      </x:c>
      <x:c r="D3222" s="3" t="str">
        <x:v>Full</x:v>
      </x:c>
      <x:c r="E3222" s="18" t="n">
        <x:v>600</x:v>
      </x:c>
      <x:c r="F3222" s="21" t="n">
        <x:v>1322.995514803084</x:v>
      </x:c>
      <x:c r="G3222" s="21" t="n">
        <x:f>F3217</x:f>
        <x:v>1288.0266406233823</x:v>
      </x:c>
      <x:c r="H3222" s="21" t="n">
        <x:f>F3222</x:f>
        <x:v>1322.995514803084</x:v>
      </x:c>
      <x:c r="I3222" s="27" t="n">
        <x:f>IF(AND(ISNUMBER(G3222),ISNUMBER(H3222),H3222&gt;0),G3222/H3222-1,"")</x:f>
        <x:v>-0.02643158936552148</x:v>
      </x:c>
      <x:c r="J3222" s="27" t="n">
        <x:f>IF(AND(ISNUMBER(G3222),F3222&gt;0),G3222/F3222-1,"")</x:f>
        <x:v>-0.02643158936552148</x:v>
      </x:c>
      <x:c r="K3222" s="19" t="str">
        <x:v>KuaiRec/EXP095/results/seed1204695200_Full.json</x:v>
      </x:c>
    </x:row>
    <x:row r="3223" ht="15" hidden="0" customHeight="1">
      <x:c r="A3223" s="3" t="str">
        <x:v>EXP095</x:v>
      </x:c>
      <x:c r="B3223" s="3" t="str">
        <x:v>KuaiRec</x:v>
      </x:c>
      <x:c r="C3223" s="18" t="n">
        <x:v>1204695200</x:v>
      </x:c>
      <x:c r="D3223" s="3" t="str">
        <x:v>Relative cutoff 1e-2</x:v>
      </x:c>
      <x:c r="E3223" s="18" t="n">
        <x:v>600</x:v>
      </x:c>
      <x:c r="F3223" s="21" t="n">
        <x:v>1232.1706169712338</x:v>
      </x:c>
      <x:c r="G3223" s="21" t="n">
        <x:f>F3217</x:f>
        <x:v>1288.0266406233823</x:v>
      </x:c>
      <x:c r="H3223" s="21" t="n">
        <x:f>F3222</x:f>
        <x:v>1322.995514803084</x:v>
      </x:c>
      <x:c r="I3223" s="27" t="n">
        <x:f>IF(AND(ISNUMBER(G3223),ISNUMBER(H3223),H3223&gt;0),G3223/H3223-1,"")</x:f>
        <x:v>-0.02643158936552148</x:v>
      </x:c>
      <x:c r="J3223" s="27" t="n">
        <x:f>IF(AND(ISNUMBER(G3223),F3223&gt;0),G3223/F3223-1,"")</x:f>
        <x:v>0.0453314036894068</x:v>
      </x:c>
      <x:c r="K3223" s="19" t="str">
        <x:v>KuaiRec/EXP095/results/seed1204695200_Relative_cutoff_1e-2.json</x:v>
      </x:c>
    </x:row>
    <x:row r="3224" ht="15" hidden="0" customHeight="1">
      <x:c r="A3224" s="3" t="str">
        <x:v>EXP095</x:v>
      </x:c>
      <x:c r="B3224" s="3" t="str">
        <x:v>KuaiRec</x:v>
      </x:c>
      <x:c r="C3224" s="18" t="n">
        <x:v>1204695200</x:v>
      </x:c>
      <x:c r="D3224" s="3" t="str">
        <x:v>Relative cutoff 1e-4</x:v>
      </x:c>
      <x:c r="E3224" s="18" t="n">
        <x:v>600</x:v>
      </x:c>
      <x:c r="F3224" s="21" t="n">
        <x:v>1213.7245568462122</x:v>
      </x:c>
      <x:c r="G3224" s="21" t="n">
        <x:f>F3217</x:f>
        <x:v>1288.0266406233823</x:v>
      </x:c>
      <x:c r="H3224" s="21" t="n">
        <x:f>F3222</x:f>
        <x:v>1322.995514803084</x:v>
      </x:c>
      <x:c r="I3224" s="27" t="n">
        <x:f>IF(AND(ISNUMBER(G3224),ISNUMBER(H3224),H3224&gt;0),G3224/H3224-1,"")</x:f>
        <x:v>-0.02643158936552148</x:v>
      </x:c>
      <x:c r="J3224" s="27" t="n">
        <x:f>IF(AND(ISNUMBER(G3224),F3224&gt;0),G3224/F3224-1,"")</x:f>
        <x:v>0.06121824211107629</x:v>
      </x:c>
      <x:c r="K3224" s="19" t="str">
        <x:v>KuaiRec/EXP095/results/seed1204695200_Relative_cutoff_1e-4.json</x:v>
      </x:c>
    </x:row>
    <x:row r="3225" ht="15" hidden="0" customHeight="1">
      <x:c r="A3225" s="3" t="str">
        <x:v>EXP095</x:v>
      </x:c>
      <x:c r="B3225" s="3" t="str">
        <x:v>KuaiRec</x:v>
      </x:c>
      <x:c r="C3225" s="18" t="n">
        <x:v>1216733727</x:v>
      </x:c>
      <x:c r="D3225" s="3" t="str">
        <x:v>BBP</x:v>
      </x:c>
      <x:c r="E3225" s="18" t="n">
        <x:v>600</x:v>
      </x:c>
      <x:c r="F3225" s="21" t="n">
        <x:v>1351.4638840316347</x:v>
      </x:c>
      <x:c r="G3225" s="21" t="n">
        <x:f>F3225</x:f>
        <x:v>1351.4638840316347</x:v>
      </x:c>
      <x:c r="H3225" s="21" t="n">
        <x:f>F3230</x:f>
        <x:v>1355.1033579842247</x:v>
      </x:c>
      <x:c r="I3225" s="27" t="n">
        <x:f>IF(AND(ISNUMBER(G3225),ISNUMBER(H3225),H3225&gt;0),G3225/H3225-1,"")</x:f>
        <x:v>-0.0026857537701063805</x:v>
      </x:c>
      <x:c r="J3225" s="27" t="n">
        <x:f>IF(AND(ISNUMBER(G3225),F3225&gt;0),G3225/F3225-1,"")</x:f>
        <x:v>0</x:v>
      </x:c>
      <x:c r="K3225" s="19" t="str">
        <x:v>KuaiRec/EXP095/results/seed1216733727_BBP.json</x:v>
      </x:c>
    </x:row>
    <x:row r="3226" ht="15" hidden="0" customHeight="1">
      <x:c r="A3226" s="3" t="str">
        <x:v>EXP095</x:v>
      </x:c>
      <x:c r="B3226" s="3" t="str">
        <x:v>KuaiRec</x:v>
      </x:c>
      <x:c r="C3226" s="18" t="n">
        <x:v>1216733727</x:v>
      </x:c>
      <x:c r="D3226" s="3" t="str">
        <x:v>Relative cutoff 1e-5</x:v>
      </x:c>
      <x:c r="E3226" s="18" t="n">
        <x:v>600</x:v>
      </x:c>
      <x:c r="F3226" s="21" t="n">
        <x:v>1383.3259770594377</x:v>
      </x:c>
      <x:c r="G3226" s="21" t="n">
        <x:f>F3225</x:f>
        <x:v>1351.4638840316347</x:v>
      </x:c>
      <x:c r="H3226" s="21" t="n">
        <x:f>F3230</x:f>
        <x:v>1355.1033579842247</x:v>
      </x:c>
      <x:c r="I3226" s="27" t="n">
        <x:f>IF(AND(ISNUMBER(G3226),ISNUMBER(H3226),H3226&gt;0),G3226/H3226-1,"")</x:f>
        <x:v>-0.0026857537701063805</x:v>
      </x:c>
      <x:c r="J3226" s="27" t="n">
        <x:f>IF(AND(ISNUMBER(G3226),F3226&gt;0),G3226/F3226-1,"")</x:f>
        <x:v>-0.023032960817762405</x:v>
      </x:c>
      <x:c r="K3226" s="19" t="str">
        <x:v>KuaiRec/EXP095/results/seed1216733727_Relative_cutoff_1e-5.json</x:v>
      </x:c>
    </x:row>
    <x:row r="3227" ht="15" hidden="0" customHeight="1">
      <x:c r="A3227" s="3" t="str">
        <x:v>EXP095</x:v>
      </x:c>
      <x:c r="B3227" s="3" t="str">
        <x:v>KuaiRec</x:v>
      </x:c>
      <x:c r="C3227" s="18" t="n">
        <x:v>1216733727</x:v>
      </x:c>
      <x:c r="D3227" s="3" t="str">
        <x:v>Fixed rank 10</x:v>
      </x:c>
      <x:c r="E3227" s="18" t="n">
        <x:v>600</x:v>
      </x:c>
      <x:c r="F3227" s="21" t="n">
        <x:v>1385.567594863488</x:v>
      </x:c>
      <x:c r="G3227" s="21" t="n">
        <x:f>F3225</x:f>
        <x:v>1351.4638840316347</x:v>
      </x:c>
      <x:c r="H3227" s="21" t="n">
        <x:f>F3230</x:f>
        <x:v>1355.1033579842247</x:v>
      </x:c>
      <x:c r="I3227" s="27" t="n">
        <x:f>IF(AND(ISNUMBER(G3227),ISNUMBER(H3227),H3227&gt;0),G3227/H3227-1,"")</x:f>
        <x:v>-0.0026857537701063805</x:v>
      </x:c>
      <x:c r="J3227" s="27" t="n">
        <x:f>IF(AND(ISNUMBER(G3227),F3227&gt;0),G3227/F3227-1,"")</x:f>
        <x:v>-0.024613530915619686</x:v>
      </x:c>
      <x:c r="K3227" s="19" t="str">
        <x:v>KuaiRec/EXP095/results/seed1216733727_Fixed_rank_10.json</x:v>
      </x:c>
    </x:row>
    <x:row r="3228" ht="15" hidden="0" customHeight="1">
      <x:c r="A3228" s="3" t="str">
        <x:v>EXP095</x:v>
      </x:c>
      <x:c r="B3228" s="3" t="str">
        <x:v>KuaiRec</x:v>
      </x:c>
      <x:c r="C3228" s="18" t="n">
        <x:v>1216733727</x:v>
      </x:c>
      <x:c r="D3228" s="3" t="str">
        <x:v>Fixed rank 25</x:v>
      </x:c>
      <x:c r="E3228" s="18" t="n">
        <x:v>600</x:v>
      </x:c>
      <x:c r="F3228" s="21" t="n">
        <x:v>1351.4638840316347</x:v>
      </x:c>
      <x:c r="G3228" s="21" t="n">
        <x:f>F3225</x:f>
        <x:v>1351.4638840316347</x:v>
      </x:c>
      <x:c r="H3228" s="21" t="n">
        <x:f>F3230</x:f>
        <x:v>1355.1033579842247</x:v>
      </x:c>
      <x:c r="I3228" s="27" t="n">
        <x:f>IF(AND(ISNUMBER(G3228),ISNUMBER(H3228),H3228&gt;0),G3228/H3228-1,"")</x:f>
        <x:v>-0.0026857537701063805</x:v>
      </x:c>
      <x:c r="J3228" s="27" t="n">
        <x:f>IF(AND(ISNUMBER(G3228),F3228&gt;0),G3228/F3228-1,"")</x:f>
        <x:v>0</x:v>
      </x:c>
      <x:c r="K3228" s="19" t="str">
        <x:v>KuaiRec/EXP095/results/seed1216733727_Fixed_rank_25.json</x:v>
      </x:c>
    </x:row>
    <x:row r="3229" ht="15" hidden="0" customHeight="1">
      <x:c r="A3229" s="3" t="str">
        <x:v>EXP095</x:v>
      </x:c>
      <x:c r="B3229" s="3" t="str">
        <x:v>KuaiRec</x:v>
      </x:c>
      <x:c r="C3229" s="18" t="n">
        <x:v>1216733727</x:v>
      </x:c>
      <x:c r="D3229" s="3" t="str">
        <x:v>Relative cutoff 1e-6</x:v>
      </x:c>
      <x:c r="E3229" s="18" t="n">
        <x:v>600</x:v>
      </x:c>
      <x:c r="F3229" s="21" t="n">
        <x:v>1351.4638840316347</x:v>
      </x:c>
      <x:c r="G3229" s="21" t="n">
        <x:f>F3225</x:f>
        <x:v>1351.4638840316347</x:v>
      </x:c>
      <x:c r="H3229" s="21" t="n">
        <x:f>F3230</x:f>
        <x:v>1355.1033579842247</x:v>
      </x:c>
      <x:c r="I3229" s="27" t="n">
        <x:f>IF(AND(ISNUMBER(G3229),ISNUMBER(H3229),H3229&gt;0),G3229/H3229-1,"")</x:f>
        <x:v>-0.0026857537701063805</x:v>
      </x:c>
      <x:c r="J3229" s="27" t="n">
        <x:f>IF(AND(ISNUMBER(G3229),F3229&gt;0),G3229/F3229-1,"")</x:f>
        <x:v>0</x:v>
      </x:c>
      <x:c r="K3229" s="19" t="str">
        <x:v>KuaiRec/EXP095/results/seed1216733727_Relative_cutoff_1e-6.json</x:v>
      </x:c>
    </x:row>
    <x:row r="3230" ht="15" hidden="0" customHeight="1">
      <x:c r="A3230" s="3" t="str">
        <x:v>EXP095</x:v>
      </x:c>
      <x:c r="B3230" s="3" t="str">
        <x:v>KuaiRec</x:v>
      </x:c>
      <x:c r="C3230" s="18" t="n">
        <x:v>1216733727</x:v>
      </x:c>
      <x:c r="D3230" s="3" t="str">
        <x:v>Full</x:v>
      </x:c>
      <x:c r="E3230" s="18" t="n">
        <x:v>600</x:v>
      </x:c>
      <x:c r="F3230" s="21" t="n">
        <x:v>1355.1033579842247</x:v>
      </x:c>
      <x:c r="G3230" s="21" t="n">
        <x:f>F3225</x:f>
        <x:v>1351.4638840316347</x:v>
      </x:c>
      <x:c r="H3230" s="21" t="n">
        <x:f>F3230</x:f>
        <x:v>1355.1033579842247</x:v>
      </x:c>
      <x:c r="I3230" s="27" t="n">
        <x:f>IF(AND(ISNUMBER(G3230),ISNUMBER(H3230),H3230&gt;0),G3230/H3230-1,"")</x:f>
        <x:v>-0.0026857537701063805</x:v>
      </x:c>
      <x:c r="J3230" s="27" t="n">
        <x:f>IF(AND(ISNUMBER(G3230),F3230&gt;0),G3230/F3230-1,"")</x:f>
        <x:v>-0.0026857537701063805</x:v>
      </x:c>
      <x:c r="K3230" s="19" t="str">
        <x:v>KuaiRec/EXP095/results/seed1216733727_Full.json</x:v>
      </x:c>
    </x:row>
    <x:row r="3231" ht="15" hidden="0" customHeight="1">
      <x:c r="A3231" s="3" t="str">
        <x:v>EXP095</x:v>
      </x:c>
      <x:c r="B3231" s="3" t="str">
        <x:v>KuaiRec</x:v>
      </x:c>
      <x:c r="C3231" s="18" t="n">
        <x:v>1216733727</x:v>
      </x:c>
      <x:c r="D3231" s="3" t="str">
        <x:v>Relative cutoff 1e-2</x:v>
      </x:c>
      <x:c r="E3231" s="18" t="n">
        <x:v>600</x:v>
      </x:c>
      <x:c r="F3231" s="21" t="n">
        <x:v>1431.9497704017908</x:v>
      </x:c>
      <x:c r="G3231" s="21" t="n">
        <x:f>F3225</x:f>
        <x:v>1351.4638840316347</x:v>
      </x:c>
      <x:c r="H3231" s="21" t="n">
        <x:f>F3230</x:f>
        <x:v>1355.1033579842247</x:v>
      </x:c>
      <x:c r="I3231" s="27" t="n">
        <x:f>IF(AND(ISNUMBER(G3231),ISNUMBER(H3231),H3231&gt;0),G3231/H3231-1,"")</x:f>
        <x:v>-0.0026857537701063805</x:v>
      </x:c>
      <x:c r="J3231" s="27" t="n">
        <x:f>IF(AND(ISNUMBER(G3231),F3231&gt;0),G3231/F3231-1,"")</x:f>
        <x:v>-0.05620719946592301</x:v>
      </x:c>
      <x:c r="K3231" s="19" t="str">
        <x:v>KuaiRec/EXP095/results/seed1216733727_Relative_cutoff_1e-2.json</x:v>
      </x:c>
    </x:row>
    <x:row r="3232" ht="15" hidden="0" customHeight="1">
      <x:c r="A3232" s="3" t="str">
        <x:v>EXP095</x:v>
      </x:c>
      <x:c r="B3232" s="3" t="str">
        <x:v>KuaiRec</x:v>
      </x:c>
      <x:c r="C3232" s="18" t="n">
        <x:v>1216733727</x:v>
      </x:c>
      <x:c r="D3232" s="3" t="str">
        <x:v>Relative cutoff 1e-4</x:v>
      </x:c>
      <x:c r="E3232" s="18" t="n">
        <x:v>600</x:v>
      </x:c>
      <x:c r="F3232" s="21" t="n">
        <x:v>1371.5253791913374</x:v>
      </x:c>
      <x:c r="G3232" s="21" t="n">
        <x:f>F3225</x:f>
        <x:v>1351.4638840316347</x:v>
      </x:c>
      <x:c r="H3232" s="21" t="n">
        <x:f>F3230</x:f>
        <x:v>1355.1033579842247</x:v>
      </x:c>
      <x:c r="I3232" s="27" t="n">
        <x:f>IF(AND(ISNUMBER(G3232),ISNUMBER(H3232),H3232&gt;0),G3232/H3232-1,"")</x:f>
        <x:v>-0.0026857537701063805</x:v>
      </x:c>
      <x:c r="J3232" s="27" t="n">
        <x:f>IF(AND(ISNUMBER(G3232),F3232&gt;0),G3232/F3232-1,"")</x:f>
        <x:v>-0.014627141038783487</x:v>
      </x:c>
      <x:c r="K3232" s="19" t="str">
        <x:v>KuaiRec/EXP095/results/seed1216733727_Relative_cutoff_1e-4.json</x:v>
      </x:c>
    </x:row>
    <x:row r="3233" ht="15" hidden="0" customHeight="1">
      <x:c r="A3233" s="3" t="str">
        <x:v>EXP095</x:v>
      </x:c>
      <x:c r="B3233" s="3" t="str">
        <x:v>KuaiRec</x:v>
      </x:c>
      <x:c r="C3233" s="18" t="n">
        <x:v>1295017899</x:v>
      </x:c>
      <x:c r="D3233" s="3" t="str">
        <x:v>BBP</x:v>
      </x:c>
      <x:c r="E3233" s="18" t="n">
        <x:v>600</x:v>
      </x:c>
      <x:c r="F3233" s="21" t="n">
        <x:v>1285.5014563016334</x:v>
      </x:c>
      <x:c r="G3233" s="21" t="n">
        <x:f>F3233</x:f>
        <x:v>1285.5014563016334</x:v>
      </x:c>
      <x:c r="H3233" s="21" t="n">
        <x:f>F3238</x:f>
        <x:v>1289.5281552298866</x:v>
      </x:c>
      <x:c r="I3233" s="27" t="n">
        <x:f>IF(AND(ISNUMBER(G3233),ISNUMBER(H3233),H3233&gt;0),G3233/H3233-1,"")</x:f>
        <x:v>-0.0031226141995599477</x:v>
      </x:c>
      <x:c r="J3233" s="27" t="n">
        <x:f>IF(AND(ISNUMBER(G3233),F3233&gt;0),G3233/F3233-1,"")</x:f>
        <x:v>0</x:v>
      </x:c>
      <x:c r="K3233" s="19" t="str">
        <x:v>KuaiRec/EXP095/results/seed1295017899_BBP.json</x:v>
      </x:c>
    </x:row>
    <x:row r="3234" ht="15" hidden="0" customHeight="1">
      <x:c r="A3234" s="3" t="str">
        <x:v>EXP095</x:v>
      </x:c>
      <x:c r="B3234" s="3" t="str">
        <x:v>KuaiRec</x:v>
      </x:c>
      <x:c r="C3234" s="18" t="n">
        <x:v>1295017899</x:v>
      </x:c>
      <x:c r="D3234" s="3" t="str">
        <x:v>Relative cutoff 1e-5</x:v>
      </x:c>
      <x:c r="E3234" s="18" t="n">
        <x:v>600</x:v>
      </x:c>
      <x:c r="F3234" s="21" t="n">
        <x:v>1295.1762469109453</x:v>
      </x:c>
      <x:c r="G3234" s="21" t="n">
        <x:f>F3233</x:f>
        <x:v>1285.5014563016334</x:v>
      </x:c>
      <x:c r="H3234" s="21" t="n">
        <x:f>F3238</x:f>
        <x:v>1289.5281552298866</x:v>
      </x:c>
      <x:c r="I3234" s="27" t="n">
        <x:f>IF(AND(ISNUMBER(G3234),ISNUMBER(H3234),H3234&gt;0),G3234/H3234-1,"")</x:f>
        <x:v>-0.0031226141995599477</x:v>
      </x:c>
      <x:c r="J3234" s="27" t="n">
        <x:f>IF(AND(ISNUMBER(G3234),F3234&gt;0),G3234/F3234-1,"")</x:f>
        <x:v>-0.007469864145815519</x:v>
      </x:c>
      <x:c r="K3234" s="19" t="str">
        <x:v>KuaiRec/EXP095/results/seed1295017899_Relative_cutoff_1e-5.json</x:v>
      </x:c>
    </x:row>
    <x:row r="3235" ht="15" hidden="0" customHeight="1">
      <x:c r="A3235" s="3" t="str">
        <x:v>EXP095</x:v>
      </x:c>
      <x:c r="B3235" s="3" t="str">
        <x:v>KuaiRec</x:v>
      </x:c>
      <x:c r="C3235" s="18" t="n">
        <x:v>1295017899</x:v>
      </x:c>
      <x:c r="D3235" s="3" t="str">
        <x:v>Fixed rank 10</x:v>
      </x:c>
      <x:c r="E3235" s="18" t="n">
        <x:v>600</x:v>
      </x:c>
      <x:c r="F3235" s="21" t="n">
        <x:v>1406.9090666741322</x:v>
      </x:c>
      <x:c r="G3235" s="21" t="n">
        <x:f>F3233</x:f>
        <x:v>1285.5014563016334</x:v>
      </x:c>
      <x:c r="H3235" s="21" t="n">
        <x:f>F3238</x:f>
        <x:v>1289.5281552298866</x:v>
      </x:c>
      <x:c r="I3235" s="27" t="n">
        <x:f>IF(AND(ISNUMBER(G3235),ISNUMBER(H3235),H3235&gt;0),G3235/H3235-1,"")</x:f>
        <x:v>-0.0031226141995599477</x:v>
      </x:c>
      <x:c r="J3235" s="27" t="n">
        <x:f>IF(AND(ISNUMBER(G3235),F3235&gt;0),G3235/F3235-1,"")</x:f>
        <x:v>-0.086293857398688</x:v>
      </x:c>
      <x:c r="K3235" s="19" t="str">
        <x:v>KuaiRec/EXP095/results/seed1295017899_Fixed_rank_10.json</x:v>
      </x:c>
    </x:row>
    <x:row r="3236" ht="15" hidden="0" customHeight="1">
      <x:c r="A3236" s="3" t="str">
        <x:v>EXP095</x:v>
      </x:c>
      <x:c r="B3236" s="3" t="str">
        <x:v>KuaiRec</x:v>
      </x:c>
      <x:c r="C3236" s="18" t="n">
        <x:v>1295017899</x:v>
      </x:c>
      <x:c r="D3236" s="3" t="str">
        <x:v>Fixed rank 25</x:v>
      </x:c>
      <x:c r="E3236" s="18" t="n">
        <x:v>600</x:v>
      </x:c>
      <x:c r="F3236" s="21" t="n">
        <x:v>1285.5014563016334</x:v>
      </x:c>
      <x:c r="G3236" s="21" t="n">
        <x:f>F3233</x:f>
        <x:v>1285.5014563016334</x:v>
      </x:c>
      <x:c r="H3236" s="21" t="n">
        <x:f>F3238</x:f>
        <x:v>1289.5281552298866</x:v>
      </x:c>
      <x:c r="I3236" s="27" t="n">
        <x:f>IF(AND(ISNUMBER(G3236),ISNUMBER(H3236),H3236&gt;0),G3236/H3236-1,"")</x:f>
        <x:v>-0.0031226141995599477</x:v>
      </x:c>
      <x:c r="J3236" s="27" t="n">
        <x:f>IF(AND(ISNUMBER(G3236),F3236&gt;0),G3236/F3236-1,"")</x:f>
        <x:v>0</x:v>
      </x:c>
      <x:c r="K3236" s="19" t="str">
        <x:v>KuaiRec/EXP095/results/seed1295017899_Fixed_rank_25.json</x:v>
      </x:c>
    </x:row>
    <x:row r="3237" ht="15" hidden="0" customHeight="1">
      <x:c r="A3237" s="3" t="str">
        <x:v>EXP095</x:v>
      </x:c>
      <x:c r="B3237" s="3" t="str">
        <x:v>KuaiRec</x:v>
      </x:c>
      <x:c r="C3237" s="18" t="n">
        <x:v>1295017899</x:v>
      </x:c>
      <x:c r="D3237" s="3" t="str">
        <x:v>Relative cutoff 1e-6</x:v>
      </x:c>
      <x:c r="E3237" s="18" t="n">
        <x:v>600</x:v>
      </x:c>
      <x:c r="F3237" s="21" t="n">
        <x:v>1289.5281552298866</x:v>
      </x:c>
      <x:c r="G3237" s="21" t="n">
        <x:f>F3233</x:f>
        <x:v>1285.5014563016334</x:v>
      </x:c>
      <x:c r="H3237" s="21" t="n">
        <x:f>F3238</x:f>
        <x:v>1289.5281552298866</x:v>
      </x:c>
      <x:c r="I3237" s="27" t="n">
        <x:f>IF(AND(ISNUMBER(G3237),ISNUMBER(H3237),H3237&gt;0),G3237/H3237-1,"")</x:f>
        <x:v>-0.0031226141995599477</x:v>
      </x:c>
      <x:c r="J3237" s="27" t="n">
        <x:f>IF(AND(ISNUMBER(G3237),F3237&gt;0),G3237/F3237-1,"")</x:f>
        <x:v>-0.0031226141995599477</x:v>
      </x:c>
      <x:c r="K3237" s="19" t="str">
        <x:v>KuaiRec/EXP095/results/seed1295017899_Relative_cutoff_1e-6.json</x:v>
      </x:c>
    </x:row>
    <x:row r="3238" ht="15" hidden="0" customHeight="1">
      <x:c r="A3238" s="3" t="str">
        <x:v>EXP095</x:v>
      </x:c>
      <x:c r="B3238" s="3" t="str">
        <x:v>KuaiRec</x:v>
      </x:c>
      <x:c r="C3238" s="18" t="n">
        <x:v>1295017899</x:v>
      </x:c>
      <x:c r="D3238" s="3" t="str">
        <x:v>Full</x:v>
      </x:c>
      <x:c r="E3238" s="18" t="n">
        <x:v>600</x:v>
      </x:c>
      <x:c r="F3238" s="21" t="n">
        <x:v>1289.5281552298866</x:v>
      </x:c>
      <x:c r="G3238" s="21" t="n">
        <x:f>F3233</x:f>
        <x:v>1285.5014563016334</x:v>
      </x:c>
      <x:c r="H3238" s="21" t="n">
        <x:f>F3238</x:f>
        <x:v>1289.5281552298866</x:v>
      </x:c>
      <x:c r="I3238" s="27" t="n">
        <x:f>IF(AND(ISNUMBER(G3238),ISNUMBER(H3238),H3238&gt;0),G3238/H3238-1,"")</x:f>
        <x:v>-0.0031226141995599477</x:v>
      </x:c>
      <x:c r="J3238" s="27" t="n">
        <x:f>IF(AND(ISNUMBER(G3238),F3238&gt;0),G3238/F3238-1,"")</x:f>
        <x:v>-0.0031226141995599477</x:v>
      </x:c>
      <x:c r="K3238" s="19" t="str">
        <x:v>KuaiRec/EXP095/results/seed1295017899_Full.json</x:v>
      </x:c>
    </x:row>
    <x:row r="3239" ht="15" hidden="0" customHeight="1">
      <x:c r="A3239" s="3" t="str">
        <x:v>EXP095</x:v>
      </x:c>
      <x:c r="B3239" s="3" t="str">
        <x:v>KuaiRec</x:v>
      </x:c>
      <x:c r="C3239" s="18" t="n">
        <x:v>1295017899</x:v>
      </x:c>
      <x:c r="D3239" s="3" t="str">
        <x:v>Relative cutoff 1e-2</x:v>
      </x:c>
      <x:c r="E3239" s="18" t="n">
        <x:v>600</x:v>
      </x:c>
      <x:c r="F3239" s="21" t="n">
        <x:v>1496.8375580584075</x:v>
      </x:c>
      <x:c r="G3239" s="21" t="n">
        <x:f>F3233</x:f>
        <x:v>1285.5014563016334</x:v>
      </x:c>
      <x:c r="H3239" s="21" t="n">
        <x:f>F3238</x:f>
        <x:v>1289.5281552298866</x:v>
      </x:c>
      <x:c r="I3239" s="27" t="n">
        <x:f>IF(AND(ISNUMBER(G3239),ISNUMBER(H3239),H3239&gt;0),G3239/H3239-1,"")</x:f>
        <x:v>-0.0031226141995599477</x:v>
      </x:c>
      <x:c r="J3239" s="27" t="n">
        <x:f>IF(AND(ISNUMBER(G3239),F3239&gt;0),G3239/F3239-1,"")</x:f>
        <x:v>-0.14118840125237397</x:v>
      </x:c>
      <x:c r="K3239" s="19" t="str">
        <x:v>KuaiRec/EXP095/results/seed1295017899_Relative_cutoff_1e-2.json</x:v>
      </x:c>
    </x:row>
    <x:row r="3240" ht="15" hidden="0" customHeight="1">
      <x:c r="A3240" s="3" t="str">
        <x:v>EXP095</x:v>
      </x:c>
      <x:c r="B3240" s="3" t="str">
        <x:v>KuaiRec</x:v>
      </x:c>
      <x:c r="C3240" s="18" t="n">
        <x:v>1295017899</x:v>
      </x:c>
      <x:c r="D3240" s="3" t="str">
        <x:v>Relative cutoff 1e-4</x:v>
      </x:c>
      <x:c r="E3240" s="18" t="n">
        <x:v>600</x:v>
      </x:c>
      <x:c r="F3240" s="21" t="n">
        <x:v>1348.1595847017127</x:v>
      </x:c>
      <x:c r="G3240" s="21" t="n">
        <x:f>F3233</x:f>
        <x:v>1285.5014563016334</x:v>
      </x:c>
      <x:c r="H3240" s="21" t="n">
        <x:f>F3238</x:f>
        <x:v>1289.5281552298866</x:v>
      </x:c>
      <x:c r="I3240" s="27" t="n">
        <x:f>IF(AND(ISNUMBER(G3240),ISNUMBER(H3240),H3240&gt;0),G3240/H3240-1,"")</x:f>
        <x:v>-0.0031226141995599477</x:v>
      </x:c>
      <x:c r="J3240" s="27" t="n">
        <x:f>IF(AND(ISNUMBER(G3240),F3240&gt;0),G3240/F3240-1,"")</x:f>
        <x:v>-0.04647678888396778</x:v>
      </x:c>
      <x:c r="K3240" s="19" t="str">
        <x:v>KuaiRec/EXP095/results/seed1295017899_Relative_cutoff_1e-4.json</x:v>
      </x:c>
    </x:row>
    <x:row r="3241" ht="15" hidden="0" customHeight="1">
      <x:c r="A3241" s="3" t="str">
        <x:v>EXP095</x:v>
      </x:c>
      <x:c r="B3241" s="3" t="str">
        <x:v>KuaiRec</x:v>
      </x:c>
      <x:c r="C3241" s="18" t="n">
        <x:v>1405645881</x:v>
      </x:c>
      <x:c r="D3241" s="3" t="str">
        <x:v>BBP</x:v>
      </x:c>
      <x:c r="E3241" s="18" t="n">
        <x:v>600</x:v>
      </x:c>
      <x:c r="F3241" s="21" t="n">
        <x:v>1406.758380144132</x:v>
      </x:c>
      <x:c r="G3241" s="21" t="n">
        <x:f>F3241</x:f>
        <x:v>1406.758380144132</x:v>
      </x:c>
      <x:c r="H3241" s="21" t="n">
        <x:f>F3246</x:f>
        <x:v>1411.5007282414065</x:v>
      </x:c>
      <x:c r="I3241" s="27" t="n">
        <x:f>IF(AND(ISNUMBER(G3241),ISNUMBER(H3241),H3241&gt;0),G3241/H3241-1,"")</x:f>
        <x:v>-0.0033597914633618498</x:v>
      </x:c>
      <x:c r="J3241" s="27" t="n">
        <x:f>IF(AND(ISNUMBER(G3241),F3241&gt;0),G3241/F3241-1,"")</x:f>
        <x:v>0</x:v>
      </x:c>
      <x:c r="K3241" s="19" t="str">
        <x:v>KuaiRec/EXP095/results/seed1405645881_BBP.json</x:v>
      </x:c>
    </x:row>
    <x:row r="3242" ht="15" hidden="0" customHeight="1">
      <x:c r="A3242" s="3" t="str">
        <x:v>EXP095</x:v>
      </x:c>
      <x:c r="B3242" s="3" t="str">
        <x:v>KuaiRec</x:v>
      </x:c>
      <x:c r="C3242" s="18" t="n">
        <x:v>1405645881</x:v>
      </x:c>
      <x:c r="D3242" s="3" t="str">
        <x:v>Relative cutoff 1e-5</x:v>
      </x:c>
      <x:c r="E3242" s="18" t="n">
        <x:v>600</x:v>
      </x:c>
      <x:c r="F3242" s="21" t="n">
        <x:v>1433.7003087044573</x:v>
      </x:c>
      <x:c r="G3242" s="21" t="n">
        <x:f>F3241</x:f>
        <x:v>1406.758380144132</x:v>
      </x:c>
      <x:c r="H3242" s="21" t="n">
        <x:f>F3246</x:f>
        <x:v>1411.5007282414065</x:v>
      </x:c>
      <x:c r="I3242" s="27" t="n">
        <x:f>IF(AND(ISNUMBER(G3242),ISNUMBER(H3242),H3242&gt;0),G3242/H3242-1,"")</x:f>
        <x:v>-0.0033597914633618498</x:v>
      </x:c>
      <x:c r="J3242" s="27" t="n">
        <x:f>IF(AND(ISNUMBER(G3242),F3242&gt;0),G3242/F3242-1,"")</x:f>
        <x:v>-0.018791883071205495</x:v>
      </x:c>
      <x:c r="K3242" s="19" t="str">
        <x:v>KuaiRec/EXP095/results/seed1405645881_Relative_cutoff_1e-5.json</x:v>
      </x:c>
    </x:row>
    <x:row r="3243" ht="15" hidden="0" customHeight="1">
      <x:c r="A3243" s="3" t="str">
        <x:v>EXP095</x:v>
      </x:c>
      <x:c r="B3243" s="3" t="str">
        <x:v>KuaiRec</x:v>
      </x:c>
      <x:c r="C3243" s="18" t="n">
        <x:v>1405645881</x:v>
      </x:c>
      <x:c r="D3243" s="3" t="str">
        <x:v>Fixed rank 10</x:v>
      </x:c>
      <x:c r="E3243" s="18" t="n">
        <x:v>600</x:v>
      </x:c>
      <x:c r="F3243" s="21" t="n">
        <x:v>1432.4072614910153</x:v>
      </x:c>
      <x:c r="G3243" s="21" t="n">
        <x:f>F3241</x:f>
        <x:v>1406.758380144132</x:v>
      </x:c>
      <x:c r="H3243" s="21" t="n">
        <x:f>F3246</x:f>
        <x:v>1411.5007282414065</x:v>
      </x:c>
      <x:c r="I3243" s="27" t="n">
        <x:f>IF(AND(ISNUMBER(G3243),ISNUMBER(H3243),H3243&gt;0),G3243/H3243-1,"")</x:f>
        <x:v>-0.0033597914633618498</x:v>
      </x:c>
      <x:c r="J3243" s="27" t="n">
        <x:f>IF(AND(ISNUMBER(G3243),F3243&gt;0),G3243/F3243-1,"")</x:f>
        <x:v>-0.017906137476701334</x:v>
      </x:c>
      <x:c r="K3243" s="19" t="str">
        <x:v>KuaiRec/EXP095/results/seed1405645881_Fixed_rank_10.json</x:v>
      </x:c>
    </x:row>
    <x:row r="3244" ht="15" hidden="0" customHeight="1">
      <x:c r="A3244" s="3" t="str">
        <x:v>EXP095</x:v>
      </x:c>
      <x:c r="B3244" s="3" t="str">
        <x:v>KuaiRec</x:v>
      </x:c>
      <x:c r="C3244" s="18" t="n">
        <x:v>1405645881</x:v>
      </x:c>
      <x:c r="D3244" s="3" t="str">
        <x:v>Fixed rank 25</x:v>
      </x:c>
      <x:c r="E3244" s="18" t="n">
        <x:v>600</x:v>
      </x:c>
      <x:c r="F3244" s="21" t="n">
        <x:v>1406.758380144132</x:v>
      </x:c>
      <x:c r="G3244" s="21" t="n">
        <x:f>F3241</x:f>
        <x:v>1406.758380144132</x:v>
      </x:c>
      <x:c r="H3244" s="21" t="n">
        <x:f>F3246</x:f>
        <x:v>1411.5007282414065</x:v>
      </x:c>
      <x:c r="I3244" s="27" t="n">
        <x:f>IF(AND(ISNUMBER(G3244),ISNUMBER(H3244),H3244&gt;0),G3244/H3244-1,"")</x:f>
        <x:v>-0.0033597914633618498</x:v>
      </x:c>
      <x:c r="J3244" s="27" t="n">
        <x:f>IF(AND(ISNUMBER(G3244),F3244&gt;0),G3244/F3244-1,"")</x:f>
        <x:v>0</x:v>
      </x:c>
      <x:c r="K3244" s="19" t="str">
        <x:v>KuaiRec/EXP095/results/seed1405645881_Fixed_rank_25.json</x:v>
      </x:c>
    </x:row>
    <x:row r="3245" ht="15" hidden="0" customHeight="1">
      <x:c r="A3245" s="3" t="str">
        <x:v>EXP095</x:v>
      </x:c>
      <x:c r="B3245" s="3" t="str">
        <x:v>KuaiRec</x:v>
      </x:c>
      <x:c r="C3245" s="18" t="n">
        <x:v>1405645881</x:v>
      </x:c>
      <x:c r="D3245" s="3" t="str">
        <x:v>Relative cutoff 1e-6</x:v>
      </x:c>
      <x:c r="E3245" s="18" t="n">
        <x:v>600</x:v>
      </x:c>
      <x:c r="F3245" s="21" t="n">
        <x:v>1406.758380144132</x:v>
      </x:c>
      <x:c r="G3245" s="21" t="n">
        <x:f>F3241</x:f>
        <x:v>1406.758380144132</x:v>
      </x:c>
      <x:c r="H3245" s="21" t="n">
        <x:f>F3246</x:f>
        <x:v>1411.5007282414065</x:v>
      </x:c>
      <x:c r="I3245" s="27" t="n">
        <x:f>IF(AND(ISNUMBER(G3245),ISNUMBER(H3245),H3245&gt;0),G3245/H3245-1,"")</x:f>
        <x:v>-0.0033597914633618498</x:v>
      </x:c>
      <x:c r="J3245" s="27" t="n">
        <x:f>IF(AND(ISNUMBER(G3245),F3245&gt;0),G3245/F3245-1,"")</x:f>
        <x:v>0</x:v>
      </x:c>
      <x:c r="K3245" s="19" t="str">
        <x:v>KuaiRec/EXP095/results/seed1405645881_Relative_cutoff_1e-6.json</x:v>
      </x:c>
    </x:row>
    <x:row r="3246" ht="15" hidden="0" customHeight="1">
      <x:c r="A3246" s="3" t="str">
        <x:v>EXP095</x:v>
      </x:c>
      <x:c r="B3246" s="3" t="str">
        <x:v>KuaiRec</x:v>
      </x:c>
      <x:c r="C3246" s="18" t="n">
        <x:v>1405645881</x:v>
      </x:c>
      <x:c r="D3246" s="3" t="str">
        <x:v>Full</x:v>
      </x:c>
      <x:c r="E3246" s="18" t="n">
        <x:v>600</x:v>
      </x:c>
      <x:c r="F3246" s="21" t="n">
        <x:v>1411.5007282414065</x:v>
      </x:c>
      <x:c r="G3246" s="21" t="n">
        <x:f>F3241</x:f>
        <x:v>1406.758380144132</x:v>
      </x:c>
      <x:c r="H3246" s="21" t="n">
        <x:f>F3246</x:f>
        <x:v>1411.5007282414065</x:v>
      </x:c>
      <x:c r="I3246" s="27" t="n">
        <x:f>IF(AND(ISNUMBER(G3246),ISNUMBER(H3246),H3246&gt;0),G3246/H3246-1,"")</x:f>
        <x:v>-0.0033597914633618498</x:v>
      </x:c>
      <x:c r="J3246" s="27" t="n">
        <x:f>IF(AND(ISNUMBER(G3246),F3246&gt;0),G3246/F3246-1,"")</x:f>
        <x:v>-0.0033597914633618498</x:v>
      </x:c>
      <x:c r="K3246" s="19" t="str">
        <x:v>KuaiRec/EXP095/results/seed1405645881_Full.json</x:v>
      </x:c>
    </x:row>
    <x:row r="3247" ht="15" hidden="0" customHeight="1">
      <x:c r="A3247" s="3" t="str">
        <x:v>EXP095</x:v>
      </x:c>
      <x:c r="B3247" s="3" t="str">
        <x:v>KuaiRec</x:v>
      </x:c>
      <x:c r="C3247" s="18" t="n">
        <x:v>1405645881</x:v>
      </x:c>
      <x:c r="D3247" s="3" t="str">
        <x:v>Relative cutoff 1e-2</x:v>
      </x:c>
      <x:c r="E3247" s="18" t="n">
        <x:v>600</x:v>
      </x:c>
      <x:c r="F3247" s="21" t="n">
        <x:v>1417.420998571663</x:v>
      </x:c>
      <x:c r="G3247" s="21" t="n">
        <x:f>F3241</x:f>
        <x:v>1406.758380144132</x:v>
      </x:c>
      <x:c r="H3247" s="21" t="n">
        <x:f>F3246</x:f>
        <x:v>1411.5007282414065</x:v>
      </x:c>
      <x:c r="I3247" s="27" t="n">
        <x:f>IF(AND(ISNUMBER(G3247),ISNUMBER(H3247),H3247&gt;0),G3247/H3247-1,"")</x:f>
        <x:v>-0.0033597914633618498</x:v>
      </x:c>
      <x:c r="J3247" s="27" t="n">
        <x:f>IF(AND(ISNUMBER(G3247),F3247&gt;0),G3247/F3247-1,"")</x:f>
        <x:v>-0.007522548655816252</x:v>
      </x:c>
      <x:c r="K3247" s="19" t="str">
        <x:v>KuaiRec/EXP095/results/seed1405645881_Relative_cutoff_1e-2.json</x:v>
      </x:c>
    </x:row>
    <x:row r="3248" ht="15" hidden="0" customHeight="1">
      <x:c r="A3248" s="3" t="str">
        <x:v>EXP095</x:v>
      </x:c>
      <x:c r="B3248" s="3" t="str">
        <x:v>KuaiRec</x:v>
      </x:c>
      <x:c r="C3248" s="18" t="n">
        <x:v>1405645881</x:v>
      </x:c>
      <x:c r="D3248" s="3" t="str">
        <x:v>Relative cutoff 1e-4</x:v>
      </x:c>
      <x:c r="E3248" s="18" t="n">
        <x:v>600</x:v>
      </x:c>
      <x:c r="F3248" s="21" t="n">
        <x:v>1450.4259539798716</x:v>
      </x:c>
      <x:c r="G3248" s="21" t="n">
        <x:f>F3241</x:f>
        <x:v>1406.758380144132</x:v>
      </x:c>
      <x:c r="H3248" s="21" t="n">
        <x:f>F3246</x:f>
        <x:v>1411.5007282414065</x:v>
      </x:c>
      <x:c r="I3248" s="27" t="n">
        <x:f>IF(AND(ISNUMBER(G3248),ISNUMBER(H3248),H3248&gt;0),G3248/H3248-1,"")</x:f>
        <x:v>-0.0033597914633618498</x:v>
      </x:c>
      <x:c r="J3248" s="27" t="n">
        <x:f>IF(AND(ISNUMBER(G3248),F3248&gt;0),G3248/F3248-1,"")</x:f>
        <x:v>-0.030106723970236948</x:v>
      </x:c>
      <x:c r="K3248" s="19" t="str">
        <x:v>KuaiRec/EXP095/results/seed1405645881_Relative_cutoff_1e-4.json</x:v>
      </x:c>
    </x:row>
    <x:row r="3249" ht="15" hidden="0" customHeight="1">
      <x:c r="A3249" s="3" t="str">
        <x:v>EXP095</x:v>
      </x:c>
      <x:c r="B3249" s="3" t="str">
        <x:v>KuaiRec</x:v>
      </x:c>
      <x:c r="C3249" s="18" t="n">
        <x:v>1420037105</x:v>
      </x:c>
      <x:c r="D3249" s="3" t="str">
        <x:v>BBP</x:v>
      </x:c>
      <x:c r="E3249" s="18" t="n">
        <x:v>600</x:v>
      </x:c>
      <x:c r="F3249" s="21" t="n">
        <x:v>1436.4666505078712</x:v>
      </x:c>
      <x:c r="G3249" s="21" t="n">
        <x:f>F3249</x:f>
        <x:v>1436.4666505078712</x:v>
      </x:c>
      <x:c r="H3249" s="21" t="n">
        <x:f>F3254</x:f>
        <x:v>1444.0551749182587</x:v>
      </x:c>
      <x:c r="I3249" s="27" t="n">
        <x:f>IF(AND(ISNUMBER(G3249),ISNUMBER(H3249),H3249&gt;0),G3249/H3249-1,"")</x:f>
        <x:v>-0.005255010017755746</x:v>
      </x:c>
      <x:c r="J3249" s="27" t="n">
        <x:f>IF(AND(ISNUMBER(G3249),F3249&gt;0),G3249/F3249-1,"")</x:f>
        <x:v>0</x:v>
      </x:c>
      <x:c r="K3249" s="19" t="str">
        <x:v>KuaiRec/EXP095/results/seed1420037105_BBP.json</x:v>
      </x:c>
    </x:row>
    <x:row r="3250" ht="15" hidden="0" customHeight="1">
      <x:c r="A3250" s="3" t="str">
        <x:v>EXP095</x:v>
      </x:c>
      <x:c r="B3250" s="3" t="str">
        <x:v>KuaiRec</x:v>
      </x:c>
      <x:c r="C3250" s="18" t="n">
        <x:v>1420037105</x:v>
      </x:c>
      <x:c r="D3250" s="3" t="str">
        <x:v>Relative cutoff 1e-5</x:v>
      </x:c>
      <x:c r="E3250" s="18" t="n">
        <x:v>600</x:v>
      </x:c>
      <x:c r="F3250" s="21" t="n">
        <x:v>1442.4659860312215</x:v>
      </x:c>
      <x:c r="G3250" s="21" t="n">
        <x:f>F3249</x:f>
        <x:v>1436.4666505078712</x:v>
      </x:c>
      <x:c r="H3250" s="21" t="n">
        <x:f>F3254</x:f>
        <x:v>1444.0551749182587</x:v>
      </x:c>
      <x:c r="I3250" s="27" t="n">
        <x:f>IF(AND(ISNUMBER(G3250),ISNUMBER(H3250),H3250&gt;0),G3250/H3250-1,"")</x:f>
        <x:v>-0.005255010017755746</x:v>
      </x:c>
      <x:c r="J3250" s="27" t="n">
        <x:f>IF(AND(ISNUMBER(G3250),F3250&gt;0),G3250/F3250-1,"")</x:f>
        <x:v>-0.004159082835538341</x:v>
      </x:c>
      <x:c r="K3250" s="19" t="str">
        <x:v>KuaiRec/EXP095/results/seed1420037105_Relative_cutoff_1e-5.json</x:v>
      </x:c>
    </x:row>
    <x:row r="3251" ht="15" hidden="0" customHeight="1">
      <x:c r="A3251" s="3" t="str">
        <x:v>EXP095</x:v>
      </x:c>
      <x:c r="B3251" s="3" t="str">
        <x:v>KuaiRec</x:v>
      </x:c>
      <x:c r="C3251" s="18" t="n">
        <x:v>1420037105</x:v>
      </x:c>
      <x:c r="D3251" s="3" t="str">
        <x:v>Fixed rank 10</x:v>
      </x:c>
      <x:c r="E3251" s="18" t="n">
        <x:v>600</x:v>
      </x:c>
      <x:c r="F3251" s="21" t="n">
        <x:v>1406.499806969138</x:v>
      </x:c>
      <x:c r="G3251" s="21" t="n">
        <x:f>F3249</x:f>
        <x:v>1436.4666505078712</x:v>
      </x:c>
      <x:c r="H3251" s="21" t="n">
        <x:f>F3254</x:f>
        <x:v>1444.0551749182587</x:v>
      </x:c>
      <x:c r="I3251" s="27" t="n">
        <x:f>IF(AND(ISNUMBER(G3251),ISNUMBER(H3251),H3251&gt;0),G3251/H3251-1,"")</x:f>
        <x:v>-0.005255010017755746</x:v>
      </x:c>
      <x:c r="J3251" s="27" t="n">
        <x:f>IF(AND(ISNUMBER(G3251),F3251&gt;0),G3251/F3251-1,"")</x:f>
        <x:v>0.021305970601808166</x:v>
      </x:c>
      <x:c r="K3251" s="19" t="str">
        <x:v>KuaiRec/EXP095/results/seed1420037105_Fixed_rank_10.json</x:v>
      </x:c>
    </x:row>
    <x:row r="3252" ht="15" hidden="0" customHeight="1">
      <x:c r="A3252" s="3" t="str">
        <x:v>EXP095</x:v>
      </x:c>
      <x:c r="B3252" s="3" t="str">
        <x:v>KuaiRec</x:v>
      </x:c>
      <x:c r="C3252" s="18" t="n">
        <x:v>1420037105</x:v>
      </x:c>
      <x:c r="D3252" s="3" t="str">
        <x:v>Fixed rank 25</x:v>
      </x:c>
      <x:c r="E3252" s="18" t="n">
        <x:v>600</x:v>
      </x:c>
      <x:c r="F3252" s="21" t="n">
        <x:v>1436.4666505078712</x:v>
      </x:c>
      <x:c r="G3252" s="21" t="n">
        <x:f>F3249</x:f>
        <x:v>1436.4666505078712</x:v>
      </x:c>
      <x:c r="H3252" s="21" t="n">
        <x:f>F3254</x:f>
        <x:v>1444.0551749182587</x:v>
      </x:c>
      <x:c r="I3252" s="27" t="n">
        <x:f>IF(AND(ISNUMBER(G3252),ISNUMBER(H3252),H3252&gt;0),G3252/H3252-1,"")</x:f>
        <x:v>-0.005255010017755746</x:v>
      </x:c>
      <x:c r="J3252" s="27" t="n">
        <x:f>IF(AND(ISNUMBER(G3252),F3252&gt;0),G3252/F3252-1,"")</x:f>
        <x:v>0</x:v>
      </x:c>
      <x:c r="K3252" s="19" t="str">
        <x:v>KuaiRec/EXP095/results/seed1420037105_Fixed_rank_25.json</x:v>
      </x:c>
    </x:row>
    <x:row r="3253" ht="15" hidden="0" customHeight="1">
      <x:c r="A3253" s="3" t="str">
        <x:v>EXP095</x:v>
      </x:c>
      <x:c r="B3253" s="3" t="str">
        <x:v>KuaiRec</x:v>
      </x:c>
      <x:c r="C3253" s="18" t="n">
        <x:v>1420037105</x:v>
      </x:c>
      <x:c r="D3253" s="3" t="str">
        <x:v>Relative cutoff 1e-6</x:v>
      </x:c>
      <x:c r="E3253" s="18" t="n">
        <x:v>600</x:v>
      </x:c>
      <x:c r="F3253" s="21" t="n">
        <x:v>1436.4666505078712</x:v>
      </x:c>
      <x:c r="G3253" s="21" t="n">
        <x:f>F3249</x:f>
        <x:v>1436.4666505078712</x:v>
      </x:c>
      <x:c r="H3253" s="21" t="n">
        <x:f>F3254</x:f>
        <x:v>1444.0551749182587</x:v>
      </x:c>
      <x:c r="I3253" s="27" t="n">
        <x:f>IF(AND(ISNUMBER(G3253),ISNUMBER(H3253),H3253&gt;0),G3253/H3253-1,"")</x:f>
        <x:v>-0.005255010017755746</x:v>
      </x:c>
      <x:c r="J3253" s="27" t="n">
        <x:f>IF(AND(ISNUMBER(G3253),F3253&gt;0),G3253/F3253-1,"")</x:f>
        <x:v>0</x:v>
      </x:c>
      <x:c r="K3253" s="19" t="str">
        <x:v>KuaiRec/EXP095/results/seed1420037105_Relative_cutoff_1e-6.json</x:v>
      </x:c>
    </x:row>
    <x:row r="3254" ht="15" hidden="0" customHeight="1">
      <x:c r="A3254" s="3" t="str">
        <x:v>EXP095</x:v>
      </x:c>
      <x:c r="B3254" s="3" t="str">
        <x:v>KuaiRec</x:v>
      </x:c>
      <x:c r="C3254" s="18" t="n">
        <x:v>1420037105</x:v>
      </x:c>
      <x:c r="D3254" s="3" t="str">
        <x:v>Full</x:v>
      </x:c>
      <x:c r="E3254" s="18" t="n">
        <x:v>600</x:v>
      </x:c>
      <x:c r="F3254" s="21" t="n">
        <x:v>1444.0551749182587</x:v>
      </x:c>
      <x:c r="G3254" s="21" t="n">
        <x:f>F3249</x:f>
        <x:v>1436.4666505078712</x:v>
      </x:c>
      <x:c r="H3254" s="21" t="n">
        <x:f>F3254</x:f>
        <x:v>1444.0551749182587</x:v>
      </x:c>
      <x:c r="I3254" s="27" t="n">
        <x:f>IF(AND(ISNUMBER(G3254),ISNUMBER(H3254),H3254&gt;0),G3254/H3254-1,"")</x:f>
        <x:v>-0.005255010017755746</x:v>
      </x:c>
      <x:c r="J3254" s="27" t="n">
        <x:f>IF(AND(ISNUMBER(G3254),F3254&gt;0),G3254/F3254-1,"")</x:f>
        <x:v>-0.005255010017755746</x:v>
      </x:c>
      <x:c r="K3254" s="19" t="str">
        <x:v>KuaiRec/EXP095/results/seed1420037105_Full.json</x:v>
      </x:c>
    </x:row>
    <x:row r="3255" ht="15" hidden="0" customHeight="1">
      <x:c r="A3255" s="3" t="str">
        <x:v>EXP095</x:v>
      </x:c>
      <x:c r="B3255" s="3" t="str">
        <x:v>KuaiRec</x:v>
      </x:c>
      <x:c r="C3255" s="18" t="n">
        <x:v>1420037105</x:v>
      </x:c>
      <x:c r="D3255" s="3" t="str">
        <x:v>Relative cutoff 1e-2</x:v>
      </x:c>
      <x:c r="E3255" s="18" t="n">
        <x:v>600</x:v>
      </x:c>
      <x:c r="F3255" s="21" t="n">
        <x:v>1512.8888267615666</x:v>
      </x:c>
      <x:c r="G3255" s="21" t="n">
        <x:f>F3249</x:f>
        <x:v>1436.4666505078712</x:v>
      </x:c>
      <x:c r="H3255" s="21" t="n">
        <x:f>F3254</x:f>
        <x:v>1444.0551749182587</x:v>
      </x:c>
      <x:c r="I3255" s="27" t="n">
        <x:f>IF(AND(ISNUMBER(G3255),ISNUMBER(H3255),H3255&gt;0),G3255/H3255-1,"")</x:f>
        <x:v>-0.005255010017755746</x:v>
      </x:c>
      <x:c r="J3255" s="27" t="n">
        <x:f>IF(AND(ISNUMBER(G3255),F3255&gt;0),G3255/F3255-1,"")</x:f>
        <x:v>-0.050514072747355754</x:v>
      </x:c>
      <x:c r="K3255" s="19" t="str">
        <x:v>KuaiRec/EXP095/results/seed1420037105_Relative_cutoff_1e-2.json</x:v>
      </x:c>
    </x:row>
    <x:row r="3256" ht="15" hidden="0" customHeight="1">
      <x:c r="A3256" s="3" t="str">
        <x:v>EXP095</x:v>
      </x:c>
      <x:c r="B3256" s="3" t="str">
        <x:v>KuaiRec</x:v>
      </x:c>
      <x:c r="C3256" s="18" t="n">
        <x:v>1420037105</x:v>
      </x:c>
      <x:c r="D3256" s="3" t="str">
        <x:v>Relative cutoff 1e-4</x:v>
      </x:c>
      <x:c r="E3256" s="18" t="n">
        <x:v>600</x:v>
      </x:c>
      <x:c r="F3256" s="21" t="n">
        <x:v>1425.533132906162</x:v>
      </x:c>
      <x:c r="G3256" s="21" t="n">
        <x:f>F3249</x:f>
        <x:v>1436.4666505078712</x:v>
      </x:c>
      <x:c r="H3256" s="21" t="n">
        <x:f>F3254</x:f>
        <x:v>1444.0551749182587</x:v>
      </x:c>
      <x:c r="I3256" s="27" t="n">
        <x:f>IF(AND(ISNUMBER(G3256),ISNUMBER(H3256),H3256&gt;0),G3256/H3256-1,"")</x:f>
        <x:v>-0.005255010017755746</x:v>
      </x:c>
      <x:c r="J3256" s="27" t="n">
        <x:f>IF(AND(ISNUMBER(G3256),F3256&gt;0),G3256/F3256-1,"")</x:f>
        <x:v>0.007669774450923761</x:v>
      </x:c>
      <x:c r="K3256" s="19" t="str">
        <x:v>KuaiRec/EXP095/results/seed1420037105_Relative_cutoff_1e-4.json</x:v>
      </x:c>
    </x:row>
    <x:row r="3257" ht="15" hidden="0" customHeight="1">
      <x:c r="A3257" s="3" t="str">
        <x:v>EXP095</x:v>
      </x:c>
      <x:c r="B3257" s="3" t="str">
        <x:v>KuaiRec</x:v>
      </x:c>
      <x:c r="C3257" s="18" t="n">
        <x:v>1441187591</x:v>
      </x:c>
      <x:c r="D3257" s="3" t="str">
        <x:v>BBP</x:v>
      </x:c>
      <x:c r="E3257" s="18" t="n">
        <x:v>600</x:v>
      </x:c>
      <x:c r="F3257" s="21" t="n">
        <x:v>1409.4527079305892</x:v>
      </x:c>
      <x:c r="G3257" s="21" t="n">
        <x:f>F3257</x:f>
        <x:v>1409.4527079305892</x:v>
      </x:c>
      <x:c r="H3257" s="21" t="n">
        <x:f>F3262</x:f>
        <x:v>1502.7650436705483</x:v>
      </x:c>
      <x:c r="I3257" s="27" t="n">
        <x:f>IF(AND(ISNUMBER(G3257),ISNUMBER(H3257),H3257&gt;0),G3257/H3257-1,"")</x:f>
        <x:v>-0.06209376251662124</x:v>
      </x:c>
      <x:c r="J3257" s="27" t="n">
        <x:f>IF(AND(ISNUMBER(G3257),F3257&gt;0),G3257/F3257-1,"")</x:f>
        <x:v>0</x:v>
      </x:c>
      <x:c r="K3257" s="19" t="str">
        <x:v>KuaiRec/EXP095/results/seed1441187591_BBP.json</x:v>
      </x:c>
    </x:row>
    <x:row r="3258" ht="15" hidden="0" customHeight="1">
      <x:c r="A3258" s="3" t="str">
        <x:v>EXP095</x:v>
      </x:c>
      <x:c r="B3258" s="3" t="str">
        <x:v>KuaiRec</x:v>
      </x:c>
      <x:c r="C3258" s="18" t="n">
        <x:v>1441187591</x:v>
      </x:c>
      <x:c r="D3258" s="3" t="str">
        <x:v>Relative cutoff 1e-5</x:v>
      </x:c>
      <x:c r="E3258" s="18" t="n">
        <x:v>600</x:v>
      </x:c>
      <x:c r="F3258" s="21" t="n">
        <x:v>1427.2366842414422</x:v>
      </x:c>
      <x:c r="G3258" s="21" t="n">
        <x:f>F3257</x:f>
        <x:v>1409.4527079305892</x:v>
      </x:c>
      <x:c r="H3258" s="21" t="n">
        <x:f>F3262</x:f>
        <x:v>1502.7650436705483</x:v>
      </x:c>
      <x:c r="I3258" s="27" t="n">
        <x:f>IF(AND(ISNUMBER(G3258),ISNUMBER(H3258),H3258&gt;0),G3258/H3258-1,"")</x:f>
        <x:v>-0.06209376251662124</x:v>
      </x:c>
      <x:c r="J3258" s="27" t="n">
        <x:f>IF(AND(ISNUMBER(G3258),F3258&gt;0),G3258/F3258-1,"")</x:f>
        <x:v>-0.012460425455154911</x:v>
      </x:c>
      <x:c r="K3258" s="19" t="str">
        <x:v>KuaiRec/EXP095/results/seed1441187591_Relative_cutoff_1e-5.json</x:v>
      </x:c>
    </x:row>
    <x:row r="3259" ht="15" hidden="0" customHeight="1">
      <x:c r="A3259" s="3" t="str">
        <x:v>EXP095</x:v>
      </x:c>
      <x:c r="B3259" s="3" t="str">
        <x:v>KuaiRec</x:v>
      </x:c>
      <x:c r="C3259" s="18" t="n">
        <x:v>1441187591</x:v>
      </x:c>
      <x:c r="D3259" s="3" t="str">
        <x:v>Fixed rank 10</x:v>
      </x:c>
      <x:c r="E3259" s="18" t="n">
        <x:v>600</x:v>
      </x:c>
      <x:c r="F3259" s="21" t="n">
        <x:v>1495.159510233402</x:v>
      </x:c>
      <x:c r="G3259" s="21" t="n">
        <x:f>F3257</x:f>
        <x:v>1409.4527079305892</x:v>
      </x:c>
      <x:c r="H3259" s="21" t="n">
        <x:f>F3262</x:f>
        <x:v>1502.7650436705483</x:v>
      </x:c>
      <x:c r="I3259" s="27" t="n">
        <x:f>IF(AND(ISNUMBER(G3259),ISNUMBER(H3259),H3259&gt;0),G3259/H3259-1,"")</x:f>
        <x:v>-0.06209376251662124</x:v>
      </x:c>
      <x:c r="J3259" s="27" t="n">
        <x:f>IF(AND(ISNUMBER(G3259),F3259&gt;0),G3259/F3259-1,"")</x:f>
        <x:v>-0.05732284864337556</x:v>
      </x:c>
      <x:c r="K3259" s="19" t="str">
        <x:v>KuaiRec/EXP095/results/seed1441187591_Fixed_rank_10.json</x:v>
      </x:c>
    </x:row>
    <x:row r="3260" ht="15" hidden="0" customHeight="1">
      <x:c r="A3260" s="3" t="str">
        <x:v>EXP095</x:v>
      </x:c>
      <x:c r="B3260" s="3" t="str">
        <x:v>KuaiRec</x:v>
      </x:c>
      <x:c r="C3260" s="18" t="n">
        <x:v>1441187591</x:v>
      </x:c>
      <x:c r="D3260" s="3" t="str">
        <x:v>Fixed rank 25</x:v>
      </x:c>
      <x:c r="E3260" s="18" t="n">
        <x:v>600</x:v>
      </x:c>
      <x:c r="F3260" s="21" t="n">
        <x:v>1414.9983757148593</x:v>
      </x:c>
      <x:c r="G3260" s="21" t="n">
        <x:f>F3257</x:f>
        <x:v>1409.4527079305892</x:v>
      </x:c>
      <x:c r="H3260" s="21" t="n">
        <x:f>F3262</x:f>
        <x:v>1502.7650436705483</x:v>
      </x:c>
      <x:c r="I3260" s="27" t="n">
        <x:f>IF(AND(ISNUMBER(G3260),ISNUMBER(H3260),H3260&gt;0),G3260/H3260-1,"")</x:f>
        <x:v>-0.06209376251662124</x:v>
      </x:c>
      <x:c r="J3260" s="27" t="n">
        <x:f>IF(AND(ISNUMBER(G3260),F3260&gt;0),G3260/F3260-1,"")</x:f>
        <x:v>-0.003919204346413796</x:v>
      </x:c>
      <x:c r="K3260" s="19" t="str">
        <x:v>KuaiRec/EXP095/results/seed1441187591_Fixed_rank_25.json</x:v>
      </x:c>
    </x:row>
    <x:row r="3261" ht="15" hidden="0" customHeight="1">
      <x:c r="A3261" s="3" t="str">
        <x:v>EXP095</x:v>
      </x:c>
      <x:c r="B3261" s="3" t="str">
        <x:v>KuaiRec</x:v>
      </x:c>
      <x:c r="C3261" s="18" t="n">
        <x:v>1441187591</x:v>
      </x:c>
      <x:c r="D3261" s="3" t="str">
        <x:v>Relative cutoff 1e-6</x:v>
      </x:c>
      <x:c r="E3261" s="18" t="n">
        <x:v>600</x:v>
      </x:c>
      <x:c r="F3261" s="21" t="n">
        <x:v>1502.7650436705483</x:v>
      </x:c>
      <x:c r="G3261" s="21" t="n">
        <x:f>F3257</x:f>
        <x:v>1409.4527079305892</x:v>
      </x:c>
      <x:c r="H3261" s="21" t="n">
        <x:f>F3262</x:f>
        <x:v>1502.7650436705483</x:v>
      </x:c>
      <x:c r="I3261" s="27" t="n">
        <x:f>IF(AND(ISNUMBER(G3261),ISNUMBER(H3261),H3261&gt;0),G3261/H3261-1,"")</x:f>
        <x:v>-0.06209376251662124</x:v>
      </x:c>
      <x:c r="J3261" s="27" t="n">
        <x:f>IF(AND(ISNUMBER(G3261),F3261&gt;0),G3261/F3261-1,"")</x:f>
        <x:v>-0.06209376251662124</x:v>
      </x:c>
      <x:c r="K3261" s="19" t="str">
        <x:v>KuaiRec/EXP095/results/seed1441187591_Relative_cutoff_1e-6.json</x:v>
      </x:c>
    </x:row>
    <x:row r="3262" ht="15" hidden="0" customHeight="1">
      <x:c r="A3262" s="3" t="str">
        <x:v>EXP095</x:v>
      </x:c>
      <x:c r="B3262" s="3" t="str">
        <x:v>KuaiRec</x:v>
      </x:c>
      <x:c r="C3262" s="18" t="n">
        <x:v>1441187591</x:v>
      </x:c>
      <x:c r="D3262" s="3" t="str">
        <x:v>Full</x:v>
      </x:c>
      <x:c r="E3262" s="18" t="n">
        <x:v>600</x:v>
      </x:c>
      <x:c r="F3262" s="21" t="n">
        <x:v>1502.7650436705483</x:v>
      </x:c>
      <x:c r="G3262" s="21" t="n">
        <x:f>F3257</x:f>
        <x:v>1409.4527079305892</x:v>
      </x:c>
      <x:c r="H3262" s="21" t="n">
        <x:f>F3262</x:f>
        <x:v>1502.7650436705483</x:v>
      </x:c>
      <x:c r="I3262" s="27" t="n">
        <x:f>IF(AND(ISNUMBER(G3262),ISNUMBER(H3262),H3262&gt;0),G3262/H3262-1,"")</x:f>
        <x:v>-0.06209376251662124</x:v>
      </x:c>
      <x:c r="J3262" s="27" t="n">
        <x:f>IF(AND(ISNUMBER(G3262),F3262&gt;0),G3262/F3262-1,"")</x:f>
        <x:v>-0.06209376251662124</x:v>
      </x:c>
      <x:c r="K3262" s="19" t="str">
        <x:v>KuaiRec/EXP095/results/seed1441187591_Full.json</x:v>
      </x:c>
    </x:row>
    <x:row r="3263" ht="15" hidden="0" customHeight="1">
      <x:c r="A3263" s="3" t="str">
        <x:v>EXP095</x:v>
      </x:c>
      <x:c r="B3263" s="3" t="str">
        <x:v>KuaiRec</x:v>
      </x:c>
      <x:c r="C3263" s="18" t="n">
        <x:v>1441187591</x:v>
      </x:c>
      <x:c r="D3263" s="3" t="str">
        <x:v>Relative cutoff 1e-2</x:v>
      </x:c>
      <x:c r="E3263" s="18" t="n">
        <x:v>600</x:v>
      </x:c>
      <x:c r="F3263" s="21" t="n">
        <x:v>1478.274503908437</x:v>
      </x:c>
      <x:c r="G3263" s="21" t="n">
        <x:f>F3257</x:f>
        <x:v>1409.4527079305892</x:v>
      </x:c>
      <x:c r="H3263" s="21" t="n">
        <x:f>F3262</x:f>
        <x:v>1502.7650436705483</x:v>
      </x:c>
      <x:c r="I3263" s="27" t="n">
        <x:f>IF(AND(ISNUMBER(G3263),ISNUMBER(H3263),H3263&gt;0),G3263/H3263-1,"")</x:f>
        <x:v>-0.06209376251662124</x:v>
      </x:c>
      <x:c r="J3263" s="27" t="n">
        <x:f>IF(AND(ISNUMBER(G3263),F3263&gt;0),G3263/F3263-1,"")</x:f>
        <x:v>-0.046555491416437667</x:v>
      </x:c>
      <x:c r="K3263" s="19" t="str">
        <x:v>KuaiRec/EXP095/results/seed1441187591_Relative_cutoff_1e-2.json</x:v>
      </x:c>
    </x:row>
    <x:row r="3264" ht="15" hidden="0" customHeight="1">
      <x:c r="A3264" s="3" t="str">
        <x:v>EXP095</x:v>
      </x:c>
      <x:c r="B3264" s="3" t="str">
        <x:v>KuaiRec</x:v>
      </x:c>
      <x:c r="C3264" s="18" t="n">
        <x:v>1441187591</x:v>
      </x:c>
      <x:c r="D3264" s="3" t="str">
        <x:v>Relative cutoff 1e-4</x:v>
      </x:c>
      <x:c r="E3264" s="18" t="n">
        <x:v>600</x:v>
      </x:c>
      <x:c r="F3264" s="21" t="n">
        <x:v>1487.531943504538</x:v>
      </x:c>
      <x:c r="G3264" s="21" t="n">
        <x:f>F3257</x:f>
        <x:v>1409.4527079305892</x:v>
      </x:c>
      <x:c r="H3264" s="21" t="n">
        <x:f>F3262</x:f>
        <x:v>1502.7650436705483</x:v>
      </x:c>
      <x:c r="I3264" s="27" t="n">
        <x:f>IF(AND(ISNUMBER(G3264),ISNUMBER(H3264),H3264&gt;0),G3264/H3264-1,"")</x:f>
        <x:v>-0.06209376251662124</x:v>
      </x:c>
      <x:c r="J3264" s="27" t="n">
        <x:f>IF(AND(ISNUMBER(G3264),F3264&gt;0),G3264/F3264-1,"")</x:f>
        <x:v>-0.05248911521859401</x:v>
      </x:c>
      <x:c r="K3264" s="19" t="str">
        <x:v>KuaiRec/EXP095/results/seed1441187591_Relative_cutoff_1e-4.json</x:v>
      </x:c>
    </x:row>
    <x:row r="3265" ht="15" hidden="0" customHeight="1">
      <x:c r="A3265" s="3" t="str">
        <x:v>EXP095</x:v>
      </x:c>
      <x:c r="B3265" s="3" t="str">
        <x:v>KuaiRec</x:v>
      </x:c>
      <x:c r="C3265" s="18" t="n">
        <x:v>1447778654</x:v>
      </x:c>
      <x:c r="D3265" s="3" t="str">
        <x:v>BBP</x:v>
      </x:c>
      <x:c r="E3265" s="18" t="n">
        <x:v>600</x:v>
      </x:c>
      <x:c r="F3265" s="21" t="n">
        <x:v>1204.8679334970036</x:v>
      </x:c>
      <x:c r="G3265" s="21" t="n">
        <x:f>F3265</x:f>
        <x:v>1204.8679334970036</x:v>
      </x:c>
      <x:c r="H3265" s="21" t="n">
        <x:f>F3270</x:f>
        <x:v>1204.8679334970036</x:v>
      </x:c>
      <x:c r="I3265" s="27" t="n">
        <x:f>IF(AND(ISNUMBER(G3265),ISNUMBER(H3265),H3265&gt;0),G3265/H3265-1,"")</x:f>
        <x:v>0</x:v>
      </x:c>
      <x:c r="J3265" s="27" t="n">
        <x:f>IF(AND(ISNUMBER(G3265),F3265&gt;0),G3265/F3265-1,"")</x:f>
        <x:v>0</x:v>
      </x:c>
      <x:c r="K3265" s="19" t="str">
        <x:v>KuaiRec/EXP095/results/seed1447778654_BBP.json</x:v>
      </x:c>
    </x:row>
    <x:row r="3266" ht="15" hidden="0" customHeight="1">
      <x:c r="A3266" s="3" t="str">
        <x:v>EXP095</x:v>
      </x:c>
      <x:c r="B3266" s="3" t="str">
        <x:v>KuaiRec</x:v>
      </x:c>
      <x:c r="C3266" s="18" t="n">
        <x:v>1447778654</x:v>
      </x:c>
      <x:c r="D3266" s="3" t="str">
        <x:v>Relative cutoff 1e-5</x:v>
      </x:c>
      <x:c r="E3266" s="18" t="n">
        <x:v>600</x:v>
      </x:c>
      <x:c r="F3266" s="21" t="n">
        <x:v>1162.5294801471161</x:v>
      </x:c>
      <x:c r="G3266" s="21" t="n">
        <x:f>F3265</x:f>
        <x:v>1204.8679334970036</x:v>
      </x:c>
      <x:c r="H3266" s="21" t="n">
        <x:f>F3270</x:f>
        <x:v>1204.8679334970036</x:v>
      </x:c>
      <x:c r="I3266" s="27" t="n">
        <x:f>IF(AND(ISNUMBER(G3266),ISNUMBER(H3266),H3266&gt;0),G3266/H3266-1,"")</x:f>
        <x:v>0</x:v>
      </x:c>
      <x:c r="J3266" s="27" t="n">
        <x:f>IF(AND(ISNUMBER(G3266),F3266&gt;0),G3266/F3266-1,"")</x:f>
        <x:v>0.03641925135913948</x:v>
      </x:c>
      <x:c r="K3266" s="19" t="str">
        <x:v>KuaiRec/EXP095/results/seed1447778654_Relative_cutoff_1e-5.json</x:v>
      </x:c>
    </x:row>
    <x:row r="3267" ht="15" hidden="0" customHeight="1">
      <x:c r="A3267" s="3" t="str">
        <x:v>EXP095</x:v>
      </x:c>
      <x:c r="B3267" s="3" t="str">
        <x:v>KuaiRec</x:v>
      </x:c>
      <x:c r="C3267" s="18" t="n">
        <x:v>1447778654</x:v>
      </x:c>
      <x:c r="D3267" s="3" t="str">
        <x:v>Fixed rank 10</x:v>
      </x:c>
      <x:c r="E3267" s="18" t="n">
        <x:v>600</x:v>
      </x:c>
      <x:c r="F3267" s="21" t="n">
        <x:v>1088.202942040311</x:v>
      </x:c>
      <x:c r="G3267" s="21" t="n">
        <x:f>F3265</x:f>
        <x:v>1204.8679334970036</x:v>
      </x:c>
      <x:c r="H3267" s="21" t="n">
        <x:f>F3270</x:f>
        <x:v>1204.8679334970036</x:v>
      </x:c>
      <x:c r="I3267" s="27" t="n">
        <x:f>IF(AND(ISNUMBER(G3267),ISNUMBER(H3267),H3267&gt;0),G3267/H3267-1,"")</x:f>
        <x:v>0</x:v>
      </x:c>
      <x:c r="J3267" s="27" t="n">
        <x:f>IF(AND(ISNUMBER(G3267),F3267&gt;0),G3267/F3267-1,"")</x:f>
        <x:v>0.10720885503025124</x:v>
      </x:c>
      <x:c r="K3267" s="19" t="str">
        <x:v>KuaiRec/EXP095/results/seed1447778654_Fixed_rank_10.json</x:v>
      </x:c>
    </x:row>
    <x:row r="3268" ht="15" hidden="0" customHeight="1">
      <x:c r="A3268" s="3" t="str">
        <x:v>EXP095</x:v>
      </x:c>
      <x:c r="B3268" s="3" t="str">
        <x:v>KuaiRec</x:v>
      </x:c>
      <x:c r="C3268" s="18" t="n">
        <x:v>1447778654</x:v>
      </x:c>
      <x:c r="D3268" s="3" t="str">
        <x:v>Fixed rank 25</x:v>
      </x:c>
      <x:c r="E3268" s="18" t="n">
        <x:v>600</x:v>
      </x:c>
      <x:c r="F3268" s="21" t="n">
        <x:v>1204.8679334970036</x:v>
      </x:c>
      <x:c r="G3268" s="21" t="n">
        <x:f>F3265</x:f>
        <x:v>1204.8679334970036</x:v>
      </x:c>
      <x:c r="H3268" s="21" t="n">
        <x:f>F3270</x:f>
        <x:v>1204.8679334970036</x:v>
      </x:c>
      <x:c r="I3268" s="27" t="n">
        <x:f>IF(AND(ISNUMBER(G3268),ISNUMBER(H3268),H3268&gt;0),G3268/H3268-1,"")</x:f>
        <x:v>0</x:v>
      </x:c>
      <x:c r="J3268" s="27" t="n">
        <x:f>IF(AND(ISNUMBER(G3268),F3268&gt;0),G3268/F3268-1,"")</x:f>
        <x:v>0</x:v>
      </x:c>
      <x:c r="K3268" s="19" t="str">
        <x:v>KuaiRec/EXP095/results/seed1447778654_Fixed_rank_25.json</x:v>
      </x:c>
    </x:row>
    <x:row r="3269" ht="15" hidden="0" customHeight="1">
      <x:c r="A3269" s="3" t="str">
        <x:v>EXP095</x:v>
      </x:c>
      <x:c r="B3269" s="3" t="str">
        <x:v>KuaiRec</x:v>
      </x:c>
      <x:c r="C3269" s="18" t="n">
        <x:v>1447778654</x:v>
      </x:c>
      <x:c r="D3269" s="3" t="str">
        <x:v>Relative cutoff 1e-6</x:v>
      </x:c>
      <x:c r="E3269" s="18" t="n">
        <x:v>600</x:v>
      </x:c>
      <x:c r="F3269" s="21" t="n">
        <x:v>1204.8679334970036</x:v>
      </x:c>
      <x:c r="G3269" s="21" t="n">
        <x:f>F3265</x:f>
        <x:v>1204.8679334970036</x:v>
      </x:c>
      <x:c r="H3269" s="21" t="n">
        <x:f>F3270</x:f>
        <x:v>1204.8679334970036</x:v>
      </x:c>
      <x:c r="I3269" s="27" t="n">
        <x:f>IF(AND(ISNUMBER(G3269),ISNUMBER(H3269),H3269&gt;0),G3269/H3269-1,"")</x:f>
        <x:v>0</x:v>
      </x:c>
      <x:c r="J3269" s="27" t="n">
        <x:f>IF(AND(ISNUMBER(G3269),F3269&gt;0),G3269/F3269-1,"")</x:f>
        <x:v>0</x:v>
      </x:c>
      <x:c r="K3269" s="19" t="str">
        <x:v>KuaiRec/EXP095/results/seed1447778654_Relative_cutoff_1e-6.json</x:v>
      </x:c>
    </x:row>
    <x:row r="3270" ht="15" hidden="0" customHeight="1">
      <x:c r="A3270" s="3" t="str">
        <x:v>EXP095</x:v>
      </x:c>
      <x:c r="B3270" s="3" t="str">
        <x:v>KuaiRec</x:v>
      </x:c>
      <x:c r="C3270" s="18" t="n">
        <x:v>1447778654</x:v>
      </x:c>
      <x:c r="D3270" s="3" t="str">
        <x:v>Full</x:v>
      </x:c>
      <x:c r="E3270" s="18" t="n">
        <x:v>600</x:v>
      </x:c>
      <x:c r="F3270" s="21" t="n">
        <x:v>1204.8679334970036</x:v>
      </x:c>
      <x:c r="G3270" s="21" t="n">
        <x:f>F3265</x:f>
        <x:v>1204.8679334970036</x:v>
      </x:c>
      <x:c r="H3270" s="21" t="n">
        <x:f>F3270</x:f>
        <x:v>1204.8679334970036</x:v>
      </x:c>
      <x:c r="I3270" s="27" t="n">
        <x:f>IF(AND(ISNUMBER(G3270),ISNUMBER(H3270),H3270&gt;0),G3270/H3270-1,"")</x:f>
        <x:v>0</x:v>
      </x:c>
      <x:c r="J3270" s="27" t="n">
        <x:f>IF(AND(ISNUMBER(G3270),F3270&gt;0),G3270/F3270-1,"")</x:f>
        <x:v>0</x:v>
      </x:c>
      <x:c r="K3270" s="19" t="str">
        <x:v>KuaiRec/EXP095/results/seed1447778654_Full.json</x:v>
      </x:c>
    </x:row>
    <x:row r="3271" ht="15" hidden="0" customHeight="1">
      <x:c r="A3271" s="3" t="str">
        <x:v>EXP095</x:v>
      </x:c>
      <x:c r="B3271" s="3" t="str">
        <x:v>KuaiRec</x:v>
      </x:c>
      <x:c r="C3271" s="18" t="n">
        <x:v>1447778654</x:v>
      </x:c>
      <x:c r="D3271" s="3" t="str">
        <x:v>Relative cutoff 1e-2</x:v>
      </x:c>
      <x:c r="E3271" s="18" t="n">
        <x:v>600</x:v>
      </x:c>
      <x:c r="F3271" s="21" t="n">
        <x:v>1075.8871008487447</x:v>
      </x:c>
      <x:c r="G3271" s="21" t="n">
        <x:f>F3265</x:f>
        <x:v>1204.8679334970036</x:v>
      </x:c>
      <x:c r="H3271" s="21" t="n">
        <x:f>F3270</x:f>
        <x:v>1204.8679334970036</x:v>
      </x:c>
      <x:c r="I3271" s="27" t="n">
        <x:f>IF(AND(ISNUMBER(G3271),ISNUMBER(H3271),H3271&gt;0),G3271/H3271-1,"")</x:f>
        <x:v>0</x:v>
      </x:c>
      <x:c r="J3271" s="27" t="n">
        <x:f>IF(AND(ISNUMBER(G3271),F3271&gt;0),G3271/F3271-1,"")</x:f>
        <x:v>0.11988324104500236</x:v>
      </x:c>
      <x:c r="K3271" s="19" t="str">
        <x:v>KuaiRec/EXP095/results/seed1447778654_Relative_cutoff_1e-2.json</x:v>
      </x:c>
    </x:row>
    <x:row r="3272" ht="15" hidden="0" customHeight="1">
      <x:c r="A3272" s="3" t="str">
        <x:v>EXP095</x:v>
      </x:c>
      <x:c r="B3272" s="3" t="str">
        <x:v>KuaiRec</x:v>
      </x:c>
      <x:c r="C3272" s="18" t="n">
        <x:v>1447778654</x:v>
      </x:c>
      <x:c r="D3272" s="3" t="str">
        <x:v>Relative cutoff 1e-4</x:v>
      </x:c>
      <x:c r="E3272" s="18" t="n">
        <x:v>600</x:v>
      </x:c>
      <x:c r="F3272" s="21" t="n">
        <x:v>1101.3012388669</x:v>
      </x:c>
      <x:c r="G3272" s="21" t="n">
        <x:f>F3265</x:f>
        <x:v>1204.8679334970036</x:v>
      </x:c>
      <x:c r="H3272" s="21" t="n">
        <x:f>F3270</x:f>
        <x:v>1204.8679334970036</x:v>
      </x:c>
      <x:c r="I3272" s="27" t="n">
        <x:f>IF(AND(ISNUMBER(G3272),ISNUMBER(H3272),H3272&gt;0),G3272/H3272-1,"")</x:f>
        <x:v>0</x:v>
      </x:c>
      <x:c r="J3272" s="27" t="n">
        <x:f>IF(AND(ISNUMBER(G3272),F3272&gt;0),G3272/F3272-1,"")</x:f>
        <x:v>0.0940402961288418</x:v>
      </x:c>
      <x:c r="K3272" s="19" t="str">
        <x:v>KuaiRec/EXP095/results/seed1447778654_Relative_cutoff_1e-4.json</x:v>
      </x:c>
    </x:row>
    <x:row r="3273" ht="15" hidden="0" customHeight="1">
      <x:c r="A3273" s="3" t="str">
        <x:v>EXP095</x:v>
      </x:c>
      <x:c r="B3273" s="3" t="str">
        <x:v>KuaiRec</x:v>
      </x:c>
      <x:c r="C3273" s="18" t="n">
        <x:v>1448742623</x:v>
      </x:c>
      <x:c r="D3273" s="3" t="str">
        <x:v>BBP</x:v>
      </x:c>
      <x:c r="E3273" s="18" t="n">
        <x:v>600</x:v>
      </x:c>
      <x:c r="F3273" s="21" t="n">
        <x:v>1322.5094102285223</x:v>
      </x:c>
      <x:c r="G3273" s="21" t="n">
        <x:f>F3273</x:f>
        <x:v>1322.5094102285223</x:v>
      </x:c>
      <x:c r="H3273" s="21" t="n">
        <x:f>F3278</x:f>
        <x:v>1320.851368617494</x:v>
      </x:c>
      <x:c r="I3273" s="27" t="n">
        <x:f>IF(AND(ISNUMBER(G3273),ISNUMBER(H3273),H3273&gt;0),G3273/H3273-1,"")</x:f>
        <x:v>0.0012552825021967529</x:v>
      </x:c>
      <x:c r="J3273" s="27" t="n">
        <x:f>IF(AND(ISNUMBER(G3273),F3273&gt;0),G3273/F3273-1,"")</x:f>
        <x:v>0</x:v>
      </x:c>
      <x:c r="K3273" s="19" t="str">
        <x:v>KuaiRec/EXP095/results/seed1448742623_BBP.json</x:v>
      </x:c>
    </x:row>
    <x:row r="3274" ht="15" hidden="0" customHeight="1">
      <x:c r="A3274" s="3" t="str">
        <x:v>EXP095</x:v>
      </x:c>
      <x:c r="B3274" s="3" t="str">
        <x:v>KuaiRec</x:v>
      </x:c>
      <x:c r="C3274" s="18" t="n">
        <x:v>1448742623</x:v>
      </x:c>
      <x:c r="D3274" s="3" t="str">
        <x:v>Relative cutoff 1e-5</x:v>
      </x:c>
      <x:c r="E3274" s="18" t="n">
        <x:v>600</x:v>
      </x:c>
      <x:c r="F3274" s="21" t="n">
        <x:v>1331.6639528774967</x:v>
      </x:c>
      <x:c r="G3274" s="21" t="n">
        <x:f>F3273</x:f>
        <x:v>1322.5094102285223</x:v>
      </x:c>
      <x:c r="H3274" s="21" t="n">
        <x:f>F3278</x:f>
        <x:v>1320.851368617494</x:v>
      </x:c>
      <x:c r="I3274" s="27" t="n">
        <x:f>IF(AND(ISNUMBER(G3274),ISNUMBER(H3274),H3274&gt;0),G3274/H3274-1,"")</x:f>
        <x:v>0.0012552825021967529</x:v>
      </x:c>
      <x:c r="J3274" s="27" t="n">
        <x:f>IF(AND(ISNUMBER(G3274),F3274&gt;0),G3274/F3274-1,"")</x:f>
        <x:v>-0.00687451412136908</x:v>
      </x:c>
      <x:c r="K3274" s="19" t="str">
        <x:v>KuaiRec/EXP095/results/seed1448742623_Relative_cutoff_1e-5.json</x:v>
      </x:c>
    </x:row>
    <x:row r="3275" ht="15" hidden="0" customHeight="1">
      <x:c r="A3275" s="3" t="str">
        <x:v>EXP095</x:v>
      </x:c>
      <x:c r="B3275" s="3" t="str">
        <x:v>KuaiRec</x:v>
      </x:c>
      <x:c r="C3275" s="18" t="n">
        <x:v>1448742623</x:v>
      </x:c>
      <x:c r="D3275" s="3" t="str">
        <x:v>Fixed rank 10</x:v>
      </x:c>
      <x:c r="E3275" s="18" t="n">
        <x:v>600</x:v>
      </x:c>
      <x:c r="F3275" s="21" t="n">
        <x:v>1332.7452889023766</x:v>
      </x:c>
      <x:c r="G3275" s="21" t="n">
        <x:f>F3273</x:f>
        <x:v>1322.5094102285223</x:v>
      </x:c>
      <x:c r="H3275" s="21" t="n">
        <x:f>F3278</x:f>
        <x:v>1320.851368617494</x:v>
      </x:c>
      <x:c r="I3275" s="27" t="n">
        <x:f>IF(AND(ISNUMBER(G3275),ISNUMBER(H3275),H3275&gt;0),G3275/H3275-1,"")</x:f>
        <x:v>0.0012552825021967529</x:v>
      </x:c>
      <x:c r="J3275" s="27" t="n">
        <x:f>IF(AND(ISNUMBER(G3275),F3275&gt;0),G3275/F3275-1,"")</x:f>
        <x:v>-0.007680296271978859</x:v>
      </x:c>
      <x:c r="K3275" s="19" t="str">
        <x:v>KuaiRec/EXP095/results/seed1448742623_Fixed_rank_10.json</x:v>
      </x:c>
    </x:row>
    <x:row r="3276" ht="15" hidden="0" customHeight="1">
      <x:c r="A3276" s="3" t="str">
        <x:v>EXP095</x:v>
      </x:c>
      <x:c r="B3276" s="3" t="str">
        <x:v>KuaiRec</x:v>
      </x:c>
      <x:c r="C3276" s="18" t="n">
        <x:v>1448742623</x:v>
      </x:c>
      <x:c r="D3276" s="3" t="str">
        <x:v>Fixed rank 25</x:v>
      </x:c>
      <x:c r="E3276" s="18" t="n">
        <x:v>600</x:v>
      </x:c>
      <x:c r="F3276" s="21" t="n">
        <x:v>1368.236580710442</x:v>
      </x:c>
      <x:c r="G3276" s="21" t="n">
        <x:f>F3273</x:f>
        <x:v>1322.5094102285223</x:v>
      </x:c>
      <x:c r="H3276" s="21" t="n">
        <x:f>F3278</x:f>
        <x:v>1320.851368617494</x:v>
      </x:c>
      <x:c r="I3276" s="27" t="n">
        <x:f>IF(AND(ISNUMBER(G3276),ISNUMBER(H3276),H3276&gt;0),G3276/H3276-1,"")</x:f>
        <x:v>0.0012552825021967529</x:v>
      </x:c>
      <x:c r="J3276" s="27" t="n">
        <x:f>IF(AND(ISNUMBER(G3276),F3276&gt;0),G3276/F3276-1,"")</x:f>
        <x:v>-0.033420514497702114</x:v>
      </x:c>
      <x:c r="K3276" s="19" t="str">
        <x:v>KuaiRec/EXP095/results/seed1448742623_Fixed_rank_25.json</x:v>
      </x:c>
    </x:row>
    <x:row r="3277" ht="15" hidden="0" customHeight="1">
      <x:c r="A3277" s="3" t="str">
        <x:v>EXP095</x:v>
      </x:c>
      <x:c r="B3277" s="3" t="str">
        <x:v>KuaiRec</x:v>
      </x:c>
      <x:c r="C3277" s="18" t="n">
        <x:v>1448742623</x:v>
      </x:c>
      <x:c r="D3277" s="3" t="str">
        <x:v>Relative cutoff 1e-6</x:v>
      </x:c>
      <x:c r="E3277" s="18" t="n">
        <x:v>600</x:v>
      </x:c>
      <x:c r="F3277" s="21" t="n">
        <x:v>1286.3450455684317</x:v>
      </x:c>
      <x:c r="G3277" s="21" t="n">
        <x:f>F3273</x:f>
        <x:v>1322.5094102285223</x:v>
      </x:c>
      <x:c r="H3277" s="21" t="n">
        <x:f>F3278</x:f>
        <x:v>1320.851368617494</x:v>
      </x:c>
      <x:c r="I3277" s="27" t="n">
        <x:f>IF(AND(ISNUMBER(G3277),ISNUMBER(H3277),H3277&gt;0),G3277/H3277-1,"")</x:f>
        <x:v>0.0012552825021967529</x:v>
      </x:c>
      <x:c r="J3277" s="27" t="n">
        <x:f>IF(AND(ISNUMBER(G3277),F3277&gt;0),G3277/F3277-1,"")</x:f>
        <x:v>0.02811404668186035</x:v>
      </x:c>
      <x:c r="K3277" s="19" t="str">
        <x:v>KuaiRec/EXP095/results/seed1448742623_Relative_cutoff_1e-6.json</x:v>
      </x:c>
    </x:row>
    <x:row r="3278" ht="15" hidden="0" customHeight="1">
      <x:c r="A3278" s="3" t="str">
        <x:v>EXP095</x:v>
      </x:c>
      <x:c r="B3278" s="3" t="str">
        <x:v>KuaiRec</x:v>
      </x:c>
      <x:c r="C3278" s="18" t="n">
        <x:v>1448742623</x:v>
      </x:c>
      <x:c r="D3278" s="3" t="str">
        <x:v>Full</x:v>
      </x:c>
      <x:c r="E3278" s="18" t="n">
        <x:v>600</x:v>
      </x:c>
      <x:c r="F3278" s="21" t="n">
        <x:v>1320.851368617494</x:v>
      </x:c>
      <x:c r="G3278" s="21" t="n">
        <x:f>F3273</x:f>
        <x:v>1322.5094102285223</x:v>
      </x:c>
      <x:c r="H3278" s="21" t="n">
        <x:f>F3278</x:f>
        <x:v>1320.851368617494</x:v>
      </x:c>
      <x:c r="I3278" s="27" t="n">
        <x:f>IF(AND(ISNUMBER(G3278),ISNUMBER(H3278),H3278&gt;0),G3278/H3278-1,"")</x:f>
        <x:v>0.0012552825021967529</x:v>
      </x:c>
      <x:c r="J3278" s="27" t="n">
        <x:f>IF(AND(ISNUMBER(G3278),F3278&gt;0),G3278/F3278-1,"")</x:f>
        <x:v>0.0012552825021967529</x:v>
      </x:c>
      <x:c r="K3278" s="19" t="str">
        <x:v>KuaiRec/EXP095/results/seed1448742623_Full.json</x:v>
      </x:c>
    </x:row>
    <x:row r="3279" ht="15" hidden="0" customHeight="1">
      <x:c r="A3279" s="3" t="str">
        <x:v>EXP095</x:v>
      </x:c>
      <x:c r="B3279" s="3" t="str">
        <x:v>KuaiRec</x:v>
      </x:c>
      <x:c r="C3279" s="18" t="n">
        <x:v>1448742623</x:v>
      </x:c>
      <x:c r="D3279" s="3" t="str">
        <x:v>Relative cutoff 1e-2</x:v>
      </x:c>
      <x:c r="E3279" s="18" t="n">
        <x:v>600</x:v>
      </x:c>
      <x:c r="F3279" s="21" t="n">
        <x:v>1390.1033953977405</x:v>
      </x:c>
      <x:c r="G3279" s="21" t="n">
        <x:f>F3273</x:f>
        <x:v>1322.5094102285223</x:v>
      </x:c>
      <x:c r="H3279" s="21" t="n">
        <x:f>F3278</x:f>
        <x:v>1320.851368617494</x:v>
      </x:c>
      <x:c r="I3279" s="27" t="n">
        <x:f>IF(AND(ISNUMBER(G3279),ISNUMBER(H3279),H3279&gt;0),G3279/H3279-1,"")</x:f>
        <x:v>0.0012552825021967529</x:v>
      </x:c>
      <x:c r="J3279" s="27" t="n">
        <x:f>IF(AND(ISNUMBER(G3279),F3279&gt;0),G3279/F3279-1,"")</x:f>
        <x:v>-0.04862514931839157</x:v>
      </x:c>
      <x:c r="K3279" s="19" t="str">
        <x:v>KuaiRec/EXP095/results/seed1448742623_Relative_cutoff_1e-2.json</x:v>
      </x:c>
    </x:row>
    <x:row r="3280" ht="15" hidden="0" customHeight="1">
      <x:c r="A3280" s="3" t="str">
        <x:v>EXP095</x:v>
      </x:c>
      <x:c r="B3280" s="3" t="str">
        <x:v>KuaiRec</x:v>
      </x:c>
      <x:c r="C3280" s="18" t="n">
        <x:v>1448742623</x:v>
      </x:c>
      <x:c r="D3280" s="3" t="str">
        <x:v>Relative cutoff 1e-4</x:v>
      </x:c>
      <x:c r="E3280" s="18" t="n">
        <x:v>600</x:v>
      </x:c>
      <x:c r="F3280" s="21" t="n">
        <x:v>1311.4671224626613</x:v>
      </x:c>
      <x:c r="G3280" s="21" t="n">
        <x:f>F3273</x:f>
        <x:v>1322.5094102285223</x:v>
      </x:c>
      <x:c r="H3280" s="21" t="n">
        <x:f>F3278</x:f>
        <x:v>1320.851368617494</x:v>
      </x:c>
      <x:c r="I3280" s="27" t="n">
        <x:f>IF(AND(ISNUMBER(G3280),ISNUMBER(H3280),H3280&gt;0),G3280/H3280-1,"")</x:f>
        <x:v>0.0012552825021967529</x:v>
      </x:c>
      <x:c r="J3280" s="27" t="n">
        <x:f>IF(AND(ISNUMBER(G3280),F3280&gt;0),G3280/F3280-1,"")</x:f>
        <x:v>0.008419797627199133</x:v>
      </x:c>
      <x:c r="K3280" s="19" t="str">
        <x:v>KuaiRec/EXP095/results/seed1448742623_Relative_cutoff_1e-4.json</x:v>
      </x:c>
    </x:row>
    <x:row r="3281" ht="15" hidden="0" customHeight="1">
      <x:c r="A3281" s="3" t="str">
        <x:v>EXP095</x:v>
      </x:c>
      <x:c r="B3281" s="3" t="str">
        <x:v>KuaiRec</x:v>
      </x:c>
      <x:c r="C3281" s="18" t="n">
        <x:v>1463307338</x:v>
      </x:c>
      <x:c r="D3281" s="3" t="str">
        <x:v>BBP</x:v>
      </x:c>
      <x:c r="E3281" s="18" t="n">
        <x:v>600</x:v>
      </x:c>
      <x:c r="F3281" s="21" t="n">
        <x:v>1322.8920190439921</x:v>
      </x:c>
      <x:c r="G3281" s="21" t="n">
        <x:f>F3281</x:f>
        <x:v>1322.8920190439921</x:v>
      </x:c>
      <x:c r="H3281" s="21" t="n">
        <x:f>F3286</x:f>
        <x:v>1355.0687997507325</x:v>
      </x:c>
      <x:c r="I3281" s="27" t="n">
        <x:f>IF(AND(ISNUMBER(G3281),ISNUMBER(H3281),H3281&gt;0),G3281/H3281-1,"")</x:f>
        <x:v>-0.023745495957592233</x:v>
      </x:c>
      <x:c r="J3281" s="27" t="n">
        <x:f>IF(AND(ISNUMBER(G3281),F3281&gt;0),G3281/F3281-1,"")</x:f>
        <x:v>0</x:v>
      </x:c>
      <x:c r="K3281" s="19" t="str">
        <x:v>KuaiRec/EXP095/results/seed1463307338_BBP.json</x:v>
      </x:c>
    </x:row>
    <x:row r="3282" ht="15" hidden="0" customHeight="1">
      <x:c r="A3282" s="3" t="str">
        <x:v>EXP095</x:v>
      </x:c>
      <x:c r="B3282" s="3" t="str">
        <x:v>KuaiRec</x:v>
      </x:c>
      <x:c r="C3282" s="18" t="n">
        <x:v>1463307338</x:v>
      </x:c>
      <x:c r="D3282" s="3" t="str">
        <x:v>Relative cutoff 1e-5</x:v>
      </x:c>
      <x:c r="E3282" s="18" t="n">
        <x:v>600</x:v>
      </x:c>
      <x:c r="F3282" s="21" t="n">
        <x:v>1358.0767421846476</x:v>
      </x:c>
      <x:c r="G3282" s="21" t="n">
        <x:f>F3281</x:f>
        <x:v>1322.8920190439921</x:v>
      </x:c>
      <x:c r="H3282" s="21" t="n">
        <x:f>F3286</x:f>
        <x:v>1355.0687997507325</x:v>
      </x:c>
      <x:c r="I3282" s="27" t="n">
        <x:f>IF(AND(ISNUMBER(G3282),ISNUMBER(H3282),H3282&gt;0),G3282/H3282-1,"")</x:f>
        <x:v>-0.023745495957592233</x:v>
      </x:c>
      <x:c r="J3282" s="27" t="n">
        <x:f>IF(AND(ISNUMBER(G3282),F3282&gt;0),G3282/F3282-1,"")</x:f>
        <x:v>-0.025907757675060483</x:v>
      </x:c>
      <x:c r="K3282" s="19" t="str">
        <x:v>KuaiRec/EXP095/results/seed1463307338_Relative_cutoff_1e-5.json</x:v>
      </x:c>
    </x:row>
    <x:row r="3283" ht="15" hidden="0" customHeight="1">
      <x:c r="A3283" s="3" t="str">
        <x:v>EXP095</x:v>
      </x:c>
      <x:c r="B3283" s="3" t="str">
        <x:v>KuaiRec</x:v>
      </x:c>
      <x:c r="C3283" s="18" t="n">
        <x:v>1463307338</x:v>
      </x:c>
      <x:c r="D3283" s="3" t="str">
        <x:v>Fixed rank 10</x:v>
      </x:c>
      <x:c r="E3283" s="18" t="n">
        <x:v>600</x:v>
      </x:c>
      <x:c r="F3283" s="21" t="n">
        <x:v>1376.5101244738996</x:v>
      </x:c>
      <x:c r="G3283" s="21" t="n">
        <x:f>F3281</x:f>
        <x:v>1322.8920190439921</x:v>
      </x:c>
      <x:c r="H3283" s="21" t="n">
        <x:f>F3286</x:f>
        <x:v>1355.0687997507325</x:v>
      </x:c>
      <x:c r="I3283" s="27" t="n">
        <x:f>IF(AND(ISNUMBER(G3283),ISNUMBER(H3283),H3283&gt;0),G3283/H3283-1,"")</x:f>
        <x:v>-0.023745495957592233</x:v>
      </x:c>
      <x:c r="J3283" s="27" t="n">
        <x:f>IF(AND(ISNUMBER(G3283),F3283&gt;0),G3283/F3283-1,"")</x:f>
        <x:v>-0.03895220563699109</x:v>
      </x:c>
      <x:c r="K3283" s="19" t="str">
        <x:v>KuaiRec/EXP095/results/seed1463307338_Fixed_rank_10.json</x:v>
      </x:c>
    </x:row>
    <x:row r="3284" ht="15" hidden="0" customHeight="1">
      <x:c r="A3284" s="3" t="str">
        <x:v>EXP095</x:v>
      </x:c>
      <x:c r="B3284" s="3" t="str">
        <x:v>KuaiRec</x:v>
      </x:c>
      <x:c r="C3284" s="18" t="n">
        <x:v>1463307338</x:v>
      </x:c>
      <x:c r="D3284" s="3" t="str">
        <x:v>Fixed rank 25</x:v>
      </x:c>
      <x:c r="E3284" s="18" t="n">
        <x:v>600</x:v>
      </x:c>
      <x:c r="F3284" s="21" t="n">
        <x:v>1322.8920190439921</x:v>
      </x:c>
      <x:c r="G3284" s="21" t="n">
        <x:f>F3281</x:f>
        <x:v>1322.8920190439921</x:v>
      </x:c>
      <x:c r="H3284" s="21" t="n">
        <x:f>F3286</x:f>
        <x:v>1355.0687997507325</x:v>
      </x:c>
      <x:c r="I3284" s="27" t="n">
        <x:f>IF(AND(ISNUMBER(G3284),ISNUMBER(H3284),H3284&gt;0),G3284/H3284-1,"")</x:f>
        <x:v>-0.023745495957592233</x:v>
      </x:c>
      <x:c r="J3284" s="27" t="n">
        <x:f>IF(AND(ISNUMBER(G3284),F3284&gt;0),G3284/F3284-1,"")</x:f>
        <x:v>0</x:v>
      </x:c>
      <x:c r="K3284" s="19" t="str">
        <x:v>KuaiRec/EXP095/results/seed1463307338_Fixed_rank_25.json</x:v>
      </x:c>
    </x:row>
    <x:row r="3285" ht="15" hidden="0" customHeight="1">
      <x:c r="A3285" s="3" t="str">
        <x:v>EXP095</x:v>
      </x:c>
      <x:c r="B3285" s="3" t="str">
        <x:v>KuaiRec</x:v>
      </x:c>
      <x:c r="C3285" s="18" t="n">
        <x:v>1463307338</x:v>
      </x:c>
      <x:c r="D3285" s="3" t="str">
        <x:v>Relative cutoff 1e-6</x:v>
      </x:c>
      <x:c r="E3285" s="18" t="n">
        <x:v>600</x:v>
      </x:c>
      <x:c r="F3285" s="21" t="n">
        <x:v>1373.321779771001</x:v>
      </x:c>
      <x:c r="G3285" s="21" t="n">
        <x:f>F3281</x:f>
        <x:v>1322.8920190439921</x:v>
      </x:c>
      <x:c r="H3285" s="21" t="n">
        <x:f>F3286</x:f>
        <x:v>1355.0687997507325</x:v>
      </x:c>
      <x:c r="I3285" s="27" t="n">
        <x:f>IF(AND(ISNUMBER(G3285),ISNUMBER(H3285),H3285&gt;0),G3285/H3285-1,"")</x:f>
        <x:v>-0.023745495957592233</x:v>
      </x:c>
      <x:c r="J3285" s="27" t="n">
        <x:f>IF(AND(ISNUMBER(G3285),F3285&gt;0),G3285/F3285-1,"")</x:f>
        <x:v>-0.036721008484565054</x:v>
      </x:c>
      <x:c r="K3285" s="19" t="str">
        <x:v>KuaiRec/EXP095/results/seed1463307338_Relative_cutoff_1e-6.json</x:v>
      </x:c>
    </x:row>
    <x:row r="3286" ht="15" hidden="0" customHeight="1">
      <x:c r="A3286" s="3" t="str">
        <x:v>EXP095</x:v>
      </x:c>
      <x:c r="B3286" s="3" t="str">
        <x:v>KuaiRec</x:v>
      </x:c>
      <x:c r="C3286" s="18" t="n">
        <x:v>1463307338</x:v>
      </x:c>
      <x:c r="D3286" s="3" t="str">
        <x:v>Full</x:v>
      </x:c>
      <x:c r="E3286" s="18" t="n">
        <x:v>600</x:v>
      </x:c>
      <x:c r="F3286" s="21" t="n">
        <x:v>1355.0687997507325</x:v>
      </x:c>
      <x:c r="G3286" s="21" t="n">
        <x:f>F3281</x:f>
        <x:v>1322.8920190439921</x:v>
      </x:c>
      <x:c r="H3286" s="21" t="n">
        <x:f>F3286</x:f>
        <x:v>1355.0687997507325</x:v>
      </x:c>
      <x:c r="I3286" s="27" t="n">
        <x:f>IF(AND(ISNUMBER(G3286),ISNUMBER(H3286),H3286&gt;0),G3286/H3286-1,"")</x:f>
        <x:v>-0.023745495957592233</x:v>
      </x:c>
      <x:c r="J3286" s="27" t="n">
        <x:f>IF(AND(ISNUMBER(G3286),F3286&gt;0),G3286/F3286-1,"")</x:f>
        <x:v>-0.023745495957592233</x:v>
      </x:c>
      <x:c r="K3286" s="19" t="str">
        <x:v>KuaiRec/EXP095/results/seed1463307338_Full.json</x:v>
      </x:c>
    </x:row>
    <x:row r="3287" ht="15" hidden="0" customHeight="1">
      <x:c r="A3287" s="3" t="str">
        <x:v>EXP095</x:v>
      </x:c>
      <x:c r="B3287" s="3" t="str">
        <x:v>KuaiRec</x:v>
      </x:c>
      <x:c r="C3287" s="18" t="n">
        <x:v>1463307338</x:v>
      </x:c>
      <x:c r="D3287" s="3" t="str">
        <x:v>Relative cutoff 1e-2</x:v>
      </x:c>
      <x:c r="E3287" s="18" t="n">
        <x:v>600</x:v>
      </x:c>
      <x:c r="F3287" s="21" t="n">
        <x:v>1364.6031893655422</x:v>
      </x:c>
      <x:c r="G3287" s="21" t="n">
        <x:f>F3281</x:f>
        <x:v>1322.8920190439921</x:v>
      </x:c>
      <x:c r="H3287" s="21" t="n">
        <x:f>F3286</x:f>
        <x:v>1355.0687997507325</x:v>
      </x:c>
      <x:c r="I3287" s="27" t="n">
        <x:f>IF(AND(ISNUMBER(G3287),ISNUMBER(H3287),H3287&gt;0),G3287/H3287-1,"")</x:f>
        <x:v>-0.023745495957592233</x:v>
      </x:c>
      <x:c r="J3287" s="27" t="n">
        <x:f>IF(AND(ISNUMBER(G3287),F3287&gt;0),G3287/F3287-1,"")</x:f>
        <x:v>-0.03056651973746538</x:v>
      </x:c>
      <x:c r="K3287" s="19" t="str">
        <x:v>KuaiRec/EXP095/results/seed1463307338_Relative_cutoff_1e-2.json</x:v>
      </x:c>
    </x:row>
    <x:row r="3288" ht="15" hidden="0" customHeight="1">
      <x:c r="A3288" s="3" t="str">
        <x:v>EXP095</x:v>
      </x:c>
      <x:c r="B3288" s="3" t="str">
        <x:v>KuaiRec</x:v>
      </x:c>
      <x:c r="C3288" s="18" t="n">
        <x:v>1463307338</x:v>
      </x:c>
      <x:c r="D3288" s="3" t="str">
        <x:v>Relative cutoff 1e-4</x:v>
      </x:c>
      <x:c r="E3288" s="18" t="n">
        <x:v>600</x:v>
      </x:c>
      <x:c r="F3288" s="21" t="n">
        <x:v>1370.3438670946855</x:v>
      </x:c>
      <x:c r="G3288" s="21" t="n">
        <x:f>F3281</x:f>
        <x:v>1322.8920190439921</x:v>
      </x:c>
      <x:c r="H3288" s="21" t="n">
        <x:f>F3286</x:f>
        <x:v>1355.0687997507325</x:v>
      </x:c>
      <x:c r="I3288" s="27" t="n">
        <x:f>IF(AND(ISNUMBER(G3288),ISNUMBER(H3288),H3288&gt;0),G3288/H3288-1,"")</x:f>
        <x:v>-0.023745495957592233</x:v>
      </x:c>
      <x:c r="J3288" s="27" t="n">
        <x:f>IF(AND(ISNUMBER(G3288),F3288&gt;0),G3288/F3288-1,"")</x:f>
        <x:v>-0.03462769396071197</x:v>
      </x:c>
      <x:c r="K3288" s="19" t="str">
        <x:v>KuaiRec/EXP095/results/seed1463307338_Relative_cutoff_1e-4.json</x:v>
      </x:c>
    </x:row>
    <x:row r="3289" ht="15" hidden="0" customHeight="1">
      <x:c r="A3289" s="3" t="str">
        <x:v>EXP095</x:v>
      </x:c>
      <x:c r="B3289" s="3" t="str">
        <x:v>KuaiRec</x:v>
      </x:c>
      <x:c r="C3289" s="18" t="n">
        <x:v>1467670520</x:v>
      </x:c>
      <x:c r="D3289" s="3" t="str">
        <x:v>BBP</x:v>
      </x:c>
      <x:c r="E3289" s="18" t="n">
        <x:v>600</x:v>
      </x:c>
      <x:c r="F3289" s="21" t="n">
        <x:v>1397.0801763788347</x:v>
      </x:c>
      <x:c r="G3289" s="21" t="n">
        <x:f>F3289</x:f>
        <x:v>1397.0801763788347</x:v>
      </x:c>
      <x:c r="H3289" s="21" t="n">
        <x:f>F3294</x:f>
        <x:v>1403.6517578463186</x:v>
      </x:c>
      <x:c r="I3289" s="27" t="n">
        <x:f>IF(AND(ISNUMBER(G3289),ISNUMBER(H3289),H3289&gt;0),G3289/H3289-1,"")</x:f>
        <x:v>-0.004681774828228735</x:v>
      </x:c>
      <x:c r="J3289" s="27" t="n">
        <x:f>IF(AND(ISNUMBER(G3289),F3289&gt;0),G3289/F3289-1,"")</x:f>
        <x:v>0</x:v>
      </x:c>
      <x:c r="K3289" s="19" t="str">
        <x:v>KuaiRec/EXP095/results/seed1467670520_BBP.json</x:v>
      </x:c>
    </x:row>
    <x:row r="3290" ht="15" hidden="0" customHeight="1">
      <x:c r="A3290" s="3" t="str">
        <x:v>EXP095</x:v>
      </x:c>
      <x:c r="B3290" s="3" t="str">
        <x:v>KuaiRec</x:v>
      </x:c>
      <x:c r="C3290" s="18" t="n">
        <x:v>1467670520</x:v>
      </x:c>
      <x:c r="D3290" s="3" t="str">
        <x:v>Relative cutoff 1e-5</x:v>
      </x:c>
      <x:c r="E3290" s="18" t="n">
        <x:v>600</x:v>
      </x:c>
      <x:c r="F3290" s="21" t="n">
        <x:v>1397.2898392349762</x:v>
      </x:c>
      <x:c r="G3290" s="21" t="n">
        <x:f>F3289</x:f>
        <x:v>1397.0801763788347</x:v>
      </x:c>
      <x:c r="H3290" s="21" t="n">
        <x:f>F3294</x:f>
        <x:v>1403.6517578463186</x:v>
      </x:c>
      <x:c r="I3290" s="27" t="n">
        <x:f>IF(AND(ISNUMBER(G3290),ISNUMBER(H3290),H3290&gt;0),G3290/H3290-1,"")</x:f>
        <x:v>-0.004681774828228735</x:v>
      </x:c>
      <x:c r="J3290" s="27" t="n">
        <x:f>IF(AND(ISNUMBER(G3290),F3290&gt;0),G3290/F3290-1,"")</x:f>
        <x:v>-0.00015004965344644905</x:v>
      </x:c>
      <x:c r="K3290" s="19" t="str">
        <x:v>KuaiRec/EXP095/results/seed1467670520_Relative_cutoff_1e-5.json</x:v>
      </x:c>
    </x:row>
    <x:row r="3291" ht="15" hidden="0" customHeight="1">
      <x:c r="A3291" s="3" t="str">
        <x:v>EXP095</x:v>
      </x:c>
      <x:c r="B3291" s="3" t="str">
        <x:v>KuaiRec</x:v>
      </x:c>
      <x:c r="C3291" s="18" t="n">
        <x:v>1467670520</x:v>
      </x:c>
      <x:c r="D3291" s="3" t="str">
        <x:v>Fixed rank 10</x:v>
      </x:c>
      <x:c r="E3291" s="18" t="n">
        <x:v>600</x:v>
      </x:c>
      <x:c r="F3291" s="21" t="n">
        <x:v>1406.9296338122742</x:v>
      </x:c>
      <x:c r="G3291" s="21" t="n">
        <x:f>F3289</x:f>
        <x:v>1397.0801763788347</x:v>
      </x:c>
      <x:c r="H3291" s="21" t="n">
        <x:f>F3294</x:f>
        <x:v>1403.6517578463186</x:v>
      </x:c>
      <x:c r="I3291" s="27" t="n">
        <x:f>IF(AND(ISNUMBER(G3291),ISNUMBER(H3291),H3291&gt;0),G3291/H3291-1,"")</x:f>
        <x:v>-0.004681774828228735</x:v>
      </x:c>
      <x:c r="J3291" s="27" t="n">
        <x:f>IF(AND(ISNUMBER(G3291),F3291&gt;0),G3291/F3291-1,"")</x:f>
        <x:v>-0.007000675226913056</x:v>
      </x:c>
      <x:c r="K3291" s="19" t="str">
        <x:v>KuaiRec/EXP095/results/seed1467670520_Fixed_rank_10.json</x:v>
      </x:c>
    </x:row>
    <x:row r="3292" ht="15" hidden="0" customHeight="1">
      <x:c r="A3292" s="3" t="str">
        <x:v>EXP095</x:v>
      </x:c>
      <x:c r="B3292" s="3" t="str">
        <x:v>KuaiRec</x:v>
      </x:c>
      <x:c r="C3292" s="18" t="n">
        <x:v>1467670520</x:v>
      </x:c>
      <x:c r="D3292" s="3" t="str">
        <x:v>Fixed rank 25</x:v>
      </x:c>
      <x:c r="E3292" s="18" t="n">
        <x:v>600</x:v>
      </x:c>
      <x:c r="F3292" s="21" t="n">
        <x:v>1397.0801763788347</x:v>
      </x:c>
      <x:c r="G3292" s="21" t="n">
        <x:f>F3289</x:f>
        <x:v>1397.0801763788347</x:v>
      </x:c>
      <x:c r="H3292" s="21" t="n">
        <x:f>F3294</x:f>
        <x:v>1403.6517578463186</x:v>
      </x:c>
      <x:c r="I3292" s="27" t="n">
        <x:f>IF(AND(ISNUMBER(G3292),ISNUMBER(H3292),H3292&gt;0),G3292/H3292-1,"")</x:f>
        <x:v>-0.004681774828228735</x:v>
      </x:c>
      <x:c r="J3292" s="27" t="n">
        <x:f>IF(AND(ISNUMBER(G3292),F3292&gt;0),G3292/F3292-1,"")</x:f>
        <x:v>0</x:v>
      </x:c>
      <x:c r="K3292" s="19" t="str">
        <x:v>KuaiRec/EXP095/results/seed1467670520_Fixed_rank_25.json</x:v>
      </x:c>
    </x:row>
    <x:row r="3293" ht="15" hidden="0" customHeight="1">
      <x:c r="A3293" s="3" t="str">
        <x:v>EXP095</x:v>
      </x:c>
      <x:c r="B3293" s="3" t="str">
        <x:v>KuaiRec</x:v>
      </x:c>
      <x:c r="C3293" s="18" t="n">
        <x:v>1467670520</x:v>
      </x:c>
      <x:c r="D3293" s="3" t="str">
        <x:v>Relative cutoff 1e-6</x:v>
      </x:c>
      <x:c r="E3293" s="18" t="n">
        <x:v>600</x:v>
      </x:c>
      <x:c r="F3293" s="21" t="n">
        <x:v>1397.0801763788347</x:v>
      </x:c>
      <x:c r="G3293" s="21" t="n">
        <x:f>F3289</x:f>
        <x:v>1397.0801763788347</x:v>
      </x:c>
      <x:c r="H3293" s="21" t="n">
        <x:f>F3294</x:f>
        <x:v>1403.6517578463186</x:v>
      </x:c>
      <x:c r="I3293" s="27" t="n">
        <x:f>IF(AND(ISNUMBER(G3293),ISNUMBER(H3293),H3293&gt;0),G3293/H3293-1,"")</x:f>
        <x:v>-0.004681774828228735</x:v>
      </x:c>
      <x:c r="J3293" s="27" t="n">
        <x:f>IF(AND(ISNUMBER(G3293),F3293&gt;0),G3293/F3293-1,"")</x:f>
        <x:v>0</x:v>
      </x:c>
      <x:c r="K3293" s="19" t="str">
        <x:v>KuaiRec/EXP095/results/seed1467670520_Relative_cutoff_1e-6.json</x:v>
      </x:c>
    </x:row>
    <x:row r="3294" ht="15" hidden="0" customHeight="1">
      <x:c r="A3294" s="3" t="str">
        <x:v>EXP095</x:v>
      </x:c>
      <x:c r="B3294" s="3" t="str">
        <x:v>KuaiRec</x:v>
      </x:c>
      <x:c r="C3294" s="18" t="n">
        <x:v>1467670520</x:v>
      </x:c>
      <x:c r="D3294" s="3" t="str">
        <x:v>Full</x:v>
      </x:c>
      <x:c r="E3294" s="18" t="n">
        <x:v>600</x:v>
      </x:c>
      <x:c r="F3294" s="21" t="n">
        <x:v>1403.6517578463186</x:v>
      </x:c>
      <x:c r="G3294" s="21" t="n">
        <x:f>F3289</x:f>
        <x:v>1397.0801763788347</x:v>
      </x:c>
      <x:c r="H3294" s="21" t="n">
        <x:f>F3294</x:f>
        <x:v>1403.6517578463186</x:v>
      </x:c>
      <x:c r="I3294" s="27" t="n">
        <x:f>IF(AND(ISNUMBER(G3294),ISNUMBER(H3294),H3294&gt;0),G3294/H3294-1,"")</x:f>
        <x:v>-0.004681774828228735</x:v>
      </x:c>
      <x:c r="J3294" s="27" t="n">
        <x:f>IF(AND(ISNUMBER(G3294),F3294&gt;0),G3294/F3294-1,"")</x:f>
        <x:v>-0.004681774828228735</x:v>
      </x:c>
      <x:c r="K3294" s="19" t="str">
        <x:v>KuaiRec/EXP095/results/seed1467670520_Full.json</x:v>
      </x:c>
    </x:row>
    <x:row r="3295" ht="15" hidden="0" customHeight="1">
      <x:c r="A3295" s="3" t="str">
        <x:v>EXP095</x:v>
      </x:c>
      <x:c r="B3295" s="3" t="str">
        <x:v>KuaiRec</x:v>
      </x:c>
      <x:c r="C3295" s="18" t="n">
        <x:v>1467670520</x:v>
      </x:c>
      <x:c r="D3295" s="3" t="str">
        <x:v>Relative cutoff 1e-2</x:v>
      </x:c>
      <x:c r="E3295" s="18" t="n">
        <x:v>600</x:v>
      </x:c>
      <x:c r="F3295" s="21" t="n">
        <x:v>1383.2614911706119</x:v>
      </x:c>
      <x:c r="G3295" s="21" t="n">
        <x:f>F3289</x:f>
        <x:v>1397.0801763788347</x:v>
      </x:c>
      <x:c r="H3295" s="21" t="n">
        <x:f>F3294</x:f>
        <x:v>1403.6517578463186</x:v>
      </x:c>
      <x:c r="I3295" s="27" t="n">
        <x:f>IF(AND(ISNUMBER(G3295),ISNUMBER(H3295),H3295&gt;0),G3295/H3295-1,"")</x:f>
        <x:v>-0.004681774828228735</x:v>
      </x:c>
      <x:c r="J3295" s="27" t="n">
        <x:f>IF(AND(ISNUMBER(G3295),F3295&gt;0),G3295/F3295-1,"")</x:f>
        <x:v>0.009989929811845322</x:v>
      </x:c>
      <x:c r="K3295" s="19" t="str">
        <x:v>KuaiRec/EXP095/results/seed1467670520_Relative_cutoff_1e-2.json</x:v>
      </x:c>
    </x:row>
    <x:row r="3296" ht="15" hidden="0" customHeight="1">
      <x:c r="A3296" s="3" t="str">
        <x:v>EXP095</x:v>
      </x:c>
      <x:c r="B3296" s="3" t="str">
        <x:v>KuaiRec</x:v>
      </x:c>
      <x:c r="C3296" s="18" t="n">
        <x:v>1467670520</x:v>
      </x:c>
      <x:c r="D3296" s="3" t="str">
        <x:v>Relative cutoff 1e-4</x:v>
      </x:c>
      <x:c r="E3296" s="18" t="n">
        <x:v>600</x:v>
      </x:c>
      <x:c r="F3296" s="21" t="n">
        <x:v>1403.0428152402872</x:v>
      </x:c>
      <x:c r="G3296" s="21" t="n">
        <x:f>F3289</x:f>
        <x:v>1397.0801763788347</x:v>
      </x:c>
      <x:c r="H3296" s="21" t="n">
        <x:f>F3294</x:f>
        <x:v>1403.6517578463186</x:v>
      </x:c>
      <x:c r="I3296" s="27" t="n">
        <x:f>IF(AND(ISNUMBER(G3296),ISNUMBER(H3296),H3296&gt;0),G3296/H3296-1,"")</x:f>
        <x:v>-0.004681774828228735</x:v>
      </x:c>
      <x:c r="J3296" s="27" t="n">
        <x:f>IF(AND(ISNUMBER(G3296),F3296&gt;0),G3296/F3296-1,"")</x:f>
        <x:v>-0.004249791094529942</x:v>
      </x:c>
      <x:c r="K3296" s="19" t="str">
        <x:v>KuaiRec/EXP095/results/seed1467670520_Relative_cutoff_1e-4.json</x:v>
      </x:c>
    </x:row>
    <x:row r="3297" ht="15" hidden="0" customHeight="1">
      <x:c r="A3297" s="3" t="str">
        <x:v>EXP095</x:v>
      </x:c>
      <x:c r="B3297" s="3" t="str">
        <x:v>KuaiRec</x:v>
      </x:c>
      <x:c r="C3297" s="18" t="n">
        <x:v>1474419226</x:v>
      </x:c>
      <x:c r="D3297" s="3" t="str">
        <x:v>BBP</x:v>
      </x:c>
      <x:c r="E3297" s="18" t="n">
        <x:v>600</x:v>
      </x:c>
      <x:c r="F3297" s="21" t="n">
        <x:v>1529.1021399235563</x:v>
      </x:c>
      <x:c r="G3297" s="21" t="n">
        <x:f>F3297</x:f>
        <x:v>1529.1021399235563</x:v>
      </x:c>
      <x:c r="H3297" s="21" t="n">
        <x:f>F3302</x:f>
        <x:v>1501.4664020378384</x:v>
      </x:c>
      <x:c r="I3297" s="27" t="n">
        <x:f>IF(AND(ISNUMBER(G3297),ISNUMBER(H3297),H3297&gt;0),G3297/H3297-1,"")</x:f>
        <x:v>0.018405831691078678</x:v>
      </x:c>
      <x:c r="J3297" s="27" t="n">
        <x:f>IF(AND(ISNUMBER(G3297),F3297&gt;0),G3297/F3297-1,"")</x:f>
        <x:v>0</x:v>
      </x:c>
      <x:c r="K3297" s="19" t="str">
        <x:v>KuaiRec/EXP095/results/seed1474419226_BBP.json</x:v>
      </x:c>
    </x:row>
    <x:row r="3298" ht="15" hidden="0" customHeight="1">
      <x:c r="A3298" s="3" t="str">
        <x:v>EXP095</x:v>
      </x:c>
      <x:c r="B3298" s="3" t="str">
        <x:v>KuaiRec</x:v>
      </x:c>
      <x:c r="C3298" s="18" t="n">
        <x:v>1474419226</x:v>
      </x:c>
      <x:c r="D3298" s="3" t="str">
        <x:v>Relative cutoff 1e-5</x:v>
      </x:c>
      <x:c r="E3298" s="18" t="n">
        <x:v>600</x:v>
      </x:c>
      <x:c r="F3298" s="21" t="n">
        <x:v>1505.0735888786144</x:v>
      </x:c>
      <x:c r="G3298" s="21" t="n">
        <x:f>F3297</x:f>
        <x:v>1529.1021399235563</x:v>
      </x:c>
      <x:c r="H3298" s="21" t="n">
        <x:f>F3302</x:f>
        <x:v>1501.4664020378384</x:v>
      </x:c>
      <x:c r="I3298" s="27" t="n">
        <x:f>IF(AND(ISNUMBER(G3298),ISNUMBER(H3298),H3298&gt;0),G3298/H3298-1,"")</x:f>
        <x:v>0.018405831691078678</x:v>
      </x:c>
      <x:c r="J3298" s="27" t="n">
        <x:f>IF(AND(ISNUMBER(G3298),F3298&gt;0),G3298/F3298-1,"")</x:f>
        <x:v>0.01596503401727012</x:v>
      </x:c>
      <x:c r="K3298" s="19" t="str">
        <x:v>KuaiRec/EXP095/results/seed1474419226_Relative_cutoff_1e-5.json</x:v>
      </x:c>
    </x:row>
    <x:row r="3299" ht="15" hidden="0" customHeight="1">
      <x:c r="A3299" s="3" t="str">
        <x:v>EXP095</x:v>
      </x:c>
      <x:c r="B3299" s="3" t="str">
        <x:v>KuaiRec</x:v>
      </x:c>
      <x:c r="C3299" s="18" t="n">
        <x:v>1474419226</x:v>
      </x:c>
      <x:c r="D3299" s="3" t="str">
        <x:v>Fixed rank 10</x:v>
      </x:c>
      <x:c r="E3299" s="18" t="n">
        <x:v>600</x:v>
      </x:c>
      <x:c r="F3299" s="21" t="n">
        <x:v>1351.1289900531988</x:v>
      </x:c>
      <x:c r="G3299" s="21" t="n">
        <x:f>F3297</x:f>
        <x:v>1529.1021399235563</x:v>
      </x:c>
      <x:c r="H3299" s="21" t="n">
        <x:f>F3302</x:f>
        <x:v>1501.4664020378384</x:v>
      </x:c>
      <x:c r="I3299" s="27" t="n">
        <x:f>IF(AND(ISNUMBER(G3299),ISNUMBER(H3299),H3299&gt;0),G3299/H3299-1,"")</x:f>
        <x:v>0.018405831691078678</x:v>
      </x:c>
      <x:c r="J3299" s="27" t="n">
        <x:f>IF(AND(ISNUMBER(G3299),F3299&gt;0),G3299/F3299-1,"")</x:f>
        <x:v>0.13172180537947753</x:v>
      </x:c>
      <x:c r="K3299" s="19" t="str">
        <x:v>KuaiRec/EXP095/results/seed1474419226_Fixed_rank_10.json</x:v>
      </x:c>
    </x:row>
    <x:row r="3300" ht="15" hidden="0" customHeight="1">
      <x:c r="A3300" s="3" t="str">
        <x:v>EXP095</x:v>
      </x:c>
      <x:c r="B3300" s="3" t="str">
        <x:v>KuaiRec</x:v>
      </x:c>
      <x:c r="C3300" s="18" t="n">
        <x:v>1474419226</x:v>
      </x:c>
      <x:c r="D3300" s="3" t="str">
        <x:v>Fixed rank 25</x:v>
      </x:c>
      <x:c r="E3300" s="18" t="n">
        <x:v>600</x:v>
      </x:c>
      <x:c r="F3300" s="21" t="n">
        <x:v>1529.1021399235563</x:v>
      </x:c>
      <x:c r="G3300" s="21" t="n">
        <x:f>F3297</x:f>
        <x:v>1529.1021399235563</x:v>
      </x:c>
      <x:c r="H3300" s="21" t="n">
        <x:f>F3302</x:f>
        <x:v>1501.4664020378384</x:v>
      </x:c>
      <x:c r="I3300" s="27" t="n">
        <x:f>IF(AND(ISNUMBER(G3300),ISNUMBER(H3300),H3300&gt;0),G3300/H3300-1,"")</x:f>
        <x:v>0.018405831691078678</x:v>
      </x:c>
      <x:c r="J3300" s="27" t="n">
        <x:f>IF(AND(ISNUMBER(G3300),F3300&gt;0),G3300/F3300-1,"")</x:f>
        <x:v>0</x:v>
      </x:c>
      <x:c r="K3300" s="19" t="str">
        <x:v>KuaiRec/EXP095/results/seed1474419226_Fixed_rank_25.json</x:v>
      </x:c>
    </x:row>
    <x:row r="3301" ht="15" hidden="0" customHeight="1">
      <x:c r="A3301" s="3" t="str">
        <x:v>EXP095</x:v>
      </x:c>
      <x:c r="B3301" s="3" t="str">
        <x:v>KuaiRec</x:v>
      </x:c>
      <x:c r="C3301" s="18" t="n">
        <x:v>1474419226</x:v>
      </x:c>
      <x:c r="D3301" s="3" t="str">
        <x:v>Relative cutoff 1e-6</x:v>
      </x:c>
      <x:c r="E3301" s="18" t="n">
        <x:v>600</x:v>
      </x:c>
      <x:c r="F3301" s="21" t="n">
        <x:v>1529.1021399235563</x:v>
      </x:c>
      <x:c r="G3301" s="21" t="n">
        <x:f>F3297</x:f>
        <x:v>1529.1021399235563</x:v>
      </x:c>
      <x:c r="H3301" s="21" t="n">
        <x:f>F3302</x:f>
        <x:v>1501.4664020378384</x:v>
      </x:c>
      <x:c r="I3301" s="27" t="n">
        <x:f>IF(AND(ISNUMBER(G3301),ISNUMBER(H3301),H3301&gt;0),G3301/H3301-1,"")</x:f>
        <x:v>0.018405831691078678</x:v>
      </x:c>
      <x:c r="J3301" s="27" t="n">
        <x:f>IF(AND(ISNUMBER(G3301),F3301&gt;0),G3301/F3301-1,"")</x:f>
        <x:v>0</x:v>
      </x:c>
      <x:c r="K3301" s="19" t="str">
        <x:v>KuaiRec/EXP095/results/seed1474419226_Relative_cutoff_1e-6.json</x:v>
      </x:c>
    </x:row>
    <x:row r="3302" ht="15" hidden="0" customHeight="1">
      <x:c r="A3302" s="3" t="str">
        <x:v>EXP095</x:v>
      </x:c>
      <x:c r="B3302" s="3" t="str">
        <x:v>KuaiRec</x:v>
      </x:c>
      <x:c r="C3302" s="18" t="n">
        <x:v>1474419226</x:v>
      </x:c>
      <x:c r="D3302" s="3" t="str">
        <x:v>Full</x:v>
      </x:c>
      <x:c r="E3302" s="18" t="n">
        <x:v>600</x:v>
      </x:c>
      <x:c r="F3302" s="21" t="n">
        <x:v>1501.4664020378384</x:v>
      </x:c>
      <x:c r="G3302" s="21" t="n">
        <x:f>F3297</x:f>
        <x:v>1529.1021399235563</x:v>
      </x:c>
      <x:c r="H3302" s="21" t="n">
        <x:f>F3302</x:f>
        <x:v>1501.4664020378384</x:v>
      </x:c>
      <x:c r="I3302" s="27" t="n">
        <x:f>IF(AND(ISNUMBER(G3302),ISNUMBER(H3302),H3302&gt;0),G3302/H3302-1,"")</x:f>
        <x:v>0.018405831691078678</x:v>
      </x:c>
      <x:c r="J3302" s="27" t="n">
        <x:f>IF(AND(ISNUMBER(G3302),F3302&gt;0),G3302/F3302-1,"")</x:f>
        <x:v>0.018405831691078678</x:v>
      </x:c>
      <x:c r="K3302" s="19" t="str">
        <x:v>KuaiRec/EXP095/results/seed1474419226_Full.json</x:v>
      </x:c>
    </x:row>
    <x:row r="3303" ht="15" hidden="0" customHeight="1">
      <x:c r="A3303" s="3" t="str">
        <x:v>EXP095</x:v>
      </x:c>
      <x:c r="B3303" s="3" t="str">
        <x:v>KuaiRec</x:v>
      </x:c>
      <x:c r="C3303" s="18" t="n">
        <x:v>1474419226</x:v>
      </x:c>
      <x:c r="D3303" s="3" t="str">
        <x:v>Relative cutoff 1e-2</x:v>
      </x:c>
      <x:c r="E3303" s="18" t="n">
        <x:v>600</x:v>
      </x:c>
      <x:c r="F3303" s="21" t="n">
        <x:v>1477.0526057270258</x:v>
      </x:c>
      <x:c r="G3303" s="21" t="n">
        <x:f>F3297</x:f>
        <x:v>1529.1021399235563</x:v>
      </x:c>
      <x:c r="H3303" s="21" t="n">
        <x:f>F3302</x:f>
        <x:v>1501.4664020378384</x:v>
      </x:c>
      <x:c r="I3303" s="27" t="n">
        <x:f>IF(AND(ISNUMBER(G3303),ISNUMBER(H3303),H3303&gt;0),G3303/H3303-1,"")</x:f>
        <x:v>0.018405831691078678</x:v>
      </x:c>
      <x:c r="J3303" s="27" t="n">
        <x:f>IF(AND(ISNUMBER(G3303),F3303&gt;0),G3303/F3303-1,"")</x:f>
        <x:v>0.03523878160785676</x:v>
      </x:c>
      <x:c r="K3303" s="19" t="str">
        <x:v>KuaiRec/EXP095/results/seed1474419226_Relative_cutoff_1e-2.json</x:v>
      </x:c>
    </x:row>
    <x:row r="3304" ht="15" hidden="0" customHeight="1">
      <x:c r="A3304" s="3" t="str">
        <x:v>EXP095</x:v>
      </x:c>
      <x:c r="B3304" s="3" t="str">
        <x:v>KuaiRec</x:v>
      </x:c>
      <x:c r="C3304" s="18" t="n">
        <x:v>1474419226</x:v>
      </x:c>
      <x:c r="D3304" s="3" t="str">
        <x:v>Relative cutoff 1e-4</x:v>
      </x:c>
      <x:c r="E3304" s="18" t="n">
        <x:v>600</x:v>
      </x:c>
      <x:c r="F3304" s="21" t="n">
        <x:v>1474.519869617751</x:v>
      </x:c>
      <x:c r="G3304" s="21" t="n">
        <x:f>F3297</x:f>
        <x:v>1529.1021399235563</x:v>
      </x:c>
      <x:c r="H3304" s="21" t="n">
        <x:f>F3302</x:f>
        <x:v>1501.4664020378384</x:v>
      </x:c>
      <x:c r="I3304" s="27" t="n">
        <x:f>IF(AND(ISNUMBER(G3304),ISNUMBER(H3304),H3304&gt;0),G3304/H3304-1,"")</x:f>
        <x:v>0.018405831691078678</x:v>
      </x:c>
      <x:c r="J3304" s="27" t="n">
        <x:f>IF(AND(ISNUMBER(G3304),F3304&gt;0),G3304/F3304-1,"")</x:f>
        <x:v>0.03701697849616292</x:v>
      </x:c>
      <x:c r="K3304" s="19" t="str">
        <x:v>KuaiRec/EXP095/results/seed1474419226_Relative_cutoff_1e-4.json</x:v>
      </x:c>
    </x:row>
    <x:row r="3305" ht="15" hidden="0" customHeight="1">
      <x:c r="A3305" s="3" t="str">
        <x:v>EXP095</x:v>
      </x:c>
      <x:c r="B3305" s="3" t="str">
        <x:v>KuaiRec</x:v>
      </x:c>
      <x:c r="C3305" s="18" t="n">
        <x:v>1489502826</x:v>
      </x:c>
      <x:c r="D3305" s="3" t="str">
        <x:v>BBP</x:v>
      </x:c>
      <x:c r="E3305" s="18" t="n">
        <x:v>600</x:v>
      </x:c>
      <x:c r="F3305" s="21" t="n">
        <x:v>1315.3779495226145</x:v>
      </x:c>
      <x:c r="G3305" s="21" t="n">
        <x:f>F3305</x:f>
        <x:v>1315.3779495226145</x:v>
      </x:c>
      <x:c r="H3305" s="21" t="n">
        <x:f>F3310</x:f>
        <x:v>1262.2778689425606</x:v>
      </x:c>
      <x:c r="I3305" s="27" t="n">
        <x:f>IF(AND(ISNUMBER(G3305),ISNUMBER(H3305),H3305&gt;0),G3305/H3305-1,"")</x:f>
        <x:v>0.04206687123853081</x:v>
      </x:c>
      <x:c r="J3305" s="27" t="n">
        <x:f>IF(AND(ISNUMBER(G3305),F3305&gt;0),G3305/F3305-1,"")</x:f>
        <x:v>0</x:v>
      </x:c>
      <x:c r="K3305" s="19" t="str">
        <x:v>KuaiRec/EXP095/results/seed1489502826_BBP.json</x:v>
      </x:c>
    </x:row>
    <x:row r="3306" ht="15" hidden="0" customHeight="1">
      <x:c r="A3306" s="3" t="str">
        <x:v>EXP095</x:v>
      </x:c>
      <x:c r="B3306" s="3" t="str">
        <x:v>KuaiRec</x:v>
      </x:c>
      <x:c r="C3306" s="18" t="n">
        <x:v>1489502826</x:v>
      </x:c>
      <x:c r="D3306" s="3" t="str">
        <x:v>Relative cutoff 1e-5</x:v>
      </x:c>
      <x:c r="E3306" s="18" t="n">
        <x:v>600</x:v>
      </x:c>
      <x:c r="F3306" s="21" t="n">
        <x:v>1328.2488097290088</x:v>
      </x:c>
      <x:c r="G3306" s="21" t="n">
        <x:f>F3305</x:f>
        <x:v>1315.3779495226145</x:v>
      </x:c>
      <x:c r="H3306" s="21" t="n">
        <x:f>F3310</x:f>
        <x:v>1262.2778689425606</x:v>
      </x:c>
      <x:c r="I3306" s="27" t="n">
        <x:f>IF(AND(ISNUMBER(G3306),ISNUMBER(H3306),H3306&gt;0),G3306/H3306-1,"")</x:f>
        <x:v>0.04206687123853081</x:v>
      </x:c>
      <x:c r="J3306" s="27" t="n">
        <x:f>IF(AND(ISNUMBER(G3306),F3306&gt;0),G3306/F3306-1,"")</x:f>
        <x:v>-0.009690097301137679</x:v>
      </x:c>
      <x:c r="K3306" s="19" t="str">
        <x:v>KuaiRec/EXP095/results/seed1489502826_Relative_cutoff_1e-5.json</x:v>
      </x:c>
    </x:row>
    <x:row r="3307" ht="15" hidden="0" customHeight="1">
      <x:c r="A3307" s="3" t="str">
        <x:v>EXP095</x:v>
      </x:c>
      <x:c r="B3307" s="3" t="str">
        <x:v>KuaiRec</x:v>
      </x:c>
      <x:c r="C3307" s="18" t="n">
        <x:v>1489502826</x:v>
      </x:c>
      <x:c r="D3307" s="3" t="str">
        <x:v>Fixed rank 10</x:v>
      </x:c>
      <x:c r="E3307" s="18" t="n">
        <x:v>600</x:v>
      </x:c>
      <x:c r="F3307" s="21" t="n">
        <x:v>1274.8223148472268</x:v>
      </x:c>
      <x:c r="G3307" s="21" t="n">
        <x:f>F3305</x:f>
        <x:v>1315.3779495226145</x:v>
      </x:c>
      <x:c r="H3307" s="21" t="n">
        <x:f>F3310</x:f>
        <x:v>1262.2778689425606</x:v>
      </x:c>
      <x:c r="I3307" s="27" t="n">
        <x:f>IF(AND(ISNUMBER(G3307),ISNUMBER(H3307),H3307&gt;0),G3307/H3307-1,"")</x:f>
        <x:v>0.04206687123853081</x:v>
      </x:c>
      <x:c r="J3307" s="27" t="n">
        <x:f>IF(AND(ISNUMBER(G3307),F3307&gt;0),G3307/F3307-1,"")</x:f>
        <x:v>0.0318127743788732</x:v>
      </x:c>
      <x:c r="K3307" s="19" t="str">
        <x:v>KuaiRec/EXP095/results/seed1489502826_Fixed_rank_10.json</x:v>
      </x:c>
    </x:row>
    <x:row r="3308" ht="15" hidden="0" customHeight="1">
      <x:c r="A3308" s="3" t="str">
        <x:v>EXP095</x:v>
      </x:c>
      <x:c r="B3308" s="3" t="str">
        <x:v>KuaiRec</x:v>
      </x:c>
      <x:c r="C3308" s="18" t="n">
        <x:v>1489502826</x:v>
      </x:c>
      <x:c r="D3308" s="3" t="str">
        <x:v>Fixed rank 25</x:v>
      </x:c>
      <x:c r="E3308" s="18" t="n">
        <x:v>600</x:v>
      </x:c>
      <x:c r="F3308" s="21" t="n">
        <x:v>1315.3779495226145</x:v>
      </x:c>
      <x:c r="G3308" s="21" t="n">
        <x:f>F3305</x:f>
        <x:v>1315.3779495226145</x:v>
      </x:c>
      <x:c r="H3308" s="21" t="n">
        <x:f>F3310</x:f>
        <x:v>1262.2778689425606</x:v>
      </x:c>
      <x:c r="I3308" s="27" t="n">
        <x:f>IF(AND(ISNUMBER(G3308),ISNUMBER(H3308),H3308&gt;0),G3308/H3308-1,"")</x:f>
        <x:v>0.04206687123853081</x:v>
      </x:c>
      <x:c r="J3308" s="27" t="n">
        <x:f>IF(AND(ISNUMBER(G3308),F3308&gt;0),G3308/F3308-1,"")</x:f>
        <x:v>0</x:v>
      </x:c>
      <x:c r="K3308" s="19" t="str">
        <x:v>KuaiRec/EXP095/results/seed1489502826_Fixed_rank_25.json</x:v>
      </x:c>
    </x:row>
    <x:row r="3309" ht="15" hidden="0" customHeight="1">
      <x:c r="A3309" s="3" t="str">
        <x:v>EXP095</x:v>
      </x:c>
      <x:c r="B3309" s="3" t="str">
        <x:v>KuaiRec</x:v>
      </x:c>
      <x:c r="C3309" s="18" t="n">
        <x:v>1489502826</x:v>
      </x:c>
      <x:c r="D3309" s="3" t="str">
        <x:v>Relative cutoff 1e-6</x:v>
      </x:c>
      <x:c r="E3309" s="18" t="n">
        <x:v>600</x:v>
      </x:c>
      <x:c r="F3309" s="21" t="n">
        <x:v>1264.0905337204958</x:v>
      </x:c>
      <x:c r="G3309" s="21" t="n">
        <x:f>F3305</x:f>
        <x:v>1315.3779495226145</x:v>
      </x:c>
      <x:c r="H3309" s="21" t="n">
        <x:f>F3310</x:f>
        <x:v>1262.2778689425606</x:v>
      </x:c>
      <x:c r="I3309" s="27" t="n">
        <x:f>IF(AND(ISNUMBER(G3309),ISNUMBER(H3309),H3309&gt;0),G3309/H3309-1,"")</x:f>
        <x:v>0.04206687123853081</x:v>
      </x:c>
      <x:c r="J3309" s="27" t="n">
        <x:f>IF(AND(ISNUMBER(G3309),F3309&gt;0),G3309/F3309-1,"")</x:f>
        <x:v>0.04057258118306484</x:v>
      </x:c>
      <x:c r="K3309" s="19" t="str">
        <x:v>KuaiRec/EXP095/results/seed1489502826_Relative_cutoff_1e-6.json</x:v>
      </x:c>
    </x:row>
    <x:row r="3310" ht="15" hidden="0" customHeight="1">
      <x:c r="A3310" s="3" t="str">
        <x:v>EXP095</x:v>
      </x:c>
      <x:c r="B3310" s="3" t="str">
        <x:v>KuaiRec</x:v>
      </x:c>
      <x:c r="C3310" s="18" t="n">
        <x:v>1489502826</x:v>
      </x:c>
      <x:c r="D3310" s="3" t="str">
        <x:v>Full</x:v>
      </x:c>
      <x:c r="E3310" s="18" t="n">
        <x:v>600</x:v>
      </x:c>
      <x:c r="F3310" s="21" t="n">
        <x:v>1262.2778689425606</x:v>
      </x:c>
      <x:c r="G3310" s="21" t="n">
        <x:f>F3305</x:f>
        <x:v>1315.3779495226145</x:v>
      </x:c>
      <x:c r="H3310" s="21" t="n">
        <x:f>F3310</x:f>
        <x:v>1262.2778689425606</x:v>
      </x:c>
      <x:c r="I3310" s="27" t="n">
        <x:f>IF(AND(ISNUMBER(G3310),ISNUMBER(H3310),H3310&gt;0),G3310/H3310-1,"")</x:f>
        <x:v>0.04206687123853081</x:v>
      </x:c>
      <x:c r="J3310" s="27" t="n">
        <x:f>IF(AND(ISNUMBER(G3310),F3310&gt;0),G3310/F3310-1,"")</x:f>
        <x:v>0.04206687123853081</x:v>
      </x:c>
      <x:c r="K3310" s="19" t="str">
        <x:v>KuaiRec/EXP095/results/seed1489502826_Full.json</x:v>
      </x:c>
    </x:row>
    <x:row r="3311" ht="15" hidden="0" customHeight="1">
      <x:c r="A3311" s="3" t="str">
        <x:v>EXP095</x:v>
      </x:c>
      <x:c r="B3311" s="3" t="str">
        <x:v>KuaiRec</x:v>
      </x:c>
      <x:c r="C3311" s="18" t="n">
        <x:v>1489502826</x:v>
      </x:c>
      <x:c r="D3311" s="3" t="str">
        <x:v>Relative cutoff 1e-2</x:v>
      </x:c>
      <x:c r="E3311" s="18" t="n">
        <x:v>600</x:v>
      </x:c>
      <x:c r="F3311" s="21" t="n">
        <x:v>1323.1631324800696</x:v>
      </x:c>
      <x:c r="G3311" s="21" t="n">
        <x:f>F3305</x:f>
        <x:v>1315.3779495226145</x:v>
      </x:c>
      <x:c r="H3311" s="21" t="n">
        <x:f>F3310</x:f>
        <x:v>1262.2778689425606</x:v>
      </x:c>
      <x:c r="I3311" s="27" t="n">
        <x:f>IF(AND(ISNUMBER(G3311),ISNUMBER(H3311),H3311&gt;0),G3311/H3311-1,"")</x:f>
        <x:v>0.04206687123853081</x:v>
      </x:c>
      <x:c r="J3311" s="27" t="n">
        <x:f>IF(AND(ISNUMBER(G3311),F3311&gt;0),G3311/F3311-1,"")</x:f>
        <x:v>-0.0058837665336570755</x:v>
      </x:c>
      <x:c r="K3311" s="19" t="str">
        <x:v>KuaiRec/EXP095/results/seed1489502826_Relative_cutoff_1e-2.json</x:v>
      </x:c>
    </x:row>
    <x:row r="3312" ht="15" hidden="0" customHeight="1">
      <x:c r="A3312" s="3" t="str">
        <x:v>EXP095</x:v>
      </x:c>
      <x:c r="B3312" s="3" t="str">
        <x:v>KuaiRec</x:v>
      </x:c>
      <x:c r="C3312" s="18" t="n">
        <x:v>1489502826</x:v>
      </x:c>
      <x:c r="D3312" s="3" t="str">
        <x:v>Relative cutoff 1e-4</x:v>
      </x:c>
      <x:c r="E3312" s="18" t="n">
        <x:v>600</x:v>
      </x:c>
      <x:c r="F3312" s="21" t="n">
        <x:v>1313.177414349675</x:v>
      </x:c>
      <x:c r="G3312" s="21" t="n">
        <x:f>F3305</x:f>
        <x:v>1315.3779495226145</x:v>
      </x:c>
      <x:c r="H3312" s="21" t="n">
        <x:f>F3310</x:f>
        <x:v>1262.2778689425606</x:v>
      </x:c>
      <x:c r="I3312" s="27" t="n">
        <x:f>IF(AND(ISNUMBER(G3312),ISNUMBER(H3312),H3312&gt;0),G3312/H3312-1,"")</x:f>
        <x:v>0.04206687123853081</x:v>
      </x:c>
      <x:c r="J3312" s="27" t="n">
        <x:f>IF(AND(ISNUMBER(G3312),F3312&gt;0),G3312/F3312-1,"")</x:f>
        <x:v>0.0016757333387653617</x:v>
      </x:c>
      <x:c r="K3312" s="19" t="str">
        <x:v>KuaiRec/EXP095/results/seed1489502826_Relative_cutoff_1e-4.json</x:v>
      </x:c>
    </x:row>
    <x:row r="3313" ht="15" hidden="0" customHeight="1">
      <x:c r="A3313" s="3" t="str">
        <x:v>EXP095</x:v>
      </x:c>
      <x:c r="B3313" s="3" t="str">
        <x:v>KuaiRec</x:v>
      </x:c>
      <x:c r="C3313" s="18" t="n">
        <x:v>1574110263</x:v>
      </x:c>
      <x:c r="D3313" s="3" t="str">
        <x:v>BBP</x:v>
      </x:c>
      <x:c r="E3313" s="18" t="n">
        <x:v>600</x:v>
      </x:c>
      <x:c r="F3313" s="21" t="n">
        <x:v>1255.2096707906273</x:v>
      </x:c>
      <x:c r="G3313" s="21" t="n">
        <x:f>F3313</x:f>
        <x:v>1255.2096707906273</x:v>
      </x:c>
      <x:c r="H3313" s="21" t="n">
        <x:f>F3318</x:f>
        <x:v>1253.5082073790616</x:v>
      </x:c>
      <x:c r="I3313" s="27" t="n">
        <x:f>IF(AND(ISNUMBER(G3313),ISNUMBER(H3313),H3313&gt;0),G3313/H3313-1,"")</x:f>
        <x:v>0.0013573612055746143</x:v>
      </x:c>
      <x:c r="J3313" s="27" t="n">
        <x:f>IF(AND(ISNUMBER(G3313),F3313&gt;0),G3313/F3313-1,"")</x:f>
        <x:v>0</x:v>
      </x:c>
      <x:c r="K3313" s="19" t="str">
        <x:v>KuaiRec/EXP095/results/seed1574110263_BBP.json</x:v>
      </x:c>
    </x:row>
    <x:row r="3314" ht="15" hidden="0" customHeight="1">
      <x:c r="A3314" s="3" t="str">
        <x:v>EXP095</x:v>
      </x:c>
      <x:c r="B3314" s="3" t="str">
        <x:v>KuaiRec</x:v>
      </x:c>
      <x:c r="C3314" s="18" t="n">
        <x:v>1574110263</x:v>
      </x:c>
      <x:c r="D3314" s="3" t="str">
        <x:v>Relative cutoff 1e-5</x:v>
      </x:c>
      <x:c r="E3314" s="18" t="n">
        <x:v>600</x:v>
      </x:c>
      <x:c r="F3314" s="21" t="n">
        <x:v>1246.4551861604716</x:v>
      </x:c>
      <x:c r="G3314" s="21" t="n">
        <x:f>F3313</x:f>
        <x:v>1255.2096707906273</x:v>
      </x:c>
      <x:c r="H3314" s="21" t="n">
        <x:f>F3318</x:f>
        <x:v>1253.5082073790616</x:v>
      </x:c>
      <x:c r="I3314" s="27" t="n">
        <x:f>IF(AND(ISNUMBER(G3314),ISNUMBER(H3314),H3314&gt;0),G3314/H3314-1,"")</x:f>
        <x:v>0.0013573612055746143</x:v>
      </x:c>
      <x:c r="J3314" s="27" t="n">
        <x:f>IF(AND(ISNUMBER(G3314),F3314&gt;0),G3314/F3314-1,"")</x:f>
        <x:v>0.007023505319210699</x:v>
      </x:c>
      <x:c r="K3314" s="19" t="str">
        <x:v>KuaiRec/EXP095/results/seed1574110263_Relative_cutoff_1e-5.json</x:v>
      </x:c>
    </x:row>
    <x:row r="3315" ht="15" hidden="0" customHeight="1">
      <x:c r="A3315" s="3" t="str">
        <x:v>EXP095</x:v>
      </x:c>
      <x:c r="B3315" s="3" t="str">
        <x:v>KuaiRec</x:v>
      </x:c>
      <x:c r="C3315" s="18" t="n">
        <x:v>1574110263</x:v>
      </x:c>
      <x:c r="D3315" s="3" t="str">
        <x:v>Fixed rank 10</x:v>
      </x:c>
      <x:c r="E3315" s="18" t="n">
        <x:v>600</x:v>
      </x:c>
      <x:c r="F3315" s="21" t="n">
        <x:v>1273.1177854832404</x:v>
      </x:c>
      <x:c r="G3315" s="21" t="n">
        <x:f>F3313</x:f>
        <x:v>1255.2096707906273</x:v>
      </x:c>
      <x:c r="H3315" s="21" t="n">
        <x:f>F3318</x:f>
        <x:v>1253.5082073790616</x:v>
      </x:c>
      <x:c r="I3315" s="27" t="n">
        <x:f>IF(AND(ISNUMBER(G3315),ISNUMBER(H3315),H3315&gt;0),G3315/H3315-1,"")</x:f>
        <x:v>0.0013573612055746143</x:v>
      </x:c>
      <x:c r="J3315" s="27" t="n">
        <x:f>IF(AND(ISNUMBER(G3315),F3315&gt;0),G3315/F3315-1,"")</x:f>
        <x:v>-0.01406634554697983</x:v>
      </x:c>
      <x:c r="K3315" s="19" t="str">
        <x:v>KuaiRec/EXP095/results/seed1574110263_Fixed_rank_10.json</x:v>
      </x:c>
    </x:row>
    <x:row r="3316" ht="15" hidden="0" customHeight="1">
      <x:c r="A3316" s="3" t="str">
        <x:v>EXP095</x:v>
      </x:c>
      <x:c r="B3316" s="3" t="str">
        <x:v>KuaiRec</x:v>
      </x:c>
      <x:c r="C3316" s="18" t="n">
        <x:v>1574110263</x:v>
      </x:c>
      <x:c r="D3316" s="3" t="str">
        <x:v>Fixed rank 25</x:v>
      </x:c>
      <x:c r="E3316" s="18" t="n">
        <x:v>600</x:v>
      </x:c>
      <x:c r="F3316" s="21" t="n">
        <x:v>1246.455186160472</x:v>
      </x:c>
      <x:c r="G3316" s="21" t="n">
        <x:f>F3313</x:f>
        <x:v>1255.2096707906273</x:v>
      </x:c>
      <x:c r="H3316" s="21" t="n">
        <x:f>F3318</x:f>
        <x:v>1253.5082073790616</x:v>
      </x:c>
      <x:c r="I3316" s="27" t="n">
        <x:f>IF(AND(ISNUMBER(G3316),ISNUMBER(H3316),H3316&gt;0),G3316/H3316-1,"")</x:f>
        <x:v>0.0013573612055746143</x:v>
      </x:c>
      <x:c r="J3316" s="27" t="n">
        <x:f>IF(AND(ISNUMBER(G3316),F3316&gt;0),G3316/F3316-1,"")</x:f>
        <x:v>0.007023505319210255</x:v>
      </x:c>
      <x:c r="K3316" s="19" t="str">
        <x:v>KuaiRec/EXP095/results/seed1574110263_Fixed_rank_25.json</x:v>
      </x:c>
    </x:row>
    <x:row r="3317" ht="15" hidden="0" customHeight="1">
      <x:c r="A3317" s="3" t="str">
        <x:v>EXP095</x:v>
      </x:c>
      <x:c r="B3317" s="3" t="str">
        <x:v>KuaiRec</x:v>
      </x:c>
      <x:c r="C3317" s="18" t="n">
        <x:v>1574110263</x:v>
      </x:c>
      <x:c r="D3317" s="3" t="str">
        <x:v>Relative cutoff 1e-6</x:v>
      </x:c>
      <x:c r="E3317" s="18" t="n">
        <x:v>600</x:v>
      </x:c>
      <x:c r="F3317" s="21" t="n">
        <x:v>1255.2096707906273</x:v>
      </x:c>
      <x:c r="G3317" s="21" t="n">
        <x:f>F3313</x:f>
        <x:v>1255.2096707906273</x:v>
      </x:c>
      <x:c r="H3317" s="21" t="n">
        <x:f>F3318</x:f>
        <x:v>1253.5082073790616</x:v>
      </x:c>
      <x:c r="I3317" s="27" t="n">
        <x:f>IF(AND(ISNUMBER(G3317),ISNUMBER(H3317),H3317&gt;0),G3317/H3317-1,"")</x:f>
        <x:v>0.0013573612055746143</x:v>
      </x:c>
      <x:c r="J3317" s="27" t="n">
        <x:f>IF(AND(ISNUMBER(G3317),F3317&gt;0),G3317/F3317-1,"")</x:f>
        <x:v>0</x:v>
      </x:c>
      <x:c r="K3317" s="19" t="str">
        <x:v>KuaiRec/EXP095/results/seed1574110263_Relative_cutoff_1e-6.json</x:v>
      </x:c>
    </x:row>
    <x:row r="3318" ht="15" hidden="0" customHeight="1">
      <x:c r="A3318" s="3" t="str">
        <x:v>EXP095</x:v>
      </x:c>
      <x:c r="B3318" s="3" t="str">
        <x:v>KuaiRec</x:v>
      </x:c>
      <x:c r="C3318" s="18" t="n">
        <x:v>1574110263</x:v>
      </x:c>
      <x:c r="D3318" s="3" t="str">
        <x:v>Full</x:v>
      </x:c>
      <x:c r="E3318" s="18" t="n">
        <x:v>600</x:v>
      </x:c>
      <x:c r="F3318" s="21" t="n">
        <x:v>1253.5082073790616</x:v>
      </x:c>
      <x:c r="G3318" s="21" t="n">
        <x:f>F3313</x:f>
        <x:v>1255.2096707906273</x:v>
      </x:c>
      <x:c r="H3318" s="21" t="n">
        <x:f>F3318</x:f>
        <x:v>1253.5082073790616</x:v>
      </x:c>
      <x:c r="I3318" s="27" t="n">
        <x:f>IF(AND(ISNUMBER(G3318),ISNUMBER(H3318),H3318&gt;0),G3318/H3318-1,"")</x:f>
        <x:v>0.0013573612055746143</x:v>
      </x:c>
      <x:c r="J3318" s="27" t="n">
        <x:f>IF(AND(ISNUMBER(G3318),F3318&gt;0),G3318/F3318-1,"")</x:f>
        <x:v>0.0013573612055746143</x:v>
      </x:c>
      <x:c r="K3318" s="19" t="str">
        <x:v>KuaiRec/EXP095/results/seed1574110263_Full.json</x:v>
      </x:c>
    </x:row>
    <x:row r="3319" ht="15" hidden="0" customHeight="1">
      <x:c r="A3319" s="3" t="str">
        <x:v>EXP095</x:v>
      </x:c>
      <x:c r="B3319" s="3" t="str">
        <x:v>KuaiRec</x:v>
      </x:c>
      <x:c r="C3319" s="18" t="n">
        <x:v>1574110263</x:v>
      </x:c>
      <x:c r="D3319" s="3" t="str">
        <x:v>Relative cutoff 1e-2</x:v>
      </x:c>
      <x:c r="E3319" s="18" t="n">
        <x:v>600</x:v>
      </x:c>
      <x:c r="F3319" s="21" t="n">
        <x:v>1319.482880929787</x:v>
      </x:c>
      <x:c r="G3319" s="21" t="n">
        <x:f>F3313</x:f>
        <x:v>1255.2096707906273</x:v>
      </x:c>
      <x:c r="H3319" s="21" t="n">
        <x:f>F3318</x:f>
        <x:v>1253.5082073790616</x:v>
      </x:c>
      <x:c r="I3319" s="27" t="n">
        <x:f>IF(AND(ISNUMBER(G3319),ISNUMBER(H3319),H3319&gt;0),G3319/H3319-1,"")</x:f>
        <x:v>0.0013573612055746143</x:v>
      </x:c>
      <x:c r="J3319" s="27" t="n">
        <x:f>IF(AND(ISNUMBER(G3319),F3319&gt;0),G3319/F3319-1,"")</x:f>
        <x:v>-0.04871090869619221</x:v>
      </x:c>
      <x:c r="K3319" s="19" t="str">
        <x:v>KuaiRec/EXP095/results/seed1574110263_Relative_cutoff_1e-2.json</x:v>
      </x:c>
    </x:row>
    <x:row r="3320" ht="15" hidden="0" customHeight="1">
      <x:c r="A3320" s="3" t="str">
        <x:v>EXP095</x:v>
      </x:c>
      <x:c r="B3320" s="3" t="str">
        <x:v>KuaiRec</x:v>
      </x:c>
      <x:c r="C3320" s="18" t="n">
        <x:v>1574110263</x:v>
      </x:c>
      <x:c r="D3320" s="3" t="str">
        <x:v>Relative cutoff 1e-4</x:v>
      </x:c>
      <x:c r="E3320" s="18" t="n">
        <x:v>600</x:v>
      </x:c>
      <x:c r="F3320" s="21" t="n">
        <x:v>1287.7623227148947</x:v>
      </x:c>
      <x:c r="G3320" s="21" t="n">
        <x:f>F3313</x:f>
        <x:v>1255.2096707906273</x:v>
      </x:c>
      <x:c r="H3320" s="21" t="n">
        <x:f>F3318</x:f>
        <x:v>1253.5082073790616</x:v>
      </x:c>
      <x:c r="I3320" s="27" t="n">
        <x:f>IF(AND(ISNUMBER(G3320),ISNUMBER(H3320),H3320&gt;0),G3320/H3320-1,"")</x:f>
        <x:v>0.0013573612055746143</x:v>
      </x:c>
      <x:c r="J3320" s="27" t="n">
        <x:f>IF(AND(ISNUMBER(G3320),F3320&gt;0),G3320/F3320-1,"")</x:f>
        <x:v>-0.025278462764494414</x:v>
      </x:c>
      <x:c r="K3320" s="19" t="str">
        <x:v>KuaiRec/EXP095/results/seed1574110263_Relative_cutoff_1e-4.json</x:v>
      </x:c>
    </x:row>
    <x:row r="3321" ht="15" hidden="0" customHeight="1">
      <x:c r="A3321" s="3" t="str">
        <x:v>EXP095</x:v>
      </x:c>
      <x:c r="B3321" s="3" t="str">
        <x:v>KuaiRec</x:v>
      </x:c>
      <x:c r="C3321" s="18" t="n">
        <x:v>1612499641</x:v>
      </x:c>
      <x:c r="D3321" s="3" t="str">
        <x:v>BBP</x:v>
      </x:c>
      <x:c r="E3321" s="18" t="n">
        <x:v>600</x:v>
      </x:c>
      <x:c r="F3321" s="21" t="n">
        <x:v>1272.188130704436</x:v>
      </x:c>
      <x:c r="G3321" s="21" t="n">
        <x:f>F3321</x:f>
        <x:v>1272.188130704436</x:v>
      </x:c>
      <x:c r="H3321" s="21" t="n">
        <x:f>F3326</x:f>
        <x:v>1245.83199456524</x:v>
      </x:c>
      <x:c r="I3321" s="27" t="n">
        <x:f>IF(AND(ISNUMBER(G3321),ISNUMBER(H3321),H3321&gt;0),G3321/H3321-1,"")</x:f>
        <x:v>0.021155449734932885</x:v>
      </x:c>
      <x:c r="J3321" s="27" t="n">
        <x:f>IF(AND(ISNUMBER(G3321),F3321&gt;0),G3321/F3321-1,"")</x:f>
        <x:v>0</x:v>
      </x:c>
      <x:c r="K3321" s="19" t="str">
        <x:v>KuaiRec/EXP095/results/seed1612499641_BBP.json</x:v>
      </x:c>
    </x:row>
    <x:row r="3322" ht="15" hidden="0" customHeight="1">
      <x:c r="A3322" s="3" t="str">
        <x:v>EXP095</x:v>
      </x:c>
      <x:c r="B3322" s="3" t="str">
        <x:v>KuaiRec</x:v>
      </x:c>
      <x:c r="C3322" s="18" t="n">
        <x:v>1612499641</x:v>
      </x:c>
      <x:c r="D3322" s="3" t="str">
        <x:v>Relative cutoff 1e-5</x:v>
      </x:c>
      <x:c r="E3322" s="18" t="n">
        <x:v>600</x:v>
      </x:c>
      <x:c r="F3322" s="21" t="n">
        <x:v>1321.0948205508548</x:v>
      </x:c>
      <x:c r="G3322" s="21" t="n">
        <x:f>F3321</x:f>
        <x:v>1272.188130704436</x:v>
      </x:c>
      <x:c r="H3322" s="21" t="n">
        <x:f>F3326</x:f>
        <x:v>1245.83199456524</x:v>
      </x:c>
      <x:c r="I3322" s="27" t="n">
        <x:f>IF(AND(ISNUMBER(G3322),ISNUMBER(H3322),H3322&gt;0),G3322/H3322-1,"")</x:f>
        <x:v>0.021155449734932885</x:v>
      </x:c>
      <x:c r="J3322" s="27" t="n">
        <x:f>IF(AND(ISNUMBER(G3322),F3322&gt;0),G3322/F3322-1,"")</x:f>
        <x:v>-0.03701981802186338</x:v>
      </x:c>
      <x:c r="K3322" s="19" t="str">
        <x:v>KuaiRec/EXP095/results/seed1612499641_Relative_cutoff_1e-5.json</x:v>
      </x:c>
    </x:row>
    <x:row r="3323" ht="15" hidden="0" customHeight="1">
      <x:c r="A3323" s="3" t="str">
        <x:v>EXP095</x:v>
      </x:c>
      <x:c r="B3323" s="3" t="str">
        <x:v>KuaiRec</x:v>
      </x:c>
      <x:c r="C3323" s="18" t="n">
        <x:v>1612499641</x:v>
      </x:c>
      <x:c r="D3323" s="3" t="str">
        <x:v>Fixed rank 10</x:v>
      </x:c>
      <x:c r="E3323" s="18" t="n">
        <x:v>600</x:v>
      </x:c>
      <x:c r="F3323" s="21" t="n">
        <x:v>1233.8829245568418</x:v>
      </x:c>
      <x:c r="G3323" s="21" t="n">
        <x:f>F3321</x:f>
        <x:v>1272.188130704436</x:v>
      </x:c>
      <x:c r="H3323" s="21" t="n">
        <x:f>F3326</x:f>
        <x:v>1245.83199456524</x:v>
      </x:c>
      <x:c r="I3323" s="27" t="n">
        <x:f>IF(AND(ISNUMBER(G3323),ISNUMBER(H3323),H3323&gt;0),G3323/H3323-1,"")</x:f>
        <x:v>0.021155449734932885</x:v>
      </x:c>
      <x:c r="J3323" s="27" t="n">
        <x:f>IF(AND(ISNUMBER(G3323),F3323&gt;0),G3323/F3323-1,"")</x:f>
        <x:v>0.031044441401401057</x:v>
      </x:c>
      <x:c r="K3323" s="19" t="str">
        <x:v>KuaiRec/EXP095/results/seed1612499641_Fixed_rank_10.json</x:v>
      </x:c>
    </x:row>
    <x:row r="3324" ht="15" hidden="0" customHeight="1">
      <x:c r="A3324" s="3" t="str">
        <x:v>EXP095</x:v>
      </x:c>
      <x:c r="B3324" s="3" t="str">
        <x:v>KuaiRec</x:v>
      </x:c>
      <x:c r="C3324" s="18" t="n">
        <x:v>1612499641</x:v>
      </x:c>
      <x:c r="D3324" s="3" t="str">
        <x:v>Fixed rank 25</x:v>
      </x:c>
      <x:c r="E3324" s="18" t="n">
        <x:v>600</x:v>
      </x:c>
      <x:c r="F3324" s="21" t="n">
        <x:v>1272.188130704436</x:v>
      </x:c>
      <x:c r="G3324" s="21" t="n">
        <x:f>F3321</x:f>
        <x:v>1272.188130704436</x:v>
      </x:c>
      <x:c r="H3324" s="21" t="n">
        <x:f>F3326</x:f>
        <x:v>1245.83199456524</x:v>
      </x:c>
      <x:c r="I3324" s="27" t="n">
        <x:f>IF(AND(ISNUMBER(G3324),ISNUMBER(H3324),H3324&gt;0),G3324/H3324-1,"")</x:f>
        <x:v>0.021155449734932885</x:v>
      </x:c>
      <x:c r="J3324" s="27" t="n">
        <x:f>IF(AND(ISNUMBER(G3324),F3324&gt;0),G3324/F3324-1,"")</x:f>
        <x:v>0</x:v>
      </x:c>
      <x:c r="K3324" s="19" t="str">
        <x:v>KuaiRec/EXP095/results/seed1612499641_Fixed_rank_25.json</x:v>
      </x:c>
    </x:row>
    <x:row r="3325" ht="15" hidden="0" customHeight="1">
      <x:c r="A3325" s="3" t="str">
        <x:v>EXP095</x:v>
      </x:c>
      <x:c r="B3325" s="3" t="str">
        <x:v>KuaiRec</x:v>
      </x:c>
      <x:c r="C3325" s="18" t="n">
        <x:v>1612499641</x:v>
      </x:c>
      <x:c r="D3325" s="3" t="str">
        <x:v>Relative cutoff 1e-6</x:v>
      </x:c>
      <x:c r="E3325" s="18" t="n">
        <x:v>600</x:v>
      </x:c>
      <x:c r="F3325" s="21" t="n">
        <x:v>1245.83199456524</x:v>
      </x:c>
      <x:c r="G3325" s="21" t="n">
        <x:f>F3321</x:f>
        <x:v>1272.188130704436</x:v>
      </x:c>
      <x:c r="H3325" s="21" t="n">
        <x:f>F3326</x:f>
        <x:v>1245.83199456524</x:v>
      </x:c>
      <x:c r="I3325" s="27" t="n">
        <x:f>IF(AND(ISNUMBER(G3325),ISNUMBER(H3325),H3325&gt;0),G3325/H3325-1,"")</x:f>
        <x:v>0.021155449734932885</x:v>
      </x:c>
      <x:c r="J3325" s="27" t="n">
        <x:f>IF(AND(ISNUMBER(G3325),F3325&gt;0),G3325/F3325-1,"")</x:f>
        <x:v>0.021155449734932885</x:v>
      </x:c>
      <x:c r="K3325" s="19" t="str">
        <x:v>KuaiRec/EXP095/results/seed1612499641_Relative_cutoff_1e-6.json</x:v>
      </x:c>
    </x:row>
    <x:row r="3326" ht="15" hidden="0" customHeight="1">
      <x:c r="A3326" s="3" t="str">
        <x:v>EXP095</x:v>
      </x:c>
      <x:c r="B3326" s="3" t="str">
        <x:v>KuaiRec</x:v>
      </x:c>
      <x:c r="C3326" s="18" t="n">
        <x:v>1612499641</x:v>
      </x:c>
      <x:c r="D3326" s="3" t="str">
        <x:v>Full</x:v>
      </x:c>
      <x:c r="E3326" s="18" t="n">
        <x:v>600</x:v>
      </x:c>
      <x:c r="F3326" s="21" t="n">
        <x:v>1245.83199456524</x:v>
      </x:c>
      <x:c r="G3326" s="21" t="n">
        <x:f>F3321</x:f>
        <x:v>1272.188130704436</x:v>
      </x:c>
      <x:c r="H3326" s="21" t="n">
        <x:f>F3326</x:f>
        <x:v>1245.83199456524</x:v>
      </x:c>
      <x:c r="I3326" s="27" t="n">
        <x:f>IF(AND(ISNUMBER(G3326),ISNUMBER(H3326),H3326&gt;0),G3326/H3326-1,"")</x:f>
        <x:v>0.021155449734932885</x:v>
      </x:c>
      <x:c r="J3326" s="27" t="n">
        <x:f>IF(AND(ISNUMBER(G3326),F3326&gt;0),G3326/F3326-1,"")</x:f>
        <x:v>0.021155449734932885</x:v>
      </x:c>
      <x:c r="K3326" s="19" t="str">
        <x:v>KuaiRec/EXP095/results/seed1612499641_Full.json</x:v>
      </x:c>
    </x:row>
    <x:row r="3327" ht="15" hidden="0" customHeight="1">
      <x:c r="A3327" s="3" t="str">
        <x:v>EXP095</x:v>
      </x:c>
      <x:c r="B3327" s="3" t="str">
        <x:v>KuaiRec</x:v>
      </x:c>
      <x:c r="C3327" s="18" t="n">
        <x:v>1612499641</x:v>
      </x:c>
      <x:c r="D3327" s="3" t="str">
        <x:v>Relative cutoff 1e-2</x:v>
      </x:c>
      <x:c r="E3327" s="18" t="n">
        <x:v>600</x:v>
      </x:c>
      <x:c r="F3327" s="21" t="n">
        <x:v>1333.2322395074393</x:v>
      </x:c>
      <x:c r="G3327" s="21" t="n">
        <x:f>F3321</x:f>
        <x:v>1272.188130704436</x:v>
      </x:c>
      <x:c r="H3327" s="21" t="n">
        <x:f>F3326</x:f>
        <x:v>1245.83199456524</x:v>
      </x:c>
      <x:c r="I3327" s="27" t="n">
        <x:f>IF(AND(ISNUMBER(G3327),ISNUMBER(H3327),H3327&gt;0),G3327/H3327-1,"")</x:f>
        <x:v>0.021155449734932885</x:v>
      </x:c>
      <x:c r="J3327" s="27" t="n">
        <x:f>IF(AND(ISNUMBER(G3327),F3327&gt;0),G3327/F3327-1,"")</x:f>
        <x:v>-0.045786553155627296</x:v>
      </x:c>
      <x:c r="K3327" s="19" t="str">
        <x:v>KuaiRec/EXP095/results/seed1612499641_Relative_cutoff_1e-2.json</x:v>
      </x:c>
    </x:row>
    <x:row r="3328" ht="15" hidden="0" customHeight="1">
      <x:c r="A3328" s="3" t="str">
        <x:v>EXP095</x:v>
      </x:c>
      <x:c r="B3328" s="3" t="str">
        <x:v>KuaiRec</x:v>
      </x:c>
      <x:c r="C3328" s="18" t="n">
        <x:v>1612499641</x:v>
      </x:c>
      <x:c r="D3328" s="3" t="str">
        <x:v>Relative cutoff 1e-4</x:v>
      </x:c>
      <x:c r="E3328" s="18" t="n">
        <x:v>600</x:v>
      </x:c>
      <x:c r="F3328" s="21" t="n">
        <x:v>1310.905988721412</x:v>
      </x:c>
      <x:c r="G3328" s="21" t="n">
        <x:f>F3321</x:f>
        <x:v>1272.188130704436</x:v>
      </x:c>
      <x:c r="H3328" s="21" t="n">
        <x:f>F3326</x:f>
        <x:v>1245.83199456524</x:v>
      </x:c>
      <x:c r="I3328" s="27" t="n">
        <x:f>IF(AND(ISNUMBER(G3328),ISNUMBER(H3328),H3328&gt;0),G3328/H3328-1,"")</x:f>
        <x:v>0.021155449734932885</x:v>
      </x:c>
      <x:c r="J3328" s="27" t="n">
        <x:f>IF(AND(ISNUMBER(G3328),F3328&gt;0),G3328/F3328-1,"")</x:f>
        <x:v>-0.029535190433251035</x:v>
      </x:c>
      <x:c r="K3328" s="19" t="str">
        <x:v>KuaiRec/EXP095/results/seed1612499641_Relative_cutoff_1e-4.json</x:v>
      </x:c>
    </x:row>
    <x:row r="3329" ht="15" hidden="0" customHeight="1">
      <x:c r="A3329" s="3" t="str">
        <x:v>EXP095</x:v>
      </x:c>
      <x:c r="B3329" s="3" t="str">
        <x:v>KuaiRec</x:v>
      </x:c>
      <x:c r="C3329" s="18" t="n">
        <x:v>1670897433</x:v>
      </x:c>
      <x:c r="D3329" s="3" t="str">
        <x:v>BBP</x:v>
      </x:c>
      <x:c r="E3329" s="18" t="n">
        <x:v>600</x:v>
      </x:c>
      <x:c r="F3329" s="21" t="n">
        <x:v>1510.3503282359866</x:v>
      </x:c>
      <x:c r="G3329" s="21" t="n">
        <x:f>F3329</x:f>
        <x:v>1510.3503282359866</x:v>
      </x:c>
      <x:c r="H3329" s="21" t="n">
        <x:f>F3334</x:f>
        <x:v>1510.3981030515924</x:v>
      </x:c>
      <x:c r="I3329" s="27" t="n">
        <x:f>IF(AND(ISNUMBER(G3329),ISNUMBER(H3329),H3329&gt;0),G3329/H3329-1,"")</x:f>
        <x:v>-0.00003163061149857871</x:v>
      </x:c>
      <x:c r="J3329" s="27" t="n">
        <x:f>IF(AND(ISNUMBER(G3329),F3329&gt;0),G3329/F3329-1,"")</x:f>
        <x:v>0</x:v>
      </x:c>
      <x:c r="K3329" s="19" t="str">
        <x:v>KuaiRec/EXP095/results/seed1670897433_BBP.json</x:v>
      </x:c>
    </x:row>
    <x:row r="3330" ht="15" hidden="0" customHeight="1">
      <x:c r="A3330" s="3" t="str">
        <x:v>EXP095</x:v>
      </x:c>
      <x:c r="B3330" s="3" t="str">
        <x:v>KuaiRec</x:v>
      </x:c>
      <x:c r="C3330" s="18" t="n">
        <x:v>1670897433</x:v>
      </x:c>
      <x:c r="D3330" s="3" t="str">
        <x:v>Relative cutoff 1e-5</x:v>
      </x:c>
      <x:c r="E3330" s="18" t="n">
        <x:v>600</x:v>
      </x:c>
      <x:c r="F3330" s="21" t="n">
        <x:v>1510.350328235986</x:v>
      </x:c>
      <x:c r="G3330" s="21" t="n">
        <x:f>F3329</x:f>
        <x:v>1510.3503282359866</x:v>
      </x:c>
      <x:c r="H3330" s="21" t="n">
        <x:f>F3334</x:f>
        <x:v>1510.3981030515924</x:v>
      </x:c>
      <x:c r="I3330" s="27" t="n">
        <x:f>IF(AND(ISNUMBER(G3330),ISNUMBER(H3330),H3330&gt;0),G3330/H3330-1,"")</x:f>
        <x:v>-0.00003163061149857871</x:v>
      </x:c>
      <x:c r="J3330" s="27" t="n">
        <x:f>IF(AND(ISNUMBER(G3330),F3330&gt;0),G3330/F3330-1,"")</x:f>
        <x:v>4.440892098500626e-16</x:v>
      </x:c>
      <x:c r="K3330" s="19" t="str">
        <x:v>KuaiRec/EXP095/results/seed1670897433_Relative_cutoff_1e-5.json</x:v>
      </x:c>
    </x:row>
    <x:row r="3331" ht="15" hidden="0" customHeight="1">
      <x:c r="A3331" s="3" t="str">
        <x:v>EXP095</x:v>
      </x:c>
      <x:c r="B3331" s="3" t="str">
        <x:v>KuaiRec</x:v>
      </x:c>
      <x:c r="C3331" s="18" t="n">
        <x:v>1670897433</x:v>
      </x:c>
      <x:c r="D3331" s="3" t="str">
        <x:v>Fixed rank 10</x:v>
      </x:c>
      <x:c r="E3331" s="18" t="n">
        <x:v>600</x:v>
      </x:c>
      <x:c r="F3331" s="21" t="n">
        <x:v>1523.8437993856578</x:v>
      </x:c>
      <x:c r="G3331" s="21" t="n">
        <x:f>F3329</x:f>
        <x:v>1510.3503282359866</x:v>
      </x:c>
      <x:c r="H3331" s="21" t="n">
        <x:f>F3334</x:f>
        <x:v>1510.3981030515924</x:v>
      </x:c>
      <x:c r="I3331" s="27" t="n">
        <x:f>IF(AND(ISNUMBER(G3331),ISNUMBER(H3331),H3331&gt;0),G3331/H3331-1,"")</x:f>
        <x:v>-0.00003163061149857871</x:v>
      </x:c>
      <x:c r="J3331" s="27" t="n">
        <x:f>IF(AND(ISNUMBER(G3331),F3331&gt;0),G3331/F3331-1,"")</x:f>
        <x:v>-0.008854891265831277</x:v>
      </x:c>
      <x:c r="K3331" s="19" t="str">
        <x:v>KuaiRec/EXP095/results/seed1670897433_Fixed_rank_10.json</x:v>
      </x:c>
    </x:row>
    <x:row r="3332" ht="15" hidden="0" customHeight="1">
      <x:c r="A3332" s="3" t="str">
        <x:v>EXP095</x:v>
      </x:c>
      <x:c r="B3332" s="3" t="str">
        <x:v>KuaiRec</x:v>
      </x:c>
      <x:c r="C3332" s="18" t="n">
        <x:v>1670897433</x:v>
      </x:c>
      <x:c r="D3332" s="3" t="str">
        <x:v>Fixed rank 25</x:v>
      </x:c>
      <x:c r="E3332" s="18" t="n">
        <x:v>600</x:v>
      </x:c>
      <x:c r="F3332" s="21" t="n">
        <x:v>1510.3503282359866</x:v>
      </x:c>
      <x:c r="G3332" s="21" t="n">
        <x:f>F3329</x:f>
        <x:v>1510.3503282359866</x:v>
      </x:c>
      <x:c r="H3332" s="21" t="n">
        <x:f>F3334</x:f>
        <x:v>1510.3981030515924</x:v>
      </x:c>
      <x:c r="I3332" s="27" t="n">
        <x:f>IF(AND(ISNUMBER(G3332),ISNUMBER(H3332),H3332&gt;0),G3332/H3332-1,"")</x:f>
        <x:v>-0.00003163061149857871</x:v>
      </x:c>
      <x:c r="J3332" s="27" t="n">
        <x:f>IF(AND(ISNUMBER(G3332),F3332&gt;0),G3332/F3332-1,"")</x:f>
        <x:v>0</x:v>
      </x:c>
      <x:c r="K3332" s="19" t="str">
        <x:v>KuaiRec/EXP095/results/seed1670897433_Fixed_rank_25.json</x:v>
      </x:c>
    </x:row>
    <x:row r="3333" ht="15" hidden="0" customHeight="1">
      <x:c r="A3333" s="3" t="str">
        <x:v>EXP095</x:v>
      </x:c>
      <x:c r="B3333" s="3" t="str">
        <x:v>KuaiRec</x:v>
      </x:c>
      <x:c r="C3333" s="18" t="n">
        <x:v>1670897433</x:v>
      </x:c>
      <x:c r="D3333" s="3" t="str">
        <x:v>Relative cutoff 1e-6</x:v>
      </x:c>
      <x:c r="E3333" s="18" t="n">
        <x:v>600</x:v>
      </x:c>
      <x:c r="F3333" s="21" t="n">
        <x:v>1510.3503282359866</x:v>
      </x:c>
      <x:c r="G3333" s="21" t="n">
        <x:f>F3329</x:f>
        <x:v>1510.3503282359866</x:v>
      </x:c>
      <x:c r="H3333" s="21" t="n">
        <x:f>F3334</x:f>
        <x:v>1510.3981030515924</x:v>
      </x:c>
      <x:c r="I3333" s="27" t="n">
        <x:f>IF(AND(ISNUMBER(G3333),ISNUMBER(H3333),H3333&gt;0),G3333/H3333-1,"")</x:f>
        <x:v>-0.00003163061149857871</x:v>
      </x:c>
      <x:c r="J3333" s="27" t="n">
        <x:f>IF(AND(ISNUMBER(G3333),F3333&gt;0),G3333/F3333-1,"")</x:f>
        <x:v>0</x:v>
      </x:c>
      <x:c r="K3333" s="19" t="str">
        <x:v>KuaiRec/EXP095/results/seed1670897433_Relative_cutoff_1e-6.json</x:v>
      </x:c>
    </x:row>
    <x:row r="3334" ht="15" hidden="0" customHeight="1">
      <x:c r="A3334" s="3" t="str">
        <x:v>EXP095</x:v>
      </x:c>
      <x:c r="B3334" s="3" t="str">
        <x:v>KuaiRec</x:v>
      </x:c>
      <x:c r="C3334" s="18" t="n">
        <x:v>1670897433</x:v>
      </x:c>
      <x:c r="D3334" s="3" t="str">
        <x:v>Full</x:v>
      </x:c>
      <x:c r="E3334" s="18" t="n">
        <x:v>600</x:v>
      </x:c>
      <x:c r="F3334" s="21" t="n">
        <x:v>1510.3981030515924</x:v>
      </x:c>
      <x:c r="G3334" s="21" t="n">
        <x:f>F3329</x:f>
        <x:v>1510.3503282359866</x:v>
      </x:c>
      <x:c r="H3334" s="21" t="n">
        <x:f>F3334</x:f>
        <x:v>1510.3981030515924</x:v>
      </x:c>
      <x:c r="I3334" s="27" t="n">
        <x:f>IF(AND(ISNUMBER(G3334),ISNUMBER(H3334),H3334&gt;0),G3334/H3334-1,"")</x:f>
        <x:v>-0.00003163061149857871</x:v>
      </x:c>
      <x:c r="J3334" s="27" t="n">
        <x:f>IF(AND(ISNUMBER(G3334),F3334&gt;0),G3334/F3334-1,"")</x:f>
        <x:v>-0.00003163061149857871</x:v>
      </x:c>
      <x:c r="K3334" s="19" t="str">
        <x:v>KuaiRec/EXP095/results/seed1670897433_Full.json</x:v>
      </x:c>
    </x:row>
    <x:row r="3335" ht="15" hidden="0" customHeight="1">
      <x:c r="A3335" s="3" t="str">
        <x:v>EXP095</x:v>
      </x:c>
      <x:c r="B3335" s="3" t="str">
        <x:v>KuaiRec</x:v>
      </x:c>
      <x:c r="C3335" s="18" t="n">
        <x:v>1670897433</x:v>
      </x:c>
      <x:c r="D3335" s="3" t="str">
        <x:v>Relative cutoff 1e-2</x:v>
      </x:c>
      <x:c r="E3335" s="18" t="n">
        <x:v>600</x:v>
      </x:c>
      <x:c r="F3335" s="21" t="n">
        <x:v>1549.1949904143949</x:v>
      </x:c>
      <x:c r="G3335" s="21" t="n">
        <x:f>F3329</x:f>
        <x:v>1510.3503282359866</x:v>
      </x:c>
      <x:c r="H3335" s="21" t="n">
        <x:f>F3334</x:f>
        <x:v>1510.3981030515924</x:v>
      </x:c>
      <x:c r="I3335" s="27" t="n">
        <x:f>IF(AND(ISNUMBER(G3335),ISNUMBER(H3335),H3335&gt;0),G3335/H3335-1,"")</x:f>
        <x:v>-0.00003163061149857871</x:v>
      </x:c>
      <x:c r="J3335" s="27" t="n">
        <x:f>IF(AND(ISNUMBER(G3335),F3335&gt;0),G3335/F3335-1,"")</x:f>
        <x:v>-0.025074094880733977</x:v>
      </x:c>
      <x:c r="K3335" s="19" t="str">
        <x:v>KuaiRec/EXP095/results/seed1670897433_Relative_cutoff_1e-2.json</x:v>
      </x:c>
    </x:row>
    <x:row r="3336" ht="15" hidden="0" customHeight="1">
      <x:c r="A3336" s="3" t="str">
        <x:v>EXP095</x:v>
      </x:c>
      <x:c r="B3336" s="3" t="str">
        <x:v>KuaiRec</x:v>
      </x:c>
      <x:c r="C3336" s="18" t="n">
        <x:v>1670897433</x:v>
      </x:c>
      <x:c r="D3336" s="3" t="str">
        <x:v>Relative cutoff 1e-4</x:v>
      </x:c>
      <x:c r="E3336" s="18" t="n">
        <x:v>600</x:v>
      </x:c>
      <x:c r="F3336" s="21" t="n">
        <x:v>1499.8927979978903</x:v>
      </x:c>
      <x:c r="G3336" s="21" t="n">
        <x:f>F3329</x:f>
        <x:v>1510.3503282359866</x:v>
      </x:c>
      <x:c r="H3336" s="21" t="n">
        <x:f>F3334</x:f>
        <x:v>1510.3981030515924</x:v>
      </x:c>
      <x:c r="I3336" s="27" t="n">
        <x:f>IF(AND(ISNUMBER(G3336),ISNUMBER(H3336),H3336&gt;0),G3336/H3336-1,"")</x:f>
        <x:v>-0.00003163061149857871</x:v>
      </x:c>
      <x:c r="J3336" s="27" t="n">
        <x:f>IF(AND(ISNUMBER(G3336),F3336&gt;0),G3336/F3336-1,"")</x:f>
        <x:v>0.006972185113532925</x:v>
      </x:c>
      <x:c r="K3336" s="19" t="str">
        <x:v>KuaiRec/EXP095/results/seed1670897433_Relative_cutoff_1e-4.json</x:v>
      </x:c>
    </x:row>
    <x:row r="3337" ht="15" hidden="0" customHeight="1">
      <x:c r="A3337" s="3" t="str">
        <x:v>EXP095</x:v>
      </x:c>
      <x:c r="B3337" s="3" t="str">
        <x:v>KuaiRec</x:v>
      </x:c>
      <x:c r="C3337" s="18" t="n">
        <x:v>1675250178</x:v>
      </x:c>
      <x:c r="D3337" s="3" t="str">
        <x:v>BBP</x:v>
      </x:c>
      <x:c r="E3337" s="18" t="n">
        <x:v>600</x:v>
      </x:c>
      <x:c r="F3337" s="21" t="n">
        <x:v>1389.9952041659105</x:v>
      </x:c>
      <x:c r="G3337" s="21" t="n">
        <x:f>F3337</x:f>
        <x:v>1389.9952041659105</x:v>
      </x:c>
      <x:c r="H3337" s="21" t="n">
        <x:f>F3342</x:f>
        <x:v>1389.9952041659105</x:v>
      </x:c>
      <x:c r="I3337" s="27" t="n">
        <x:f>IF(AND(ISNUMBER(G3337),ISNUMBER(H3337),H3337&gt;0),G3337/H3337-1,"")</x:f>
        <x:v>0</x:v>
      </x:c>
      <x:c r="J3337" s="27" t="n">
        <x:f>IF(AND(ISNUMBER(G3337),F3337&gt;0),G3337/F3337-1,"")</x:f>
        <x:v>0</x:v>
      </x:c>
      <x:c r="K3337" s="19" t="str">
        <x:v>KuaiRec/EXP095/results/seed1675250178_BBP.json</x:v>
      </x:c>
    </x:row>
    <x:row r="3338" ht="15" hidden="0" customHeight="1">
      <x:c r="A3338" s="3" t="str">
        <x:v>EXP095</x:v>
      </x:c>
      <x:c r="B3338" s="3" t="str">
        <x:v>KuaiRec</x:v>
      </x:c>
      <x:c r="C3338" s="18" t="n">
        <x:v>1675250178</x:v>
      </x:c>
      <x:c r="D3338" s="3" t="str">
        <x:v>Relative cutoff 1e-5</x:v>
      </x:c>
      <x:c r="E3338" s="18" t="n">
        <x:v>600</x:v>
      </x:c>
      <x:c r="F3338" s="21" t="n">
        <x:v>1399.0799142342012</x:v>
      </x:c>
      <x:c r="G3338" s="21" t="n">
        <x:f>F3337</x:f>
        <x:v>1389.9952041659105</x:v>
      </x:c>
      <x:c r="H3338" s="21" t="n">
        <x:f>F3342</x:f>
        <x:v>1389.9952041659105</x:v>
      </x:c>
      <x:c r="I3338" s="27" t="n">
        <x:f>IF(AND(ISNUMBER(G3338),ISNUMBER(H3338),H3338&gt;0),G3338/H3338-1,"")</x:f>
        <x:v>0</x:v>
      </x:c>
      <x:c r="J3338" s="27" t="n">
        <x:f>IF(AND(ISNUMBER(G3338),F3338&gt;0),G3338/F3338-1,"")</x:f>
        <x:v>-0.00649334607398977</x:v>
      </x:c>
      <x:c r="K3338" s="19" t="str">
        <x:v>KuaiRec/EXP095/results/seed1675250178_Relative_cutoff_1e-5.json</x:v>
      </x:c>
    </x:row>
    <x:row r="3339" ht="15" hidden="0" customHeight="1">
      <x:c r="A3339" s="3" t="str">
        <x:v>EXP095</x:v>
      </x:c>
      <x:c r="B3339" s="3" t="str">
        <x:v>KuaiRec</x:v>
      </x:c>
      <x:c r="C3339" s="18" t="n">
        <x:v>1675250178</x:v>
      </x:c>
      <x:c r="D3339" s="3" t="str">
        <x:v>Fixed rank 10</x:v>
      </x:c>
      <x:c r="E3339" s="18" t="n">
        <x:v>600</x:v>
      </x:c>
      <x:c r="F3339" s="21" t="n">
        <x:v>1343.6596427913275</x:v>
      </x:c>
      <x:c r="G3339" s="21" t="n">
        <x:f>F3337</x:f>
        <x:v>1389.9952041659105</x:v>
      </x:c>
      <x:c r="H3339" s="21" t="n">
        <x:f>F3342</x:f>
        <x:v>1389.9952041659105</x:v>
      </x:c>
      <x:c r="I3339" s="27" t="n">
        <x:f>IF(AND(ISNUMBER(G3339),ISNUMBER(H3339),H3339&gt;0),G3339/H3339-1,"")</x:f>
        <x:v>0</x:v>
      </x:c>
      <x:c r="J3339" s="27" t="n">
        <x:f>IF(AND(ISNUMBER(G3339),F3339&gt;0),G3339/F3339-1,"")</x:f>
        <x:v>0.03448459706531426</x:v>
      </x:c>
      <x:c r="K3339" s="19" t="str">
        <x:v>KuaiRec/EXP095/results/seed1675250178_Fixed_rank_10.json</x:v>
      </x:c>
    </x:row>
    <x:row r="3340" ht="15" hidden="0" customHeight="1">
      <x:c r="A3340" s="3" t="str">
        <x:v>EXP095</x:v>
      </x:c>
      <x:c r="B3340" s="3" t="str">
        <x:v>KuaiRec</x:v>
      </x:c>
      <x:c r="C3340" s="18" t="n">
        <x:v>1675250178</x:v>
      </x:c>
      <x:c r="D3340" s="3" t="str">
        <x:v>Fixed rank 25</x:v>
      </x:c>
      <x:c r="E3340" s="18" t="n">
        <x:v>600</x:v>
      </x:c>
      <x:c r="F3340" s="21" t="n">
        <x:v>1389.9952041659105</x:v>
      </x:c>
      <x:c r="G3340" s="21" t="n">
        <x:f>F3337</x:f>
        <x:v>1389.9952041659105</x:v>
      </x:c>
      <x:c r="H3340" s="21" t="n">
        <x:f>F3342</x:f>
        <x:v>1389.9952041659105</x:v>
      </x:c>
      <x:c r="I3340" s="27" t="n">
        <x:f>IF(AND(ISNUMBER(G3340),ISNUMBER(H3340),H3340&gt;0),G3340/H3340-1,"")</x:f>
        <x:v>0</x:v>
      </x:c>
      <x:c r="J3340" s="27" t="n">
        <x:f>IF(AND(ISNUMBER(G3340),F3340&gt;0),G3340/F3340-1,"")</x:f>
        <x:v>0</x:v>
      </x:c>
      <x:c r="K3340" s="19" t="str">
        <x:v>KuaiRec/EXP095/results/seed1675250178_Fixed_rank_25.json</x:v>
      </x:c>
    </x:row>
    <x:row r="3341" ht="15" hidden="0" customHeight="1">
      <x:c r="A3341" s="3" t="str">
        <x:v>EXP095</x:v>
      </x:c>
      <x:c r="B3341" s="3" t="str">
        <x:v>KuaiRec</x:v>
      </x:c>
      <x:c r="C3341" s="18" t="n">
        <x:v>1675250178</x:v>
      </x:c>
      <x:c r="D3341" s="3" t="str">
        <x:v>Relative cutoff 1e-6</x:v>
      </x:c>
      <x:c r="E3341" s="18" t="n">
        <x:v>600</x:v>
      </x:c>
      <x:c r="F3341" s="21" t="n">
        <x:v>1389.9952041659105</x:v>
      </x:c>
      <x:c r="G3341" s="21" t="n">
        <x:f>F3337</x:f>
        <x:v>1389.9952041659105</x:v>
      </x:c>
      <x:c r="H3341" s="21" t="n">
        <x:f>F3342</x:f>
        <x:v>1389.9952041659105</x:v>
      </x:c>
      <x:c r="I3341" s="27" t="n">
        <x:f>IF(AND(ISNUMBER(G3341),ISNUMBER(H3341),H3341&gt;0),G3341/H3341-1,"")</x:f>
        <x:v>0</x:v>
      </x:c>
      <x:c r="J3341" s="27" t="n">
        <x:f>IF(AND(ISNUMBER(G3341),F3341&gt;0),G3341/F3341-1,"")</x:f>
        <x:v>0</x:v>
      </x:c>
      <x:c r="K3341" s="19" t="str">
        <x:v>KuaiRec/EXP095/results/seed1675250178_Relative_cutoff_1e-6.json</x:v>
      </x:c>
    </x:row>
    <x:row r="3342" ht="15" hidden="0" customHeight="1">
      <x:c r="A3342" s="3" t="str">
        <x:v>EXP095</x:v>
      </x:c>
      <x:c r="B3342" s="3" t="str">
        <x:v>KuaiRec</x:v>
      </x:c>
      <x:c r="C3342" s="18" t="n">
        <x:v>1675250178</x:v>
      </x:c>
      <x:c r="D3342" s="3" t="str">
        <x:v>Full</x:v>
      </x:c>
      <x:c r="E3342" s="18" t="n">
        <x:v>600</x:v>
      </x:c>
      <x:c r="F3342" s="21" t="n">
        <x:v>1389.9952041659105</x:v>
      </x:c>
      <x:c r="G3342" s="21" t="n">
        <x:f>F3337</x:f>
        <x:v>1389.9952041659105</x:v>
      </x:c>
      <x:c r="H3342" s="21" t="n">
        <x:f>F3342</x:f>
        <x:v>1389.9952041659105</x:v>
      </x:c>
      <x:c r="I3342" s="27" t="n">
        <x:f>IF(AND(ISNUMBER(G3342),ISNUMBER(H3342),H3342&gt;0),G3342/H3342-1,"")</x:f>
        <x:v>0</x:v>
      </x:c>
      <x:c r="J3342" s="27" t="n">
        <x:f>IF(AND(ISNUMBER(G3342),F3342&gt;0),G3342/F3342-1,"")</x:f>
        <x:v>0</x:v>
      </x:c>
      <x:c r="K3342" s="19" t="str">
        <x:v>KuaiRec/EXP095/results/seed1675250178_Full.json</x:v>
      </x:c>
    </x:row>
    <x:row r="3343" ht="15" hidden="0" customHeight="1">
      <x:c r="A3343" s="3" t="str">
        <x:v>EXP095</x:v>
      </x:c>
      <x:c r="B3343" s="3" t="str">
        <x:v>KuaiRec</x:v>
      </x:c>
      <x:c r="C3343" s="18" t="n">
        <x:v>1675250178</x:v>
      </x:c>
      <x:c r="D3343" s="3" t="str">
        <x:v>Relative cutoff 1e-2</x:v>
      </x:c>
      <x:c r="E3343" s="18" t="n">
        <x:v>600</x:v>
      </x:c>
      <x:c r="F3343" s="21" t="n">
        <x:v>1426.421598725727</x:v>
      </x:c>
      <x:c r="G3343" s="21" t="n">
        <x:f>F3337</x:f>
        <x:v>1389.9952041659105</x:v>
      </x:c>
      <x:c r="H3343" s="21" t="n">
        <x:f>F3342</x:f>
        <x:v>1389.9952041659105</x:v>
      </x:c>
      <x:c r="I3343" s="27" t="n">
        <x:f>IF(AND(ISNUMBER(G3343),ISNUMBER(H3343),H3343&gt;0),G3343/H3343-1,"")</x:f>
        <x:v>0</x:v>
      </x:c>
      <x:c r="J3343" s="27" t="n">
        <x:f>IF(AND(ISNUMBER(G3343),F3343&gt;0),G3343/F3343-1,"")</x:f>
        <x:v>-0.025536906194043585</x:v>
      </x:c>
      <x:c r="K3343" s="19" t="str">
        <x:v>KuaiRec/EXP095/results/seed1675250178_Relative_cutoff_1e-2.json</x:v>
      </x:c>
    </x:row>
    <x:row r="3344" ht="15" hidden="0" customHeight="1">
      <x:c r="A3344" s="3" t="str">
        <x:v>EXP095</x:v>
      </x:c>
      <x:c r="B3344" s="3" t="str">
        <x:v>KuaiRec</x:v>
      </x:c>
      <x:c r="C3344" s="18" t="n">
        <x:v>1675250178</x:v>
      </x:c>
      <x:c r="D3344" s="3" t="str">
        <x:v>Relative cutoff 1e-4</x:v>
      </x:c>
      <x:c r="E3344" s="18" t="n">
        <x:v>600</x:v>
      </x:c>
      <x:c r="F3344" s="21" t="n">
        <x:v>1505.4877975048187</x:v>
      </x:c>
      <x:c r="G3344" s="21" t="n">
        <x:f>F3337</x:f>
        <x:v>1389.9952041659105</x:v>
      </x:c>
      <x:c r="H3344" s="21" t="n">
        <x:f>F3342</x:f>
        <x:v>1389.9952041659105</x:v>
      </x:c>
      <x:c r="I3344" s="27" t="n">
        <x:f>IF(AND(ISNUMBER(G3344),ISNUMBER(H3344),H3344&gt;0),G3344/H3344-1,"")</x:f>
        <x:v>0</x:v>
      </x:c>
      <x:c r="J3344" s="27" t="n">
        <x:f>IF(AND(ISNUMBER(G3344),F3344&gt;0),G3344/F3344-1,"")</x:f>
        <x:v>-0.07671440016340514</x:v>
      </x:c>
      <x:c r="K3344" s="19" t="str">
        <x:v>KuaiRec/EXP095/results/seed1675250178_Relative_cutoff_1e-4.json</x:v>
      </x:c>
    </x:row>
    <x:row r="3345" ht="15" hidden="0" customHeight="1">
      <x:c r="A3345" s="3" t="str">
        <x:v>EXP095</x:v>
      </x:c>
      <x:c r="B3345" s="3" t="str">
        <x:v>KuaiRec</x:v>
      </x:c>
      <x:c r="C3345" s="18" t="n">
        <x:v>1692532192</x:v>
      </x:c>
      <x:c r="D3345" s="3" t="str">
        <x:v>BBP</x:v>
      </x:c>
      <x:c r="E3345" s="18" t="n">
        <x:v>600</x:v>
      </x:c>
      <x:c r="F3345" s="21" t="n">
        <x:v>1438.2397046173535</x:v>
      </x:c>
      <x:c r="G3345" s="21" t="n">
        <x:f>F3345</x:f>
        <x:v>1438.2397046173535</x:v>
      </x:c>
      <x:c r="H3345" s="21" t="n">
        <x:f>F3350</x:f>
        <x:v>1445.8011970089615</x:v>
      </x:c>
      <x:c r="I3345" s="27" t="n">
        <x:f>IF(AND(ISNUMBER(G3345),ISNUMBER(H3345),H3345&gt;0),G3345/H3345-1,"")</x:f>
        <x:v>-0.005229966891195703</x:v>
      </x:c>
      <x:c r="J3345" s="27" t="n">
        <x:f>IF(AND(ISNUMBER(G3345),F3345&gt;0),G3345/F3345-1,"")</x:f>
        <x:v>0</x:v>
      </x:c>
      <x:c r="K3345" s="19" t="str">
        <x:v>KuaiRec/EXP095/results/seed1692532192_BBP.json</x:v>
      </x:c>
    </x:row>
    <x:row r="3346" ht="15" hidden="0" customHeight="1">
      <x:c r="A3346" s="3" t="str">
        <x:v>EXP095</x:v>
      </x:c>
      <x:c r="B3346" s="3" t="str">
        <x:v>KuaiRec</x:v>
      </x:c>
      <x:c r="C3346" s="18" t="n">
        <x:v>1692532192</x:v>
      </x:c>
      <x:c r="D3346" s="3" t="str">
        <x:v>Relative cutoff 1e-5</x:v>
      </x:c>
      <x:c r="E3346" s="18" t="n">
        <x:v>600</x:v>
      </x:c>
      <x:c r="F3346" s="21" t="n">
        <x:v>1438.239704617353</x:v>
      </x:c>
      <x:c r="G3346" s="21" t="n">
        <x:f>F3345</x:f>
        <x:v>1438.2397046173535</x:v>
      </x:c>
      <x:c r="H3346" s="21" t="n">
        <x:f>F3350</x:f>
        <x:v>1445.8011970089615</x:v>
      </x:c>
      <x:c r="I3346" s="27" t="n">
        <x:f>IF(AND(ISNUMBER(G3346),ISNUMBER(H3346),H3346&gt;0),G3346/H3346-1,"")</x:f>
        <x:v>-0.005229966891195703</x:v>
      </x:c>
      <x:c r="J3346" s="27" t="n">
        <x:f>IF(AND(ISNUMBER(G3346),F3346&gt;0),G3346/F3346-1,"")</x:f>
        <x:v>2.220446049250313e-16</x:v>
      </x:c>
      <x:c r="K3346" s="19" t="str">
        <x:v>KuaiRec/EXP095/results/seed1692532192_Relative_cutoff_1e-5.json</x:v>
      </x:c>
    </x:row>
    <x:row r="3347" ht="15" hidden="0" customHeight="1">
      <x:c r="A3347" s="3" t="str">
        <x:v>EXP095</x:v>
      </x:c>
      <x:c r="B3347" s="3" t="str">
        <x:v>KuaiRec</x:v>
      </x:c>
      <x:c r="C3347" s="18" t="n">
        <x:v>1692532192</x:v>
      </x:c>
      <x:c r="D3347" s="3" t="str">
        <x:v>Fixed rank 10</x:v>
      </x:c>
      <x:c r="E3347" s="18" t="n">
        <x:v>600</x:v>
      </x:c>
      <x:c r="F3347" s="21" t="n">
        <x:v>1480.3898035952366</x:v>
      </x:c>
      <x:c r="G3347" s="21" t="n">
        <x:f>F3345</x:f>
        <x:v>1438.2397046173535</x:v>
      </x:c>
      <x:c r="H3347" s="21" t="n">
        <x:f>F3350</x:f>
        <x:v>1445.8011970089615</x:v>
      </x:c>
      <x:c r="I3347" s="27" t="n">
        <x:f>IF(AND(ISNUMBER(G3347),ISNUMBER(H3347),H3347&gt;0),G3347/H3347-1,"")</x:f>
        <x:v>-0.005229966891195703</x:v>
      </x:c>
      <x:c r="J3347" s="27" t="n">
        <x:f>IF(AND(ISNUMBER(G3347),F3347&gt;0),G3347/F3347-1,"")</x:f>
        <x:v>-0.02847229754995506</x:v>
      </x:c>
      <x:c r="K3347" s="19" t="str">
        <x:v>KuaiRec/EXP095/results/seed1692532192_Fixed_rank_10.json</x:v>
      </x:c>
    </x:row>
    <x:row r="3348" ht="15" hidden="0" customHeight="1">
      <x:c r="A3348" s="3" t="str">
        <x:v>EXP095</x:v>
      </x:c>
      <x:c r="B3348" s="3" t="str">
        <x:v>KuaiRec</x:v>
      </x:c>
      <x:c r="C3348" s="18" t="n">
        <x:v>1692532192</x:v>
      </x:c>
      <x:c r="D3348" s="3" t="str">
        <x:v>Fixed rank 25</x:v>
      </x:c>
      <x:c r="E3348" s="18" t="n">
        <x:v>600</x:v>
      </x:c>
      <x:c r="F3348" s="21" t="n">
        <x:v>1412.552660924453</x:v>
      </x:c>
      <x:c r="G3348" s="21" t="n">
        <x:f>F3345</x:f>
        <x:v>1438.2397046173535</x:v>
      </x:c>
      <x:c r="H3348" s="21" t="n">
        <x:f>F3350</x:f>
        <x:v>1445.8011970089615</x:v>
      </x:c>
      <x:c r="I3348" s="27" t="n">
        <x:f>IF(AND(ISNUMBER(G3348),ISNUMBER(H3348),H3348&gt;0),G3348/H3348-1,"")</x:f>
        <x:v>-0.005229966891195703</x:v>
      </x:c>
      <x:c r="J3348" s="27" t="n">
        <x:f>IF(AND(ISNUMBER(G3348),F3348&gt;0),G3348/F3348-1,"")</x:f>
        <x:v>0.018184839690216892</x:v>
      </x:c>
      <x:c r="K3348" s="19" t="str">
        <x:v>KuaiRec/EXP095/results/seed1692532192_Fixed_rank_25.json</x:v>
      </x:c>
    </x:row>
    <x:row r="3349" ht="15" hidden="0" customHeight="1">
      <x:c r="A3349" s="3" t="str">
        <x:v>EXP095</x:v>
      </x:c>
      <x:c r="B3349" s="3" t="str">
        <x:v>KuaiRec</x:v>
      </x:c>
      <x:c r="C3349" s="18" t="n">
        <x:v>1692532192</x:v>
      </x:c>
      <x:c r="D3349" s="3" t="str">
        <x:v>Relative cutoff 1e-6</x:v>
      </x:c>
      <x:c r="E3349" s="18" t="n">
        <x:v>600</x:v>
      </x:c>
      <x:c r="F3349" s="21" t="n">
        <x:v>1438.2397046173535</x:v>
      </x:c>
      <x:c r="G3349" s="21" t="n">
        <x:f>F3345</x:f>
        <x:v>1438.2397046173535</x:v>
      </x:c>
      <x:c r="H3349" s="21" t="n">
        <x:f>F3350</x:f>
        <x:v>1445.8011970089615</x:v>
      </x:c>
      <x:c r="I3349" s="27" t="n">
        <x:f>IF(AND(ISNUMBER(G3349),ISNUMBER(H3349),H3349&gt;0),G3349/H3349-1,"")</x:f>
        <x:v>-0.005229966891195703</x:v>
      </x:c>
      <x:c r="J3349" s="27" t="n">
        <x:f>IF(AND(ISNUMBER(G3349),F3349&gt;0),G3349/F3349-1,"")</x:f>
        <x:v>0</x:v>
      </x:c>
      <x:c r="K3349" s="19" t="str">
        <x:v>KuaiRec/EXP095/results/seed1692532192_Relative_cutoff_1e-6.json</x:v>
      </x:c>
    </x:row>
    <x:row r="3350" ht="15" hidden="0" customHeight="1">
      <x:c r="A3350" s="3" t="str">
        <x:v>EXP095</x:v>
      </x:c>
      <x:c r="B3350" s="3" t="str">
        <x:v>KuaiRec</x:v>
      </x:c>
      <x:c r="C3350" s="18" t="n">
        <x:v>1692532192</x:v>
      </x:c>
      <x:c r="D3350" s="3" t="str">
        <x:v>Full</x:v>
      </x:c>
      <x:c r="E3350" s="18" t="n">
        <x:v>600</x:v>
      </x:c>
      <x:c r="F3350" s="21" t="n">
        <x:v>1445.8011970089615</x:v>
      </x:c>
      <x:c r="G3350" s="21" t="n">
        <x:f>F3345</x:f>
        <x:v>1438.2397046173535</x:v>
      </x:c>
      <x:c r="H3350" s="21" t="n">
        <x:f>F3350</x:f>
        <x:v>1445.8011970089615</x:v>
      </x:c>
      <x:c r="I3350" s="27" t="n">
        <x:f>IF(AND(ISNUMBER(G3350),ISNUMBER(H3350),H3350&gt;0),G3350/H3350-1,"")</x:f>
        <x:v>-0.005229966891195703</x:v>
      </x:c>
      <x:c r="J3350" s="27" t="n">
        <x:f>IF(AND(ISNUMBER(G3350),F3350&gt;0),G3350/F3350-1,"")</x:f>
        <x:v>-0.005229966891195703</x:v>
      </x:c>
      <x:c r="K3350" s="19" t="str">
        <x:v>KuaiRec/EXP095/results/seed1692532192_Full.json</x:v>
      </x:c>
    </x:row>
    <x:row r="3351" ht="15" hidden="0" customHeight="1">
      <x:c r="A3351" s="3" t="str">
        <x:v>EXP095</x:v>
      </x:c>
      <x:c r="B3351" s="3" t="str">
        <x:v>KuaiRec</x:v>
      </x:c>
      <x:c r="C3351" s="18" t="n">
        <x:v>1692532192</x:v>
      </x:c>
      <x:c r="D3351" s="3" t="str">
        <x:v>Relative cutoff 1e-2</x:v>
      </x:c>
      <x:c r="E3351" s="18" t="n">
        <x:v>600</x:v>
      </x:c>
      <x:c r="F3351" s="21" t="n">
        <x:v>1471.0909397461046</x:v>
      </x:c>
      <x:c r="G3351" s="21" t="n">
        <x:f>F3345</x:f>
        <x:v>1438.2397046173535</x:v>
      </x:c>
      <x:c r="H3351" s="21" t="n">
        <x:f>F3350</x:f>
        <x:v>1445.8011970089615</x:v>
      </x:c>
      <x:c r="I3351" s="27" t="n">
        <x:f>IF(AND(ISNUMBER(G3351),ISNUMBER(H3351),H3351&gt;0),G3351/H3351-1,"")</x:f>
        <x:v>-0.005229966891195703</x:v>
      </x:c>
      <x:c r="J3351" s="27" t="n">
        <x:f>IF(AND(ISNUMBER(G3351),F3351&gt;0),G3351/F3351-1,"")</x:f>
        <x:v>-0.022331206209740495</x:v>
      </x:c>
      <x:c r="K3351" s="19" t="str">
        <x:v>KuaiRec/EXP095/results/seed1692532192_Relative_cutoff_1e-2.json</x:v>
      </x:c>
    </x:row>
    <x:row r="3352" ht="15" hidden="0" customHeight="1">
      <x:c r="A3352" s="3" t="str">
        <x:v>EXP095</x:v>
      </x:c>
      <x:c r="B3352" s="3" t="str">
        <x:v>KuaiRec</x:v>
      </x:c>
      <x:c r="C3352" s="18" t="n">
        <x:v>1692532192</x:v>
      </x:c>
      <x:c r="D3352" s="3" t="str">
        <x:v>Relative cutoff 1e-4</x:v>
      </x:c>
      <x:c r="E3352" s="18" t="n">
        <x:v>600</x:v>
      </x:c>
      <x:c r="F3352" s="21" t="n">
        <x:v>1427.1082822272654</x:v>
      </x:c>
      <x:c r="G3352" s="21" t="n">
        <x:f>F3345</x:f>
        <x:v>1438.2397046173535</x:v>
      </x:c>
      <x:c r="H3352" s="21" t="n">
        <x:f>F3350</x:f>
        <x:v>1445.8011970089615</x:v>
      </x:c>
      <x:c r="I3352" s="27" t="n">
        <x:f>IF(AND(ISNUMBER(G3352),ISNUMBER(H3352),H3352&gt;0),G3352/H3352-1,"")</x:f>
        <x:v>-0.005229966891195703</x:v>
      </x:c>
      <x:c r="J3352" s="27" t="n">
        <x:f>IF(AND(ISNUMBER(G3352),F3352&gt;0),G3352/F3352-1,"")</x:f>
        <x:v>0.007799984436160257</x:v>
      </x:c>
      <x:c r="K3352" s="19" t="str">
        <x:v>KuaiRec/EXP095/results/seed1692532192_Relative_cutoff_1e-4.json</x:v>
      </x:c>
    </x:row>
    <x:row r="3353" ht="15" hidden="0" customHeight="1">
      <x:c r="A3353" s="3" t="str">
        <x:v>EXP095</x:v>
      </x:c>
      <x:c r="B3353" s="3" t="str">
        <x:v>KuaiRec</x:v>
      </x:c>
      <x:c r="C3353" s="18" t="n">
        <x:v>1786198063</x:v>
      </x:c>
      <x:c r="D3353" s="3" t="str">
        <x:v>BBP</x:v>
      </x:c>
      <x:c r="E3353" s="18" t="n">
        <x:v>600</x:v>
      </x:c>
      <x:c r="F3353" s="21" t="n">
        <x:v>1355.7125659126707</x:v>
      </x:c>
      <x:c r="G3353" s="21" t="n">
        <x:f>F3353</x:f>
        <x:v>1355.7125659126707</x:v>
      </x:c>
      <x:c r="H3353" s="21" t="n">
        <x:f>F3358</x:f>
        <x:v>1354.9782919772879</x:v>
      </x:c>
      <x:c r="I3353" s="27" t="n">
        <x:f>IF(AND(ISNUMBER(G3353),ISNUMBER(H3353),H3353&gt;0),G3353/H3353-1,"")</x:f>
        <x:v>0.0005419082650477414</x:v>
      </x:c>
      <x:c r="J3353" s="27" t="n">
        <x:f>IF(AND(ISNUMBER(G3353),F3353&gt;0),G3353/F3353-1,"")</x:f>
        <x:v>0</x:v>
      </x:c>
      <x:c r="K3353" s="19" t="str">
        <x:v>KuaiRec/EXP095/results/seed1786198063_BBP.json</x:v>
      </x:c>
    </x:row>
    <x:row r="3354" ht="15" hidden="0" customHeight="1">
      <x:c r="A3354" s="3" t="str">
        <x:v>EXP095</x:v>
      </x:c>
      <x:c r="B3354" s="3" t="str">
        <x:v>KuaiRec</x:v>
      </x:c>
      <x:c r="C3354" s="18" t="n">
        <x:v>1786198063</x:v>
      </x:c>
      <x:c r="D3354" s="3" t="str">
        <x:v>Relative cutoff 1e-5</x:v>
      </x:c>
      <x:c r="E3354" s="18" t="n">
        <x:v>600</x:v>
      </x:c>
      <x:c r="F3354" s="21" t="n">
        <x:v>1362.030545750856</x:v>
      </x:c>
      <x:c r="G3354" s="21" t="n">
        <x:f>F3353</x:f>
        <x:v>1355.7125659126707</x:v>
      </x:c>
      <x:c r="H3354" s="21" t="n">
        <x:f>F3358</x:f>
        <x:v>1354.9782919772879</x:v>
      </x:c>
      <x:c r="I3354" s="27" t="n">
        <x:f>IF(AND(ISNUMBER(G3354),ISNUMBER(H3354),H3354&gt;0),G3354/H3354-1,"")</x:f>
        <x:v>0.0005419082650477414</x:v>
      </x:c>
      <x:c r="J3354" s="27" t="n">
        <x:f>IF(AND(ISNUMBER(G3354),F3354&gt;0),G3354/F3354-1,"")</x:f>
        <x:v>-0.004638647685175301</x:v>
      </x:c>
      <x:c r="K3354" s="19" t="str">
        <x:v>KuaiRec/EXP095/results/seed1786198063_Relative_cutoff_1e-5.json</x:v>
      </x:c>
    </x:row>
    <x:row r="3355" ht="15" hidden="0" customHeight="1">
      <x:c r="A3355" s="3" t="str">
        <x:v>EXP095</x:v>
      </x:c>
      <x:c r="B3355" s="3" t="str">
        <x:v>KuaiRec</x:v>
      </x:c>
      <x:c r="C3355" s="18" t="n">
        <x:v>1786198063</x:v>
      </x:c>
      <x:c r="D3355" s="3" t="str">
        <x:v>Fixed rank 10</x:v>
      </x:c>
      <x:c r="E3355" s="18" t="n">
        <x:v>600</x:v>
      </x:c>
      <x:c r="F3355" s="21" t="n">
        <x:v>1361.1560951906142</x:v>
      </x:c>
      <x:c r="G3355" s="21" t="n">
        <x:f>F3353</x:f>
        <x:v>1355.7125659126707</x:v>
      </x:c>
      <x:c r="H3355" s="21" t="n">
        <x:f>F3358</x:f>
        <x:v>1354.9782919772879</x:v>
      </x:c>
      <x:c r="I3355" s="27" t="n">
        <x:f>IF(AND(ISNUMBER(G3355),ISNUMBER(H3355),H3355&gt;0),G3355/H3355-1,"")</x:f>
        <x:v>0.0005419082650477414</x:v>
      </x:c>
      <x:c r="J3355" s="27" t="n">
        <x:f>IF(AND(ISNUMBER(G3355),F3355&gt;0),G3355/F3355-1,"")</x:f>
        <x:v>-0.003999195461253269</x:v>
      </x:c>
      <x:c r="K3355" s="19" t="str">
        <x:v>KuaiRec/EXP095/results/seed1786198063_Fixed_rank_10.json</x:v>
      </x:c>
    </x:row>
    <x:row r="3356" ht="15" hidden="0" customHeight="1">
      <x:c r="A3356" s="3" t="str">
        <x:v>EXP095</x:v>
      </x:c>
      <x:c r="B3356" s="3" t="str">
        <x:v>KuaiRec</x:v>
      </x:c>
      <x:c r="C3356" s="18" t="n">
        <x:v>1786198063</x:v>
      </x:c>
      <x:c r="D3356" s="3" t="str">
        <x:v>Fixed rank 25</x:v>
      </x:c>
      <x:c r="E3356" s="18" t="n">
        <x:v>600</x:v>
      </x:c>
      <x:c r="F3356" s="21" t="n">
        <x:v>1366.6192508311626</x:v>
      </x:c>
      <x:c r="G3356" s="21" t="n">
        <x:f>F3353</x:f>
        <x:v>1355.7125659126707</x:v>
      </x:c>
      <x:c r="H3356" s="21" t="n">
        <x:f>F3358</x:f>
        <x:v>1354.9782919772879</x:v>
      </x:c>
      <x:c r="I3356" s="27" t="n">
        <x:f>IF(AND(ISNUMBER(G3356),ISNUMBER(H3356),H3356&gt;0),G3356/H3356-1,"")</x:f>
        <x:v>0.0005419082650477414</x:v>
      </x:c>
      <x:c r="J3356" s="27" t="n">
        <x:f>IF(AND(ISNUMBER(G3356),F3356&gt;0),G3356/F3356-1,"")</x:f>
        <x:v>-0.007980778049086146</x:v>
      </x:c>
      <x:c r="K3356" s="19" t="str">
        <x:v>KuaiRec/EXP095/results/seed1786198063_Fixed_rank_25.json</x:v>
      </x:c>
    </x:row>
    <x:row r="3357" ht="15" hidden="0" customHeight="1">
      <x:c r="A3357" s="3" t="str">
        <x:v>EXP095</x:v>
      </x:c>
      <x:c r="B3357" s="3" t="str">
        <x:v>KuaiRec</x:v>
      </x:c>
      <x:c r="C3357" s="18" t="n">
        <x:v>1786198063</x:v>
      </x:c>
      <x:c r="D3357" s="3" t="str">
        <x:v>Relative cutoff 1e-6</x:v>
      </x:c>
      <x:c r="E3357" s="18" t="n">
        <x:v>600</x:v>
      </x:c>
      <x:c r="F3357" s="21" t="n">
        <x:v>1366.6192508311626</x:v>
      </x:c>
      <x:c r="G3357" s="21" t="n">
        <x:f>F3353</x:f>
        <x:v>1355.7125659126707</x:v>
      </x:c>
      <x:c r="H3357" s="21" t="n">
        <x:f>F3358</x:f>
        <x:v>1354.9782919772879</x:v>
      </x:c>
      <x:c r="I3357" s="27" t="n">
        <x:f>IF(AND(ISNUMBER(G3357),ISNUMBER(H3357),H3357&gt;0),G3357/H3357-1,"")</x:f>
        <x:v>0.0005419082650477414</x:v>
      </x:c>
      <x:c r="J3357" s="27" t="n">
        <x:f>IF(AND(ISNUMBER(G3357),F3357&gt;0),G3357/F3357-1,"")</x:f>
        <x:v>-0.007980778049086146</x:v>
      </x:c>
      <x:c r="K3357" s="19" t="str">
        <x:v>KuaiRec/EXP095/results/seed1786198063_Relative_cutoff_1e-6.json</x:v>
      </x:c>
    </x:row>
    <x:row r="3358" ht="15" hidden="0" customHeight="1">
      <x:c r="A3358" s="3" t="str">
        <x:v>EXP095</x:v>
      </x:c>
      <x:c r="B3358" s="3" t="str">
        <x:v>KuaiRec</x:v>
      </x:c>
      <x:c r="C3358" s="18" t="n">
        <x:v>1786198063</x:v>
      </x:c>
      <x:c r="D3358" s="3" t="str">
        <x:v>Full</x:v>
      </x:c>
      <x:c r="E3358" s="18" t="n">
        <x:v>600</x:v>
      </x:c>
      <x:c r="F3358" s="21" t="n">
        <x:v>1354.9782919772879</x:v>
      </x:c>
      <x:c r="G3358" s="21" t="n">
        <x:f>F3353</x:f>
        <x:v>1355.7125659126707</x:v>
      </x:c>
      <x:c r="H3358" s="21" t="n">
        <x:f>F3358</x:f>
        <x:v>1354.9782919772879</x:v>
      </x:c>
      <x:c r="I3358" s="27" t="n">
        <x:f>IF(AND(ISNUMBER(G3358),ISNUMBER(H3358),H3358&gt;0),G3358/H3358-1,"")</x:f>
        <x:v>0.0005419082650477414</x:v>
      </x:c>
      <x:c r="J3358" s="27" t="n">
        <x:f>IF(AND(ISNUMBER(G3358),F3358&gt;0),G3358/F3358-1,"")</x:f>
        <x:v>0.0005419082650477414</x:v>
      </x:c>
      <x:c r="K3358" s="19" t="str">
        <x:v>KuaiRec/EXP095/results/seed1786198063_Full.json</x:v>
      </x:c>
    </x:row>
    <x:row r="3359" ht="15" hidden="0" customHeight="1">
      <x:c r="A3359" s="3" t="str">
        <x:v>EXP095</x:v>
      </x:c>
      <x:c r="B3359" s="3" t="str">
        <x:v>KuaiRec</x:v>
      </x:c>
      <x:c r="C3359" s="18" t="n">
        <x:v>1786198063</x:v>
      </x:c>
      <x:c r="D3359" s="3" t="str">
        <x:v>Relative cutoff 1e-2</x:v>
      </x:c>
      <x:c r="E3359" s="18" t="n">
        <x:v>600</x:v>
      </x:c>
      <x:c r="F3359" s="21" t="n">
        <x:v>1275.1561278681972</x:v>
      </x:c>
      <x:c r="G3359" s="21" t="n">
        <x:f>F3353</x:f>
        <x:v>1355.7125659126707</x:v>
      </x:c>
      <x:c r="H3359" s="21" t="n">
        <x:f>F3358</x:f>
        <x:v>1354.9782919772879</x:v>
      </x:c>
      <x:c r="I3359" s="27" t="n">
        <x:f>IF(AND(ISNUMBER(G3359),ISNUMBER(H3359),H3359&gt;0),G3359/H3359-1,"")</x:f>
        <x:v>0.0005419082650477414</x:v>
      </x:c>
      <x:c r="J3359" s="27" t="n">
        <x:f>IF(AND(ISNUMBER(G3359),F3359&gt;0),G3359/F3359-1,"")</x:f>
        <x:v>0.06317378420095698</x:v>
      </x:c>
      <x:c r="K3359" s="19" t="str">
        <x:v>KuaiRec/EXP095/results/seed1786198063_Relative_cutoff_1e-2.json</x:v>
      </x:c>
    </x:row>
    <x:row r="3360" ht="15" hidden="0" customHeight="1">
      <x:c r="A3360" s="3" t="str">
        <x:v>EXP095</x:v>
      </x:c>
      <x:c r="B3360" s="3" t="str">
        <x:v>KuaiRec</x:v>
      </x:c>
      <x:c r="C3360" s="18" t="n">
        <x:v>1786198063</x:v>
      </x:c>
      <x:c r="D3360" s="3" t="str">
        <x:v>Relative cutoff 1e-4</x:v>
      </x:c>
      <x:c r="E3360" s="18" t="n">
        <x:v>600</x:v>
      </x:c>
      <x:c r="F3360" s="21" t="n">
        <x:v>1315.816586601497</x:v>
      </x:c>
      <x:c r="G3360" s="21" t="n">
        <x:f>F3353</x:f>
        <x:v>1355.7125659126707</x:v>
      </x:c>
      <x:c r="H3360" s="21" t="n">
        <x:f>F3358</x:f>
        <x:v>1354.9782919772879</x:v>
      </x:c>
      <x:c r="I3360" s="27" t="n">
        <x:f>IF(AND(ISNUMBER(G3360),ISNUMBER(H3360),H3360&gt;0),G3360/H3360-1,"")</x:f>
        <x:v>0.0005419082650477414</x:v>
      </x:c>
      <x:c r="J3360" s="27" t="n">
        <x:f>IF(AND(ISNUMBER(G3360),F3360&gt;0),G3360/F3360-1,"")</x:f>
        <x:v>0.03032031950153291</x:v>
      </x:c>
      <x:c r="K3360" s="19" t="str">
        <x:v>KuaiRec/EXP095/results/seed1786198063_Relative_cutoff_1e-4.json</x:v>
      </x:c>
    </x:row>
    <x:row r="3361" ht="15" hidden="0" customHeight="1">
      <x:c r="A3361" s="3" t="str">
        <x:v>EXP095</x:v>
      </x:c>
      <x:c r="B3361" s="3" t="str">
        <x:v>KuaiRec</x:v>
      </x:c>
      <x:c r="C3361" s="18" t="n">
        <x:v>1800891344</x:v>
      </x:c>
      <x:c r="D3361" s="3" t="str">
        <x:v>BBP</x:v>
      </x:c>
      <x:c r="E3361" s="18" t="n">
        <x:v>600</x:v>
      </x:c>
      <x:c r="F3361" s="21" t="n">
        <x:v>1278.7050600857028</x:v>
      </x:c>
      <x:c r="G3361" s="21" t="n">
        <x:f>F3361</x:f>
        <x:v>1278.7050600857028</x:v>
      </x:c>
      <x:c r="H3361" s="21" t="n">
        <x:f>F3366</x:f>
        <x:v>1285.4744690352036</x:v>
      </x:c>
      <x:c r="I3361" s="27" t="n">
        <x:f>IF(AND(ISNUMBER(G3361),ISNUMBER(H3361),H3361&gt;0),G3361/H3361-1,"")</x:f>
        <x:v>-0.0052660781000041235</x:v>
      </x:c>
      <x:c r="J3361" s="27" t="n">
        <x:f>IF(AND(ISNUMBER(G3361),F3361&gt;0),G3361/F3361-1,"")</x:f>
        <x:v>0</x:v>
      </x:c>
      <x:c r="K3361" s="19" t="str">
        <x:v>KuaiRec/EXP095/results/seed1800891344_BBP.json</x:v>
      </x:c>
    </x:row>
    <x:row r="3362" ht="15" hidden="0" customHeight="1">
      <x:c r="A3362" s="3" t="str">
        <x:v>EXP095</x:v>
      </x:c>
      <x:c r="B3362" s="3" t="str">
        <x:v>KuaiRec</x:v>
      </x:c>
      <x:c r="C3362" s="18" t="n">
        <x:v>1800891344</x:v>
      </x:c>
      <x:c r="D3362" s="3" t="str">
        <x:v>Relative cutoff 1e-5</x:v>
      </x:c>
      <x:c r="E3362" s="18" t="n">
        <x:v>600</x:v>
      </x:c>
      <x:c r="F3362" s="21" t="n">
        <x:v>1259.4179333212717</x:v>
      </x:c>
      <x:c r="G3362" s="21" t="n">
        <x:f>F3361</x:f>
        <x:v>1278.7050600857028</x:v>
      </x:c>
      <x:c r="H3362" s="21" t="n">
        <x:f>F3366</x:f>
        <x:v>1285.4744690352036</x:v>
      </x:c>
      <x:c r="I3362" s="27" t="n">
        <x:f>IF(AND(ISNUMBER(G3362),ISNUMBER(H3362),H3362&gt;0),G3362/H3362-1,"")</x:f>
        <x:v>-0.0052660781000041235</x:v>
      </x:c>
      <x:c r="J3362" s="27" t="n">
        <x:f>IF(AND(ISNUMBER(G3362),F3362&gt;0),G3362/F3362-1,"")</x:f>
        <x:v>0.015314318030685836</x:v>
      </x:c>
      <x:c r="K3362" s="19" t="str">
        <x:v>KuaiRec/EXP095/results/seed1800891344_Relative_cutoff_1e-5.json</x:v>
      </x:c>
    </x:row>
    <x:row r="3363" ht="15" hidden="0" customHeight="1">
      <x:c r="A3363" s="3" t="str">
        <x:v>EXP095</x:v>
      </x:c>
      <x:c r="B3363" s="3" t="str">
        <x:v>KuaiRec</x:v>
      </x:c>
      <x:c r="C3363" s="18" t="n">
        <x:v>1800891344</x:v>
      </x:c>
      <x:c r="D3363" s="3" t="str">
        <x:v>Fixed rank 10</x:v>
      </x:c>
      <x:c r="E3363" s="18" t="n">
        <x:v>600</x:v>
      </x:c>
      <x:c r="F3363" s="21" t="n">
        <x:v>1211.4390841952466</x:v>
      </x:c>
      <x:c r="G3363" s="21" t="n">
        <x:f>F3361</x:f>
        <x:v>1278.7050600857028</x:v>
      </x:c>
      <x:c r="H3363" s="21" t="n">
        <x:f>F3366</x:f>
        <x:v>1285.4744690352036</x:v>
      </x:c>
      <x:c r="I3363" s="27" t="n">
        <x:f>IF(AND(ISNUMBER(G3363),ISNUMBER(H3363),H3363&gt;0),G3363/H3363-1,"")</x:f>
        <x:v>-0.0052660781000041235</x:v>
      </x:c>
      <x:c r="J3363" s="27" t="n">
        <x:f>IF(AND(ISNUMBER(G3363),F3363&gt;0),G3363/F3363-1,"")</x:f>
        <x:v>0.05552567749218751</x:v>
      </x:c>
      <x:c r="K3363" s="19" t="str">
        <x:v>KuaiRec/EXP095/results/seed1800891344_Fixed_rank_10.json</x:v>
      </x:c>
    </x:row>
    <x:row r="3364" ht="15" hidden="0" customHeight="1">
      <x:c r="A3364" s="3" t="str">
        <x:v>EXP095</x:v>
      </x:c>
      <x:c r="B3364" s="3" t="str">
        <x:v>KuaiRec</x:v>
      </x:c>
      <x:c r="C3364" s="18" t="n">
        <x:v>1800891344</x:v>
      </x:c>
      <x:c r="D3364" s="3" t="str">
        <x:v>Fixed rank 25</x:v>
      </x:c>
      <x:c r="E3364" s="18" t="n">
        <x:v>600</x:v>
      </x:c>
      <x:c r="F3364" s="21" t="n">
        <x:v>1285.4744690352036</x:v>
      </x:c>
      <x:c r="G3364" s="21" t="n">
        <x:f>F3361</x:f>
        <x:v>1278.7050600857028</x:v>
      </x:c>
      <x:c r="H3364" s="21" t="n">
        <x:f>F3366</x:f>
        <x:v>1285.4744690352036</x:v>
      </x:c>
      <x:c r="I3364" s="27" t="n">
        <x:f>IF(AND(ISNUMBER(G3364),ISNUMBER(H3364),H3364&gt;0),G3364/H3364-1,"")</x:f>
        <x:v>-0.0052660781000041235</x:v>
      </x:c>
      <x:c r="J3364" s="27" t="n">
        <x:f>IF(AND(ISNUMBER(G3364),F3364&gt;0),G3364/F3364-1,"")</x:f>
        <x:v>-0.0052660781000041235</x:v>
      </x:c>
      <x:c r="K3364" s="19" t="str">
        <x:v>KuaiRec/EXP095/results/seed1800891344_Fixed_rank_25.json</x:v>
      </x:c>
    </x:row>
    <x:row r="3365" ht="15" hidden="0" customHeight="1">
      <x:c r="A3365" s="3" t="str">
        <x:v>EXP095</x:v>
      </x:c>
      <x:c r="B3365" s="3" t="str">
        <x:v>KuaiRec</x:v>
      </x:c>
      <x:c r="C3365" s="18" t="n">
        <x:v>1800891344</x:v>
      </x:c>
      <x:c r="D3365" s="3" t="str">
        <x:v>Relative cutoff 1e-6</x:v>
      </x:c>
      <x:c r="E3365" s="18" t="n">
        <x:v>600</x:v>
      </x:c>
      <x:c r="F3365" s="21" t="n">
        <x:v>1285.4744690352036</x:v>
      </x:c>
      <x:c r="G3365" s="21" t="n">
        <x:f>F3361</x:f>
        <x:v>1278.7050600857028</x:v>
      </x:c>
      <x:c r="H3365" s="21" t="n">
        <x:f>F3366</x:f>
        <x:v>1285.4744690352036</x:v>
      </x:c>
      <x:c r="I3365" s="27" t="n">
        <x:f>IF(AND(ISNUMBER(G3365),ISNUMBER(H3365),H3365&gt;0),G3365/H3365-1,"")</x:f>
        <x:v>-0.0052660781000041235</x:v>
      </x:c>
      <x:c r="J3365" s="27" t="n">
        <x:f>IF(AND(ISNUMBER(G3365),F3365&gt;0),G3365/F3365-1,"")</x:f>
        <x:v>-0.0052660781000041235</x:v>
      </x:c>
      <x:c r="K3365" s="19" t="str">
        <x:v>KuaiRec/EXP095/results/seed1800891344_Relative_cutoff_1e-6.json</x:v>
      </x:c>
    </x:row>
    <x:row r="3366" ht="15" hidden="0" customHeight="1">
      <x:c r="A3366" s="3" t="str">
        <x:v>EXP095</x:v>
      </x:c>
      <x:c r="B3366" s="3" t="str">
        <x:v>KuaiRec</x:v>
      </x:c>
      <x:c r="C3366" s="18" t="n">
        <x:v>1800891344</x:v>
      </x:c>
      <x:c r="D3366" s="3" t="str">
        <x:v>Full</x:v>
      </x:c>
      <x:c r="E3366" s="18" t="n">
        <x:v>600</x:v>
      </x:c>
      <x:c r="F3366" s="21" t="n">
        <x:v>1285.4744690352036</x:v>
      </x:c>
      <x:c r="G3366" s="21" t="n">
        <x:f>F3361</x:f>
        <x:v>1278.7050600857028</x:v>
      </x:c>
      <x:c r="H3366" s="21" t="n">
        <x:f>F3366</x:f>
        <x:v>1285.4744690352036</x:v>
      </x:c>
      <x:c r="I3366" s="27" t="n">
        <x:f>IF(AND(ISNUMBER(G3366),ISNUMBER(H3366),H3366&gt;0),G3366/H3366-1,"")</x:f>
        <x:v>-0.0052660781000041235</x:v>
      </x:c>
      <x:c r="J3366" s="27" t="n">
        <x:f>IF(AND(ISNUMBER(G3366),F3366&gt;0),G3366/F3366-1,"")</x:f>
        <x:v>-0.0052660781000041235</x:v>
      </x:c>
      <x:c r="K3366" s="19" t="str">
        <x:v>KuaiRec/EXP095/results/seed1800891344_Full.json</x:v>
      </x:c>
    </x:row>
    <x:row r="3367" ht="15" hidden="0" customHeight="1">
      <x:c r="A3367" s="3" t="str">
        <x:v>EXP095</x:v>
      </x:c>
      <x:c r="B3367" s="3" t="str">
        <x:v>KuaiRec</x:v>
      </x:c>
      <x:c r="C3367" s="18" t="n">
        <x:v>1800891344</x:v>
      </x:c>
      <x:c r="D3367" s="3" t="str">
        <x:v>Relative cutoff 1e-2</x:v>
      </x:c>
      <x:c r="E3367" s="18" t="n">
        <x:v>600</x:v>
      </x:c>
      <x:c r="F3367" s="21" t="n">
        <x:v>1226.629401411725</x:v>
      </x:c>
      <x:c r="G3367" s="21" t="n">
        <x:f>F3361</x:f>
        <x:v>1278.7050600857028</x:v>
      </x:c>
      <x:c r="H3367" s="21" t="n">
        <x:f>F3366</x:f>
        <x:v>1285.4744690352036</x:v>
      </x:c>
      <x:c r="I3367" s="27" t="n">
        <x:f>IF(AND(ISNUMBER(G3367),ISNUMBER(H3367),H3367&gt;0),G3367/H3367-1,"")</x:f>
        <x:v>-0.0052660781000041235</x:v>
      </x:c>
      <x:c r="J3367" s="27" t="n">
        <x:f>IF(AND(ISNUMBER(G3367),F3367&gt;0),G3367/F3367-1,"")</x:f>
        <x:v>0.04245427234504895</x:v>
      </x:c>
      <x:c r="K3367" s="19" t="str">
        <x:v>KuaiRec/EXP095/results/seed1800891344_Relative_cutoff_1e-2.json</x:v>
      </x:c>
    </x:row>
    <x:row r="3368" ht="15" hidden="0" customHeight="1">
      <x:c r="A3368" s="3" t="str">
        <x:v>EXP095</x:v>
      </x:c>
      <x:c r="B3368" s="3" t="str">
        <x:v>KuaiRec</x:v>
      </x:c>
      <x:c r="C3368" s="18" t="n">
        <x:v>1800891344</x:v>
      </x:c>
      <x:c r="D3368" s="3" t="str">
        <x:v>Relative cutoff 1e-4</x:v>
      </x:c>
      <x:c r="E3368" s="18" t="n">
        <x:v>600</x:v>
      </x:c>
      <x:c r="F3368" s="21" t="n">
        <x:v>1204.1432150521339</x:v>
      </x:c>
      <x:c r="G3368" s="21" t="n">
        <x:f>F3361</x:f>
        <x:v>1278.7050600857028</x:v>
      </x:c>
      <x:c r="H3368" s="21" t="n">
        <x:f>F3366</x:f>
        <x:v>1285.4744690352036</x:v>
      </x:c>
      <x:c r="I3368" s="27" t="n">
        <x:f>IF(AND(ISNUMBER(G3368),ISNUMBER(H3368),H3368&gt;0),G3368/H3368-1,"")</x:f>
        <x:v>-0.0052660781000041235</x:v>
      </x:c>
      <x:c r="J3368" s="27" t="n">
        <x:f>IF(AND(ISNUMBER(G3368),F3368&gt;0),G3368/F3368-1,"")</x:f>
        <x:v>0.06192107724523521</x:v>
      </x:c>
      <x:c r="K3368" s="19" t="str">
        <x:v>KuaiRec/EXP095/results/seed1800891344_Relative_cutoff_1e-4.json</x:v>
      </x:c>
    </x:row>
    <x:row r="3369" ht="15" hidden="0" customHeight="1">
      <x:c r="A3369" s="3" t="str">
        <x:v>EXP095</x:v>
      </x:c>
      <x:c r="B3369" s="3" t="str">
        <x:v>KuaiRec</x:v>
      </x:c>
      <x:c r="C3369" s="18" t="n">
        <x:v>1825741997</x:v>
      </x:c>
      <x:c r="D3369" s="3" t="str">
        <x:v>BBP</x:v>
      </x:c>
      <x:c r="E3369" s="18" t="n">
        <x:v>600</x:v>
      </x:c>
      <x:c r="F3369" s="21" t="n">
        <x:v>1278.5231993452041</x:v>
      </x:c>
      <x:c r="G3369" s="21" t="n">
        <x:f>F3369</x:f>
        <x:v>1278.5231993452041</x:v>
      </x:c>
      <x:c r="H3369" s="21" t="n">
        <x:f>F3374</x:f>
        <x:v>1383.981480951252</x:v>
      </x:c>
      <x:c r="I3369" s="27" t="n">
        <x:f>IF(AND(ISNUMBER(G3369),ISNUMBER(H3369),H3369&gt;0),G3369/H3369-1,"")</x:f>
        <x:v>-0.07619919995863189</x:v>
      </x:c>
      <x:c r="J3369" s="27" t="n">
        <x:f>IF(AND(ISNUMBER(G3369),F3369&gt;0),G3369/F3369-1,"")</x:f>
        <x:v>0</x:v>
      </x:c>
      <x:c r="K3369" s="19" t="str">
        <x:v>KuaiRec/EXP095/results/seed1825741997_BBP.json</x:v>
      </x:c>
    </x:row>
    <x:row r="3370" ht="15" hidden="0" customHeight="1">
      <x:c r="A3370" s="3" t="str">
        <x:v>EXP095</x:v>
      </x:c>
      <x:c r="B3370" s="3" t="str">
        <x:v>KuaiRec</x:v>
      </x:c>
      <x:c r="C3370" s="18" t="n">
        <x:v>1825741997</x:v>
      </x:c>
      <x:c r="D3370" s="3" t="str">
        <x:v>Relative cutoff 1e-5</x:v>
      </x:c>
      <x:c r="E3370" s="18" t="n">
        <x:v>600</x:v>
      </x:c>
      <x:c r="F3370" s="21" t="n">
        <x:v>1269.7258898542837</x:v>
      </x:c>
      <x:c r="G3370" s="21" t="n">
        <x:f>F3369</x:f>
        <x:v>1278.5231993452041</x:v>
      </x:c>
      <x:c r="H3370" s="21" t="n">
        <x:f>F3374</x:f>
        <x:v>1383.981480951252</x:v>
      </x:c>
      <x:c r="I3370" s="27" t="n">
        <x:f>IF(AND(ISNUMBER(G3370),ISNUMBER(H3370),H3370&gt;0),G3370/H3370-1,"")</x:f>
        <x:v>-0.07619919995863189</x:v>
      </x:c>
      <x:c r="J3370" s="27" t="n">
        <x:f>IF(AND(ISNUMBER(G3370),F3370&gt;0),G3370/F3370-1,"")</x:f>
        <x:v>0.006928510760641382</x:v>
      </x:c>
      <x:c r="K3370" s="19" t="str">
        <x:v>KuaiRec/EXP095/results/seed1825741997_Relative_cutoff_1e-5.json</x:v>
      </x:c>
    </x:row>
    <x:row r="3371" ht="15" hidden="0" customHeight="1">
      <x:c r="A3371" s="3" t="str">
        <x:v>EXP095</x:v>
      </x:c>
      <x:c r="B3371" s="3" t="str">
        <x:v>KuaiRec</x:v>
      </x:c>
      <x:c r="C3371" s="18" t="n">
        <x:v>1825741997</x:v>
      </x:c>
      <x:c r="D3371" s="3" t="str">
        <x:v>Fixed rank 10</x:v>
      </x:c>
      <x:c r="E3371" s="18" t="n">
        <x:v>600</x:v>
      </x:c>
      <x:c r="F3371" s="21" t="n">
        <x:v>1356.3537455653864</x:v>
      </x:c>
      <x:c r="G3371" s="21" t="n">
        <x:f>F3369</x:f>
        <x:v>1278.5231993452041</x:v>
      </x:c>
      <x:c r="H3371" s="21" t="n">
        <x:f>F3374</x:f>
        <x:v>1383.981480951252</x:v>
      </x:c>
      <x:c r="I3371" s="27" t="n">
        <x:f>IF(AND(ISNUMBER(G3371),ISNUMBER(H3371),H3371&gt;0),G3371/H3371-1,"")</x:f>
        <x:v>-0.07619919995863189</x:v>
      </x:c>
      <x:c r="J3371" s="27" t="n">
        <x:f>IF(AND(ISNUMBER(G3371),F3371&gt;0),G3371/F3371-1,"")</x:f>
        <x:v>-0.05738218844062626</x:v>
      </x:c>
      <x:c r="K3371" s="19" t="str">
        <x:v>KuaiRec/EXP095/results/seed1825741997_Fixed_rank_10.json</x:v>
      </x:c>
    </x:row>
    <x:row r="3372" ht="15" hidden="0" customHeight="1">
      <x:c r="A3372" s="3" t="str">
        <x:v>EXP095</x:v>
      </x:c>
      <x:c r="B3372" s="3" t="str">
        <x:v>KuaiRec</x:v>
      </x:c>
      <x:c r="C3372" s="18" t="n">
        <x:v>1825741997</x:v>
      </x:c>
      <x:c r="D3372" s="3" t="str">
        <x:v>Fixed rank 25</x:v>
      </x:c>
      <x:c r="E3372" s="18" t="n">
        <x:v>600</x:v>
      </x:c>
      <x:c r="F3372" s="21" t="n">
        <x:v>1278.5231993452041</x:v>
      </x:c>
      <x:c r="G3372" s="21" t="n">
        <x:f>F3369</x:f>
        <x:v>1278.5231993452041</x:v>
      </x:c>
      <x:c r="H3372" s="21" t="n">
        <x:f>F3374</x:f>
        <x:v>1383.981480951252</x:v>
      </x:c>
      <x:c r="I3372" s="27" t="n">
        <x:f>IF(AND(ISNUMBER(G3372),ISNUMBER(H3372),H3372&gt;0),G3372/H3372-1,"")</x:f>
        <x:v>-0.07619919995863189</x:v>
      </x:c>
      <x:c r="J3372" s="27" t="n">
        <x:f>IF(AND(ISNUMBER(G3372),F3372&gt;0),G3372/F3372-1,"")</x:f>
        <x:v>0</x:v>
      </x:c>
      <x:c r="K3372" s="19" t="str">
        <x:v>KuaiRec/EXP095/results/seed1825741997_Fixed_rank_25.json</x:v>
      </x:c>
    </x:row>
    <x:row r="3373" ht="15" hidden="0" customHeight="1">
      <x:c r="A3373" s="3" t="str">
        <x:v>EXP095</x:v>
      </x:c>
      <x:c r="B3373" s="3" t="str">
        <x:v>KuaiRec</x:v>
      </x:c>
      <x:c r="C3373" s="18" t="n">
        <x:v>1825741997</x:v>
      </x:c>
      <x:c r="D3373" s="3" t="str">
        <x:v>Relative cutoff 1e-6</x:v>
      </x:c>
      <x:c r="E3373" s="18" t="n">
        <x:v>600</x:v>
      </x:c>
      <x:c r="F3373" s="21" t="n">
        <x:v>1385.7969648732758</x:v>
      </x:c>
      <x:c r="G3373" s="21" t="n">
        <x:f>F3369</x:f>
        <x:v>1278.5231993452041</x:v>
      </x:c>
      <x:c r="H3373" s="21" t="n">
        <x:f>F3374</x:f>
        <x:v>1383.981480951252</x:v>
      </x:c>
      <x:c r="I3373" s="27" t="n">
        <x:f>IF(AND(ISNUMBER(G3373),ISNUMBER(H3373),H3373&gt;0),G3373/H3373-1,"")</x:f>
        <x:v>-0.07619919995863189</x:v>
      </x:c>
      <x:c r="J3373" s="27" t="n">
        <x:f>IF(AND(ISNUMBER(G3373),F3373&gt;0),G3373/F3373-1,"")</x:f>
        <x:v>-0.07740943893457097</x:v>
      </x:c>
      <x:c r="K3373" s="19" t="str">
        <x:v>KuaiRec/EXP095/results/seed1825741997_Relative_cutoff_1e-6.json</x:v>
      </x:c>
    </x:row>
    <x:row r="3374" ht="15" hidden="0" customHeight="1">
      <x:c r="A3374" s="3" t="str">
        <x:v>EXP095</x:v>
      </x:c>
      <x:c r="B3374" s="3" t="str">
        <x:v>KuaiRec</x:v>
      </x:c>
      <x:c r="C3374" s="18" t="n">
        <x:v>1825741997</x:v>
      </x:c>
      <x:c r="D3374" s="3" t="str">
        <x:v>Full</x:v>
      </x:c>
      <x:c r="E3374" s="18" t="n">
        <x:v>600</x:v>
      </x:c>
      <x:c r="F3374" s="21" t="n">
        <x:v>1383.981480951252</x:v>
      </x:c>
      <x:c r="G3374" s="21" t="n">
        <x:f>F3369</x:f>
        <x:v>1278.5231993452041</x:v>
      </x:c>
      <x:c r="H3374" s="21" t="n">
        <x:f>F3374</x:f>
        <x:v>1383.981480951252</x:v>
      </x:c>
      <x:c r="I3374" s="27" t="n">
        <x:f>IF(AND(ISNUMBER(G3374),ISNUMBER(H3374),H3374&gt;0),G3374/H3374-1,"")</x:f>
        <x:v>-0.07619919995863189</x:v>
      </x:c>
      <x:c r="J3374" s="27" t="n">
        <x:f>IF(AND(ISNUMBER(G3374),F3374&gt;0),G3374/F3374-1,"")</x:f>
        <x:v>-0.07619919995863189</x:v>
      </x:c>
      <x:c r="K3374" s="19" t="str">
        <x:v>KuaiRec/EXP095/results/seed1825741997_Full.json</x:v>
      </x:c>
    </x:row>
    <x:row r="3375" ht="15" hidden="0" customHeight="1">
      <x:c r="A3375" s="3" t="str">
        <x:v>EXP095</x:v>
      </x:c>
      <x:c r="B3375" s="3" t="str">
        <x:v>KuaiRec</x:v>
      </x:c>
      <x:c r="C3375" s="18" t="n">
        <x:v>1825741997</x:v>
      </x:c>
      <x:c r="D3375" s="3" t="str">
        <x:v>Relative cutoff 1e-2</x:v>
      </x:c>
      <x:c r="E3375" s="18" t="n">
        <x:v>600</x:v>
      </x:c>
      <x:c r="F3375" s="21" t="n">
        <x:v>1303.3757144389203</x:v>
      </x:c>
      <x:c r="G3375" s="21" t="n">
        <x:f>F3369</x:f>
        <x:v>1278.5231993452041</x:v>
      </x:c>
      <x:c r="H3375" s="21" t="n">
        <x:f>F3374</x:f>
        <x:v>1383.981480951252</x:v>
      </x:c>
      <x:c r="I3375" s="27" t="n">
        <x:f>IF(AND(ISNUMBER(G3375),ISNUMBER(H3375),H3375&gt;0),G3375/H3375-1,"")</x:f>
        <x:v>-0.07619919995863189</x:v>
      </x:c>
      <x:c r="J3375" s="27" t="n">
        <x:f>IF(AND(ISNUMBER(G3375),F3375&gt;0),G3375/F3375-1,"")</x:f>
        <x:v>-0.01906780586625767</x:v>
      </x:c>
      <x:c r="K3375" s="19" t="str">
        <x:v>KuaiRec/EXP095/results/seed1825741997_Relative_cutoff_1e-2.json</x:v>
      </x:c>
    </x:row>
    <x:row r="3376" ht="15" hidden="0" customHeight="1">
      <x:c r="A3376" s="3" t="str">
        <x:v>EXP095</x:v>
      </x:c>
      <x:c r="B3376" s="3" t="str">
        <x:v>KuaiRec</x:v>
      </x:c>
      <x:c r="C3376" s="18" t="n">
        <x:v>1825741997</x:v>
      </x:c>
      <x:c r="D3376" s="3" t="str">
        <x:v>Relative cutoff 1e-4</x:v>
      </x:c>
      <x:c r="E3376" s="18" t="n">
        <x:v>600</x:v>
      </x:c>
      <x:c r="F3376" s="21" t="n">
        <x:v>1301.7075893388553</x:v>
      </x:c>
      <x:c r="G3376" s="21" t="n">
        <x:f>F3369</x:f>
        <x:v>1278.5231993452041</x:v>
      </x:c>
      <x:c r="H3376" s="21" t="n">
        <x:f>F3374</x:f>
        <x:v>1383.981480951252</x:v>
      </x:c>
      <x:c r="I3376" s="27" t="n">
        <x:f>IF(AND(ISNUMBER(G3376),ISNUMBER(H3376),H3376&gt;0),G3376/H3376-1,"")</x:f>
        <x:v>-0.07619919995863189</x:v>
      </x:c>
      <x:c r="J3376" s="27" t="n">
        <x:f>IF(AND(ISNUMBER(G3376),F3376&gt;0),G3376/F3376-1,"")</x:f>
        <x:v>-0.017810751188311547</x:v>
      </x:c>
      <x:c r="K3376" s="19" t="str">
        <x:v>KuaiRec/EXP095/results/seed1825741997_Relative_cutoff_1e-4.json</x:v>
      </x:c>
    </x:row>
    <x:row r="3377" ht="15" hidden="0" customHeight="1">
      <x:c r="A3377" s="3" t="str">
        <x:v>EXP095</x:v>
      </x:c>
      <x:c r="B3377" s="3" t="str">
        <x:v>KuaiRec</x:v>
      </x:c>
      <x:c r="C3377" s="18" t="n">
        <x:v>1843916749</x:v>
      </x:c>
      <x:c r="D3377" s="3" t="str">
        <x:v>BBP</x:v>
      </x:c>
      <x:c r="E3377" s="18" t="n">
        <x:v>600</x:v>
      </x:c>
      <x:c r="F3377" s="21" t="n">
        <x:v>1303.2800608220577</x:v>
      </x:c>
      <x:c r="G3377" s="21" t="n">
        <x:f>F3377</x:f>
        <x:v>1303.2800608220577</x:v>
      </x:c>
      <x:c r="H3377" s="21" t="n">
        <x:f>F3382</x:f>
        <x:v>1288.1470046736933</x:v>
      </x:c>
      <x:c r="I3377" s="27" t="n">
        <x:f>IF(AND(ISNUMBER(G3377),ISNUMBER(H3377),H3377&gt;0),G3377/H3377-1,"")</x:f>
        <x:v>0.011747926357362992</x:v>
      </x:c>
      <x:c r="J3377" s="27" t="n">
        <x:f>IF(AND(ISNUMBER(G3377),F3377&gt;0),G3377/F3377-1,"")</x:f>
        <x:v>0</x:v>
      </x:c>
      <x:c r="K3377" s="19" t="str">
        <x:v>KuaiRec/EXP095/results/seed1843916749_BBP.json</x:v>
      </x:c>
    </x:row>
    <x:row r="3378" ht="15" hidden="0" customHeight="1">
      <x:c r="A3378" s="3" t="str">
        <x:v>EXP095</x:v>
      </x:c>
      <x:c r="B3378" s="3" t="str">
        <x:v>KuaiRec</x:v>
      </x:c>
      <x:c r="C3378" s="18" t="n">
        <x:v>1843916749</x:v>
      </x:c>
      <x:c r="D3378" s="3" t="str">
        <x:v>Relative cutoff 1e-5</x:v>
      </x:c>
      <x:c r="E3378" s="18" t="n">
        <x:v>600</x:v>
      </x:c>
      <x:c r="F3378" s="21" t="n">
        <x:v>1287.8204710129023</x:v>
      </x:c>
      <x:c r="G3378" s="21" t="n">
        <x:f>F3377</x:f>
        <x:v>1303.2800608220577</x:v>
      </x:c>
      <x:c r="H3378" s="21" t="n">
        <x:f>F3382</x:f>
        <x:v>1288.1470046736933</x:v>
      </x:c>
      <x:c r="I3378" s="27" t="n">
        <x:f>IF(AND(ISNUMBER(G3378),ISNUMBER(H3378),H3378&gt;0),G3378/H3378-1,"")</x:f>
        <x:v>0.011747926357362992</x:v>
      </x:c>
      <x:c r="J3378" s="27" t="n">
        <x:f>IF(AND(ISNUMBER(G3378),F3378&gt;0),G3378/F3378-1,"")</x:f>
        <x:v>0.01200446037093661</x:v>
      </x:c>
      <x:c r="K3378" s="19" t="str">
        <x:v>KuaiRec/EXP095/results/seed1843916749_Relative_cutoff_1e-5.json</x:v>
      </x:c>
    </x:row>
    <x:row r="3379" ht="15" hidden="0" customHeight="1">
      <x:c r="A3379" s="3" t="str">
        <x:v>EXP095</x:v>
      </x:c>
      <x:c r="B3379" s="3" t="str">
        <x:v>KuaiRec</x:v>
      </x:c>
      <x:c r="C3379" s="18" t="n">
        <x:v>1843916749</x:v>
      </x:c>
      <x:c r="D3379" s="3" t="str">
        <x:v>Fixed rank 10</x:v>
      </x:c>
      <x:c r="E3379" s="18" t="n">
        <x:v>600</x:v>
      </x:c>
      <x:c r="F3379" s="21" t="n">
        <x:v>1325.4540433860334</x:v>
      </x:c>
      <x:c r="G3379" s="21" t="n">
        <x:f>F3377</x:f>
        <x:v>1303.2800608220577</x:v>
      </x:c>
      <x:c r="H3379" s="21" t="n">
        <x:f>F3382</x:f>
        <x:v>1288.1470046736933</x:v>
      </x:c>
      <x:c r="I3379" s="27" t="n">
        <x:f>IF(AND(ISNUMBER(G3379),ISNUMBER(H3379),H3379&gt;0),G3379/H3379-1,"")</x:f>
        <x:v>0.011747926357362992</x:v>
      </x:c>
      <x:c r="J3379" s="27" t="n">
        <x:f>IF(AND(ISNUMBER(G3379),F3379&gt;0),G3379/F3379-1,"")</x:f>
        <x:v>-0.016729348463360938</x:v>
      </x:c>
      <x:c r="K3379" s="19" t="str">
        <x:v>KuaiRec/EXP095/results/seed1843916749_Fixed_rank_10.json</x:v>
      </x:c>
    </x:row>
    <x:row r="3380" ht="15" hidden="0" customHeight="1">
      <x:c r="A3380" s="3" t="str">
        <x:v>EXP095</x:v>
      </x:c>
      <x:c r="B3380" s="3" t="str">
        <x:v>KuaiRec</x:v>
      </x:c>
      <x:c r="C3380" s="18" t="n">
        <x:v>1843916749</x:v>
      </x:c>
      <x:c r="D3380" s="3" t="str">
        <x:v>Fixed rank 25</x:v>
      </x:c>
      <x:c r="E3380" s="18" t="n">
        <x:v>600</x:v>
      </x:c>
      <x:c r="F3380" s="21" t="n">
        <x:v>1302.1391538544185</x:v>
      </x:c>
      <x:c r="G3380" s="21" t="n">
        <x:f>F3377</x:f>
        <x:v>1303.2800608220577</x:v>
      </x:c>
      <x:c r="H3380" s="21" t="n">
        <x:f>F3382</x:f>
        <x:v>1288.1470046736933</x:v>
      </x:c>
      <x:c r="I3380" s="27" t="n">
        <x:f>IF(AND(ISNUMBER(G3380),ISNUMBER(H3380),H3380&gt;0),G3380/H3380-1,"")</x:f>
        <x:v>0.011747926357362992</x:v>
      </x:c>
      <x:c r="J3380" s="27" t="n">
        <x:f>IF(AND(ISNUMBER(G3380),F3380&gt;0),G3380/F3380-1,"")</x:f>
        <x:v>0.0008761789892133276</x:v>
      </x:c>
      <x:c r="K3380" s="19" t="str">
        <x:v>KuaiRec/EXP095/results/seed1843916749_Fixed_rank_25.json</x:v>
      </x:c>
    </x:row>
    <x:row r="3381" ht="15" hidden="0" customHeight="1">
      <x:c r="A3381" s="3" t="str">
        <x:v>EXP095</x:v>
      </x:c>
      <x:c r="B3381" s="3" t="str">
        <x:v>KuaiRec</x:v>
      </x:c>
      <x:c r="C3381" s="18" t="n">
        <x:v>1843916749</x:v>
      </x:c>
      <x:c r="D3381" s="3" t="str">
        <x:v>Relative cutoff 1e-6</x:v>
      </x:c>
      <x:c r="E3381" s="18" t="n">
        <x:v>600</x:v>
      </x:c>
      <x:c r="F3381" s="21" t="n">
        <x:v>1303.2800608220577</x:v>
      </x:c>
      <x:c r="G3381" s="21" t="n">
        <x:f>F3377</x:f>
        <x:v>1303.2800608220577</x:v>
      </x:c>
      <x:c r="H3381" s="21" t="n">
        <x:f>F3382</x:f>
        <x:v>1288.1470046736933</x:v>
      </x:c>
      <x:c r="I3381" s="27" t="n">
        <x:f>IF(AND(ISNUMBER(G3381),ISNUMBER(H3381),H3381&gt;0),G3381/H3381-1,"")</x:f>
        <x:v>0.011747926357362992</x:v>
      </x:c>
      <x:c r="J3381" s="27" t="n">
        <x:f>IF(AND(ISNUMBER(G3381),F3381&gt;0),G3381/F3381-1,"")</x:f>
        <x:v>0</x:v>
      </x:c>
      <x:c r="K3381" s="19" t="str">
        <x:v>KuaiRec/EXP095/results/seed1843916749_Relative_cutoff_1e-6.json</x:v>
      </x:c>
    </x:row>
    <x:row r="3382" ht="15" hidden="0" customHeight="1">
      <x:c r="A3382" s="3" t="str">
        <x:v>EXP095</x:v>
      </x:c>
      <x:c r="B3382" s="3" t="str">
        <x:v>KuaiRec</x:v>
      </x:c>
      <x:c r="C3382" s="18" t="n">
        <x:v>1843916749</x:v>
      </x:c>
      <x:c r="D3382" s="3" t="str">
        <x:v>Full</x:v>
      </x:c>
      <x:c r="E3382" s="18" t="n">
        <x:v>600</x:v>
      </x:c>
      <x:c r="F3382" s="21" t="n">
        <x:v>1288.1470046736933</x:v>
      </x:c>
      <x:c r="G3382" s="21" t="n">
        <x:f>F3377</x:f>
        <x:v>1303.2800608220577</x:v>
      </x:c>
      <x:c r="H3382" s="21" t="n">
        <x:f>F3382</x:f>
        <x:v>1288.1470046736933</x:v>
      </x:c>
      <x:c r="I3382" s="27" t="n">
        <x:f>IF(AND(ISNUMBER(G3382),ISNUMBER(H3382),H3382&gt;0),G3382/H3382-1,"")</x:f>
        <x:v>0.011747926357362992</x:v>
      </x:c>
      <x:c r="J3382" s="27" t="n">
        <x:f>IF(AND(ISNUMBER(G3382),F3382&gt;0),G3382/F3382-1,"")</x:f>
        <x:v>0.011747926357362992</x:v>
      </x:c>
      <x:c r="K3382" s="19" t="str">
        <x:v>KuaiRec/EXP095/results/seed1843916749_Full.json</x:v>
      </x:c>
    </x:row>
    <x:row r="3383" ht="15" hidden="0" customHeight="1">
      <x:c r="A3383" s="3" t="str">
        <x:v>EXP095</x:v>
      </x:c>
      <x:c r="B3383" s="3" t="str">
        <x:v>KuaiRec</x:v>
      </x:c>
      <x:c r="C3383" s="18" t="n">
        <x:v>1843916749</x:v>
      </x:c>
      <x:c r="D3383" s="3" t="str">
        <x:v>Relative cutoff 1e-2</x:v>
      </x:c>
      <x:c r="E3383" s="18" t="n">
        <x:v>600</x:v>
      </x:c>
      <x:c r="F3383" s="21" t="n">
        <x:v>1290.876133056745</x:v>
      </x:c>
      <x:c r="G3383" s="21" t="n">
        <x:f>F3377</x:f>
        <x:v>1303.2800608220577</x:v>
      </x:c>
      <x:c r="H3383" s="21" t="n">
        <x:f>F3382</x:f>
        <x:v>1288.1470046736933</x:v>
      </x:c>
      <x:c r="I3383" s="27" t="n">
        <x:f>IF(AND(ISNUMBER(G3383),ISNUMBER(H3383),H3383&gt;0),G3383/H3383-1,"")</x:f>
        <x:v>0.011747926357362992</x:v>
      </x:c>
      <x:c r="J3383" s="27" t="n">
        <x:f>IF(AND(ISNUMBER(G3383),F3383&gt;0),G3383/F3383-1,"")</x:f>
        <x:v>0.009608921760712041</x:v>
      </x:c>
      <x:c r="K3383" s="19" t="str">
        <x:v>KuaiRec/EXP095/results/seed1843916749_Relative_cutoff_1e-2.json</x:v>
      </x:c>
    </x:row>
    <x:row r="3384" ht="15" hidden="0" customHeight="1">
      <x:c r="A3384" s="3" t="str">
        <x:v>EXP095</x:v>
      </x:c>
      <x:c r="B3384" s="3" t="str">
        <x:v>KuaiRec</x:v>
      </x:c>
      <x:c r="C3384" s="18" t="n">
        <x:v>1843916749</x:v>
      </x:c>
      <x:c r="D3384" s="3" t="str">
        <x:v>Relative cutoff 1e-4</x:v>
      </x:c>
      <x:c r="E3384" s="18" t="n">
        <x:v>600</x:v>
      </x:c>
      <x:c r="F3384" s="21" t="n">
        <x:v>1326.9735957497178</x:v>
      </x:c>
      <x:c r="G3384" s="21" t="n">
        <x:f>F3377</x:f>
        <x:v>1303.2800608220577</x:v>
      </x:c>
      <x:c r="H3384" s="21" t="n">
        <x:f>F3382</x:f>
        <x:v>1288.1470046736933</x:v>
      </x:c>
      <x:c r="I3384" s="27" t="n">
        <x:f>IF(AND(ISNUMBER(G3384),ISNUMBER(H3384),H3384&gt;0),G3384/H3384-1,"")</x:f>
        <x:v>0.011747926357362992</x:v>
      </x:c>
      <x:c r="J3384" s="27" t="n">
        <x:f>IF(AND(ISNUMBER(G3384),F3384&gt;0),G3384/F3384-1,"")</x:f>
        <x:v>-0.01785531754629499</x:v>
      </x:c>
      <x:c r="K3384" s="19" t="str">
        <x:v>KuaiRec/EXP095/results/seed1843916749_Relative_cutoff_1e-4.json</x:v>
      </x:c>
    </x:row>
    <x:row r="3385" ht="15" hidden="0" customHeight="1">
      <x:c r="A3385" s="3" t="str">
        <x:v>EXP095</x:v>
      </x:c>
      <x:c r="B3385" s="3" t="str">
        <x:v>KuaiRec</x:v>
      </x:c>
      <x:c r="C3385" s="18" t="n">
        <x:v>1931708228</x:v>
      </x:c>
      <x:c r="D3385" s="3" t="str">
        <x:v>BBP</x:v>
      </x:c>
      <x:c r="E3385" s="18" t="n">
        <x:v>600</x:v>
      </x:c>
      <x:c r="F3385" s="21" t="n">
        <x:v>1472.4816071583807</x:v>
      </x:c>
      <x:c r="G3385" s="21" t="n">
        <x:f>F3385</x:f>
        <x:v>1472.4816071583807</x:v>
      </x:c>
      <x:c r="H3385" s="21" t="n">
        <x:f>F3390</x:f>
        <x:v>1528.388554543833</x:v>
      </x:c>
      <x:c r="I3385" s="27" t="n">
        <x:f>IF(AND(ISNUMBER(G3385),ISNUMBER(H3385),H3385&gt;0),G3385/H3385-1,"")</x:f>
        <x:v>-0.036579014687883715</x:v>
      </x:c>
      <x:c r="J3385" s="27" t="n">
        <x:f>IF(AND(ISNUMBER(G3385),F3385&gt;0),G3385/F3385-1,"")</x:f>
        <x:v>0</x:v>
      </x:c>
      <x:c r="K3385" s="19" t="str">
        <x:v>KuaiRec/EXP095/results/seed1931708228_BBP.json</x:v>
      </x:c>
    </x:row>
    <x:row r="3386" ht="15" hidden="0" customHeight="1">
      <x:c r="A3386" s="3" t="str">
        <x:v>EXP095</x:v>
      </x:c>
      <x:c r="B3386" s="3" t="str">
        <x:v>KuaiRec</x:v>
      </x:c>
      <x:c r="C3386" s="18" t="n">
        <x:v>1931708228</x:v>
      </x:c>
      <x:c r="D3386" s="3" t="str">
        <x:v>Relative cutoff 1e-5</x:v>
      </x:c>
      <x:c r="E3386" s="18" t="n">
        <x:v>600</x:v>
      </x:c>
      <x:c r="F3386" s="21" t="n">
        <x:v>1424.633066244371</x:v>
      </x:c>
      <x:c r="G3386" s="21" t="n">
        <x:f>F3385</x:f>
        <x:v>1472.4816071583807</x:v>
      </x:c>
      <x:c r="H3386" s="21" t="n">
        <x:f>F3390</x:f>
        <x:v>1528.388554543833</x:v>
      </x:c>
      <x:c r="I3386" s="27" t="n">
        <x:f>IF(AND(ISNUMBER(G3386),ISNUMBER(H3386),H3386&gt;0),G3386/H3386-1,"")</x:f>
        <x:v>-0.036579014687883715</x:v>
      </x:c>
      <x:c r="J3386" s="27" t="n">
        <x:f>IF(AND(ISNUMBER(G3386),F3386&gt;0),G3386/F3386-1,"")</x:f>
        <x:v>0.033586571902439744</x:v>
      </x:c>
      <x:c r="K3386" s="19" t="str">
        <x:v>KuaiRec/EXP095/results/seed1931708228_Relative_cutoff_1e-5.json</x:v>
      </x:c>
    </x:row>
    <x:row r="3387" ht="15" hidden="0" customHeight="1">
      <x:c r="A3387" s="3" t="str">
        <x:v>EXP095</x:v>
      </x:c>
      <x:c r="B3387" s="3" t="str">
        <x:v>KuaiRec</x:v>
      </x:c>
      <x:c r="C3387" s="18" t="n">
        <x:v>1931708228</x:v>
      </x:c>
      <x:c r="D3387" s="3" t="str">
        <x:v>Fixed rank 10</x:v>
      </x:c>
      <x:c r="E3387" s="18" t="n">
        <x:v>600</x:v>
      </x:c>
      <x:c r="F3387" s="21" t="n">
        <x:v>1465.6175015489002</x:v>
      </x:c>
      <x:c r="G3387" s="21" t="n">
        <x:f>F3385</x:f>
        <x:v>1472.4816071583807</x:v>
      </x:c>
      <x:c r="H3387" s="21" t="n">
        <x:f>F3390</x:f>
        <x:v>1528.388554543833</x:v>
      </x:c>
      <x:c r="I3387" s="27" t="n">
        <x:f>IF(AND(ISNUMBER(G3387),ISNUMBER(H3387),H3387&gt;0),G3387/H3387-1,"")</x:f>
        <x:v>-0.036579014687883715</x:v>
      </x:c>
      <x:c r="J3387" s="27" t="n">
        <x:f>IF(AND(ISNUMBER(G3387),F3387&gt;0),G3387/F3387-1,"")</x:f>
        <x:v>0.004683422245044477</x:v>
      </x:c>
      <x:c r="K3387" s="19" t="str">
        <x:v>KuaiRec/EXP095/results/seed1931708228_Fixed_rank_10.json</x:v>
      </x:c>
    </x:row>
    <x:row r="3388" ht="15" hidden="0" customHeight="1">
      <x:c r="A3388" s="3" t="str">
        <x:v>EXP095</x:v>
      </x:c>
      <x:c r="B3388" s="3" t="str">
        <x:v>KuaiRec</x:v>
      </x:c>
      <x:c r="C3388" s="18" t="n">
        <x:v>1931708228</x:v>
      </x:c>
      <x:c r="D3388" s="3" t="str">
        <x:v>Fixed rank 25</x:v>
      </x:c>
      <x:c r="E3388" s="18" t="n">
        <x:v>600</x:v>
      </x:c>
      <x:c r="F3388" s="21" t="n">
        <x:v>1472.4816071583807</x:v>
      </x:c>
      <x:c r="G3388" s="21" t="n">
        <x:f>F3385</x:f>
        <x:v>1472.4816071583807</x:v>
      </x:c>
      <x:c r="H3388" s="21" t="n">
        <x:f>F3390</x:f>
        <x:v>1528.388554543833</x:v>
      </x:c>
      <x:c r="I3388" s="27" t="n">
        <x:f>IF(AND(ISNUMBER(G3388),ISNUMBER(H3388),H3388&gt;0),G3388/H3388-1,"")</x:f>
        <x:v>-0.036579014687883715</x:v>
      </x:c>
      <x:c r="J3388" s="27" t="n">
        <x:f>IF(AND(ISNUMBER(G3388),F3388&gt;0),G3388/F3388-1,"")</x:f>
        <x:v>0</x:v>
      </x:c>
      <x:c r="K3388" s="19" t="str">
        <x:v>KuaiRec/EXP095/results/seed1931708228_Fixed_rank_25.json</x:v>
      </x:c>
    </x:row>
    <x:row r="3389" ht="15" hidden="0" customHeight="1">
      <x:c r="A3389" s="3" t="str">
        <x:v>EXP095</x:v>
      </x:c>
      <x:c r="B3389" s="3" t="str">
        <x:v>KuaiRec</x:v>
      </x:c>
      <x:c r="C3389" s="18" t="n">
        <x:v>1931708228</x:v>
      </x:c>
      <x:c r="D3389" s="3" t="str">
        <x:v>Relative cutoff 1e-6</x:v>
      </x:c>
      <x:c r="E3389" s="18" t="n">
        <x:v>600</x:v>
      </x:c>
      <x:c r="F3389" s="21" t="n">
        <x:v>1472.4816071583807</x:v>
      </x:c>
      <x:c r="G3389" s="21" t="n">
        <x:f>F3385</x:f>
        <x:v>1472.4816071583807</x:v>
      </x:c>
      <x:c r="H3389" s="21" t="n">
        <x:f>F3390</x:f>
        <x:v>1528.388554543833</x:v>
      </x:c>
      <x:c r="I3389" s="27" t="n">
        <x:f>IF(AND(ISNUMBER(G3389),ISNUMBER(H3389),H3389&gt;0),G3389/H3389-1,"")</x:f>
        <x:v>-0.036579014687883715</x:v>
      </x:c>
      <x:c r="J3389" s="27" t="n">
        <x:f>IF(AND(ISNUMBER(G3389),F3389&gt;0),G3389/F3389-1,"")</x:f>
        <x:v>0</x:v>
      </x:c>
      <x:c r="K3389" s="19" t="str">
        <x:v>KuaiRec/EXP095/results/seed1931708228_Relative_cutoff_1e-6.json</x:v>
      </x:c>
    </x:row>
    <x:row r="3390" ht="15" hidden="0" customHeight="1">
      <x:c r="A3390" s="3" t="str">
        <x:v>EXP095</x:v>
      </x:c>
      <x:c r="B3390" s="3" t="str">
        <x:v>KuaiRec</x:v>
      </x:c>
      <x:c r="C3390" s="18" t="n">
        <x:v>1931708228</x:v>
      </x:c>
      <x:c r="D3390" s="3" t="str">
        <x:v>Full</x:v>
      </x:c>
      <x:c r="E3390" s="18" t="n">
        <x:v>600</x:v>
      </x:c>
      <x:c r="F3390" s="21" t="n">
        <x:v>1528.388554543833</x:v>
      </x:c>
      <x:c r="G3390" s="21" t="n">
        <x:f>F3385</x:f>
        <x:v>1472.4816071583807</x:v>
      </x:c>
      <x:c r="H3390" s="21" t="n">
        <x:f>F3390</x:f>
        <x:v>1528.388554543833</x:v>
      </x:c>
      <x:c r="I3390" s="27" t="n">
        <x:f>IF(AND(ISNUMBER(G3390),ISNUMBER(H3390),H3390&gt;0),G3390/H3390-1,"")</x:f>
        <x:v>-0.036579014687883715</x:v>
      </x:c>
      <x:c r="J3390" s="27" t="n">
        <x:f>IF(AND(ISNUMBER(G3390),F3390&gt;0),G3390/F3390-1,"")</x:f>
        <x:v>-0.036579014687883715</x:v>
      </x:c>
      <x:c r="K3390" s="19" t="str">
        <x:v>KuaiRec/EXP095/results/seed1931708228_Full.json</x:v>
      </x:c>
    </x:row>
    <x:row r="3391" ht="15" hidden="0" customHeight="1">
      <x:c r="A3391" s="3" t="str">
        <x:v>EXP095</x:v>
      </x:c>
      <x:c r="B3391" s="3" t="str">
        <x:v>KuaiRec</x:v>
      </x:c>
      <x:c r="C3391" s="18" t="n">
        <x:v>1931708228</x:v>
      </x:c>
      <x:c r="D3391" s="3" t="str">
        <x:v>Relative cutoff 1e-2</x:v>
      </x:c>
      <x:c r="E3391" s="18" t="n">
        <x:v>600</x:v>
      </x:c>
      <x:c r="F3391" s="21" t="n">
        <x:v>1448.2657372547872</x:v>
      </x:c>
      <x:c r="G3391" s="21" t="n">
        <x:f>F3385</x:f>
        <x:v>1472.4816071583807</x:v>
      </x:c>
      <x:c r="H3391" s="21" t="n">
        <x:f>F3390</x:f>
        <x:v>1528.388554543833</x:v>
      </x:c>
      <x:c r="I3391" s="27" t="n">
        <x:f>IF(AND(ISNUMBER(G3391),ISNUMBER(H3391),H3391&gt;0),G3391/H3391-1,"")</x:f>
        <x:v>-0.036579014687883715</x:v>
      </x:c>
      <x:c r="J3391" s="27" t="n">
        <x:f>IF(AND(ISNUMBER(G3391),F3391&gt;0),G3391/F3391-1,"")</x:f>
        <x:v>0.016720598492853345</x:v>
      </x:c>
      <x:c r="K3391" s="19" t="str">
        <x:v>KuaiRec/EXP095/results/seed1931708228_Relative_cutoff_1e-2.json</x:v>
      </x:c>
    </x:row>
    <x:row r="3392" ht="15" hidden="0" customHeight="1">
      <x:c r="A3392" s="3" t="str">
        <x:v>EXP095</x:v>
      </x:c>
      <x:c r="B3392" s="3" t="str">
        <x:v>KuaiRec</x:v>
      </x:c>
      <x:c r="C3392" s="18" t="n">
        <x:v>1931708228</x:v>
      </x:c>
      <x:c r="D3392" s="3" t="str">
        <x:v>Relative cutoff 1e-4</x:v>
      </x:c>
      <x:c r="E3392" s="18" t="n">
        <x:v>600</x:v>
      </x:c>
      <x:c r="F3392" s="21" t="n">
        <x:v>1439.086830302983</x:v>
      </x:c>
      <x:c r="G3392" s="21" t="n">
        <x:f>F3385</x:f>
        <x:v>1472.4816071583807</x:v>
      </x:c>
      <x:c r="H3392" s="21" t="n">
        <x:f>F3390</x:f>
        <x:v>1528.388554543833</x:v>
      </x:c>
      <x:c r="I3392" s="27" t="n">
        <x:f>IF(AND(ISNUMBER(G3392),ISNUMBER(H3392),H3392&gt;0),G3392/H3392-1,"")</x:f>
        <x:v>-0.036579014687883715</x:v>
      </x:c>
      <x:c r="J3392" s="27" t="n">
        <x:f>IF(AND(ISNUMBER(G3392),F3392&gt;0),G3392/F3392-1,"")</x:f>
        <x:v>0.023205532947839558</x:v>
      </x:c>
      <x:c r="K3392" s="19" t="str">
        <x:v>KuaiRec/EXP095/results/seed1931708228_Relative_cutoff_1e-4.json</x:v>
      </x:c>
    </x:row>
    <x:row r="3393" ht="15" hidden="0" customHeight="1">
      <x:c r="A3393" s="3" t="str">
        <x:v>EXP095</x:v>
      </x:c>
      <x:c r="B3393" s="3" t="str">
        <x:v>KuaiRec</x:v>
      </x:c>
      <x:c r="C3393" s="18" t="n">
        <x:v>1937092903</x:v>
      </x:c>
      <x:c r="D3393" s="3" t="str">
        <x:v>BBP</x:v>
      </x:c>
      <x:c r="E3393" s="18" t="n">
        <x:v>600</x:v>
      </x:c>
      <x:c r="F3393" s="21" t="n">
        <x:v>1311.46007189108</x:v>
      </x:c>
      <x:c r="G3393" s="21" t="n">
        <x:f>F3393</x:f>
        <x:v>1311.46007189108</x:v>
      </x:c>
      <x:c r="H3393" s="21" t="n">
        <x:f>F3398</x:f>
        <x:v>1426.4677845859496</x:v>
      </x:c>
      <x:c r="I3393" s="27" t="n">
        <x:f>IF(AND(ISNUMBER(G3393),ISNUMBER(H3393),H3393&gt;0),G3393/H3393-1,"")</x:f>
        <x:v>-0.08062412200094105</x:v>
      </x:c>
      <x:c r="J3393" s="27" t="n">
        <x:f>IF(AND(ISNUMBER(G3393),F3393&gt;0),G3393/F3393-1,"")</x:f>
        <x:v>0</x:v>
      </x:c>
      <x:c r="K3393" s="19" t="str">
        <x:v>KuaiRec/EXP095/results/seed1937092903_BBP.json</x:v>
      </x:c>
    </x:row>
    <x:row r="3394" ht="15" hidden="0" customHeight="1">
      <x:c r="A3394" s="3" t="str">
        <x:v>EXP095</x:v>
      </x:c>
      <x:c r="B3394" s="3" t="str">
        <x:v>KuaiRec</x:v>
      </x:c>
      <x:c r="C3394" s="18" t="n">
        <x:v>1937092903</x:v>
      </x:c>
      <x:c r="D3394" s="3" t="str">
        <x:v>Relative cutoff 1e-5</x:v>
      </x:c>
      <x:c r="E3394" s="18" t="n">
        <x:v>600</x:v>
      </x:c>
      <x:c r="F3394" s="21" t="n">
        <x:v>1353.1788043516274</x:v>
      </x:c>
      <x:c r="G3394" s="21" t="n">
        <x:f>F3393</x:f>
        <x:v>1311.46007189108</x:v>
      </x:c>
      <x:c r="H3394" s="21" t="n">
        <x:f>F3398</x:f>
        <x:v>1426.4677845859496</x:v>
      </x:c>
      <x:c r="I3394" s="27" t="n">
        <x:f>IF(AND(ISNUMBER(G3394),ISNUMBER(H3394),H3394&gt;0),G3394/H3394-1,"")</x:f>
        <x:v>-0.08062412200094105</x:v>
      </x:c>
      <x:c r="J3394" s="27" t="n">
        <x:f>IF(AND(ISNUMBER(G3394),F3394&gt;0),G3394/F3394-1,"")</x:f>
        <x:v>-0.030830169912790528</x:v>
      </x:c>
      <x:c r="K3394" s="19" t="str">
        <x:v>KuaiRec/EXP095/results/seed1937092903_Relative_cutoff_1e-5.json</x:v>
      </x:c>
    </x:row>
    <x:row r="3395" ht="15" hidden="0" customHeight="1">
      <x:c r="A3395" s="3" t="str">
        <x:v>EXP095</x:v>
      </x:c>
      <x:c r="B3395" s="3" t="str">
        <x:v>KuaiRec</x:v>
      </x:c>
      <x:c r="C3395" s="18" t="n">
        <x:v>1937092903</x:v>
      </x:c>
      <x:c r="D3395" s="3" t="str">
        <x:v>Fixed rank 10</x:v>
      </x:c>
      <x:c r="E3395" s="18" t="n">
        <x:v>600</x:v>
      </x:c>
      <x:c r="F3395" s="21" t="n">
        <x:v>1351.6579779937615</x:v>
      </x:c>
      <x:c r="G3395" s="21" t="n">
        <x:f>F3393</x:f>
        <x:v>1311.46007189108</x:v>
      </x:c>
      <x:c r="H3395" s="21" t="n">
        <x:f>F3398</x:f>
        <x:v>1426.4677845859496</x:v>
      </x:c>
      <x:c r="I3395" s="27" t="n">
        <x:f>IF(AND(ISNUMBER(G3395),ISNUMBER(H3395),H3395&gt;0),G3395/H3395-1,"")</x:f>
        <x:v>-0.08062412200094105</x:v>
      </x:c>
      <x:c r="J3395" s="27" t="n">
        <x:f>IF(AND(ISNUMBER(G3395),F3395&gt;0),G3395/F3395-1,"")</x:f>
        <x:v>-0.029739702467000195</x:v>
      </x:c>
      <x:c r="K3395" s="19" t="str">
        <x:v>KuaiRec/EXP095/results/seed1937092903_Fixed_rank_10.json</x:v>
      </x:c>
    </x:row>
    <x:row r="3396" ht="15" hidden="0" customHeight="1">
      <x:c r="A3396" s="3" t="str">
        <x:v>EXP095</x:v>
      </x:c>
      <x:c r="B3396" s="3" t="str">
        <x:v>KuaiRec</x:v>
      </x:c>
      <x:c r="C3396" s="18" t="n">
        <x:v>1937092903</x:v>
      </x:c>
      <x:c r="D3396" s="3" t="str">
        <x:v>Fixed rank 25</x:v>
      </x:c>
      <x:c r="E3396" s="18" t="n">
        <x:v>600</x:v>
      </x:c>
      <x:c r="F3396" s="21" t="n">
        <x:v>1325.308607205402</x:v>
      </x:c>
      <x:c r="G3396" s="21" t="n">
        <x:f>F3393</x:f>
        <x:v>1311.46007189108</x:v>
      </x:c>
      <x:c r="H3396" s="21" t="n">
        <x:f>F3398</x:f>
        <x:v>1426.4677845859496</x:v>
      </x:c>
      <x:c r="I3396" s="27" t="n">
        <x:f>IF(AND(ISNUMBER(G3396),ISNUMBER(H3396),H3396&gt;0),G3396/H3396-1,"")</x:f>
        <x:v>-0.08062412200094105</x:v>
      </x:c>
      <x:c r="J3396" s="27" t="n">
        <x:f>IF(AND(ISNUMBER(G3396),F3396&gt;0),G3396/F3396-1,"")</x:f>
        <x:v>-0.010449291009679396</x:v>
      </x:c>
      <x:c r="K3396" s="19" t="str">
        <x:v>KuaiRec/EXP095/results/seed1937092903_Fixed_rank_25.json</x:v>
      </x:c>
    </x:row>
    <x:row r="3397" ht="15" hidden="0" customHeight="1">
      <x:c r="A3397" s="3" t="str">
        <x:v>EXP095</x:v>
      </x:c>
      <x:c r="B3397" s="3" t="str">
        <x:v>KuaiRec</x:v>
      </x:c>
      <x:c r="C3397" s="18" t="n">
        <x:v>1937092903</x:v>
      </x:c>
      <x:c r="D3397" s="3" t="str">
        <x:v>Relative cutoff 1e-6</x:v>
      </x:c>
      <x:c r="E3397" s="18" t="n">
        <x:v>600</x:v>
      </x:c>
      <x:c r="F3397" s="21" t="n">
        <x:v>1455.3393547771352</x:v>
      </x:c>
      <x:c r="G3397" s="21" t="n">
        <x:f>F3393</x:f>
        <x:v>1311.46007189108</x:v>
      </x:c>
      <x:c r="H3397" s="21" t="n">
        <x:f>F3398</x:f>
        <x:v>1426.4677845859496</x:v>
      </x:c>
      <x:c r="I3397" s="27" t="n">
        <x:f>IF(AND(ISNUMBER(G3397),ISNUMBER(H3397),H3397&gt;0),G3397/H3397-1,"")</x:f>
        <x:v>-0.08062412200094105</x:v>
      </x:c>
      <x:c r="J3397" s="27" t="n">
        <x:f>IF(AND(ISNUMBER(G3397),F3397&gt;0),G3397/F3397-1,"")</x:f>
        <x:v>-0.0988630468995243</x:v>
      </x:c>
      <x:c r="K3397" s="19" t="str">
        <x:v>KuaiRec/EXP095/results/seed1937092903_Relative_cutoff_1e-6.json</x:v>
      </x:c>
    </x:row>
    <x:row r="3398" ht="15" hidden="0" customHeight="1">
      <x:c r="A3398" s="3" t="str">
        <x:v>EXP095</x:v>
      </x:c>
      <x:c r="B3398" s="3" t="str">
        <x:v>KuaiRec</x:v>
      </x:c>
      <x:c r="C3398" s="18" t="n">
        <x:v>1937092903</x:v>
      </x:c>
      <x:c r="D3398" s="3" t="str">
        <x:v>Full</x:v>
      </x:c>
      <x:c r="E3398" s="18" t="n">
        <x:v>600</x:v>
      </x:c>
      <x:c r="F3398" s="21" t="n">
        <x:v>1426.4677845859496</x:v>
      </x:c>
      <x:c r="G3398" s="21" t="n">
        <x:f>F3393</x:f>
        <x:v>1311.46007189108</x:v>
      </x:c>
      <x:c r="H3398" s="21" t="n">
        <x:f>F3398</x:f>
        <x:v>1426.4677845859496</x:v>
      </x:c>
      <x:c r="I3398" s="27" t="n">
        <x:f>IF(AND(ISNUMBER(G3398),ISNUMBER(H3398),H3398&gt;0),G3398/H3398-1,"")</x:f>
        <x:v>-0.08062412200094105</x:v>
      </x:c>
      <x:c r="J3398" s="27" t="n">
        <x:f>IF(AND(ISNUMBER(G3398),F3398&gt;0),G3398/F3398-1,"")</x:f>
        <x:v>-0.08062412200094105</x:v>
      </x:c>
      <x:c r="K3398" s="19" t="str">
        <x:v>KuaiRec/EXP095/results/seed1937092903_Full.json</x:v>
      </x:c>
    </x:row>
    <x:row r="3399" ht="15" hidden="0" customHeight="1">
      <x:c r="A3399" s="3" t="str">
        <x:v>EXP095</x:v>
      </x:c>
      <x:c r="B3399" s="3" t="str">
        <x:v>KuaiRec</x:v>
      </x:c>
      <x:c r="C3399" s="18" t="n">
        <x:v>1937092903</x:v>
      </x:c>
      <x:c r="D3399" s="3" t="str">
        <x:v>Relative cutoff 1e-2</x:v>
      </x:c>
      <x:c r="E3399" s="18" t="n">
        <x:v>600</x:v>
      </x:c>
      <x:c r="F3399" s="21" t="n">
        <x:v>1393.8396153270921</x:v>
      </x:c>
      <x:c r="G3399" s="21" t="n">
        <x:f>F3393</x:f>
        <x:v>1311.46007189108</x:v>
      </x:c>
      <x:c r="H3399" s="21" t="n">
        <x:f>F3398</x:f>
        <x:v>1426.4677845859496</x:v>
      </x:c>
      <x:c r="I3399" s="27" t="n">
        <x:f>IF(AND(ISNUMBER(G3399),ISNUMBER(H3399),H3399&gt;0),G3399/H3399-1,"")</x:f>
        <x:v>-0.08062412200094105</x:v>
      </x:c>
      <x:c r="J3399" s="27" t="n">
        <x:f>IF(AND(ISNUMBER(G3399),F3399&gt;0),G3399/F3399-1,"")</x:f>
        <x:v>-0.05910259869940648</x:v>
      </x:c>
      <x:c r="K3399" s="19" t="str">
        <x:v>KuaiRec/EXP095/results/seed1937092903_Relative_cutoff_1e-2.json</x:v>
      </x:c>
    </x:row>
    <x:row r="3400" ht="15" hidden="0" customHeight="1">
      <x:c r="A3400" s="3" t="str">
        <x:v>EXP095</x:v>
      </x:c>
      <x:c r="B3400" s="3" t="str">
        <x:v>KuaiRec</x:v>
      </x:c>
      <x:c r="C3400" s="18" t="n">
        <x:v>1937092903</x:v>
      </x:c>
      <x:c r="D3400" s="3" t="str">
        <x:v>Relative cutoff 1e-4</x:v>
      </x:c>
      <x:c r="E3400" s="18" t="n">
        <x:v>600</x:v>
      </x:c>
      <x:c r="F3400" s="21" t="n">
        <x:v>1221.866200577233</x:v>
      </x:c>
      <x:c r="G3400" s="21" t="n">
        <x:f>F3393</x:f>
        <x:v>1311.46007189108</x:v>
      </x:c>
      <x:c r="H3400" s="21" t="n">
        <x:f>F3398</x:f>
        <x:v>1426.4677845859496</x:v>
      </x:c>
      <x:c r="I3400" s="27" t="n">
        <x:f>IF(AND(ISNUMBER(G3400),ISNUMBER(H3400),H3400&gt;0),G3400/H3400-1,"")</x:f>
        <x:v>-0.08062412200094105</x:v>
      </x:c>
      <x:c r="J3400" s="27" t="n">
        <x:f>IF(AND(ISNUMBER(G3400),F3400&gt;0),G3400/F3400-1,"")</x:f>
        <x:v>0.07332543552765514</x:v>
      </x:c>
      <x:c r="K3400" s="19" t="str">
        <x:v>KuaiRec/EXP095/results/seed1937092903_Relative_cutoff_1e-4.json</x:v>
      </x:c>
    </x:row>
    <x:row r="3401" ht="15" hidden="0" customHeight="1">
      <x:c r="A3401" s="3" t="str">
        <x:v>EXP095</x:v>
      </x:c>
      <x:c r="B3401" s="3" t="str">
        <x:v>KuaiRec</x:v>
      </x:c>
      <x:c r="C3401" s="18" t="n">
        <x:v>1985066759</x:v>
      </x:c>
      <x:c r="D3401" s="3" t="str">
        <x:v>BBP</x:v>
      </x:c>
      <x:c r="E3401" s="18" t="n">
        <x:v>600</x:v>
      </x:c>
      <x:c r="F3401" s="21" t="n">
        <x:v>1432.616702269614</x:v>
      </x:c>
      <x:c r="G3401" s="21" t="n">
        <x:f>F3401</x:f>
        <x:v>1432.616702269614</x:v>
      </x:c>
      <x:c r="H3401" s="21" t="n">
        <x:f>F3406</x:f>
        <x:v>1427.8927042061184</x:v>
      </x:c>
      <x:c r="I3401" s="27" t="n">
        <x:f>IF(AND(ISNUMBER(G3401),ISNUMBER(H3401),H3401&gt;0),G3401/H3401-1,"")</x:f>
        <x:v>0.003308370474602418</x:v>
      </x:c>
      <x:c r="J3401" s="27" t="n">
        <x:f>IF(AND(ISNUMBER(G3401),F3401&gt;0),G3401/F3401-1,"")</x:f>
        <x:v>0</x:v>
      </x:c>
      <x:c r="K3401" s="19" t="str">
        <x:v>KuaiRec/EXP095/results/seed1985066759_BBP.json</x:v>
      </x:c>
    </x:row>
    <x:row r="3402" ht="15" hidden="0" customHeight="1">
      <x:c r="A3402" s="3" t="str">
        <x:v>EXP095</x:v>
      </x:c>
      <x:c r="B3402" s="3" t="str">
        <x:v>KuaiRec</x:v>
      </x:c>
      <x:c r="C3402" s="18" t="n">
        <x:v>1985066759</x:v>
      </x:c>
      <x:c r="D3402" s="3" t="str">
        <x:v>Relative cutoff 1e-5</x:v>
      </x:c>
      <x:c r="E3402" s="18" t="n">
        <x:v>600</x:v>
      </x:c>
      <x:c r="F3402" s="21" t="n">
        <x:v>1432.6167022696134</x:v>
      </x:c>
      <x:c r="G3402" s="21" t="n">
        <x:f>F3401</x:f>
        <x:v>1432.616702269614</x:v>
      </x:c>
      <x:c r="H3402" s="21" t="n">
        <x:f>F3406</x:f>
        <x:v>1427.8927042061184</x:v>
      </x:c>
      <x:c r="I3402" s="27" t="n">
        <x:f>IF(AND(ISNUMBER(G3402),ISNUMBER(H3402),H3402&gt;0),G3402/H3402-1,"")</x:f>
        <x:v>0.003308370474602418</x:v>
      </x:c>
      <x:c r="J3402" s="27" t="n">
        <x:f>IF(AND(ISNUMBER(G3402),F3402&gt;0),G3402/F3402-1,"")</x:f>
        <x:v>4.440892098500626e-16</x:v>
      </x:c>
      <x:c r="K3402" s="19" t="str">
        <x:v>KuaiRec/EXP095/results/seed1985066759_Relative_cutoff_1e-5.json</x:v>
      </x:c>
    </x:row>
    <x:row r="3403" ht="15" hidden="0" customHeight="1">
      <x:c r="A3403" s="3" t="str">
        <x:v>EXP095</x:v>
      </x:c>
      <x:c r="B3403" s="3" t="str">
        <x:v>KuaiRec</x:v>
      </x:c>
      <x:c r="C3403" s="18" t="n">
        <x:v>1985066759</x:v>
      </x:c>
      <x:c r="D3403" s="3" t="str">
        <x:v>Fixed rank 10</x:v>
      </x:c>
      <x:c r="E3403" s="18" t="n">
        <x:v>600</x:v>
      </x:c>
      <x:c r="F3403" s="21" t="n">
        <x:v>1435.7145853372795</x:v>
      </x:c>
      <x:c r="G3403" s="21" t="n">
        <x:f>F3401</x:f>
        <x:v>1432.616702269614</x:v>
      </x:c>
      <x:c r="H3403" s="21" t="n">
        <x:f>F3406</x:f>
        <x:v>1427.8927042061184</x:v>
      </x:c>
      <x:c r="I3403" s="27" t="n">
        <x:f>IF(AND(ISNUMBER(G3403),ISNUMBER(H3403),H3403&gt;0),G3403/H3403-1,"")</x:f>
        <x:v>0.003308370474602418</x:v>
      </x:c>
      <x:c r="J3403" s="27" t="n">
        <x:f>IF(AND(ISNUMBER(G3403),F3403&gt;0),G3403/F3403-1,"")</x:f>
        <x:v>-0.0021577290495643497</x:v>
      </x:c>
      <x:c r="K3403" s="19" t="str">
        <x:v>KuaiRec/EXP095/results/seed1985066759_Fixed_rank_10.json</x:v>
      </x:c>
    </x:row>
    <x:row r="3404" ht="15" hidden="0" customHeight="1">
      <x:c r="A3404" s="3" t="str">
        <x:v>EXP095</x:v>
      </x:c>
      <x:c r="B3404" s="3" t="str">
        <x:v>KuaiRec</x:v>
      </x:c>
      <x:c r="C3404" s="18" t="n">
        <x:v>1985066759</x:v>
      </x:c>
      <x:c r="D3404" s="3" t="str">
        <x:v>Fixed rank 25</x:v>
      </x:c>
      <x:c r="E3404" s="18" t="n">
        <x:v>600</x:v>
      </x:c>
      <x:c r="F3404" s="21" t="n">
        <x:v>1432.616702269614</x:v>
      </x:c>
      <x:c r="G3404" s="21" t="n">
        <x:f>F3401</x:f>
        <x:v>1432.616702269614</x:v>
      </x:c>
      <x:c r="H3404" s="21" t="n">
        <x:f>F3406</x:f>
        <x:v>1427.8927042061184</x:v>
      </x:c>
      <x:c r="I3404" s="27" t="n">
        <x:f>IF(AND(ISNUMBER(G3404),ISNUMBER(H3404),H3404&gt;0),G3404/H3404-1,"")</x:f>
        <x:v>0.003308370474602418</x:v>
      </x:c>
      <x:c r="J3404" s="27" t="n">
        <x:f>IF(AND(ISNUMBER(G3404),F3404&gt;0),G3404/F3404-1,"")</x:f>
        <x:v>0</x:v>
      </x:c>
      <x:c r="K3404" s="19" t="str">
        <x:v>KuaiRec/EXP095/results/seed1985066759_Fixed_rank_25.json</x:v>
      </x:c>
    </x:row>
    <x:row r="3405" ht="15" hidden="0" customHeight="1">
      <x:c r="A3405" s="3" t="str">
        <x:v>EXP095</x:v>
      </x:c>
      <x:c r="B3405" s="3" t="str">
        <x:v>KuaiRec</x:v>
      </x:c>
      <x:c r="C3405" s="18" t="n">
        <x:v>1985066759</x:v>
      </x:c>
      <x:c r="D3405" s="3" t="str">
        <x:v>Relative cutoff 1e-6</x:v>
      </x:c>
      <x:c r="E3405" s="18" t="n">
        <x:v>600</x:v>
      </x:c>
      <x:c r="F3405" s="21" t="n">
        <x:v>1432.616702269614</x:v>
      </x:c>
      <x:c r="G3405" s="21" t="n">
        <x:f>F3401</x:f>
        <x:v>1432.616702269614</x:v>
      </x:c>
      <x:c r="H3405" s="21" t="n">
        <x:f>F3406</x:f>
        <x:v>1427.8927042061184</x:v>
      </x:c>
      <x:c r="I3405" s="27" t="n">
        <x:f>IF(AND(ISNUMBER(G3405),ISNUMBER(H3405),H3405&gt;0),G3405/H3405-1,"")</x:f>
        <x:v>0.003308370474602418</x:v>
      </x:c>
      <x:c r="J3405" s="27" t="n">
        <x:f>IF(AND(ISNUMBER(G3405),F3405&gt;0),G3405/F3405-1,"")</x:f>
        <x:v>0</x:v>
      </x:c>
      <x:c r="K3405" s="19" t="str">
        <x:v>KuaiRec/EXP095/results/seed1985066759_Relative_cutoff_1e-6.json</x:v>
      </x:c>
    </x:row>
    <x:row r="3406" ht="15" hidden="0" customHeight="1">
      <x:c r="A3406" s="3" t="str">
        <x:v>EXP095</x:v>
      </x:c>
      <x:c r="B3406" s="3" t="str">
        <x:v>KuaiRec</x:v>
      </x:c>
      <x:c r="C3406" s="18" t="n">
        <x:v>1985066759</x:v>
      </x:c>
      <x:c r="D3406" s="3" t="str">
        <x:v>Full</x:v>
      </x:c>
      <x:c r="E3406" s="18" t="n">
        <x:v>600</x:v>
      </x:c>
      <x:c r="F3406" s="21" t="n">
        <x:v>1427.8927042061184</x:v>
      </x:c>
      <x:c r="G3406" s="21" t="n">
        <x:f>F3401</x:f>
        <x:v>1432.616702269614</x:v>
      </x:c>
      <x:c r="H3406" s="21" t="n">
        <x:f>F3406</x:f>
        <x:v>1427.8927042061184</x:v>
      </x:c>
      <x:c r="I3406" s="27" t="n">
        <x:f>IF(AND(ISNUMBER(G3406),ISNUMBER(H3406),H3406&gt;0),G3406/H3406-1,"")</x:f>
        <x:v>0.003308370474602418</x:v>
      </x:c>
      <x:c r="J3406" s="27" t="n">
        <x:f>IF(AND(ISNUMBER(G3406),F3406&gt;0),G3406/F3406-1,"")</x:f>
        <x:v>0.003308370474602418</x:v>
      </x:c>
      <x:c r="K3406" s="19" t="str">
        <x:v>KuaiRec/EXP095/results/seed1985066759_Full.json</x:v>
      </x:c>
    </x:row>
    <x:row r="3407" ht="15" hidden="0" customHeight="1">
      <x:c r="A3407" s="3" t="str">
        <x:v>EXP095</x:v>
      </x:c>
      <x:c r="B3407" s="3" t="str">
        <x:v>KuaiRec</x:v>
      </x:c>
      <x:c r="C3407" s="18" t="n">
        <x:v>1985066759</x:v>
      </x:c>
      <x:c r="D3407" s="3" t="str">
        <x:v>Relative cutoff 1e-2</x:v>
      </x:c>
      <x:c r="E3407" s="18" t="n">
        <x:v>600</x:v>
      </x:c>
      <x:c r="F3407" s="21" t="n">
        <x:v>1363.2386511652355</x:v>
      </x:c>
      <x:c r="G3407" s="21" t="n">
        <x:f>F3401</x:f>
        <x:v>1432.616702269614</x:v>
      </x:c>
      <x:c r="H3407" s="21" t="n">
        <x:f>F3406</x:f>
        <x:v>1427.8927042061184</x:v>
      </x:c>
      <x:c r="I3407" s="27" t="n">
        <x:f>IF(AND(ISNUMBER(G3407),ISNUMBER(H3407),H3407&gt;0),G3407/H3407-1,"")</x:f>
        <x:v>0.003308370474602418</x:v>
      </x:c>
      <x:c r="J3407" s="27" t="n">
        <x:f>IF(AND(ISNUMBER(G3407),F3407&gt;0),G3407/F3407-1,"")</x:f>
        <x:v>0.05089208044759985</x:v>
      </x:c>
      <x:c r="K3407" s="19" t="str">
        <x:v>KuaiRec/EXP095/results/seed1985066759_Relative_cutoff_1e-2.json</x:v>
      </x:c>
    </x:row>
    <x:row r="3408" ht="15" hidden="0" customHeight="1">
      <x:c r="A3408" s="3" t="str">
        <x:v>EXP095</x:v>
      </x:c>
      <x:c r="B3408" s="3" t="str">
        <x:v>KuaiRec</x:v>
      </x:c>
      <x:c r="C3408" s="18" t="n">
        <x:v>1985066759</x:v>
      </x:c>
      <x:c r="D3408" s="3" t="str">
        <x:v>Relative cutoff 1e-4</x:v>
      </x:c>
      <x:c r="E3408" s="18" t="n">
        <x:v>600</x:v>
      </x:c>
      <x:c r="F3408" s="21" t="n">
        <x:v>1433.983430657117</x:v>
      </x:c>
      <x:c r="G3408" s="21" t="n">
        <x:f>F3401</x:f>
        <x:v>1432.616702269614</x:v>
      </x:c>
      <x:c r="H3408" s="21" t="n">
        <x:f>F3406</x:f>
        <x:v>1427.8927042061184</x:v>
      </x:c>
      <x:c r="I3408" s="27" t="n">
        <x:f>IF(AND(ISNUMBER(G3408),ISNUMBER(H3408),H3408&gt;0),G3408/H3408-1,"")</x:f>
        <x:v>0.003308370474602418</x:v>
      </x:c>
      <x:c r="J3408" s="27" t="n">
        <x:f>IF(AND(ISNUMBER(G3408),F3408&gt;0),G3408/F3408-1,"")</x:f>
        <x:v>-0.0009530991490442897</x:v>
      </x:c>
      <x:c r="K3408" s="19" t="str">
        <x:v>KuaiRec/EXP095/results/seed1985066759_Relative_cutoff_1e-4.json</x:v>
      </x:c>
    </x:row>
    <x:row r="3409" ht="15" hidden="0" customHeight="1">
      <x:c r="A3409" s="3" t="str">
        <x:v>EXP104</x:v>
      </x:c>
      <x:c r="B3409" s="3" t="str">
        <x:v>KuaiRec</x:v>
      </x:c>
      <x:c r="C3409" s="18" t="n">
        <x:v>8400</x:v>
      </x:c>
      <x:c r="D3409" s="3" t="str">
        <x:v>BBP</x:v>
      </x:c>
      <x:c r="E3409" s="18" t="n">
        <x:v>600</x:v>
      </x:c>
      <x:c r="F3409" s="21" t="n">
        <x:v>1255.5562710274266</x:v>
      </x:c>
      <x:c r="G3409" s="21" t="n">
        <x:f>F3409</x:f>
        <x:v>1255.5562710274266</x:v>
      </x:c>
      <x:c r="H3409" s="21" t="str">
        <x:f>""</x:f>
      </x:c>
      <x:c r="I3409" s="27" t="str">
        <x:f>IF(AND(ISNUMBER(G3409),ISNUMBER(H3409),H3409&gt;0),G3409/H3409-1,"")</x:f>
      </x:c>
      <x:c r="J3409" s="27" t="n">
        <x:f>IF(AND(ISNUMBER(G3409),F3409&gt;0),G3409/F3409-1,"")</x:f>
        <x:v>0</x:v>
      </x:c>
      <x:c r="K3409" s="19" t="str">
        <x:v>KuaiRec/EXP104/results/seed8400_BBP.json</x:v>
      </x:c>
    </x:row>
    <x:row r="3410" ht="15" hidden="0" customHeight="1">
      <x:c r="A3410" s="3" t="str">
        <x:v>EXP104</x:v>
      </x:c>
      <x:c r="B3410" s="3" t="str">
        <x:v>KuaiRec</x:v>
      </x:c>
      <x:c r="C3410" s="18" t="n">
        <x:v>8400</x:v>
      </x:c>
      <x:c r="D3410" s="3" t="str">
        <x:v>BBP + physical compression</x:v>
      </x:c>
      <x:c r="E3410" s="18" t="n">
        <x:v>600</x:v>
      </x:c>
      <x:c r="F3410" s="21" t="n">
        <x:v>1284.5220458962635</x:v>
      </x:c>
      <x:c r="G3410" s="21" t="n">
        <x:f>F3409</x:f>
        <x:v>1255.5562710274266</x:v>
      </x:c>
      <x:c r="H3410" s="21" t="str">
        <x:f>""</x:f>
      </x:c>
      <x:c r="I3410" s="27" t="str">
        <x:f>IF(AND(ISNUMBER(G3410),ISNUMBER(H3410),H3410&gt;0),G3410/H3410-1,"")</x:f>
      </x:c>
      <x:c r="J3410" s="27" t="n">
        <x:f>IF(AND(ISNUMBER(G3410),F3410&gt;0),G3410/F3410-1,"")</x:f>
        <x:v>-0.022549846428385978</x:v>
      </x:c>
      <x:c r="K3410" s="19" t="str">
        <x:v>KuaiRec/EXP104/results/seed8400_BBP_physical_compression.json</x:v>
      </x:c>
    </x:row>
    <x:row r="3411" ht="15" hidden="0" customHeight="1">
      <x:c r="A3411" s="3" t="str">
        <x:v>EXP104</x:v>
      </x:c>
      <x:c r="B3411" s="3" t="str">
        <x:v>KuaiRec</x:v>
      </x:c>
      <x:c r="C3411" s="18" t="n">
        <x:v>8401</x:v>
      </x:c>
      <x:c r="D3411" s="3" t="str">
        <x:v>BBP</x:v>
      </x:c>
      <x:c r="E3411" s="18" t="n">
        <x:v>600</x:v>
      </x:c>
      <x:c r="F3411" s="21" t="n">
        <x:v>1410.5205068549424</x:v>
      </x:c>
      <x:c r="G3411" s="21" t="n">
        <x:f>F3411</x:f>
        <x:v>1410.5205068549424</x:v>
      </x:c>
      <x:c r="H3411" s="21" t="str">
        <x:f>""</x:f>
      </x:c>
      <x:c r="I3411" s="27" t="str">
        <x:f>IF(AND(ISNUMBER(G3411),ISNUMBER(H3411),H3411&gt;0),G3411/H3411-1,"")</x:f>
      </x:c>
      <x:c r="J3411" s="27" t="n">
        <x:f>IF(AND(ISNUMBER(G3411),F3411&gt;0),G3411/F3411-1,"")</x:f>
        <x:v>0</x:v>
      </x:c>
      <x:c r="K3411" s="19" t="str">
        <x:v>KuaiRec/EXP104/results/seed8401_BBP.json</x:v>
      </x:c>
    </x:row>
    <x:row r="3412" ht="15" hidden="0" customHeight="1">
      <x:c r="A3412" s="3" t="str">
        <x:v>EXP104</x:v>
      </x:c>
      <x:c r="B3412" s="3" t="str">
        <x:v>KuaiRec</x:v>
      </x:c>
      <x:c r="C3412" s="18" t="n">
        <x:v>8401</x:v>
      </x:c>
      <x:c r="D3412" s="3" t="str">
        <x:v>BBP + physical compression</x:v>
      </x:c>
      <x:c r="E3412" s="18" t="n">
        <x:v>600</x:v>
      </x:c>
      <x:c r="F3412" s="21" t="n">
        <x:v>1430.1472264763415</x:v>
      </x:c>
      <x:c r="G3412" s="21" t="n">
        <x:f>F3411</x:f>
        <x:v>1410.5205068549424</x:v>
      </x:c>
      <x:c r="H3412" s="21" t="str">
        <x:f>""</x:f>
      </x:c>
      <x:c r="I3412" s="27" t="str">
        <x:f>IF(AND(ISNUMBER(G3412),ISNUMBER(H3412),H3412&gt;0),G3412/H3412-1,"")</x:f>
      </x:c>
      <x:c r="J3412" s="27" t="n">
        <x:f>IF(AND(ISNUMBER(G3412),F3412&gt;0),G3412/F3412-1,"")</x:f>
        <x:v>-0.013723565838571927</x:v>
      </x:c>
      <x:c r="K3412" s="19" t="str">
        <x:v>KuaiRec/EXP104/results/seed8401_BBP_physical_compression.json</x:v>
      </x:c>
    </x:row>
    <x:row r="3413" ht="15" hidden="0" customHeight="1">
      <x:c r="A3413" s="3" t="str">
        <x:v>EXP104</x:v>
      </x:c>
      <x:c r="B3413" s="3" t="str">
        <x:v>KuaiRec</x:v>
      </x:c>
      <x:c r="C3413" s="18" t="n">
        <x:v>8402</x:v>
      </x:c>
      <x:c r="D3413" s="3" t="str">
        <x:v>BBP</x:v>
      </x:c>
      <x:c r="E3413" s="18" t="n">
        <x:v>600</x:v>
      </x:c>
      <x:c r="F3413" s="21" t="n">
        <x:v>1325.8348633556204</x:v>
      </x:c>
      <x:c r="G3413" s="21" t="n">
        <x:f>F3413</x:f>
        <x:v>1325.8348633556204</x:v>
      </x:c>
      <x:c r="H3413" s="21" t="str">
        <x:f>""</x:f>
      </x:c>
      <x:c r="I3413" s="27" t="str">
        <x:f>IF(AND(ISNUMBER(G3413),ISNUMBER(H3413),H3413&gt;0),G3413/H3413-1,"")</x:f>
      </x:c>
      <x:c r="J3413" s="27" t="n">
        <x:f>IF(AND(ISNUMBER(G3413),F3413&gt;0),G3413/F3413-1,"")</x:f>
        <x:v>0</x:v>
      </x:c>
      <x:c r="K3413" s="19" t="str">
        <x:v>KuaiRec/EXP104/results/seed8402_BBP.json</x:v>
      </x:c>
    </x:row>
    <x:row r="3414" ht="15" hidden="0" customHeight="1">
      <x:c r="A3414" s="3" t="str">
        <x:v>EXP104</x:v>
      </x:c>
      <x:c r="B3414" s="3" t="str">
        <x:v>KuaiRec</x:v>
      </x:c>
      <x:c r="C3414" s="18" t="n">
        <x:v>8402</x:v>
      </x:c>
      <x:c r="D3414" s="3" t="str">
        <x:v>BBP + physical compression</x:v>
      </x:c>
      <x:c r="E3414" s="18" t="n">
        <x:v>600</x:v>
      </x:c>
      <x:c r="F3414" s="21" t="n">
        <x:v>1365.5934850465776</x:v>
      </x:c>
      <x:c r="G3414" s="21" t="n">
        <x:f>F3413</x:f>
        <x:v>1325.8348633556204</x:v>
      </x:c>
      <x:c r="H3414" s="21" t="str">
        <x:f>""</x:f>
      </x:c>
      <x:c r="I3414" s="27" t="str">
        <x:f>IF(AND(ISNUMBER(G3414),ISNUMBER(H3414),H3414&gt;0),G3414/H3414-1,"")</x:f>
      </x:c>
      <x:c r="J3414" s="27" t="n">
        <x:f>IF(AND(ISNUMBER(G3414),F3414&gt;0),G3414/F3414-1,"")</x:f>
        <x:v>-0.029114536739021646</x:v>
      </x:c>
      <x:c r="K3414" s="19" t="str">
        <x:v>KuaiRec/EXP104/results/seed8402_BBP_physical_compression.json</x:v>
      </x:c>
    </x:row>
    <x:row r="3415" ht="15" hidden="0" customHeight="1">
      <x:c r="A3415" s="3" t="str">
        <x:v>EXP104</x:v>
      </x:c>
      <x:c r="B3415" s="3" t="str">
        <x:v>KuaiRec</x:v>
      </x:c>
      <x:c r="C3415" s="18" t="n">
        <x:v>8403</x:v>
      </x:c>
      <x:c r="D3415" s="3" t="str">
        <x:v>BBP</x:v>
      </x:c>
      <x:c r="E3415" s="18" t="n">
        <x:v>600</x:v>
      </x:c>
      <x:c r="F3415" s="21" t="n">
        <x:v>1166.8731377742236</x:v>
      </x:c>
      <x:c r="G3415" s="21" t="n">
        <x:f>F3415</x:f>
        <x:v>1166.8731377742236</x:v>
      </x:c>
      <x:c r="H3415" s="21" t="str">
        <x:f>""</x:f>
      </x:c>
      <x:c r="I3415" s="27" t="str">
        <x:f>IF(AND(ISNUMBER(G3415),ISNUMBER(H3415),H3415&gt;0),G3415/H3415-1,"")</x:f>
      </x:c>
      <x:c r="J3415" s="27" t="n">
        <x:f>IF(AND(ISNUMBER(G3415),F3415&gt;0),G3415/F3415-1,"")</x:f>
        <x:v>0</x:v>
      </x:c>
      <x:c r="K3415" s="19" t="str">
        <x:v>KuaiRec/EXP104/results/seed8403_BBP.json</x:v>
      </x:c>
    </x:row>
    <x:row r="3416" ht="15" hidden="0" customHeight="1">
      <x:c r="A3416" s="3" t="str">
        <x:v>EXP104</x:v>
      </x:c>
      <x:c r="B3416" s="3" t="str">
        <x:v>KuaiRec</x:v>
      </x:c>
      <x:c r="C3416" s="18" t="n">
        <x:v>8403</x:v>
      </x:c>
      <x:c r="D3416" s="3" t="str">
        <x:v>BBP + physical compression</x:v>
      </x:c>
      <x:c r="E3416" s="18" t="n">
        <x:v>600</x:v>
      </x:c>
      <x:c r="F3416" s="21" t="n">
        <x:v>1184.0311555052851</x:v>
      </x:c>
      <x:c r="G3416" s="21" t="n">
        <x:f>F3415</x:f>
        <x:v>1166.8731377742236</x:v>
      </x:c>
      <x:c r="H3416" s="21" t="str">
        <x:f>""</x:f>
      </x:c>
      <x:c r="I3416" s="27" t="str">
        <x:f>IF(AND(ISNUMBER(G3416),ISNUMBER(H3416),H3416&gt;0),G3416/H3416-1,"")</x:f>
      </x:c>
      <x:c r="J3416" s="27" t="n">
        <x:f>IF(AND(ISNUMBER(G3416),F3416&gt;0),G3416/F3416-1,"")</x:f>
        <x:v>-0.01449118771181268</x:v>
      </x:c>
      <x:c r="K3416" s="19" t="str">
        <x:v>KuaiRec/EXP104/results/seed8403_BBP_physical_compression.json</x:v>
      </x:c>
    </x:row>
    <x:row r="3417" ht="15" hidden="0" customHeight="1">
      <x:c r="A3417" s="3" t="str">
        <x:v>EXP104</x:v>
      </x:c>
      <x:c r="B3417" s="3" t="str">
        <x:v>KuaiRec</x:v>
      </x:c>
      <x:c r="C3417" s="18" t="n">
        <x:v>8404</x:v>
      </x:c>
      <x:c r="D3417" s="3" t="str">
        <x:v>BBP</x:v>
      </x:c>
      <x:c r="E3417" s="18" t="n">
        <x:v>600</x:v>
      </x:c>
      <x:c r="F3417" s="21" t="n">
        <x:v>1411.3640736632294</x:v>
      </x:c>
      <x:c r="G3417" s="21" t="n">
        <x:f>F3417</x:f>
        <x:v>1411.3640736632294</x:v>
      </x:c>
      <x:c r="H3417" s="21" t="str">
        <x:f>""</x:f>
      </x:c>
      <x:c r="I3417" s="27" t="str">
        <x:f>IF(AND(ISNUMBER(G3417),ISNUMBER(H3417),H3417&gt;0),G3417/H3417-1,"")</x:f>
      </x:c>
      <x:c r="J3417" s="27" t="n">
        <x:f>IF(AND(ISNUMBER(G3417),F3417&gt;0),G3417/F3417-1,"")</x:f>
        <x:v>0</x:v>
      </x:c>
      <x:c r="K3417" s="19" t="str">
        <x:v>KuaiRec/EXP104/results/seed8404_BBP.json</x:v>
      </x:c>
    </x:row>
    <x:row r="3418" ht="15" hidden="0" customHeight="1">
      <x:c r="A3418" s="3" t="str">
        <x:v>EXP104</x:v>
      </x:c>
      <x:c r="B3418" s="3" t="str">
        <x:v>KuaiRec</x:v>
      </x:c>
      <x:c r="C3418" s="18" t="n">
        <x:v>8404</x:v>
      </x:c>
      <x:c r="D3418" s="3" t="str">
        <x:v>BBP + physical compression</x:v>
      </x:c>
      <x:c r="E3418" s="18" t="n">
        <x:v>600</x:v>
      </x:c>
      <x:c r="F3418" s="21" t="n">
        <x:v>1427.8596364505506</x:v>
      </x:c>
      <x:c r="G3418" s="21" t="n">
        <x:f>F3417</x:f>
        <x:v>1411.3640736632294</x:v>
      </x:c>
      <x:c r="H3418" s="21" t="str">
        <x:f>""</x:f>
      </x:c>
      <x:c r="I3418" s="27" t="str">
        <x:f>IF(AND(ISNUMBER(G3418),ISNUMBER(H3418),H3418&gt;0),G3418/H3418-1,"")</x:f>
      </x:c>
      <x:c r="J3418" s="27" t="n">
        <x:f>IF(AND(ISNUMBER(G3418),F3418&gt;0),G3418/F3418-1,"")</x:f>
        <x:v>-0.011552650110851714</x:v>
      </x:c>
      <x:c r="K3418" s="19" t="str">
        <x:v>KuaiRec/EXP104/results/seed8404_BBP_physical_compression.json</x:v>
      </x:c>
    </x:row>
    <x:row r="3419" ht="15" hidden="0" customHeight="1">
      <x:c r="A3419" s="3" t="str">
        <x:v>EXP121</x:v>
      </x:c>
      <x:c r="B3419" s="3" t="str">
        <x:v>Smooth 12</x:v>
      </x:c>
      <x:c r="C3419" s="18" t="n">
        <x:v>7600</x:v>
      </x:c>
      <x:c r="D3419" s="3" t="str">
        <x:v>BBP</x:v>
      </x:c>
      <x:c r="E3419" s="18" t="n">
        <x:v>400</x:v>
      </x:c>
      <x:c r="F3419" s="21" t="n">
        <x:v>637.8454708509612</x:v>
      </x:c>
      <x:c r="G3419" s="21" t="n">
        <x:f>F3419</x:f>
        <x:v>637.8454708509612</x:v>
      </x:c>
      <x:c r="H3419" s="21" t="n">
        <x:f>F3424</x:f>
        <x:v>622.9177054872584</x:v>
      </x:c>
      <x:c r="I3419" s="27" t="n">
        <x:f>IF(AND(ISNUMBER(G3419),ISNUMBER(H3419),H3419&gt;0),G3419/H3419-1,"")</x:f>
        <x:v>0.023964265636061688</x:v>
      </x:c>
      <x:c r="J3419" s="27" t="n">
        <x:f>IF(AND(ISNUMBER(G3419),F3419&gt;0),G3419/F3419-1,"")</x:f>
        <x:v>0</x:v>
      </x:c>
      <x:c r="K3419" s="19" t="str">
        <x:v>Smooth_12/EXP121/results/seed7600_BBP.json</x:v>
      </x:c>
    </x:row>
    <x:row r="3420" ht="15" hidden="0" customHeight="1">
      <x:c r="A3420" s="3" t="str">
        <x:v>EXP121</x:v>
      </x:c>
      <x:c r="B3420" s="3" t="str">
        <x:v>Smooth 12</x:v>
      </x:c>
      <x:c r="C3420" s="18" t="n">
        <x:v>7600</x:v>
      </x:c>
      <x:c r="D3420" s="3" t="str">
        <x:v>Relative cutoff 1e-5</x:v>
      </x:c>
      <x:c r="E3420" s="18" t="n">
        <x:v>400</x:v>
      </x:c>
      <x:c r="F3420" s="21" t="n">
        <x:v>631.9934825616791</x:v>
      </x:c>
      <x:c r="G3420" s="21" t="n">
        <x:f>F3419</x:f>
        <x:v>637.8454708509612</x:v>
      </x:c>
      <x:c r="H3420" s="21" t="n">
        <x:f>F3424</x:f>
        <x:v>622.9177054872584</x:v>
      </x:c>
      <x:c r="I3420" s="27" t="n">
        <x:f>IF(AND(ISNUMBER(G3420),ISNUMBER(H3420),H3420&gt;0),G3420/H3420-1,"")</x:f>
        <x:v>0.023964265636061688</x:v>
      </x:c>
      <x:c r="J3420" s="27" t="n">
        <x:f>IF(AND(ISNUMBER(G3420),F3420&gt;0),G3420/F3420-1,"")</x:f>
        <x:v>0.00925957062968763</x:v>
      </x:c>
      <x:c r="K3420" s="19" t="str">
        <x:v>Smooth_12/EXP121/results/seed7600_Relative_cutoff_1e-5.json</x:v>
      </x:c>
    </x:row>
    <x:row r="3421" ht="15" hidden="0" customHeight="1">
      <x:c r="A3421" s="3" t="str">
        <x:v>EXP121</x:v>
      </x:c>
      <x:c r="B3421" s="3" t="str">
        <x:v>Smooth 12</x:v>
      </x:c>
      <x:c r="C3421" s="18" t="n">
        <x:v>7600</x:v>
      </x:c>
      <x:c r="D3421" s="3" t="str">
        <x:v>Fixed rank 10</x:v>
      </x:c>
      <x:c r="E3421" s="18" t="n">
        <x:v>400</x:v>
      </x:c>
      <x:c r="F3421" s="21" t="n">
        <x:v>631.1046849777283</x:v>
      </x:c>
      <x:c r="G3421" s="21" t="n">
        <x:f>F3419</x:f>
        <x:v>637.8454708509612</x:v>
      </x:c>
      <x:c r="H3421" s="21" t="n">
        <x:f>F3424</x:f>
        <x:v>622.9177054872584</x:v>
      </x:c>
      <x:c r="I3421" s="27" t="n">
        <x:f>IF(AND(ISNUMBER(G3421),ISNUMBER(H3421),H3421&gt;0),G3421/H3421-1,"")</x:f>
        <x:v>0.023964265636061688</x:v>
      </x:c>
      <x:c r="J3421" s="27" t="n">
        <x:f>IF(AND(ISNUMBER(G3421),F3421&gt;0),G3421/F3421-1,"")</x:f>
        <x:v>0.010680931442413222</x:v>
      </x:c>
      <x:c r="K3421" s="19" t="str">
        <x:v>Smooth_12/EXP121/results/seed7600_Fixed_rank_10.json</x:v>
      </x:c>
    </x:row>
    <x:row r="3422" ht="15" hidden="0" customHeight="1">
      <x:c r="A3422" s="3" t="str">
        <x:v>EXP121</x:v>
      </x:c>
      <x:c r="B3422" s="3" t="str">
        <x:v>Smooth 12</x:v>
      </x:c>
      <x:c r="C3422" s="18" t="n">
        <x:v>7600</x:v>
      </x:c>
      <x:c r="D3422" s="3" t="str">
        <x:v>Fixed rank 25</x:v>
      </x:c>
      <x:c r="E3422" s="18" t="n">
        <x:v>400</x:v>
      </x:c>
      <x:c r="F3422" s="21" t="n">
        <x:v>635.7633840089237</x:v>
      </x:c>
      <x:c r="G3422" s="21" t="n">
        <x:f>F3419</x:f>
        <x:v>637.8454708509612</x:v>
      </x:c>
      <x:c r="H3422" s="21" t="n">
        <x:f>F3424</x:f>
        <x:v>622.9177054872584</x:v>
      </x:c>
      <x:c r="I3422" s="27" t="n">
        <x:f>IF(AND(ISNUMBER(G3422),ISNUMBER(H3422),H3422&gt;0),G3422/H3422-1,"")</x:f>
        <x:v>0.023964265636061688</x:v>
      </x:c>
      <x:c r="J3422" s="27" t="n">
        <x:f>IF(AND(ISNUMBER(G3422),F3422&gt;0),G3422/F3422-1,"")</x:f>
        <x:v>0.003274939850905767</x:v>
      </x:c>
      <x:c r="K3422" s="19" t="str">
        <x:v>Smooth_12/EXP121/results/seed7600_Fixed_rank_25.json</x:v>
      </x:c>
    </x:row>
    <x:row r="3423" ht="15" hidden="0" customHeight="1">
      <x:c r="A3423" s="3" t="str">
        <x:v>EXP121</x:v>
      </x:c>
      <x:c r="B3423" s="3" t="str">
        <x:v>Smooth 12</x:v>
      </x:c>
      <x:c r="C3423" s="18" t="n">
        <x:v>7600</x:v>
      </x:c>
      <x:c r="D3423" s="3" t="str">
        <x:v>Relative cutoff 1e-6</x:v>
      </x:c>
      <x:c r="E3423" s="18" t="n">
        <x:v>400</x:v>
      </x:c>
      <x:c r="F3423" s="21" t="n">
        <x:v>635.7633840089237</x:v>
      </x:c>
      <x:c r="G3423" s="21" t="n">
        <x:f>F3419</x:f>
        <x:v>637.8454708509612</x:v>
      </x:c>
      <x:c r="H3423" s="21" t="n">
        <x:f>F3424</x:f>
        <x:v>622.9177054872584</x:v>
      </x:c>
      <x:c r="I3423" s="27" t="n">
        <x:f>IF(AND(ISNUMBER(G3423),ISNUMBER(H3423),H3423&gt;0),G3423/H3423-1,"")</x:f>
        <x:v>0.023964265636061688</x:v>
      </x:c>
      <x:c r="J3423" s="27" t="n">
        <x:f>IF(AND(ISNUMBER(G3423),F3423&gt;0),G3423/F3423-1,"")</x:f>
        <x:v>0.003274939850905767</x:v>
      </x:c>
      <x:c r="K3423" s="19" t="str">
        <x:v>Smooth_12/EXP121/results/seed7600_Relative_cutoff_1e-6.json</x:v>
      </x:c>
    </x:row>
    <x:row r="3424" ht="15" hidden="0" customHeight="1">
      <x:c r="A3424" s="3" t="str">
        <x:v>EXP121</x:v>
      </x:c>
      <x:c r="B3424" s="3" t="str">
        <x:v>Smooth 12</x:v>
      </x:c>
      <x:c r="C3424" s="18" t="n">
        <x:v>7600</x:v>
      </x:c>
      <x:c r="D3424" s="3" t="str">
        <x:v>Full</x:v>
      </x:c>
      <x:c r="E3424" s="18" t="n">
        <x:v>400</x:v>
      </x:c>
      <x:c r="F3424" s="21" t="n">
        <x:v>622.9177054872584</x:v>
      </x:c>
      <x:c r="G3424" s="21" t="n">
        <x:f>F3419</x:f>
        <x:v>637.8454708509612</x:v>
      </x:c>
      <x:c r="H3424" s="21" t="n">
        <x:f>F3424</x:f>
        <x:v>622.9177054872584</x:v>
      </x:c>
      <x:c r="I3424" s="27" t="n">
        <x:f>IF(AND(ISNUMBER(G3424),ISNUMBER(H3424),H3424&gt;0),G3424/H3424-1,"")</x:f>
        <x:v>0.023964265636061688</x:v>
      </x:c>
      <x:c r="J3424" s="27" t="n">
        <x:f>IF(AND(ISNUMBER(G3424),F3424&gt;0),G3424/F3424-1,"")</x:f>
        <x:v>0.023964265636061688</x:v>
      </x:c>
      <x:c r="K3424" s="19" t="str">
        <x:v>Smooth_12/EXP121/results/seed7600_Full.json</x:v>
      </x:c>
    </x:row>
    <x:row r="3425" ht="15" hidden="0" customHeight="1">
      <x:c r="A3425" s="3" t="str">
        <x:v>EXP121</x:v>
      </x:c>
      <x:c r="B3425" s="3" t="str">
        <x:v>Smooth 12</x:v>
      </x:c>
      <x:c r="C3425" s="18" t="n">
        <x:v>7600</x:v>
      </x:c>
      <x:c r="D3425" s="3" t="str">
        <x:v>Relative cutoff 1e-2</x:v>
      </x:c>
      <x:c r="E3425" s="18" t="n">
        <x:v>400</x:v>
      </x:c>
      <x:c r="F3425" s="21" t="n">
        <x:v>640.4297360082938</x:v>
      </x:c>
      <x:c r="G3425" s="21" t="n">
        <x:f>F3419</x:f>
        <x:v>637.8454708509612</x:v>
      </x:c>
      <x:c r="H3425" s="21" t="n">
        <x:f>F3424</x:f>
        <x:v>622.9177054872584</x:v>
      </x:c>
      <x:c r="I3425" s="27" t="n">
        <x:f>IF(AND(ISNUMBER(G3425),ISNUMBER(H3425),H3425&gt;0),G3425/H3425-1,"")</x:f>
        <x:v>0.023964265636061688</x:v>
      </x:c>
      <x:c r="J3425" s="27" t="n">
        <x:f>IF(AND(ISNUMBER(G3425),F3425&gt;0),G3425/F3425-1,"")</x:f>
        <x:v>-0.004035204819563765</x:v>
      </x:c>
      <x:c r="K3425" s="19" t="str">
        <x:v>Smooth_12/EXP121/results/seed7600_Relative_cutoff_1e-2.json</x:v>
      </x:c>
    </x:row>
    <x:row r="3426" ht="15" hidden="0" customHeight="1">
      <x:c r="A3426" s="3" t="str">
        <x:v>EXP121</x:v>
      </x:c>
      <x:c r="B3426" s="3" t="str">
        <x:v>Smooth 12</x:v>
      </x:c>
      <x:c r="C3426" s="18" t="n">
        <x:v>7600</x:v>
      </x:c>
      <x:c r="D3426" s="3" t="str">
        <x:v>Relative cutoff 1e-4</x:v>
      </x:c>
      <x:c r="E3426" s="18" t="n">
        <x:v>400</x:v>
      </x:c>
      <x:c r="F3426" s="21" t="n">
        <x:v>622.9563271412923</x:v>
      </x:c>
      <x:c r="G3426" s="21" t="n">
        <x:f>F3419</x:f>
        <x:v>637.8454708509612</x:v>
      </x:c>
      <x:c r="H3426" s="21" t="n">
        <x:f>F3424</x:f>
        <x:v>622.9177054872584</x:v>
      </x:c>
      <x:c r="I3426" s="27" t="n">
        <x:f>IF(AND(ISNUMBER(G3426),ISNUMBER(H3426),H3426&gt;0),G3426/H3426-1,"")</x:f>
        <x:v>0.023964265636061688</x:v>
      </x:c>
      <x:c r="J3426" s="27" t="n">
        <x:f>IF(AND(ISNUMBER(G3426),F3426&gt;0),G3426/F3426-1,"")</x:f>
        <x:v>0.02390078254441086</x:v>
      </x:c>
      <x:c r="K3426" s="19" t="str">
        <x:v>Smooth_12/EXP121/results/seed7600_Relative_cutoff_1e-4.json</x:v>
      </x:c>
    </x:row>
    <x:row r="3427" ht="15" hidden="0" customHeight="1">
      <x:c r="A3427" s="3" t="str">
        <x:v>EXP121</x:v>
      </x:c>
      <x:c r="B3427" s="3" t="str">
        <x:v>Smooth 12</x:v>
      </x:c>
      <x:c r="C3427" s="18" t="n">
        <x:v>7601</x:v>
      </x:c>
      <x:c r="D3427" s="3" t="str">
        <x:v>BBP</x:v>
      </x:c>
      <x:c r="E3427" s="18" t="n">
        <x:v>400</x:v>
      </x:c>
      <x:c r="F3427" s="21" t="n">
        <x:v>614.2901587562201</x:v>
      </x:c>
      <x:c r="G3427" s="21" t="n">
        <x:f>F3427</x:f>
        <x:v>614.2901587562201</x:v>
      </x:c>
      <x:c r="H3427" s="21" t="n">
        <x:f>F3432</x:f>
        <x:v>637.8249975942696</x:v>
      </x:c>
      <x:c r="I3427" s="27" t="n">
        <x:f>IF(AND(ISNUMBER(G3427),ISNUMBER(H3427),H3427&gt;0),G3427/H3427-1,"")</x:f>
        <x:v>-0.0368985833525145</x:v>
      </x:c>
      <x:c r="J3427" s="27" t="n">
        <x:f>IF(AND(ISNUMBER(G3427),F3427&gt;0),G3427/F3427-1,"")</x:f>
        <x:v>0</x:v>
      </x:c>
      <x:c r="K3427" s="19" t="str">
        <x:v>Smooth_12/EXP121/results/seed7601_BBP.json</x:v>
      </x:c>
    </x:row>
    <x:row r="3428" ht="15" hidden="0" customHeight="1">
      <x:c r="A3428" s="3" t="str">
        <x:v>EXP121</x:v>
      </x:c>
      <x:c r="B3428" s="3" t="str">
        <x:v>Smooth 12</x:v>
      </x:c>
      <x:c r="C3428" s="18" t="n">
        <x:v>7601</x:v>
      </x:c>
      <x:c r="D3428" s="3" t="str">
        <x:v>Relative cutoff 1e-5</x:v>
      </x:c>
      <x:c r="E3428" s="18" t="n">
        <x:v>400</x:v>
      </x:c>
      <x:c r="F3428" s="21" t="n">
        <x:v>639.8034022615618</x:v>
      </x:c>
      <x:c r="G3428" s="21" t="n">
        <x:f>F3427</x:f>
        <x:v>614.2901587562201</x:v>
      </x:c>
      <x:c r="H3428" s="21" t="n">
        <x:f>F3432</x:f>
        <x:v>637.8249975942696</x:v>
      </x:c>
      <x:c r="I3428" s="27" t="n">
        <x:f>IF(AND(ISNUMBER(G3428),ISNUMBER(H3428),H3428&gt;0),G3428/H3428-1,"")</x:f>
        <x:v>-0.0368985833525145</x:v>
      </x:c>
      <x:c r="J3428" s="27" t="n">
        <x:f>IF(AND(ISNUMBER(G3428),F3428&gt;0),G3428/F3428-1,"")</x:f>
        <x:v>-0.03987669245764891</x:v>
      </x:c>
      <x:c r="K3428" s="19" t="str">
        <x:v>Smooth_12/EXP121/results/seed7601_Relative_cutoff_1e-5.json</x:v>
      </x:c>
    </x:row>
    <x:row r="3429" ht="15" hidden="0" customHeight="1">
      <x:c r="A3429" s="3" t="str">
        <x:v>EXP121</x:v>
      </x:c>
      <x:c r="B3429" s="3" t="str">
        <x:v>Smooth 12</x:v>
      </x:c>
      <x:c r="C3429" s="18" t="n">
        <x:v>7601</x:v>
      </x:c>
      <x:c r="D3429" s="3" t="str">
        <x:v>Fixed rank 10</x:v>
      </x:c>
      <x:c r="E3429" s="18" t="n">
        <x:v>400</x:v>
      </x:c>
      <x:c r="F3429" s="21" t="n">
        <x:v>608.3834065445371</x:v>
      </x:c>
      <x:c r="G3429" s="21" t="n">
        <x:f>F3427</x:f>
        <x:v>614.2901587562201</x:v>
      </x:c>
      <x:c r="H3429" s="21" t="n">
        <x:f>F3432</x:f>
        <x:v>637.8249975942696</x:v>
      </x:c>
      <x:c r="I3429" s="27" t="n">
        <x:f>IF(AND(ISNUMBER(G3429),ISNUMBER(H3429),H3429&gt;0),G3429/H3429-1,"")</x:f>
        <x:v>-0.0368985833525145</x:v>
      </x:c>
      <x:c r="J3429" s="27" t="n">
        <x:f>IF(AND(ISNUMBER(G3429),F3429&gt;0),G3429/F3429-1,"")</x:f>
        <x:v>0.009708930500310409</x:v>
      </x:c>
      <x:c r="K3429" s="19" t="str">
        <x:v>Smooth_12/EXP121/results/seed7601_Fixed_rank_10.json</x:v>
      </x:c>
    </x:row>
    <x:row r="3430" ht="15" hidden="0" customHeight="1">
      <x:c r="A3430" s="3" t="str">
        <x:v>EXP121</x:v>
      </x:c>
      <x:c r="B3430" s="3" t="str">
        <x:v>Smooth 12</x:v>
      </x:c>
      <x:c r="C3430" s="18" t="n">
        <x:v>7601</x:v>
      </x:c>
      <x:c r="D3430" s="3" t="str">
        <x:v>Fixed rank 25</x:v>
      </x:c>
      <x:c r="E3430" s="18" t="n">
        <x:v>400</x:v>
      </x:c>
      <x:c r="F3430" s="21" t="n">
        <x:v>614.2901587562201</x:v>
      </x:c>
      <x:c r="G3430" s="21" t="n">
        <x:f>F3427</x:f>
        <x:v>614.2901587562201</x:v>
      </x:c>
      <x:c r="H3430" s="21" t="n">
        <x:f>F3432</x:f>
        <x:v>637.8249975942696</x:v>
      </x:c>
      <x:c r="I3430" s="27" t="n">
        <x:f>IF(AND(ISNUMBER(G3430),ISNUMBER(H3430),H3430&gt;0),G3430/H3430-1,"")</x:f>
        <x:v>-0.0368985833525145</x:v>
      </x:c>
      <x:c r="J3430" s="27" t="n">
        <x:f>IF(AND(ISNUMBER(G3430),F3430&gt;0),G3430/F3430-1,"")</x:f>
        <x:v>0</x:v>
      </x:c>
      <x:c r="K3430" s="19" t="str">
        <x:v>Smooth_12/EXP121/results/seed7601_Fixed_rank_25.json</x:v>
      </x:c>
    </x:row>
    <x:row r="3431" ht="15" hidden="0" customHeight="1">
      <x:c r="A3431" s="3" t="str">
        <x:v>EXP121</x:v>
      </x:c>
      <x:c r="B3431" s="3" t="str">
        <x:v>Smooth 12</x:v>
      </x:c>
      <x:c r="C3431" s="18" t="n">
        <x:v>7601</x:v>
      </x:c>
      <x:c r="D3431" s="3" t="str">
        <x:v>Relative cutoff 1e-6</x:v>
      </x:c>
      <x:c r="E3431" s="18" t="n">
        <x:v>400</x:v>
      </x:c>
      <x:c r="F3431" s="21" t="n">
        <x:v>639.8034022615618</x:v>
      </x:c>
      <x:c r="G3431" s="21" t="n">
        <x:f>F3427</x:f>
        <x:v>614.2901587562201</x:v>
      </x:c>
      <x:c r="H3431" s="21" t="n">
        <x:f>F3432</x:f>
        <x:v>637.8249975942696</x:v>
      </x:c>
      <x:c r="I3431" s="27" t="n">
        <x:f>IF(AND(ISNUMBER(G3431),ISNUMBER(H3431),H3431&gt;0),G3431/H3431-1,"")</x:f>
        <x:v>-0.0368985833525145</x:v>
      </x:c>
      <x:c r="J3431" s="27" t="n">
        <x:f>IF(AND(ISNUMBER(G3431),F3431&gt;0),G3431/F3431-1,"")</x:f>
        <x:v>-0.03987669245764891</x:v>
      </x:c>
      <x:c r="K3431" s="19" t="str">
        <x:v>Smooth_12/EXP121/results/seed7601_Relative_cutoff_1e-6.json</x:v>
      </x:c>
    </x:row>
    <x:row r="3432" ht="15" hidden="0" customHeight="1">
      <x:c r="A3432" s="3" t="str">
        <x:v>EXP121</x:v>
      </x:c>
      <x:c r="B3432" s="3" t="str">
        <x:v>Smooth 12</x:v>
      </x:c>
      <x:c r="C3432" s="18" t="n">
        <x:v>7601</x:v>
      </x:c>
      <x:c r="D3432" s="3" t="str">
        <x:v>Full</x:v>
      </x:c>
      <x:c r="E3432" s="18" t="n">
        <x:v>400</x:v>
      </x:c>
      <x:c r="F3432" s="21" t="n">
        <x:v>637.8249975942696</x:v>
      </x:c>
      <x:c r="G3432" s="21" t="n">
        <x:f>F3427</x:f>
        <x:v>614.2901587562201</x:v>
      </x:c>
      <x:c r="H3432" s="21" t="n">
        <x:f>F3432</x:f>
        <x:v>637.8249975942696</x:v>
      </x:c>
      <x:c r="I3432" s="27" t="n">
        <x:f>IF(AND(ISNUMBER(G3432),ISNUMBER(H3432),H3432&gt;0),G3432/H3432-1,"")</x:f>
        <x:v>-0.0368985833525145</x:v>
      </x:c>
      <x:c r="J3432" s="27" t="n">
        <x:f>IF(AND(ISNUMBER(G3432),F3432&gt;0),G3432/F3432-1,"")</x:f>
        <x:v>-0.0368985833525145</x:v>
      </x:c>
      <x:c r="K3432" s="19" t="str">
        <x:v>Smooth_12/EXP121/results/seed7601_Full.json</x:v>
      </x:c>
    </x:row>
    <x:row r="3433" ht="15" hidden="0" customHeight="1">
      <x:c r="A3433" s="3" t="str">
        <x:v>EXP121</x:v>
      </x:c>
      <x:c r="B3433" s="3" t="str">
        <x:v>Smooth 12</x:v>
      </x:c>
      <x:c r="C3433" s="18" t="n">
        <x:v>7601</x:v>
      </x:c>
      <x:c r="D3433" s="3" t="str">
        <x:v>Relative cutoff 1e-2</x:v>
      </x:c>
      <x:c r="E3433" s="18" t="n">
        <x:v>400</x:v>
      </x:c>
      <x:c r="F3433" s="21" t="n">
        <x:v>658.1950133570946</x:v>
      </x:c>
      <x:c r="G3433" s="21" t="n">
        <x:f>F3427</x:f>
        <x:v>614.2901587562201</x:v>
      </x:c>
      <x:c r="H3433" s="21" t="n">
        <x:f>F3432</x:f>
        <x:v>637.8249975942696</x:v>
      </x:c>
      <x:c r="I3433" s="27" t="n">
        <x:f>IF(AND(ISNUMBER(G3433),ISNUMBER(H3433),H3433&gt;0),G3433/H3433-1,"")</x:f>
        <x:v>-0.0368985833525145</x:v>
      </x:c>
      <x:c r="J3433" s="27" t="n">
        <x:f>IF(AND(ISNUMBER(G3433),F3433&gt;0),G3433/F3433-1,"")</x:f>
        <x:v>-0.0667049335073806</x:v>
      </x:c>
      <x:c r="K3433" s="19" t="str">
        <x:v>Smooth_12/EXP121/results/seed7601_Relative_cutoff_1e-2.json</x:v>
      </x:c>
    </x:row>
    <x:row r="3434" ht="15" hidden="0" customHeight="1">
      <x:c r="A3434" s="3" t="str">
        <x:v>EXP121</x:v>
      </x:c>
      <x:c r="B3434" s="3" t="str">
        <x:v>Smooth 12</x:v>
      </x:c>
      <x:c r="C3434" s="18" t="n">
        <x:v>7601</x:v>
      </x:c>
      <x:c r="D3434" s="3" t="str">
        <x:v>Relative cutoff 1e-4</x:v>
      </x:c>
      <x:c r="E3434" s="18" t="n">
        <x:v>400</x:v>
      </x:c>
      <x:c r="F3434" s="21" t="n">
        <x:v>634.4574908763765</x:v>
      </x:c>
      <x:c r="G3434" s="21" t="n">
        <x:f>F3427</x:f>
        <x:v>614.2901587562201</x:v>
      </x:c>
      <x:c r="H3434" s="21" t="n">
        <x:f>F3432</x:f>
        <x:v>637.8249975942696</x:v>
      </x:c>
      <x:c r="I3434" s="27" t="n">
        <x:f>IF(AND(ISNUMBER(G3434),ISNUMBER(H3434),H3434&gt;0),G3434/H3434-1,"")</x:f>
        <x:v>-0.0368985833525145</x:v>
      </x:c>
      <x:c r="J3434" s="27" t="n">
        <x:f>IF(AND(ISNUMBER(G3434),F3434&gt;0),G3434/F3434-1,"")</x:f>
        <x:v>-0.03178673498251117</x:v>
      </x:c>
      <x:c r="K3434" s="19" t="str">
        <x:v>Smooth_12/EXP121/results/seed7601_Relative_cutoff_1e-4.json</x:v>
      </x:c>
    </x:row>
    <x:row r="3435" ht="15" hidden="0" customHeight="1">
      <x:c r="A3435" s="3" t="str">
        <x:v>EXP121</x:v>
      </x:c>
      <x:c r="B3435" s="3" t="str">
        <x:v>Smooth 12</x:v>
      </x:c>
      <x:c r="C3435" s="18" t="n">
        <x:v>7602</x:v>
      </x:c>
      <x:c r="D3435" s="3" t="str">
        <x:v>BBP</x:v>
      </x:c>
      <x:c r="E3435" s="18" t="n">
        <x:v>400</x:v>
      </x:c>
      <x:c r="F3435" s="21" t="n">
        <x:v>602.9764652949641</x:v>
      </x:c>
      <x:c r="G3435" s="21" t="n">
        <x:f>F3435</x:f>
        <x:v>602.9764652949641</x:v>
      </x:c>
      <x:c r="H3435" s="21" t="n">
        <x:f>F3440</x:f>
        <x:v>579.7492334961199</x:v>
      </x:c>
      <x:c r="I3435" s="27" t="n">
        <x:f>IF(AND(ISNUMBER(G3435),ISNUMBER(H3435),H3435&gt;0),G3435/H3435-1,"")</x:f>
        <x:v>0.04006427340796059</x:v>
      </x:c>
      <x:c r="J3435" s="27" t="n">
        <x:f>IF(AND(ISNUMBER(G3435),F3435&gt;0),G3435/F3435-1,"")</x:f>
        <x:v>0</x:v>
      </x:c>
      <x:c r="K3435" s="19" t="str">
        <x:v>Smooth_12/EXP121/results/seed7602_BBP.json</x:v>
      </x:c>
    </x:row>
    <x:row r="3436" ht="15" hidden="0" customHeight="1">
      <x:c r="A3436" s="3" t="str">
        <x:v>EXP121</x:v>
      </x:c>
      <x:c r="B3436" s="3" t="str">
        <x:v>Smooth 12</x:v>
      </x:c>
      <x:c r="C3436" s="18" t="n">
        <x:v>7602</x:v>
      </x:c>
      <x:c r="D3436" s="3" t="str">
        <x:v>Relative cutoff 1e-5</x:v>
      </x:c>
      <x:c r="E3436" s="18" t="n">
        <x:v>400</x:v>
      </x:c>
      <x:c r="F3436" s="21" t="n">
        <x:v>585.462913873073</x:v>
      </x:c>
      <x:c r="G3436" s="21" t="n">
        <x:f>F3435</x:f>
        <x:v>602.9764652949641</x:v>
      </x:c>
      <x:c r="H3436" s="21" t="n">
        <x:f>F3440</x:f>
        <x:v>579.7492334961199</x:v>
      </x:c>
      <x:c r="I3436" s="27" t="n">
        <x:f>IF(AND(ISNUMBER(G3436),ISNUMBER(H3436),H3436&gt;0),G3436/H3436-1,"")</x:f>
        <x:v>0.04006427340796059</x:v>
      </x:c>
      <x:c r="J3436" s="27" t="n">
        <x:f>IF(AND(ISNUMBER(G3436),F3436&gt;0),G3436/F3436-1,"")</x:f>
        <x:v>0.029914023598919037</x:v>
      </x:c>
      <x:c r="K3436" s="19" t="str">
        <x:v>Smooth_12/EXP121/results/seed7602_Relative_cutoff_1e-5.json</x:v>
      </x:c>
    </x:row>
    <x:row r="3437" ht="15" hidden="0" customHeight="1">
      <x:c r="A3437" s="3" t="str">
        <x:v>EXP121</x:v>
      </x:c>
      <x:c r="B3437" s="3" t="str">
        <x:v>Smooth 12</x:v>
      </x:c>
      <x:c r="C3437" s="18" t="n">
        <x:v>7602</x:v>
      </x:c>
      <x:c r="D3437" s="3" t="str">
        <x:v>Fixed rank 10</x:v>
      </x:c>
      <x:c r="E3437" s="18" t="n">
        <x:v>400</x:v>
      </x:c>
      <x:c r="F3437" s="21" t="n">
        <x:v>571.1596738900503</x:v>
      </x:c>
      <x:c r="G3437" s="21" t="n">
        <x:f>F3435</x:f>
        <x:v>602.9764652949641</x:v>
      </x:c>
      <x:c r="H3437" s="21" t="n">
        <x:f>F3440</x:f>
        <x:v>579.7492334961199</x:v>
      </x:c>
      <x:c r="I3437" s="27" t="n">
        <x:f>IF(AND(ISNUMBER(G3437),ISNUMBER(H3437),H3437&gt;0),G3437/H3437-1,"")</x:f>
        <x:v>0.04006427340796059</x:v>
      </x:c>
      <x:c r="J3437" s="27" t="n">
        <x:f>IF(AND(ISNUMBER(G3437),F3437&gt;0),G3437/F3437-1,"")</x:f>
        <x:v>0.055705598380600296</x:v>
      </x:c>
      <x:c r="K3437" s="19" t="str">
        <x:v>Smooth_12/EXP121/results/seed7602_Fixed_rank_10.json</x:v>
      </x:c>
    </x:row>
    <x:row r="3438" ht="15" hidden="0" customHeight="1">
      <x:c r="A3438" s="3" t="str">
        <x:v>EXP121</x:v>
      </x:c>
      <x:c r="B3438" s="3" t="str">
        <x:v>Smooth 12</x:v>
      </x:c>
      <x:c r="C3438" s="18" t="n">
        <x:v>7602</x:v>
      </x:c>
      <x:c r="D3438" s="3" t="str">
        <x:v>Fixed rank 25</x:v>
      </x:c>
      <x:c r="E3438" s="18" t="n">
        <x:v>400</x:v>
      </x:c>
      <x:c r="F3438" s="21" t="n">
        <x:v>582.5442679533335</x:v>
      </x:c>
      <x:c r="G3438" s="21" t="n">
        <x:f>F3435</x:f>
        <x:v>602.9764652949641</x:v>
      </x:c>
      <x:c r="H3438" s="21" t="n">
        <x:f>F3440</x:f>
        <x:v>579.7492334961199</x:v>
      </x:c>
      <x:c r="I3438" s="27" t="n">
        <x:f>IF(AND(ISNUMBER(G3438),ISNUMBER(H3438),H3438&gt;0),G3438/H3438-1,"")</x:f>
        <x:v>0.04006427340796059</x:v>
      </x:c>
      <x:c r="J3438" s="27" t="n">
        <x:f>IF(AND(ISNUMBER(G3438),F3438&gt;0),G3438/F3438-1,"")</x:f>
        <x:v>0.03507406812775882</x:v>
      </x:c>
      <x:c r="K3438" s="19" t="str">
        <x:v>Smooth_12/EXP121/results/seed7602_Fixed_rank_25.json</x:v>
      </x:c>
    </x:row>
    <x:row r="3439" ht="15" hidden="0" customHeight="1">
      <x:c r="A3439" s="3" t="str">
        <x:v>EXP121</x:v>
      </x:c>
      <x:c r="B3439" s="3" t="str">
        <x:v>Smooth 12</x:v>
      </x:c>
      <x:c r="C3439" s="18" t="n">
        <x:v>7602</x:v>
      </x:c>
      <x:c r="D3439" s="3" t="str">
        <x:v>Relative cutoff 1e-6</x:v>
      </x:c>
      <x:c r="E3439" s="18" t="n">
        <x:v>400</x:v>
      </x:c>
      <x:c r="F3439" s="21" t="n">
        <x:v>579.7492334961199</x:v>
      </x:c>
      <x:c r="G3439" s="21" t="n">
        <x:f>F3435</x:f>
        <x:v>602.9764652949641</x:v>
      </x:c>
      <x:c r="H3439" s="21" t="n">
        <x:f>F3440</x:f>
        <x:v>579.7492334961199</x:v>
      </x:c>
      <x:c r="I3439" s="27" t="n">
        <x:f>IF(AND(ISNUMBER(G3439),ISNUMBER(H3439),H3439&gt;0),G3439/H3439-1,"")</x:f>
        <x:v>0.04006427340796059</x:v>
      </x:c>
      <x:c r="J3439" s="27" t="n">
        <x:f>IF(AND(ISNUMBER(G3439),F3439&gt;0),G3439/F3439-1,"")</x:f>
        <x:v>0.04006427340796059</x:v>
      </x:c>
      <x:c r="K3439" s="19" t="str">
        <x:v>Smooth_12/EXP121/results/seed7602_Relative_cutoff_1e-6.json</x:v>
      </x:c>
    </x:row>
    <x:row r="3440" ht="15" hidden="0" customHeight="1">
      <x:c r="A3440" s="3" t="str">
        <x:v>EXP121</x:v>
      </x:c>
      <x:c r="B3440" s="3" t="str">
        <x:v>Smooth 12</x:v>
      </x:c>
      <x:c r="C3440" s="18" t="n">
        <x:v>7602</x:v>
      </x:c>
      <x:c r="D3440" s="3" t="str">
        <x:v>Full</x:v>
      </x:c>
      <x:c r="E3440" s="18" t="n">
        <x:v>400</x:v>
      </x:c>
      <x:c r="F3440" s="21" t="n">
        <x:v>579.7492334961199</x:v>
      </x:c>
      <x:c r="G3440" s="21" t="n">
        <x:f>F3435</x:f>
        <x:v>602.9764652949641</x:v>
      </x:c>
      <x:c r="H3440" s="21" t="n">
        <x:f>F3440</x:f>
        <x:v>579.7492334961199</x:v>
      </x:c>
      <x:c r="I3440" s="27" t="n">
        <x:f>IF(AND(ISNUMBER(G3440),ISNUMBER(H3440),H3440&gt;0),G3440/H3440-1,"")</x:f>
        <x:v>0.04006427340796059</x:v>
      </x:c>
      <x:c r="J3440" s="27" t="n">
        <x:f>IF(AND(ISNUMBER(G3440),F3440&gt;0),G3440/F3440-1,"")</x:f>
        <x:v>0.04006427340796059</x:v>
      </x:c>
      <x:c r="K3440" s="19" t="str">
        <x:v>Smooth_12/EXP121/results/seed7602_Full.json</x:v>
      </x:c>
    </x:row>
    <x:row r="3441" ht="15" hidden="0" customHeight="1">
      <x:c r="A3441" s="3" t="str">
        <x:v>EXP121</x:v>
      </x:c>
      <x:c r="B3441" s="3" t="str">
        <x:v>Smooth 12</x:v>
      </x:c>
      <x:c r="C3441" s="18" t="n">
        <x:v>7602</x:v>
      </x:c>
      <x:c r="D3441" s="3" t="str">
        <x:v>Relative cutoff 1e-2</x:v>
      </x:c>
      <x:c r="E3441" s="18" t="n">
        <x:v>400</x:v>
      </x:c>
      <x:c r="F3441" s="21" t="n">
        <x:v>574.7698478473382</x:v>
      </x:c>
      <x:c r="G3441" s="21" t="n">
        <x:f>F3435</x:f>
        <x:v>602.9764652949641</x:v>
      </x:c>
      <x:c r="H3441" s="21" t="n">
        <x:f>F3440</x:f>
        <x:v>579.7492334961199</x:v>
      </x:c>
      <x:c r="I3441" s="27" t="n">
        <x:f>IF(AND(ISNUMBER(G3441),ISNUMBER(H3441),H3441&gt;0),G3441/H3441-1,"")</x:f>
        <x:v>0.04006427340796059</x:v>
      </x:c>
      <x:c r="J3441" s="27" t="n">
        <x:f>IF(AND(ISNUMBER(G3441),F3441&gt;0),G3441/F3441-1,"")</x:f>
        <x:v>0.0490746297031186</x:v>
      </x:c>
      <x:c r="K3441" s="19" t="str">
        <x:v>Smooth_12/EXP121/results/seed7602_Relative_cutoff_1e-2.json</x:v>
      </x:c>
    </x:row>
    <x:row r="3442" ht="15" hidden="0" customHeight="1">
      <x:c r="A3442" s="3" t="str">
        <x:v>EXP121</x:v>
      </x:c>
      <x:c r="B3442" s="3" t="str">
        <x:v>Smooth 12</x:v>
      </x:c>
      <x:c r="C3442" s="18" t="n">
        <x:v>7602</x:v>
      </x:c>
      <x:c r="D3442" s="3" t="str">
        <x:v>Relative cutoff 1e-4</x:v>
      </x:c>
      <x:c r="E3442" s="18" t="n">
        <x:v>400</x:v>
      </x:c>
      <x:c r="F3442" s="21" t="n">
        <x:v>599.8269952122704</x:v>
      </x:c>
      <x:c r="G3442" s="21" t="n">
        <x:f>F3435</x:f>
        <x:v>602.9764652949641</x:v>
      </x:c>
      <x:c r="H3442" s="21" t="n">
        <x:f>F3440</x:f>
        <x:v>579.7492334961199</x:v>
      </x:c>
      <x:c r="I3442" s="27" t="n">
        <x:f>IF(AND(ISNUMBER(G3442),ISNUMBER(H3442),H3442&gt;0),G3442/H3442-1,"")</x:f>
        <x:v>0.04006427340796059</x:v>
      </x:c>
      <x:c r="J3442" s="27" t="n">
        <x:f>IF(AND(ISNUMBER(G3442),F3442&gt;0),G3442/F3442-1,"")</x:f>
        <x:v>0.0052506307782616</x:v>
      </x:c>
      <x:c r="K3442" s="19" t="str">
        <x:v>Smooth_12/EXP121/results/seed7602_Relative_cutoff_1e-4.json</x:v>
      </x:c>
    </x:row>
    <x:row r="3443" ht="15" hidden="0" customHeight="1">
      <x:c r="A3443" s="3" t="str">
        <x:v>EXP121</x:v>
      </x:c>
      <x:c r="B3443" s="3" t="str">
        <x:v>Smooth 12</x:v>
      </x:c>
      <x:c r="C3443" s="18" t="n">
        <x:v>7603</x:v>
      </x:c>
      <x:c r="D3443" s="3" t="str">
        <x:v>BBP</x:v>
      </x:c>
      <x:c r="E3443" s="18" t="n">
        <x:v>400</x:v>
      </x:c>
      <x:c r="F3443" s="21" t="n">
        <x:v>682.5598215067699</x:v>
      </x:c>
      <x:c r="G3443" s="21" t="n">
        <x:f>F3443</x:f>
        <x:v>682.5598215067699</x:v>
      </x:c>
      <x:c r="H3443" s="21" t="n">
        <x:f>F3448</x:f>
        <x:v>696.1430522481744</x:v>
      </x:c>
      <x:c r="I3443" s="27" t="n">
        <x:f>IF(AND(ISNUMBER(G3443),ISNUMBER(H3443),H3443&gt;0),G3443/H3443-1,"")</x:f>
        <x:v>-0.019512125701086624</x:v>
      </x:c>
      <x:c r="J3443" s="27" t="n">
        <x:f>IF(AND(ISNUMBER(G3443),F3443&gt;0),G3443/F3443-1,"")</x:f>
        <x:v>0</x:v>
      </x:c>
      <x:c r="K3443" s="19" t="str">
        <x:v>Smooth_12/EXP121/results/seed7603_BBP.json</x:v>
      </x:c>
    </x:row>
    <x:row r="3444" ht="15" hidden="0" customHeight="1">
      <x:c r="A3444" s="3" t="str">
        <x:v>EXP121</x:v>
      </x:c>
      <x:c r="B3444" s="3" t="str">
        <x:v>Smooth 12</x:v>
      </x:c>
      <x:c r="C3444" s="18" t="n">
        <x:v>7603</x:v>
      </x:c>
      <x:c r="D3444" s="3" t="str">
        <x:v>Relative cutoff 1e-5</x:v>
      </x:c>
      <x:c r="E3444" s="18" t="n">
        <x:v>400</x:v>
      </x:c>
      <x:c r="F3444" s="21" t="n">
        <x:v>726.9885979596917</x:v>
      </x:c>
      <x:c r="G3444" s="21" t="n">
        <x:f>F3443</x:f>
        <x:v>682.5598215067699</x:v>
      </x:c>
      <x:c r="H3444" s="21" t="n">
        <x:f>F3448</x:f>
        <x:v>696.1430522481744</x:v>
      </x:c>
      <x:c r="I3444" s="27" t="n">
        <x:f>IF(AND(ISNUMBER(G3444),ISNUMBER(H3444),H3444&gt;0),G3444/H3444-1,"")</x:f>
        <x:v>-0.019512125701086624</x:v>
      </x:c>
      <x:c r="J3444" s="27" t="n">
        <x:f>IF(AND(ISNUMBER(G3444),F3444&gt;0),G3444/F3444-1,"")</x:f>
        <x:v>-0.0611134432886733</x:v>
      </x:c>
      <x:c r="K3444" s="19" t="str">
        <x:v>Smooth_12/EXP121/results/seed7603_Relative_cutoff_1e-5.json</x:v>
      </x:c>
    </x:row>
    <x:row r="3445" ht="15" hidden="0" customHeight="1">
      <x:c r="A3445" s="3" t="str">
        <x:v>EXP121</x:v>
      </x:c>
      <x:c r="B3445" s="3" t="str">
        <x:v>Smooth 12</x:v>
      </x:c>
      <x:c r="C3445" s="18" t="n">
        <x:v>7603</x:v>
      </x:c>
      <x:c r="D3445" s="3" t="str">
        <x:v>Fixed rank 10</x:v>
      </x:c>
      <x:c r="E3445" s="18" t="n">
        <x:v>400</x:v>
      </x:c>
      <x:c r="F3445" s="21" t="n">
        <x:v>709.5249114349767</x:v>
      </x:c>
      <x:c r="G3445" s="21" t="n">
        <x:f>F3443</x:f>
        <x:v>682.5598215067699</x:v>
      </x:c>
      <x:c r="H3445" s="21" t="n">
        <x:f>F3448</x:f>
        <x:v>696.1430522481744</x:v>
      </x:c>
      <x:c r="I3445" s="27" t="n">
        <x:f>IF(AND(ISNUMBER(G3445),ISNUMBER(H3445),H3445&gt;0),G3445/H3445-1,"")</x:f>
        <x:v>-0.019512125701086624</x:v>
      </x:c>
      <x:c r="J3445" s="27" t="n">
        <x:f>IF(AND(ISNUMBER(G3445),F3445&gt;0),G3445/F3445-1,"")</x:f>
        <x:v>-0.03800443013857158</x:v>
      </x:c>
      <x:c r="K3445" s="19" t="str">
        <x:v>Smooth_12/EXP121/results/seed7603_Fixed_rank_10.json</x:v>
      </x:c>
    </x:row>
    <x:row r="3446" ht="15" hidden="0" customHeight="1">
      <x:c r="A3446" s="3" t="str">
        <x:v>EXP121</x:v>
      </x:c>
      <x:c r="B3446" s="3" t="str">
        <x:v>Smooth 12</x:v>
      </x:c>
      <x:c r="C3446" s="18" t="n">
        <x:v>7603</x:v>
      </x:c>
      <x:c r="D3446" s="3" t="str">
        <x:v>Fixed rank 25</x:v>
      </x:c>
      <x:c r="E3446" s="18" t="n">
        <x:v>400</x:v>
      </x:c>
      <x:c r="F3446" s="21" t="n">
        <x:v>726.9885979596917</x:v>
      </x:c>
      <x:c r="G3446" s="21" t="n">
        <x:f>F3443</x:f>
        <x:v>682.5598215067699</x:v>
      </x:c>
      <x:c r="H3446" s="21" t="n">
        <x:f>F3448</x:f>
        <x:v>696.1430522481744</x:v>
      </x:c>
      <x:c r="I3446" s="27" t="n">
        <x:f>IF(AND(ISNUMBER(G3446),ISNUMBER(H3446),H3446&gt;0),G3446/H3446-1,"")</x:f>
        <x:v>-0.019512125701086624</x:v>
      </x:c>
      <x:c r="J3446" s="27" t="n">
        <x:f>IF(AND(ISNUMBER(G3446),F3446&gt;0),G3446/F3446-1,"")</x:f>
        <x:v>-0.0611134432886733</x:v>
      </x:c>
      <x:c r="K3446" s="19" t="str">
        <x:v>Smooth_12/EXP121/results/seed7603_Fixed_rank_25.json</x:v>
      </x:c>
    </x:row>
    <x:row r="3447" ht="15" hidden="0" customHeight="1">
      <x:c r="A3447" s="3" t="str">
        <x:v>EXP121</x:v>
      </x:c>
      <x:c r="B3447" s="3" t="str">
        <x:v>Smooth 12</x:v>
      </x:c>
      <x:c r="C3447" s="18" t="n">
        <x:v>7603</x:v>
      </x:c>
      <x:c r="D3447" s="3" t="str">
        <x:v>Relative cutoff 1e-6</x:v>
      </x:c>
      <x:c r="E3447" s="18" t="n">
        <x:v>400</x:v>
      </x:c>
      <x:c r="F3447" s="21" t="n">
        <x:v>693.8620991927875</x:v>
      </x:c>
      <x:c r="G3447" s="21" t="n">
        <x:f>F3443</x:f>
        <x:v>682.5598215067699</x:v>
      </x:c>
      <x:c r="H3447" s="21" t="n">
        <x:f>F3448</x:f>
        <x:v>696.1430522481744</x:v>
      </x:c>
      <x:c r="I3447" s="27" t="n">
        <x:f>IF(AND(ISNUMBER(G3447),ISNUMBER(H3447),H3447&gt;0),G3447/H3447-1,"")</x:f>
        <x:v>-0.019512125701086624</x:v>
      </x:c>
      <x:c r="J3447" s="27" t="n">
        <x:f>IF(AND(ISNUMBER(G3447),F3447&gt;0),G3447/F3447-1,"")</x:f>
        <x:v>-0.016288939400445956</x:v>
      </x:c>
      <x:c r="K3447" s="19" t="str">
        <x:v>Smooth_12/EXP121/results/seed7603_Relative_cutoff_1e-6.json</x:v>
      </x:c>
    </x:row>
    <x:row r="3448" ht="15" hidden="0" customHeight="1">
      <x:c r="A3448" s="3" t="str">
        <x:v>EXP121</x:v>
      </x:c>
      <x:c r="B3448" s="3" t="str">
        <x:v>Smooth 12</x:v>
      </x:c>
      <x:c r="C3448" s="18" t="n">
        <x:v>7603</x:v>
      </x:c>
      <x:c r="D3448" s="3" t="str">
        <x:v>Full</x:v>
      </x:c>
      <x:c r="E3448" s="18" t="n">
        <x:v>400</x:v>
      </x:c>
      <x:c r="F3448" s="21" t="n">
        <x:v>696.1430522481744</x:v>
      </x:c>
      <x:c r="G3448" s="21" t="n">
        <x:f>F3443</x:f>
        <x:v>682.5598215067699</x:v>
      </x:c>
      <x:c r="H3448" s="21" t="n">
        <x:f>F3448</x:f>
        <x:v>696.1430522481744</x:v>
      </x:c>
      <x:c r="I3448" s="27" t="n">
        <x:f>IF(AND(ISNUMBER(G3448),ISNUMBER(H3448),H3448&gt;0),G3448/H3448-1,"")</x:f>
        <x:v>-0.019512125701086624</x:v>
      </x:c>
      <x:c r="J3448" s="27" t="n">
        <x:f>IF(AND(ISNUMBER(G3448),F3448&gt;0),G3448/F3448-1,"")</x:f>
        <x:v>-0.019512125701086624</x:v>
      </x:c>
      <x:c r="K3448" s="19" t="str">
        <x:v>Smooth_12/EXP121/results/seed7603_Full.json</x:v>
      </x:c>
    </x:row>
    <x:row r="3449" ht="15" hidden="0" customHeight="1">
      <x:c r="A3449" s="3" t="str">
        <x:v>EXP121</x:v>
      </x:c>
      <x:c r="B3449" s="3" t="str">
        <x:v>Smooth 12</x:v>
      </x:c>
      <x:c r="C3449" s="18" t="n">
        <x:v>7603</x:v>
      </x:c>
      <x:c r="D3449" s="3" t="str">
        <x:v>Relative cutoff 1e-2</x:v>
      </x:c>
      <x:c r="E3449" s="18" t="n">
        <x:v>400</x:v>
      </x:c>
      <x:c r="F3449" s="21" t="n">
        <x:v>751.9036610986057</x:v>
      </x:c>
      <x:c r="G3449" s="21" t="n">
        <x:f>F3443</x:f>
        <x:v>682.5598215067699</x:v>
      </x:c>
      <x:c r="H3449" s="21" t="n">
        <x:f>F3448</x:f>
        <x:v>696.1430522481744</x:v>
      </x:c>
      <x:c r="I3449" s="27" t="n">
        <x:f>IF(AND(ISNUMBER(G3449),ISNUMBER(H3449),H3449&gt;0),G3449/H3449-1,"")</x:f>
        <x:v>-0.019512125701086624</x:v>
      </x:c>
      <x:c r="J3449" s="27" t="n">
        <x:f>IF(AND(ISNUMBER(G3449),F3449&gt;0),G3449/F3449-1,"")</x:f>
        <x:v>-0.09222436753468854</x:v>
      </x:c>
      <x:c r="K3449" s="19" t="str">
        <x:v>Smooth_12/EXP121/results/seed7603_Relative_cutoff_1e-2.json</x:v>
      </x:c>
    </x:row>
    <x:row r="3450" ht="15" hidden="0" customHeight="1">
      <x:c r="A3450" s="3" t="str">
        <x:v>EXP121</x:v>
      </x:c>
      <x:c r="B3450" s="3" t="str">
        <x:v>Smooth 12</x:v>
      </x:c>
      <x:c r="C3450" s="18" t="n">
        <x:v>7603</x:v>
      </x:c>
      <x:c r="D3450" s="3" t="str">
        <x:v>Relative cutoff 1e-4</x:v>
      </x:c>
      <x:c r="E3450" s="18" t="n">
        <x:v>400</x:v>
      </x:c>
      <x:c r="F3450" s="21" t="n">
        <x:v>700.1992503517481</x:v>
      </x:c>
      <x:c r="G3450" s="21" t="n">
        <x:f>F3443</x:f>
        <x:v>682.5598215067699</x:v>
      </x:c>
      <x:c r="H3450" s="21" t="n">
        <x:f>F3448</x:f>
        <x:v>696.1430522481744</x:v>
      </x:c>
      <x:c r="I3450" s="27" t="n">
        <x:f>IF(AND(ISNUMBER(G3450),ISNUMBER(H3450),H3450&gt;0),G3450/H3450-1,"")</x:f>
        <x:v>-0.019512125701086624</x:v>
      </x:c>
      <x:c r="J3450" s="27" t="n">
        <x:f>IF(AND(ISNUMBER(G3450),F3450&gt;0),G3450/F3450-1,"")</x:f>
        <x:v>-0.025192013324945584</x:v>
      </x:c>
      <x:c r="K3450" s="19" t="str">
        <x:v>Smooth_12/EXP121/results/seed7603_Relative_cutoff_1e-4.json</x:v>
      </x:c>
    </x:row>
    <x:row r="3451" ht="15" hidden="0" customHeight="1">
      <x:c r="A3451" s="3" t="str">
        <x:v>EXP121</x:v>
      </x:c>
      <x:c r="B3451" s="3" t="str">
        <x:v>Smooth 12</x:v>
      </x:c>
      <x:c r="C3451" s="18" t="n">
        <x:v>7604</x:v>
      </x:c>
      <x:c r="D3451" s="3" t="str">
        <x:v>BBP</x:v>
      </x:c>
      <x:c r="E3451" s="18" t="n">
        <x:v>400</x:v>
      </x:c>
      <x:c r="F3451" s="21" t="n">
        <x:v>683.0657734690653</x:v>
      </x:c>
      <x:c r="G3451" s="21" t="n">
        <x:f>F3451</x:f>
        <x:v>683.0657734690653</x:v>
      </x:c>
      <x:c r="H3451" s="21" t="n">
        <x:f>F3456</x:f>
        <x:v>674.620388897583</x:v>
      </x:c>
      <x:c r="I3451" s="27" t="n">
        <x:f>IF(AND(ISNUMBER(G3451),ISNUMBER(H3451),H3451&gt;0),G3451/H3451-1,"")</x:f>
        <x:v>0.012518721210432515</x:v>
      </x:c>
      <x:c r="J3451" s="27" t="n">
        <x:f>IF(AND(ISNUMBER(G3451),F3451&gt;0),G3451/F3451-1,"")</x:f>
        <x:v>0</x:v>
      </x:c>
      <x:c r="K3451" s="19" t="str">
        <x:v>Smooth_12/EXP121/results/seed7604_BBP.json</x:v>
      </x:c>
    </x:row>
    <x:row r="3452" ht="15" hidden="0" customHeight="1">
      <x:c r="A3452" s="3" t="str">
        <x:v>EXP121</x:v>
      </x:c>
      <x:c r="B3452" s="3" t="str">
        <x:v>Smooth 12</x:v>
      </x:c>
      <x:c r="C3452" s="18" t="n">
        <x:v>7604</x:v>
      </x:c>
      <x:c r="D3452" s="3" t="str">
        <x:v>Relative cutoff 1e-5</x:v>
      </x:c>
      <x:c r="E3452" s="18" t="n">
        <x:v>400</x:v>
      </x:c>
      <x:c r="F3452" s="21" t="n">
        <x:v>674.620388897583</x:v>
      </x:c>
      <x:c r="G3452" s="21" t="n">
        <x:f>F3451</x:f>
        <x:v>683.0657734690653</x:v>
      </x:c>
      <x:c r="H3452" s="21" t="n">
        <x:f>F3456</x:f>
        <x:v>674.620388897583</x:v>
      </x:c>
      <x:c r="I3452" s="27" t="n">
        <x:f>IF(AND(ISNUMBER(G3452),ISNUMBER(H3452),H3452&gt;0),G3452/H3452-1,"")</x:f>
        <x:v>0.012518721210432515</x:v>
      </x:c>
      <x:c r="J3452" s="27" t="n">
        <x:f>IF(AND(ISNUMBER(G3452),F3452&gt;0),G3452/F3452-1,"")</x:f>
        <x:v>0.012518721210432515</x:v>
      </x:c>
      <x:c r="K3452" s="19" t="str">
        <x:v>Smooth_12/EXP121/results/seed7604_Relative_cutoff_1e-5.json</x:v>
      </x:c>
    </x:row>
    <x:row r="3453" ht="15" hidden="0" customHeight="1">
      <x:c r="A3453" s="3" t="str">
        <x:v>EXP121</x:v>
      </x:c>
      <x:c r="B3453" s="3" t="str">
        <x:v>Smooth 12</x:v>
      </x:c>
      <x:c r="C3453" s="18" t="n">
        <x:v>7604</x:v>
      </x:c>
      <x:c r="D3453" s="3" t="str">
        <x:v>Fixed rank 10</x:v>
      </x:c>
      <x:c r="E3453" s="18" t="n">
        <x:v>400</x:v>
      </x:c>
      <x:c r="F3453" s="21" t="n">
        <x:v>680.2144786069101</x:v>
      </x:c>
      <x:c r="G3453" s="21" t="n">
        <x:f>F3451</x:f>
        <x:v>683.0657734690653</x:v>
      </x:c>
      <x:c r="H3453" s="21" t="n">
        <x:f>F3456</x:f>
        <x:v>674.620388897583</x:v>
      </x:c>
      <x:c r="I3453" s="27" t="n">
        <x:f>IF(AND(ISNUMBER(G3453),ISNUMBER(H3453),H3453&gt;0),G3453/H3453-1,"")</x:f>
        <x:v>0.012518721210432515</x:v>
      </x:c>
      <x:c r="J3453" s="27" t="n">
        <x:f>IF(AND(ISNUMBER(G3453),F3453&gt;0),G3453/F3453-1,"")</x:f>
        <x:v>0.00419175855826337</x:v>
      </x:c>
      <x:c r="K3453" s="19" t="str">
        <x:v>Smooth_12/EXP121/results/seed7604_Fixed_rank_10.json</x:v>
      </x:c>
    </x:row>
    <x:row r="3454" ht="15" hidden="0" customHeight="1">
      <x:c r="A3454" s="3" t="str">
        <x:v>EXP121</x:v>
      </x:c>
      <x:c r="B3454" s="3" t="str">
        <x:v>Smooth 12</x:v>
      </x:c>
      <x:c r="C3454" s="18" t="n">
        <x:v>7604</x:v>
      </x:c>
      <x:c r="D3454" s="3" t="str">
        <x:v>Fixed rank 25</x:v>
      </x:c>
      <x:c r="E3454" s="18" t="n">
        <x:v>400</x:v>
      </x:c>
      <x:c r="F3454" s="21" t="n">
        <x:v>684.5232569414459</x:v>
      </x:c>
      <x:c r="G3454" s="21" t="n">
        <x:f>F3451</x:f>
        <x:v>683.0657734690653</x:v>
      </x:c>
      <x:c r="H3454" s="21" t="n">
        <x:f>F3456</x:f>
        <x:v>674.620388897583</x:v>
      </x:c>
      <x:c r="I3454" s="27" t="n">
        <x:f>IF(AND(ISNUMBER(G3454),ISNUMBER(H3454),H3454&gt;0),G3454/H3454-1,"")</x:f>
        <x:v>0.012518721210432515</x:v>
      </x:c>
      <x:c r="J3454" s="27" t="n">
        <x:f>IF(AND(ISNUMBER(G3454),F3454&gt;0),G3454/F3454-1,"")</x:f>
        <x:v>-0.0021291949654023146</x:v>
      </x:c>
      <x:c r="K3454" s="19" t="str">
        <x:v>Smooth_12/EXP121/results/seed7604_Fixed_rank_25.json</x:v>
      </x:c>
    </x:row>
    <x:row r="3455" ht="15" hidden="0" customHeight="1">
      <x:c r="A3455" s="3" t="str">
        <x:v>EXP121</x:v>
      </x:c>
      <x:c r="B3455" s="3" t="str">
        <x:v>Smooth 12</x:v>
      </x:c>
      <x:c r="C3455" s="18" t="n">
        <x:v>7604</x:v>
      </x:c>
      <x:c r="D3455" s="3" t="str">
        <x:v>Relative cutoff 1e-6</x:v>
      </x:c>
      <x:c r="E3455" s="18" t="n">
        <x:v>400</x:v>
      </x:c>
      <x:c r="F3455" s="21" t="n">
        <x:v>674.620388897583</x:v>
      </x:c>
      <x:c r="G3455" s="21" t="n">
        <x:f>F3451</x:f>
        <x:v>683.0657734690653</x:v>
      </x:c>
      <x:c r="H3455" s="21" t="n">
        <x:f>F3456</x:f>
        <x:v>674.620388897583</x:v>
      </x:c>
      <x:c r="I3455" s="27" t="n">
        <x:f>IF(AND(ISNUMBER(G3455),ISNUMBER(H3455),H3455&gt;0),G3455/H3455-1,"")</x:f>
        <x:v>0.012518721210432515</x:v>
      </x:c>
      <x:c r="J3455" s="27" t="n">
        <x:f>IF(AND(ISNUMBER(G3455),F3455&gt;0),G3455/F3455-1,"")</x:f>
        <x:v>0.012518721210432515</x:v>
      </x:c>
      <x:c r="K3455" s="19" t="str">
        <x:v>Smooth_12/EXP121/results/seed7604_Relative_cutoff_1e-6.json</x:v>
      </x:c>
    </x:row>
    <x:row r="3456" ht="15" hidden="0" customHeight="1">
      <x:c r="A3456" s="3" t="str">
        <x:v>EXP121</x:v>
      </x:c>
      <x:c r="B3456" s="3" t="str">
        <x:v>Smooth 12</x:v>
      </x:c>
      <x:c r="C3456" s="18" t="n">
        <x:v>7604</x:v>
      </x:c>
      <x:c r="D3456" s="3" t="str">
        <x:v>Full</x:v>
      </x:c>
      <x:c r="E3456" s="18" t="n">
        <x:v>400</x:v>
      </x:c>
      <x:c r="F3456" s="21" t="n">
        <x:v>674.620388897583</x:v>
      </x:c>
      <x:c r="G3456" s="21" t="n">
        <x:f>F3451</x:f>
        <x:v>683.0657734690653</x:v>
      </x:c>
      <x:c r="H3456" s="21" t="n">
        <x:f>F3456</x:f>
        <x:v>674.620388897583</x:v>
      </x:c>
      <x:c r="I3456" s="27" t="n">
        <x:f>IF(AND(ISNUMBER(G3456),ISNUMBER(H3456),H3456&gt;0),G3456/H3456-1,"")</x:f>
        <x:v>0.012518721210432515</x:v>
      </x:c>
      <x:c r="J3456" s="27" t="n">
        <x:f>IF(AND(ISNUMBER(G3456),F3456&gt;0),G3456/F3456-1,"")</x:f>
        <x:v>0.012518721210432515</x:v>
      </x:c>
      <x:c r="K3456" s="19" t="str">
        <x:v>Smooth_12/EXP121/results/seed7604_Full.json</x:v>
      </x:c>
    </x:row>
    <x:row r="3457" ht="15" hidden="0" customHeight="1">
      <x:c r="A3457" s="3" t="str">
        <x:v>EXP121</x:v>
      </x:c>
      <x:c r="B3457" s="3" t="str">
        <x:v>Smooth 12</x:v>
      </x:c>
      <x:c r="C3457" s="18" t="n">
        <x:v>7604</x:v>
      </x:c>
      <x:c r="D3457" s="3" t="str">
        <x:v>Relative cutoff 1e-2</x:v>
      </x:c>
      <x:c r="E3457" s="18" t="n">
        <x:v>400</x:v>
      </x:c>
      <x:c r="F3457" s="21" t="n">
        <x:v>700.6902511831929</x:v>
      </x:c>
      <x:c r="G3457" s="21" t="n">
        <x:f>F3451</x:f>
        <x:v>683.0657734690653</x:v>
      </x:c>
      <x:c r="H3457" s="21" t="n">
        <x:f>F3456</x:f>
        <x:v>674.620388897583</x:v>
      </x:c>
      <x:c r="I3457" s="27" t="n">
        <x:f>IF(AND(ISNUMBER(G3457),ISNUMBER(H3457),H3457&gt;0),G3457/H3457-1,"")</x:f>
        <x:v>0.012518721210432515</x:v>
      </x:c>
      <x:c r="J3457" s="27" t="n">
        <x:f>IF(AND(ISNUMBER(G3457),F3457&gt;0),G3457/F3457-1,"")</x:f>
        <x:v>-0.025153022586466234</x:v>
      </x:c>
      <x:c r="K3457" s="19" t="str">
        <x:v>Smooth_12/EXP121/results/seed7604_Relative_cutoff_1e-2.json</x:v>
      </x:c>
    </x:row>
    <x:row r="3458" ht="15" hidden="0" customHeight="1">
      <x:c r="A3458" s="3" t="str">
        <x:v>EXP121</x:v>
      </x:c>
      <x:c r="B3458" s="3" t="str">
        <x:v>Smooth 12</x:v>
      </x:c>
      <x:c r="C3458" s="18" t="n">
        <x:v>7604</x:v>
      </x:c>
      <x:c r="D3458" s="3" t="str">
        <x:v>Relative cutoff 1e-4</x:v>
      </x:c>
      <x:c r="E3458" s="18" t="n">
        <x:v>400</x:v>
      </x:c>
      <x:c r="F3458" s="21" t="n">
        <x:v>661.910330251098</x:v>
      </x:c>
      <x:c r="G3458" s="21" t="n">
        <x:f>F3451</x:f>
        <x:v>683.0657734690653</x:v>
      </x:c>
      <x:c r="H3458" s="21" t="n">
        <x:f>F3456</x:f>
        <x:v>674.620388897583</x:v>
      </x:c>
      <x:c r="I3458" s="27" t="n">
        <x:f>IF(AND(ISNUMBER(G3458),ISNUMBER(H3458),H3458&gt;0),G3458/H3458-1,"")</x:f>
        <x:v>0.012518721210432515</x:v>
      </x:c>
      <x:c r="J3458" s="27" t="n">
        <x:f>IF(AND(ISNUMBER(G3458),F3458&gt;0),G3458/F3458-1,"")</x:f>
        <x:v>0.031961192099754676</x:v>
      </x:c>
      <x:c r="K3458" s="19" t="str">
        <x:v>Smooth_12/EXP121/results/seed7604_Relative_cutoff_1e-4.json</x:v>
      </x:c>
    </x:row>
    <x:row r="3459" ht="15" hidden="0" customHeight="1">
      <x:c r="A3459" s="3" t="str">
        <x:v>EXP121</x:v>
      </x:c>
      <x:c r="B3459" s="3" t="str">
        <x:v>Smooth 12</x:v>
      </x:c>
      <x:c r="C3459" s="18" t="n">
        <x:v>372273586</x:v>
      </x:c>
      <x:c r="D3459" s="3" t="str">
        <x:v>BBP</x:v>
      </x:c>
      <x:c r="E3459" s="18" t="n">
        <x:v>400</x:v>
      </x:c>
      <x:c r="F3459" s="21" t="n">
        <x:v>566.4282603771691</x:v>
      </x:c>
      <x:c r="G3459" s="21" t="n">
        <x:f>F3459</x:f>
        <x:v>566.4282603771691</x:v>
      </x:c>
      <x:c r="H3459" s="21" t="n">
        <x:f>F3464</x:f>
        <x:v>552.6699596979141</x:v>
      </x:c>
      <x:c r="I3459" s="27" t="n">
        <x:f>IF(AND(ISNUMBER(G3459),ISNUMBER(H3459),H3459&gt;0),G3459/H3459-1,"")</x:f>
        <x:v>0.024894243730517074</x:v>
      </x:c>
      <x:c r="J3459" s="27" t="n">
        <x:f>IF(AND(ISNUMBER(G3459),F3459&gt;0),G3459/F3459-1,"")</x:f>
        <x:v>0</x:v>
      </x:c>
      <x:c r="K3459" s="19" t="str">
        <x:v>Smooth_12/EXP121/results/seed372273586_BBP.json</x:v>
      </x:c>
    </x:row>
    <x:row r="3460" ht="15" hidden="0" customHeight="1">
      <x:c r="A3460" s="3" t="str">
        <x:v>EXP121</x:v>
      </x:c>
      <x:c r="B3460" s="3" t="str">
        <x:v>Smooth 12</x:v>
      </x:c>
      <x:c r="C3460" s="18" t="n">
        <x:v>372273586</x:v>
      </x:c>
      <x:c r="D3460" s="3" t="str">
        <x:v>Relative cutoff 1e-5</x:v>
      </x:c>
      <x:c r="E3460" s="18" t="n">
        <x:v>400</x:v>
      </x:c>
      <x:c r="F3460" s="21" t="n">
        <x:v>558.1324724125038</x:v>
      </x:c>
      <x:c r="G3460" s="21" t="n">
        <x:f>F3459</x:f>
        <x:v>566.4282603771691</x:v>
      </x:c>
      <x:c r="H3460" s="21" t="n">
        <x:f>F3464</x:f>
        <x:v>552.6699596979141</x:v>
      </x:c>
      <x:c r="I3460" s="27" t="n">
        <x:f>IF(AND(ISNUMBER(G3460),ISNUMBER(H3460),H3460&gt;0),G3460/H3460-1,"")</x:f>
        <x:v>0.024894243730517074</x:v>
      </x:c>
      <x:c r="J3460" s="27" t="n">
        <x:f>IF(AND(ISNUMBER(G3460),F3460&gt;0),G3460/F3460-1,"")</x:f>
        <x:v>0.014863474846405378</x:v>
      </x:c>
      <x:c r="K3460" s="19" t="str">
        <x:v>Smooth_12/EXP121/results/seed372273586_Relative_cutoff_1e-5.json</x:v>
      </x:c>
    </x:row>
    <x:row r="3461" ht="15" hidden="0" customHeight="1">
      <x:c r="A3461" s="3" t="str">
        <x:v>EXP121</x:v>
      </x:c>
      <x:c r="B3461" s="3" t="str">
        <x:v>Smooth 12</x:v>
      </x:c>
      <x:c r="C3461" s="18" t="n">
        <x:v>372273586</x:v>
      </x:c>
      <x:c r="D3461" s="3" t="str">
        <x:v>Fixed rank 10</x:v>
      </x:c>
      <x:c r="E3461" s="18" t="n">
        <x:v>400</x:v>
      </x:c>
      <x:c r="F3461" s="21" t="n">
        <x:v>573.1131614906662</x:v>
      </x:c>
      <x:c r="G3461" s="21" t="n">
        <x:f>F3459</x:f>
        <x:v>566.4282603771691</x:v>
      </x:c>
      <x:c r="H3461" s="21" t="n">
        <x:f>F3464</x:f>
        <x:v>552.6699596979141</x:v>
      </x:c>
      <x:c r="I3461" s="27" t="n">
        <x:f>IF(AND(ISNUMBER(G3461),ISNUMBER(H3461),H3461&gt;0),G3461/H3461-1,"")</x:f>
        <x:v>0.024894243730517074</x:v>
      </x:c>
      <x:c r="J3461" s="27" t="n">
        <x:f>IF(AND(ISNUMBER(G3461),F3461&gt;0),G3461/F3461-1,"")</x:f>
        <x:v>-0.011664190534570462</x:v>
      </x:c>
      <x:c r="K3461" s="19" t="str">
        <x:v>Smooth_12/EXP121/results/seed372273586_Fixed_rank_10.json</x:v>
      </x:c>
    </x:row>
    <x:row r="3462" ht="15" hidden="0" customHeight="1">
      <x:c r="A3462" s="3" t="str">
        <x:v>EXP121</x:v>
      </x:c>
      <x:c r="B3462" s="3" t="str">
        <x:v>Smooth 12</x:v>
      </x:c>
      <x:c r="C3462" s="18" t="n">
        <x:v>372273586</x:v>
      </x:c>
      <x:c r="D3462" s="3" t="str">
        <x:v>Fixed rank 25</x:v>
      </x:c>
      <x:c r="E3462" s="18" t="n">
        <x:v>400</x:v>
      </x:c>
      <x:c r="F3462" s="21" t="n">
        <x:v>607.5740599497891</x:v>
      </x:c>
      <x:c r="G3462" s="21" t="n">
        <x:f>F3459</x:f>
        <x:v>566.4282603771691</x:v>
      </x:c>
      <x:c r="H3462" s="21" t="n">
        <x:f>F3464</x:f>
        <x:v>552.6699596979141</x:v>
      </x:c>
      <x:c r="I3462" s="27" t="n">
        <x:f>IF(AND(ISNUMBER(G3462),ISNUMBER(H3462),H3462&gt;0),G3462/H3462-1,"")</x:f>
        <x:v>0.024894243730517074</x:v>
      </x:c>
      <x:c r="J3462" s="27" t="n">
        <x:f>IF(AND(ISNUMBER(G3462),F3462&gt;0),G3462/F3462-1,"")</x:f>
        <x:v>-0.06772145534985541</x:v>
      </x:c>
      <x:c r="K3462" s="19" t="str">
        <x:v>Smooth_12/EXP121/results/seed372273586_Fixed_rank_25.json</x:v>
      </x:c>
    </x:row>
    <x:row r="3463" ht="15" hidden="0" customHeight="1">
      <x:c r="A3463" s="3" t="str">
        <x:v>EXP121</x:v>
      </x:c>
      <x:c r="B3463" s="3" t="str">
        <x:v>Smooth 12</x:v>
      </x:c>
      <x:c r="C3463" s="18" t="n">
        <x:v>372273586</x:v>
      </x:c>
      <x:c r="D3463" s="3" t="str">
        <x:v>Relative cutoff 1e-6</x:v>
      </x:c>
      <x:c r="E3463" s="18" t="n">
        <x:v>400</x:v>
      </x:c>
      <x:c r="F3463" s="21" t="n">
        <x:v>558.1324724125038</x:v>
      </x:c>
      <x:c r="G3463" s="21" t="n">
        <x:f>F3459</x:f>
        <x:v>566.4282603771691</x:v>
      </x:c>
      <x:c r="H3463" s="21" t="n">
        <x:f>F3464</x:f>
        <x:v>552.6699596979141</x:v>
      </x:c>
      <x:c r="I3463" s="27" t="n">
        <x:f>IF(AND(ISNUMBER(G3463),ISNUMBER(H3463),H3463&gt;0),G3463/H3463-1,"")</x:f>
        <x:v>0.024894243730517074</x:v>
      </x:c>
      <x:c r="J3463" s="27" t="n">
        <x:f>IF(AND(ISNUMBER(G3463),F3463&gt;0),G3463/F3463-1,"")</x:f>
        <x:v>0.014863474846405378</x:v>
      </x:c>
      <x:c r="K3463" s="19" t="str">
        <x:v>Smooth_12/EXP121/results/seed372273586_Relative_cutoff_1e-6.json</x:v>
      </x:c>
    </x:row>
    <x:row r="3464" ht="15" hidden="0" customHeight="1">
      <x:c r="A3464" s="3" t="str">
        <x:v>EXP121</x:v>
      </x:c>
      <x:c r="B3464" s="3" t="str">
        <x:v>Smooth 12</x:v>
      </x:c>
      <x:c r="C3464" s="18" t="n">
        <x:v>372273586</x:v>
      </x:c>
      <x:c r="D3464" s="3" t="str">
        <x:v>Full</x:v>
      </x:c>
      <x:c r="E3464" s="18" t="n">
        <x:v>400</x:v>
      </x:c>
      <x:c r="F3464" s="21" t="n">
        <x:v>552.6699596979141</x:v>
      </x:c>
      <x:c r="G3464" s="21" t="n">
        <x:f>F3459</x:f>
        <x:v>566.4282603771691</x:v>
      </x:c>
      <x:c r="H3464" s="21" t="n">
        <x:f>F3464</x:f>
        <x:v>552.6699596979141</x:v>
      </x:c>
      <x:c r="I3464" s="27" t="n">
        <x:f>IF(AND(ISNUMBER(G3464),ISNUMBER(H3464),H3464&gt;0),G3464/H3464-1,"")</x:f>
        <x:v>0.024894243730517074</x:v>
      </x:c>
      <x:c r="J3464" s="27" t="n">
        <x:f>IF(AND(ISNUMBER(G3464),F3464&gt;0),G3464/F3464-1,"")</x:f>
        <x:v>0.024894243730517074</x:v>
      </x:c>
      <x:c r="K3464" s="19" t="str">
        <x:v>Smooth_12/EXP121/results/seed372273586_Full.json</x:v>
      </x:c>
    </x:row>
    <x:row r="3465" ht="15" hidden="0" customHeight="1">
      <x:c r="A3465" s="3" t="str">
        <x:v>EXP121</x:v>
      </x:c>
      <x:c r="B3465" s="3" t="str">
        <x:v>Smooth 12</x:v>
      </x:c>
      <x:c r="C3465" s="18" t="n">
        <x:v>372273586</x:v>
      </x:c>
      <x:c r="D3465" s="3" t="str">
        <x:v>Relative cutoff 1e-2</x:v>
      </x:c>
      <x:c r="E3465" s="18" t="n">
        <x:v>400</x:v>
      </x:c>
      <x:c r="F3465" s="21" t="n">
        <x:v>556.5437827406092</x:v>
      </x:c>
      <x:c r="G3465" s="21" t="n">
        <x:f>F3459</x:f>
        <x:v>566.4282603771691</x:v>
      </x:c>
      <x:c r="H3465" s="21" t="n">
        <x:f>F3464</x:f>
        <x:v>552.6699596979141</x:v>
      </x:c>
      <x:c r="I3465" s="27" t="n">
        <x:f>IF(AND(ISNUMBER(G3465),ISNUMBER(H3465),H3465&gt;0),G3465/H3465-1,"")</x:f>
        <x:v>0.024894243730517074</x:v>
      </x:c>
      <x:c r="J3465" s="27" t="n">
        <x:f>IF(AND(ISNUMBER(G3465),F3465&gt;0),G3465/F3465-1,"")</x:f>
        <x:v>0.01776046726797542</x:v>
      </x:c>
      <x:c r="K3465" s="19" t="str">
        <x:v>Smooth_12/EXP121/results/seed372273586_Relative_cutoff_1e-2.json</x:v>
      </x:c>
    </x:row>
    <x:row r="3466" ht="15" hidden="0" customHeight="1">
      <x:c r="A3466" s="3" t="str">
        <x:v>EXP121</x:v>
      </x:c>
      <x:c r="B3466" s="3" t="str">
        <x:v>Smooth 12</x:v>
      </x:c>
      <x:c r="C3466" s="18" t="n">
        <x:v>372273586</x:v>
      </x:c>
      <x:c r="D3466" s="3" t="str">
        <x:v>Relative cutoff 1e-4</x:v>
      </x:c>
      <x:c r="E3466" s="18" t="n">
        <x:v>400</x:v>
      </x:c>
      <x:c r="F3466" s="21" t="n">
        <x:v>556.3210347688286</x:v>
      </x:c>
      <x:c r="G3466" s="21" t="n">
        <x:f>F3459</x:f>
        <x:v>566.4282603771691</x:v>
      </x:c>
      <x:c r="H3466" s="21" t="n">
        <x:f>F3464</x:f>
        <x:v>552.6699596979141</x:v>
      </x:c>
      <x:c r="I3466" s="27" t="n">
        <x:f>IF(AND(ISNUMBER(G3466),ISNUMBER(H3466),H3466&gt;0),G3466/H3466-1,"")</x:f>
        <x:v>0.024894243730517074</x:v>
      </x:c>
      <x:c r="J3466" s="27" t="n">
        <x:f>IF(AND(ISNUMBER(G3466),F3466&gt;0),G3466/F3466-1,"")</x:f>
        <x:v>0.018167973124619374</x:v>
      </x:c>
      <x:c r="K3466" s="19" t="str">
        <x:v>Smooth_12/EXP121/results/seed372273586_Relative_cutoff_1e-4.json</x:v>
      </x:c>
    </x:row>
    <x:row r="3467" ht="15" hidden="0" customHeight="1">
      <x:c r="A3467" s="3" t="str">
        <x:v>EXP121</x:v>
      </x:c>
      <x:c r="B3467" s="3" t="str">
        <x:v>Smooth 12</x:v>
      </x:c>
      <x:c r="C3467" s="18" t="n">
        <x:v>688652385</x:v>
      </x:c>
      <x:c r="D3467" s="3" t="str">
        <x:v>BBP</x:v>
      </x:c>
      <x:c r="E3467" s="18" t="n">
        <x:v>400</x:v>
      </x:c>
      <x:c r="F3467" s="21" t="n">
        <x:v>643.5276968466623</x:v>
      </x:c>
      <x:c r="G3467" s="21" t="n">
        <x:f>F3467</x:f>
        <x:v>643.5276968466623</x:v>
      </x:c>
      <x:c r="H3467" s="21" t="n">
        <x:f>F3472</x:f>
        <x:v>692.7969056551768</x:v>
      </x:c>
      <x:c r="I3467" s="27" t="n">
        <x:f>IF(AND(ISNUMBER(G3467),ISNUMBER(H3467),H3467&gt;0),G3467/H3467-1,"")</x:f>
        <x:v>-0.07111638115923857</x:v>
      </x:c>
      <x:c r="J3467" s="27" t="n">
        <x:f>IF(AND(ISNUMBER(G3467),F3467&gt;0),G3467/F3467-1,"")</x:f>
        <x:v>0</x:v>
      </x:c>
      <x:c r="K3467" s="19" t="str">
        <x:v>Smooth_12/EXP121/results/seed688652385_BBP.json</x:v>
      </x:c>
    </x:row>
    <x:row r="3468" ht="15" hidden="0" customHeight="1">
      <x:c r="A3468" s="3" t="str">
        <x:v>EXP121</x:v>
      </x:c>
      <x:c r="B3468" s="3" t="str">
        <x:v>Smooth 12</x:v>
      </x:c>
      <x:c r="C3468" s="18" t="n">
        <x:v>688652385</x:v>
      </x:c>
      <x:c r="D3468" s="3" t="str">
        <x:v>Relative cutoff 1e-5</x:v>
      </x:c>
      <x:c r="E3468" s="18" t="n">
        <x:v>400</x:v>
      </x:c>
      <x:c r="F3468" s="21" t="n">
        <x:v>613.0546277218197</x:v>
      </x:c>
      <x:c r="G3468" s="21" t="n">
        <x:f>F3467</x:f>
        <x:v>643.5276968466623</x:v>
      </x:c>
      <x:c r="H3468" s="21" t="n">
        <x:f>F3472</x:f>
        <x:v>692.7969056551768</x:v>
      </x:c>
      <x:c r="I3468" s="27" t="n">
        <x:f>IF(AND(ISNUMBER(G3468),ISNUMBER(H3468),H3468&gt;0),G3468/H3468-1,"")</x:f>
        <x:v>-0.07111638115923857</x:v>
      </x:c>
      <x:c r="J3468" s="27" t="n">
        <x:f>IF(AND(ISNUMBER(G3468),F3468&gt;0),G3468/F3468-1,"")</x:f>
        <x:v>0.04970693923000624</x:v>
      </x:c>
      <x:c r="K3468" s="19" t="str">
        <x:v>Smooth_12/EXP121/results/seed688652385_Relative_cutoff_1e-5.json</x:v>
      </x:c>
    </x:row>
    <x:row r="3469" ht="15" hidden="0" customHeight="1">
      <x:c r="A3469" s="3" t="str">
        <x:v>EXP121</x:v>
      </x:c>
      <x:c r="B3469" s="3" t="str">
        <x:v>Smooth 12</x:v>
      </x:c>
      <x:c r="C3469" s="18" t="n">
        <x:v>688652385</x:v>
      </x:c>
      <x:c r="D3469" s="3" t="str">
        <x:v>Fixed rank 10</x:v>
      </x:c>
      <x:c r="E3469" s="18" t="n">
        <x:v>400</x:v>
      </x:c>
      <x:c r="F3469" s="21" t="n">
        <x:v>651.1384894636019</x:v>
      </x:c>
      <x:c r="G3469" s="21" t="n">
        <x:f>F3467</x:f>
        <x:v>643.5276968466623</x:v>
      </x:c>
      <x:c r="H3469" s="21" t="n">
        <x:f>F3472</x:f>
        <x:v>692.7969056551768</x:v>
      </x:c>
      <x:c r="I3469" s="27" t="n">
        <x:f>IF(AND(ISNUMBER(G3469),ISNUMBER(H3469),H3469&gt;0),G3469/H3469-1,"")</x:f>
        <x:v>-0.07111638115923857</x:v>
      </x:c>
      <x:c r="J3469" s="27" t="n">
        <x:f>IF(AND(ISNUMBER(G3469),F3469&gt;0),G3469/F3469-1,"")</x:f>
        <x:v>-0.011688439157097497</x:v>
      </x:c>
      <x:c r="K3469" s="19" t="str">
        <x:v>Smooth_12/EXP121/results/seed688652385_Fixed_rank_10.json</x:v>
      </x:c>
    </x:row>
    <x:row r="3470" ht="15" hidden="0" customHeight="1">
      <x:c r="A3470" s="3" t="str">
        <x:v>EXP121</x:v>
      </x:c>
      <x:c r="B3470" s="3" t="str">
        <x:v>Smooth 12</x:v>
      </x:c>
      <x:c r="C3470" s="18" t="n">
        <x:v>688652385</x:v>
      </x:c>
      <x:c r="D3470" s="3" t="str">
        <x:v>Fixed rank 25</x:v>
      </x:c>
      <x:c r="E3470" s="18" t="n">
        <x:v>400</x:v>
      </x:c>
      <x:c r="F3470" s="21" t="n">
        <x:v>628.6672144870506</x:v>
      </x:c>
      <x:c r="G3470" s="21" t="n">
        <x:f>F3467</x:f>
        <x:v>643.5276968466623</x:v>
      </x:c>
      <x:c r="H3470" s="21" t="n">
        <x:f>F3472</x:f>
        <x:v>692.7969056551768</x:v>
      </x:c>
      <x:c r="I3470" s="27" t="n">
        <x:f>IF(AND(ISNUMBER(G3470),ISNUMBER(H3470),H3470&gt;0),G3470/H3470-1,"")</x:f>
        <x:v>-0.07111638115923857</x:v>
      </x:c>
      <x:c r="J3470" s="27" t="n">
        <x:f>IF(AND(ISNUMBER(G3470),F3470&gt;0),G3470/F3470-1,"")</x:f>
        <x:v>0.02363807435343479</x:v>
      </x:c>
      <x:c r="K3470" s="19" t="str">
        <x:v>Smooth_12/EXP121/results/seed688652385_Fixed_rank_25.json</x:v>
      </x:c>
    </x:row>
    <x:row r="3471" ht="15" hidden="0" customHeight="1">
      <x:c r="A3471" s="3" t="str">
        <x:v>EXP121</x:v>
      </x:c>
      <x:c r="B3471" s="3" t="str">
        <x:v>Smooth 12</x:v>
      </x:c>
      <x:c r="C3471" s="18" t="n">
        <x:v>688652385</x:v>
      </x:c>
      <x:c r="D3471" s="3" t="str">
        <x:v>Relative cutoff 1e-6</x:v>
      </x:c>
      <x:c r="E3471" s="18" t="n">
        <x:v>400</x:v>
      </x:c>
      <x:c r="F3471" s="21" t="n">
        <x:v>608.4485094448852</x:v>
      </x:c>
      <x:c r="G3471" s="21" t="n">
        <x:f>F3467</x:f>
        <x:v>643.5276968466623</x:v>
      </x:c>
      <x:c r="H3471" s="21" t="n">
        <x:f>F3472</x:f>
        <x:v>692.7969056551768</x:v>
      </x:c>
      <x:c r="I3471" s="27" t="n">
        <x:f>IF(AND(ISNUMBER(G3471),ISNUMBER(H3471),H3471&gt;0),G3471/H3471-1,"")</x:f>
        <x:v>-0.07111638115923857</x:v>
      </x:c>
      <x:c r="J3471" s="27" t="n">
        <x:f>IF(AND(ISNUMBER(G3471),F3471&gt;0),G3471/F3471-1,"")</x:f>
        <x:v>0.057653502074943574</x:v>
      </x:c>
      <x:c r="K3471" s="19" t="str">
        <x:v>Smooth_12/EXP121/results/seed688652385_Relative_cutoff_1e-6.json</x:v>
      </x:c>
    </x:row>
    <x:row r="3472" ht="15" hidden="0" customHeight="1">
      <x:c r="A3472" s="3" t="str">
        <x:v>EXP121</x:v>
      </x:c>
      <x:c r="B3472" s="3" t="str">
        <x:v>Smooth 12</x:v>
      </x:c>
      <x:c r="C3472" s="18" t="n">
        <x:v>688652385</x:v>
      </x:c>
      <x:c r="D3472" s="3" t="str">
        <x:v>Full</x:v>
      </x:c>
      <x:c r="E3472" s="18" t="n">
        <x:v>400</x:v>
      </x:c>
      <x:c r="F3472" s="21" t="n">
        <x:v>692.7969056551768</x:v>
      </x:c>
      <x:c r="G3472" s="21" t="n">
        <x:f>F3467</x:f>
        <x:v>643.5276968466623</x:v>
      </x:c>
      <x:c r="H3472" s="21" t="n">
        <x:f>F3472</x:f>
        <x:v>692.7969056551768</x:v>
      </x:c>
      <x:c r="I3472" s="27" t="n">
        <x:f>IF(AND(ISNUMBER(G3472),ISNUMBER(H3472),H3472&gt;0),G3472/H3472-1,"")</x:f>
        <x:v>-0.07111638115923857</x:v>
      </x:c>
      <x:c r="J3472" s="27" t="n">
        <x:f>IF(AND(ISNUMBER(G3472),F3472&gt;0),G3472/F3472-1,"")</x:f>
        <x:v>-0.07111638115923857</x:v>
      </x:c>
      <x:c r="K3472" s="19" t="str">
        <x:v>Smooth_12/EXP121/results/seed688652385_Full.json</x:v>
      </x:c>
    </x:row>
    <x:row r="3473" ht="15" hidden="0" customHeight="1">
      <x:c r="A3473" s="3" t="str">
        <x:v>EXP121</x:v>
      </x:c>
      <x:c r="B3473" s="3" t="str">
        <x:v>Smooth 12</x:v>
      </x:c>
      <x:c r="C3473" s="18" t="n">
        <x:v>688652385</x:v>
      </x:c>
      <x:c r="D3473" s="3" t="str">
        <x:v>Relative cutoff 1e-2</x:v>
      </x:c>
      <x:c r="E3473" s="18" t="n">
        <x:v>400</x:v>
      </x:c>
      <x:c r="F3473" s="21" t="n">
        <x:v>652.6602960389221</x:v>
      </x:c>
      <x:c r="G3473" s="21" t="n">
        <x:f>F3467</x:f>
        <x:v>643.5276968466623</x:v>
      </x:c>
      <x:c r="H3473" s="21" t="n">
        <x:f>F3472</x:f>
        <x:v>692.7969056551768</x:v>
      </x:c>
      <x:c r="I3473" s="27" t="n">
        <x:f>IF(AND(ISNUMBER(G3473),ISNUMBER(H3473),H3473&gt;0),G3473/H3473-1,"")</x:f>
        <x:v>-0.07111638115923857</x:v>
      </x:c>
      <x:c r="J3473" s="27" t="n">
        <x:f>IF(AND(ISNUMBER(G3473),F3473&gt;0),G3473/F3473-1,"")</x:f>
        <x:v>-0.013992883047561966</x:v>
      </x:c>
      <x:c r="K3473" s="19" t="str">
        <x:v>Smooth_12/EXP121/results/seed688652385_Relative_cutoff_1e-2.json</x:v>
      </x:c>
    </x:row>
    <x:row r="3474" ht="15" hidden="0" customHeight="1">
      <x:c r="A3474" s="3" t="str">
        <x:v>EXP121</x:v>
      </x:c>
      <x:c r="B3474" s="3" t="str">
        <x:v>Smooth 12</x:v>
      </x:c>
      <x:c r="C3474" s="18" t="n">
        <x:v>688652385</x:v>
      </x:c>
      <x:c r="D3474" s="3" t="str">
        <x:v>Relative cutoff 1e-4</x:v>
      </x:c>
      <x:c r="E3474" s="18" t="n">
        <x:v>400</x:v>
      </x:c>
      <x:c r="F3474" s="21" t="n">
        <x:v>633.6429168488379</x:v>
      </x:c>
      <x:c r="G3474" s="21" t="n">
        <x:f>F3467</x:f>
        <x:v>643.5276968466623</x:v>
      </x:c>
      <x:c r="H3474" s="21" t="n">
        <x:f>F3472</x:f>
        <x:v>692.7969056551768</x:v>
      </x:c>
      <x:c r="I3474" s="27" t="n">
        <x:f>IF(AND(ISNUMBER(G3474),ISNUMBER(H3474),H3474&gt;0),G3474/H3474-1,"")</x:f>
        <x:v>-0.07111638115923857</x:v>
      </x:c>
      <x:c r="J3474" s="27" t="n">
        <x:f>IF(AND(ISNUMBER(G3474),F3474&gt;0),G3474/F3474-1,"")</x:f>
        <x:v>0.015599921872372802</x:v>
      </x:c>
      <x:c r="K3474" s="19" t="str">
        <x:v>Smooth_12/EXP121/results/seed688652385_Relative_cutoff_1e-4.json</x:v>
      </x:c>
    </x:row>
    <x:row r="3475" ht="15" hidden="0" customHeight="1">
      <x:c r="A3475" s="3" t="str">
        <x:v>EXP121</x:v>
      </x:c>
      <x:c r="B3475" s="3" t="str">
        <x:v>Smooth 12</x:v>
      </x:c>
      <x:c r="C3475" s="18" t="n">
        <x:v>1091417152</x:v>
      </x:c>
      <x:c r="D3475" s="3" t="str">
        <x:v>BBP</x:v>
      </x:c>
      <x:c r="E3475" s="18" t="n">
        <x:v>400</x:v>
      </x:c>
      <x:c r="F3475" s="21" t="n">
        <x:v>648.4654360664455</x:v>
      </x:c>
      <x:c r="G3475" s="21" t="n">
        <x:f>F3475</x:f>
        <x:v>648.4654360664455</x:v>
      </x:c>
      <x:c r="H3475" s="21" t="n">
        <x:f>F3480</x:f>
        <x:v>654.4792195442693</x:v>
      </x:c>
      <x:c r="I3475" s="27" t="n">
        <x:f>IF(AND(ISNUMBER(G3475),ISNUMBER(H3475),H3475&gt;0),G3475/H3475-1,"")</x:f>
        <x:v>-0.009188654579455391</x:v>
      </x:c>
      <x:c r="J3475" s="27" t="n">
        <x:f>IF(AND(ISNUMBER(G3475),F3475&gt;0),G3475/F3475-1,"")</x:f>
        <x:v>0</x:v>
      </x:c>
      <x:c r="K3475" s="19" t="str">
        <x:v>Smooth_12/EXP121/results/seed1091417152_BBP.json</x:v>
      </x:c>
    </x:row>
    <x:row r="3476" ht="15" hidden="0" customHeight="1">
      <x:c r="A3476" s="3" t="str">
        <x:v>EXP121</x:v>
      </x:c>
      <x:c r="B3476" s="3" t="str">
        <x:v>Smooth 12</x:v>
      </x:c>
      <x:c r="C3476" s="18" t="n">
        <x:v>1091417152</x:v>
      </x:c>
      <x:c r="D3476" s="3" t="str">
        <x:v>Relative cutoff 1e-5</x:v>
      </x:c>
      <x:c r="E3476" s="18" t="n">
        <x:v>400</x:v>
      </x:c>
      <x:c r="F3476" s="21" t="n">
        <x:v>657.123080694187</x:v>
      </x:c>
      <x:c r="G3476" s="21" t="n">
        <x:f>F3475</x:f>
        <x:v>648.4654360664455</x:v>
      </x:c>
      <x:c r="H3476" s="21" t="n">
        <x:f>F3480</x:f>
        <x:v>654.4792195442693</x:v>
      </x:c>
      <x:c r="I3476" s="27" t="n">
        <x:f>IF(AND(ISNUMBER(G3476),ISNUMBER(H3476),H3476&gt;0),G3476/H3476-1,"")</x:f>
        <x:v>-0.009188654579455391</x:v>
      </x:c>
      <x:c r="J3476" s="27" t="n">
        <x:f>IF(AND(ISNUMBER(G3476),F3476&gt;0),G3476/F3476-1,"")</x:f>
        <x:v>-0.013175073105932578</x:v>
      </x:c>
      <x:c r="K3476" s="19" t="str">
        <x:v>Smooth_12/EXP121/results/seed1091417152_Relative_cutoff_1e-5.json</x:v>
      </x:c>
    </x:row>
    <x:row r="3477" ht="15" hidden="0" customHeight="1">
      <x:c r="A3477" s="3" t="str">
        <x:v>EXP121</x:v>
      </x:c>
      <x:c r="B3477" s="3" t="str">
        <x:v>Smooth 12</x:v>
      </x:c>
      <x:c r="C3477" s="18" t="n">
        <x:v>1091417152</x:v>
      </x:c>
      <x:c r="D3477" s="3" t="str">
        <x:v>Fixed rank 10</x:v>
      </x:c>
      <x:c r="E3477" s="18" t="n">
        <x:v>400</x:v>
      </x:c>
      <x:c r="F3477" s="21" t="n">
        <x:v>649.068980975836</x:v>
      </x:c>
      <x:c r="G3477" s="21" t="n">
        <x:f>F3475</x:f>
        <x:v>648.4654360664455</x:v>
      </x:c>
      <x:c r="H3477" s="21" t="n">
        <x:f>F3480</x:f>
        <x:v>654.4792195442693</x:v>
      </x:c>
      <x:c r="I3477" s="27" t="n">
        <x:f>IF(AND(ISNUMBER(G3477),ISNUMBER(H3477),H3477&gt;0),G3477/H3477-1,"")</x:f>
        <x:v>-0.009188654579455391</x:v>
      </x:c>
      <x:c r="J3477" s="27" t="n">
        <x:f>IF(AND(ISNUMBER(G3477),F3477&gt;0),G3477/F3477-1,"")</x:f>
        <x:v>-0.0009298625062672539</x:v>
      </x:c>
      <x:c r="K3477" s="19" t="str">
        <x:v>Smooth_12/EXP121/results/seed1091417152_Fixed_rank_10.json</x:v>
      </x:c>
    </x:row>
    <x:row r="3478" ht="15" hidden="0" customHeight="1">
      <x:c r="A3478" s="3" t="str">
        <x:v>EXP121</x:v>
      </x:c>
      <x:c r="B3478" s="3" t="str">
        <x:v>Smooth 12</x:v>
      </x:c>
      <x:c r="C3478" s="18" t="n">
        <x:v>1091417152</x:v>
      </x:c>
      <x:c r="D3478" s="3" t="str">
        <x:v>Fixed rank 25</x:v>
      </x:c>
      <x:c r="E3478" s="18" t="n">
        <x:v>400</x:v>
      </x:c>
      <x:c r="F3478" s="21" t="n">
        <x:v>648.4654360664455</x:v>
      </x:c>
      <x:c r="G3478" s="21" t="n">
        <x:f>F3475</x:f>
        <x:v>648.4654360664455</x:v>
      </x:c>
      <x:c r="H3478" s="21" t="n">
        <x:f>F3480</x:f>
        <x:v>654.4792195442693</x:v>
      </x:c>
      <x:c r="I3478" s="27" t="n">
        <x:f>IF(AND(ISNUMBER(G3478),ISNUMBER(H3478),H3478&gt;0),G3478/H3478-1,"")</x:f>
        <x:v>-0.009188654579455391</x:v>
      </x:c>
      <x:c r="J3478" s="27" t="n">
        <x:f>IF(AND(ISNUMBER(G3478),F3478&gt;0),G3478/F3478-1,"")</x:f>
        <x:v>0</x:v>
      </x:c>
      <x:c r="K3478" s="19" t="str">
        <x:v>Smooth_12/EXP121/results/seed1091417152_Fixed_rank_25.json</x:v>
      </x:c>
    </x:row>
    <x:row r="3479" ht="15" hidden="0" customHeight="1">
      <x:c r="A3479" s="3" t="str">
        <x:v>EXP121</x:v>
      </x:c>
      <x:c r="B3479" s="3" t="str">
        <x:v>Smooth 12</x:v>
      </x:c>
      <x:c r="C3479" s="18" t="n">
        <x:v>1091417152</x:v>
      </x:c>
      <x:c r="D3479" s="3" t="str">
        <x:v>Relative cutoff 1e-6</x:v>
      </x:c>
      <x:c r="E3479" s="18" t="n">
        <x:v>400</x:v>
      </x:c>
      <x:c r="F3479" s="21" t="n">
        <x:v>658.2326715512451</x:v>
      </x:c>
      <x:c r="G3479" s="21" t="n">
        <x:f>F3475</x:f>
        <x:v>648.4654360664455</x:v>
      </x:c>
      <x:c r="H3479" s="21" t="n">
        <x:f>F3480</x:f>
        <x:v>654.4792195442693</x:v>
      </x:c>
      <x:c r="I3479" s="27" t="n">
        <x:f>IF(AND(ISNUMBER(G3479),ISNUMBER(H3479),H3479&gt;0),G3479/H3479-1,"")</x:f>
        <x:v>-0.009188654579455391</x:v>
      </x:c>
      <x:c r="J3479" s="27" t="n">
        <x:f>IF(AND(ISNUMBER(G3479),F3479&gt;0),G3479/F3479-1,"")</x:f>
        <x:v>-0.014838575942730525</x:v>
      </x:c>
      <x:c r="K3479" s="19" t="str">
        <x:v>Smooth_12/EXP121/results/seed1091417152_Relative_cutoff_1e-6.json</x:v>
      </x:c>
    </x:row>
    <x:row r="3480" ht="15" hidden="0" customHeight="1">
      <x:c r="A3480" s="3" t="str">
        <x:v>EXP121</x:v>
      </x:c>
      <x:c r="B3480" s="3" t="str">
        <x:v>Smooth 12</x:v>
      </x:c>
      <x:c r="C3480" s="18" t="n">
        <x:v>1091417152</x:v>
      </x:c>
      <x:c r="D3480" s="3" t="str">
        <x:v>Full</x:v>
      </x:c>
      <x:c r="E3480" s="18" t="n">
        <x:v>400</x:v>
      </x:c>
      <x:c r="F3480" s="21" t="n">
        <x:v>654.4792195442693</x:v>
      </x:c>
      <x:c r="G3480" s="21" t="n">
        <x:f>F3475</x:f>
        <x:v>648.4654360664455</x:v>
      </x:c>
      <x:c r="H3480" s="21" t="n">
        <x:f>F3480</x:f>
        <x:v>654.4792195442693</x:v>
      </x:c>
      <x:c r="I3480" s="27" t="n">
        <x:f>IF(AND(ISNUMBER(G3480),ISNUMBER(H3480),H3480&gt;0),G3480/H3480-1,"")</x:f>
        <x:v>-0.009188654579455391</x:v>
      </x:c>
      <x:c r="J3480" s="27" t="n">
        <x:f>IF(AND(ISNUMBER(G3480),F3480&gt;0),G3480/F3480-1,"")</x:f>
        <x:v>-0.009188654579455391</x:v>
      </x:c>
      <x:c r="K3480" s="19" t="str">
        <x:v>Smooth_12/EXP121/results/seed1091417152_Full.json</x:v>
      </x:c>
    </x:row>
    <x:row r="3481" ht="15" hidden="0" customHeight="1">
      <x:c r="A3481" s="3" t="str">
        <x:v>EXP121</x:v>
      </x:c>
      <x:c r="B3481" s="3" t="str">
        <x:v>Smooth 12</x:v>
      </x:c>
      <x:c r="C3481" s="18" t="n">
        <x:v>1091417152</x:v>
      </x:c>
      <x:c r="D3481" s="3" t="str">
        <x:v>Relative cutoff 1e-2</x:v>
      </x:c>
      <x:c r="E3481" s="18" t="n">
        <x:v>400</x:v>
      </x:c>
      <x:c r="F3481" s="21" t="n">
        <x:v>616.898072183984</x:v>
      </x:c>
      <x:c r="G3481" s="21" t="n">
        <x:f>F3475</x:f>
        <x:v>648.4654360664455</x:v>
      </x:c>
      <x:c r="H3481" s="21" t="n">
        <x:f>F3480</x:f>
        <x:v>654.4792195442693</x:v>
      </x:c>
      <x:c r="I3481" s="27" t="n">
        <x:f>IF(AND(ISNUMBER(G3481),ISNUMBER(H3481),H3481&gt;0),G3481/H3481-1,"")</x:f>
        <x:v>-0.009188654579455391</x:v>
      </x:c>
      <x:c r="J3481" s="27" t="n">
        <x:f>IF(AND(ISNUMBER(G3481),F3481&gt;0),G3481/F3481-1,"")</x:f>
        <x:v>0.051171117735389515</x:v>
      </x:c>
      <x:c r="K3481" s="19" t="str">
        <x:v>Smooth_12/EXP121/results/seed1091417152_Relative_cutoff_1e-2.json</x:v>
      </x:c>
    </x:row>
    <x:row r="3482" ht="15" hidden="0" customHeight="1">
      <x:c r="A3482" s="3" t="str">
        <x:v>EXP121</x:v>
      </x:c>
      <x:c r="B3482" s="3" t="str">
        <x:v>Smooth 12</x:v>
      </x:c>
      <x:c r="C3482" s="18" t="n">
        <x:v>1091417152</x:v>
      </x:c>
      <x:c r="D3482" s="3" t="str">
        <x:v>Relative cutoff 1e-4</x:v>
      </x:c>
      <x:c r="E3482" s="18" t="n">
        <x:v>400</x:v>
      </x:c>
      <x:c r="F3482" s="21" t="n">
        <x:v>672.8521067660402</x:v>
      </x:c>
      <x:c r="G3482" s="21" t="n">
        <x:f>F3475</x:f>
        <x:v>648.4654360664455</x:v>
      </x:c>
      <x:c r="H3482" s="21" t="n">
        <x:f>F3480</x:f>
        <x:v>654.4792195442693</x:v>
      </x:c>
      <x:c r="I3482" s="27" t="n">
        <x:f>IF(AND(ISNUMBER(G3482),ISNUMBER(H3482),H3482&gt;0),G3482/H3482-1,"")</x:f>
        <x:v>-0.009188654579455391</x:v>
      </x:c>
      <x:c r="J3482" s="27" t="n">
        <x:f>IF(AND(ISNUMBER(G3482),F3482&gt;0),G3482/F3482-1,"")</x:f>
        <x:v>-0.03624373090961319</x:v>
      </x:c>
      <x:c r="K3482" s="19" t="str">
        <x:v>Smooth_12/EXP121/results/seed1091417152_Relative_cutoff_1e-4.json</x:v>
      </x:c>
    </x:row>
    <x:row r="3483" ht="15" hidden="0" customHeight="1">
      <x:c r="A3483" s="3" t="str">
        <x:v>EXP121</x:v>
      </x:c>
      <x:c r="B3483" s="3" t="str">
        <x:v>Smooth 12</x:v>
      </x:c>
      <x:c r="C3483" s="18" t="n">
        <x:v>1288985921</x:v>
      </x:c>
      <x:c r="D3483" s="3" t="str">
        <x:v>BBP</x:v>
      </x:c>
      <x:c r="E3483" s="18" t="n">
        <x:v>400</x:v>
      </x:c>
      <x:c r="F3483" s="21" t="n">
        <x:v>669.5922971337642</x:v>
      </x:c>
      <x:c r="G3483" s="21" t="n">
        <x:f>F3483</x:f>
        <x:v>669.5922971337642</x:v>
      </x:c>
      <x:c r="H3483" s="21" t="n">
        <x:f>F3488</x:f>
        <x:v>678.4973058491767</x:v>
      </x:c>
      <x:c r="I3483" s="27" t="n">
        <x:f>IF(AND(ISNUMBER(G3483),ISNUMBER(H3483),H3483&gt;0),G3483/H3483-1,"")</x:f>
        <x:v>-0.013124604384784355</x:v>
      </x:c>
      <x:c r="J3483" s="27" t="n">
        <x:f>IF(AND(ISNUMBER(G3483),F3483&gt;0),G3483/F3483-1,"")</x:f>
        <x:v>0</x:v>
      </x:c>
      <x:c r="K3483" s="19" t="str">
        <x:v>Smooth_12/EXP121/results/seed1288985921_BBP.json</x:v>
      </x:c>
    </x:row>
    <x:row r="3484" ht="15" hidden="0" customHeight="1">
      <x:c r="A3484" s="3" t="str">
        <x:v>EXP121</x:v>
      </x:c>
      <x:c r="B3484" s="3" t="str">
        <x:v>Smooth 12</x:v>
      </x:c>
      <x:c r="C3484" s="18" t="n">
        <x:v>1288985921</x:v>
      </x:c>
      <x:c r="D3484" s="3" t="str">
        <x:v>Relative cutoff 1e-5</x:v>
      </x:c>
      <x:c r="E3484" s="18" t="n">
        <x:v>400</x:v>
      </x:c>
      <x:c r="F3484" s="21" t="n">
        <x:v>674.4592561027923</x:v>
      </x:c>
      <x:c r="G3484" s="21" t="n">
        <x:f>F3483</x:f>
        <x:v>669.5922971337642</x:v>
      </x:c>
      <x:c r="H3484" s="21" t="n">
        <x:f>F3488</x:f>
        <x:v>678.4973058491767</x:v>
      </x:c>
      <x:c r="I3484" s="27" t="n">
        <x:f>IF(AND(ISNUMBER(G3484),ISNUMBER(H3484),H3484&gt;0),G3484/H3484-1,"")</x:f>
        <x:v>-0.013124604384784355</x:v>
      </x:c>
      <x:c r="J3484" s="27" t="n">
        <x:f>IF(AND(ISNUMBER(G3484),F3484&gt;0),G3484/F3484-1,"")</x:f>
        <x:v>-0.007216090408708631</x:v>
      </x:c>
      <x:c r="K3484" s="19" t="str">
        <x:v>Smooth_12/EXP121/results/seed1288985921_Relative_cutoff_1e-5.json</x:v>
      </x:c>
    </x:row>
    <x:row r="3485" ht="15" hidden="0" customHeight="1">
      <x:c r="A3485" s="3" t="str">
        <x:v>EXP121</x:v>
      </x:c>
      <x:c r="B3485" s="3" t="str">
        <x:v>Smooth 12</x:v>
      </x:c>
      <x:c r="C3485" s="18" t="n">
        <x:v>1288985921</x:v>
      </x:c>
      <x:c r="D3485" s="3" t="str">
        <x:v>Fixed rank 10</x:v>
      </x:c>
      <x:c r="E3485" s="18" t="n">
        <x:v>400</x:v>
      </x:c>
      <x:c r="F3485" s="21" t="n">
        <x:v>665.0114287009573</x:v>
      </x:c>
      <x:c r="G3485" s="21" t="n">
        <x:f>F3483</x:f>
        <x:v>669.5922971337642</x:v>
      </x:c>
      <x:c r="H3485" s="21" t="n">
        <x:f>F3488</x:f>
        <x:v>678.4973058491767</x:v>
      </x:c>
      <x:c r="I3485" s="27" t="n">
        <x:f>IF(AND(ISNUMBER(G3485),ISNUMBER(H3485),H3485&gt;0),G3485/H3485-1,"")</x:f>
        <x:v>-0.013124604384784355</x:v>
      </x:c>
      <x:c r="J3485" s="27" t="n">
        <x:f>IF(AND(ISNUMBER(G3485),F3485&gt;0),G3485/F3485-1,"")</x:f>
        <x:v>0.006888405574856371</x:v>
      </x:c>
      <x:c r="K3485" s="19" t="str">
        <x:v>Smooth_12/EXP121/results/seed1288985921_Fixed_rank_10.json</x:v>
      </x:c>
    </x:row>
    <x:row r="3486" ht="15" hidden="0" customHeight="1">
      <x:c r="A3486" s="3" t="str">
        <x:v>EXP121</x:v>
      </x:c>
      <x:c r="B3486" s="3" t="str">
        <x:v>Smooth 12</x:v>
      </x:c>
      <x:c r="C3486" s="18" t="n">
        <x:v>1288985921</x:v>
      </x:c>
      <x:c r="D3486" s="3" t="str">
        <x:v>Fixed rank 25</x:v>
      </x:c>
      <x:c r="E3486" s="18" t="n">
        <x:v>400</x:v>
      </x:c>
      <x:c r="F3486" s="21" t="n">
        <x:v>669.5922971337642</x:v>
      </x:c>
      <x:c r="G3486" s="21" t="n">
        <x:f>F3483</x:f>
        <x:v>669.5922971337642</x:v>
      </x:c>
      <x:c r="H3486" s="21" t="n">
        <x:f>F3488</x:f>
        <x:v>678.4973058491767</x:v>
      </x:c>
      <x:c r="I3486" s="27" t="n">
        <x:f>IF(AND(ISNUMBER(G3486),ISNUMBER(H3486),H3486&gt;0),G3486/H3486-1,"")</x:f>
        <x:v>-0.013124604384784355</x:v>
      </x:c>
      <x:c r="J3486" s="27" t="n">
        <x:f>IF(AND(ISNUMBER(G3486),F3486&gt;0),G3486/F3486-1,"")</x:f>
        <x:v>0</x:v>
      </x:c>
      <x:c r="K3486" s="19" t="str">
        <x:v>Smooth_12/EXP121/results/seed1288985921_Fixed_rank_25.json</x:v>
      </x:c>
    </x:row>
    <x:row r="3487" ht="15" hidden="0" customHeight="1">
      <x:c r="A3487" s="3" t="str">
        <x:v>EXP121</x:v>
      </x:c>
      <x:c r="B3487" s="3" t="str">
        <x:v>Smooth 12</x:v>
      </x:c>
      <x:c r="C3487" s="18" t="n">
        <x:v>1288985921</x:v>
      </x:c>
      <x:c r="D3487" s="3" t="str">
        <x:v>Relative cutoff 1e-6</x:v>
      </x:c>
      <x:c r="E3487" s="18" t="n">
        <x:v>400</x:v>
      </x:c>
      <x:c r="F3487" s="21" t="n">
        <x:v>674.4592561027923</x:v>
      </x:c>
      <x:c r="G3487" s="21" t="n">
        <x:f>F3483</x:f>
        <x:v>669.5922971337642</x:v>
      </x:c>
      <x:c r="H3487" s="21" t="n">
        <x:f>F3488</x:f>
        <x:v>678.4973058491767</x:v>
      </x:c>
      <x:c r="I3487" s="27" t="n">
        <x:f>IF(AND(ISNUMBER(G3487),ISNUMBER(H3487),H3487&gt;0),G3487/H3487-1,"")</x:f>
        <x:v>-0.013124604384784355</x:v>
      </x:c>
      <x:c r="J3487" s="27" t="n">
        <x:f>IF(AND(ISNUMBER(G3487),F3487&gt;0),G3487/F3487-1,"")</x:f>
        <x:v>-0.007216090408708631</x:v>
      </x:c>
      <x:c r="K3487" s="19" t="str">
        <x:v>Smooth_12/EXP121/results/seed1288985921_Relative_cutoff_1e-6.json</x:v>
      </x:c>
    </x:row>
    <x:row r="3488" ht="15" hidden="0" customHeight="1">
      <x:c r="A3488" s="3" t="str">
        <x:v>EXP121</x:v>
      </x:c>
      <x:c r="B3488" s="3" t="str">
        <x:v>Smooth 12</x:v>
      </x:c>
      <x:c r="C3488" s="18" t="n">
        <x:v>1288985921</x:v>
      </x:c>
      <x:c r="D3488" s="3" t="str">
        <x:v>Full</x:v>
      </x:c>
      <x:c r="E3488" s="18" t="n">
        <x:v>400</x:v>
      </x:c>
      <x:c r="F3488" s="21" t="n">
        <x:v>678.4973058491767</x:v>
      </x:c>
      <x:c r="G3488" s="21" t="n">
        <x:f>F3483</x:f>
        <x:v>669.5922971337642</x:v>
      </x:c>
      <x:c r="H3488" s="21" t="n">
        <x:f>F3488</x:f>
        <x:v>678.4973058491767</x:v>
      </x:c>
      <x:c r="I3488" s="27" t="n">
        <x:f>IF(AND(ISNUMBER(G3488),ISNUMBER(H3488),H3488&gt;0),G3488/H3488-1,"")</x:f>
        <x:v>-0.013124604384784355</x:v>
      </x:c>
      <x:c r="J3488" s="27" t="n">
        <x:f>IF(AND(ISNUMBER(G3488),F3488&gt;0),G3488/F3488-1,"")</x:f>
        <x:v>-0.013124604384784355</x:v>
      </x:c>
      <x:c r="K3488" s="19" t="str">
        <x:v>Smooth_12/EXP121/results/seed1288985921_Full.json</x:v>
      </x:c>
    </x:row>
    <x:row r="3489" ht="15" hidden="0" customHeight="1">
      <x:c r="A3489" s="3" t="str">
        <x:v>EXP121</x:v>
      </x:c>
      <x:c r="B3489" s="3" t="str">
        <x:v>Smooth 12</x:v>
      </x:c>
      <x:c r="C3489" s="18" t="n">
        <x:v>1288985921</x:v>
      </x:c>
      <x:c r="D3489" s="3" t="str">
        <x:v>Relative cutoff 1e-2</x:v>
      </x:c>
      <x:c r="E3489" s="18" t="n">
        <x:v>400</x:v>
      </x:c>
      <x:c r="F3489" s="21" t="n">
        <x:v>644.2601988794703</x:v>
      </x:c>
      <x:c r="G3489" s="21" t="n">
        <x:f>F3483</x:f>
        <x:v>669.5922971337642</x:v>
      </x:c>
      <x:c r="H3489" s="21" t="n">
        <x:f>F3488</x:f>
        <x:v>678.4973058491767</x:v>
      </x:c>
      <x:c r="I3489" s="27" t="n">
        <x:f>IF(AND(ISNUMBER(G3489),ISNUMBER(H3489),H3489&gt;0),G3489/H3489-1,"")</x:f>
        <x:v>-0.013124604384784355</x:v>
      </x:c>
      <x:c r="J3489" s="27" t="n">
        <x:f>IF(AND(ISNUMBER(G3489),F3489&gt;0),G3489/F3489-1,"")</x:f>
        <x:v>0.039319669751992636</x:v>
      </x:c>
      <x:c r="K3489" s="19" t="str">
        <x:v>Smooth_12/EXP121/results/seed1288985921_Relative_cutoff_1e-2.json</x:v>
      </x:c>
    </x:row>
    <x:row r="3490" ht="15" hidden="0" customHeight="1">
      <x:c r="A3490" s="3" t="str">
        <x:v>EXP121</x:v>
      </x:c>
      <x:c r="B3490" s="3" t="str">
        <x:v>Smooth 12</x:v>
      </x:c>
      <x:c r="C3490" s="18" t="n">
        <x:v>1288985921</x:v>
      </x:c>
      <x:c r="D3490" s="3" t="str">
        <x:v>Relative cutoff 1e-4</x:v>
      </x:c>
      <x:c r="E3490" s="18" t="n">
        <x:v>400</x:v>
      </x:c>
      <x:c r="F3490" s="21" t="n">
        <x:v>676.5516469113433</x:v>
      </x:c>
      <x:c r="G3490" s="21" t="n">
        <x:f>F3483</x:f>
        <x:v>669.5922971337642</x:v>
      </x:c>
      <x:c r="H3490" s="21" t="n">
        <x:f>F3488</x:f>
        <x:v>678.4973058491767</x:v>
      </x:c>
      <x:c r="I3490" s="27" t="n">
        <x:f>IF(AND(ISNUMBER(G3490),ISNUMBER(H3490),H3490&gt;0),G3490/H3490-1,"")</x:f>
        <x:v>-0.013124604384784355</x:v>
      </x:c>
      <x:c r="J3490" s="27" t="n">
        <x:f>IF(AND(ISNUMBER(G3490),F3490&gt;0),G3490/F3490-1,"")</x:f>
        <x:v>-0.010286501864788189</x:v>
      </x:c>
      <x:c r="K3490" s="19" t="str">
        <x:v>Smooth_12/EXP121/results/seed1288985921_Relative_cutoff_1e-4.json</x:v>
      </x:c>
    </x:row>
    <x:row r="3491" ht="15" hidden="0" customHeight="1">
      <x:c r="A3491" s="3" t="str">
        <x:v>EXP121</x:v>
      </x:c>
      <x:c r="B3491" s="3" t="str">
        <x:v>Smooth 12</x:v>
      </x:c>
      <x:c r="C3491" s="18" t="n">
        <x:v>1391820987</x:v>
      </x:c>
      <x:c r="D3491" s="3" t="str">
        <x:v>BBP</x:v>
      </x:c>
      <x:c r="E3491" s="18" t="n">
        <x:v>400</x:v>
      </x:c>
      <x:c r="F3491" s="21" t="n">
        <x:v>610.144533884839</x:v>
      </x:c>
      <x:c r="G3491" s="21" t="n">
        <x:f>F3491</x:f>
        <x:v>610.144533884839</x:v>
      </x:c>
      <x:c r="H3491" s="21" t="n">
        <x:f>F3496</x:f>
        <x:v>635.2245981738604</x:v>
      </x:c>
      <x:c r="I3491" s="27" t="n">
        <x:f>IF(AND(ISNUMBER(G3491),ISNUMBER(H3491),H3491&gt;0),G3491/H3491-1,"")</x:f>
        <x:v>-0.03948219946318421</x:v>
      </x:c>
      <x:c r="J3491" s="27" t="n">
        <x:f>IF(AND(ISNUMBER(G3491),F3491&gt;0),G3491/F3491-1,"")</x:f>
        <x:v>0</x:v>
      </x:c>
      <x:c r="K3491" s="19" t="str">
        <x:v>Smooth_12/EXP121/results/seed1391820987_BBP.json</x:v>
      </x:c>
    </x:row>
    <x:row r="3492" ht="15" hidden="0" customHeight="1">
      <x:c r="A3492" s="3" t="str">
        <x:v>EXP121</x:v>
      </x:c>
      <x:c r="B3492" s="3" t="str">
        <x:v>Smooth 12</x:v>
      </x:c>
      <x:c r="C3492" s="18" t="n">
        <x:v>1391820987</x:v>
      </x:c>
      <x:c r="D3492" s="3" t="str">
        <x:v>Relative cutoff 1e-5</x:v>
      </x:c>
      <x:c r="E3492" s="18" t="n">
        <x:v>400</x:v>
      </x:c>
      <x:c r="F3492" s="21" t="n">
        <x:v>616.1348151160039</x:v>
      </x:c>
      <x:c r="G3492" s="21" t="n">
        <x:f>F3491</x:f>
        <x:v>610.144533884839</x:v>
      </x:c>
      <x:c r="H3492" s="21" t="n">
        <x:f>F3496</x:f>
        <x:v>635.2245981738604</x:v>
      </x:c>
      <x:c r="I3492" s="27" t="n">
        <x:f>IF(AND(ISNUMBER(G3492),ISNUMBER(H3492),H3492&gt;0),G3492/H3492-1,"")</x:f>
        <x:v>-0.03948219946318421</x:v>
      </x:c>
      <x:c r="J3492" s="27" t="n">
        <x:f>IF(AND(ISNUMBER(G3492),F3492&gt;0),G3492/F3492-1,"")</x:f>
        <x:v>-0.00972235472529992</x:v>
      </x:c>
      <x:c r="K3492" s="19" t="str">
        <x:v>Smooth_12/EXP121/results/seed1391820987_Relative_cutoff_1e-5.json</x:v>
      </x:c>
    </x:row>
    <x:row r="3493" ht="15" hidden="0" customHeight="1">
      <x:c r="A3493" s="3" t="str">
        <x:v>EXP121</x:v>
      </x:c>
      <x:c r="B3493" s="3" t="str">
        <x:v>Smooth 12</x:v>
      </x:c>
      <x:c r="C3493" s="18" t="n">
        <x:v>1391820987</x:v>
      </x:c>
      <x:c r="D3493" s="3" t="str">
        <x:v>Fixed rank 10</x:v>
      </x:c>
      <x:c r="E3493" s="18" t="n">
        <x:v>400</x:v>
      </x:c>
      <x:c r="F3493" s="21" t="n">
        <x:v>593.6574496363042</x:v>
      </x:c>
      <x:c r="G3493" s="21" t="n">
        <x:f>F3491</x:f>
        <x:v>610.144533884839</x:v>
      </x:c>
      <x:c r="H3493" s="21" t="n">
        <x:f>F3496</x:f>
        <x:v>635.2245981738604</x:v>
      </x:c>
      <x:c r="I3493" s="27" t="n">
        <x:f>IF(AND(ISNUMBER(G3493),ISNUMBER(H3493),H3493&gt;0),G3493/H3493-1,"")</x:f>
        <x:v>-0.03948219946318421</x:v>
      </x:c>
      <x:c r="J3493" s="27" t="n">
        <x:f>IF(AND(ISNUMBER(G3493),F3493&gt;0),G3493/F3493-1,"")</x:f>
        <x:v>0.02777204978836756</x:v>
      </x:c>
      <x:c r="K3493" s="19" t="str">
        <x:v>Smooth_12/EXP121/results/seed1391820987_Fixed_rank_10.json</x:v>
      </x:c>
    </x:row>
    <x:row r="3494" ht="15" hidden="0" customHeight="1">
      <x:c r="A3494" s="3" t="str">
        <x:v>EXP121</x:v>
      </x:c>
      <x:c r="B3494" s="3" t="str">
        <x:v>Smooth 12</x:v>
      </x:c>
      <x:c r="C3494" s="18" t="n">
        <x:v>1391820987</x:v>
      </x:c>
      <x:c r="D3494" s="3" t="str">
        <x:v>Fixed rank 25</x:v>
      </x:c>
      <x:c r="E3494" s="18" t="n">
        <x:v>400</x:v>
      </x:c>
      <x:c r="F3494" s="21" t="n">
        <x:v>633.8051442241829</x:v>
      </x:c>
      <x:c r="G3494" s="21" t="n">
        <x:f>F3491</x:f>
        <x:v>610.144533884839</x:v>
      </x:c>
      <x:c r="H3494" s="21" t="n">
        <x:f>F3496</x:f>
        <x:v>635.2245981738604</x:v>
      </x:c>
      <x:c r="I3494" s="27" t="n">
        <x:f>IF(AND(ISNUMBER(G3494),ISNUMBER(H3494),H3494&gt;0),G3494/H3494-1,"")</x:f>
        <x:v>-0.03948219946318421</x:v>
      </x:c>
      <x:c r="J3494" s="27" t="n">
        <x:f>IF(AND(ISNUMBER(G3494),F3494&gt;0),G3494/F3494-1,"")</x:f>
        <x:v>-0.03733104812253607</x:v>
      </x:c>
      <x:c r="K3494" s="19" t="str">
        <x:v>Smooth_12/EXP121/results/seed1391820987_Fixed_rank_25.json</x:v>
      </x:c>
    </x:row>
    <x:row r="3495" ht="15" hidden="0" customHeight="1">
      <x:c r="A3495" s="3" t="str">
        <x:v>EXP121</x:v>
      </x:c>
      <x:c r="B3495" s="3" t="str">
        <x:v>Smooth 12</x:v>
      </x:c>
      <x:c r="C3495" s="18" t="n">
        <x:v>1391820987</x:v>
      </x:c>
      <x:c r="D3495" s="3" t="str">
        <x:v>Relative cutoff 1e-6</x:v>
      </x:c>
      <x:c r="E3495" s="18" t="n">
        <x:v>400</x:v>
      </x:c>
      <x:c r="F3495" s="21" t="n">
        <x:v>616.1348151160039</x:v>
      </x:c>
      <x:c r="G3495" s="21" t="n">
        <x:f>F3491</x:f>
        <x:v>610.144533884839</x:v>
      </x:c>
      <x:c r="H3495" s="21" t="n">
        <x:f>F3496</x:f>
        <x:v>635.2245981738604</x:v>
      </x:c>
      <x:c r="I3495" s="27" t="n">
        <x:f>IF(AND(ISNUMBER(G3495),ISNUMBER(H3495),H3495&gt;0),G3495/H3495-1,"")</x:f>
        <x:v>-0.03948219946318421</x:v>
      </x:c>
      <x:c r="J3495" s="27" t="n">
        <x:f>IF(AND(ISNUMBER(G3495),F3495&gt;0),G3495/F3495-1,"")</x:f>
        <x:v>-0.00972235472529992</x:v>
      </x:c>
      <x:c r="K3495" s="19" t="str">
        <x:v>Smooth_12/EXP121/results/seed1391820987_Relative_cutoff_1e-6.json</x:v>
      </x:c>
    </x:row>
    <x:row r="3496" ht="15" hidden="0" customHeight="1">
      <x:c r="A3496" s="3" t="str">
        <x:v>EXP121</x:v>
      </x:c>
      <x:c r="B3496" s="3" t="str">
        <x:v>Smooth 12</x:v>
      </x:c>
      <x:c r="C3496" s="18" t="n">
        <x:v>1391820987</x:v>
      </x:c>
      <x:c r="D3496" s="3" t="str">
        <x:v>Full</x:v>
      </x:c>
      <x:c r="E3496" s="18" t="n">
        <x:v>400</x:v>
      </x:c>
      <x:c r="F3496" s="21" t="n">
        <x:v>635.2245981738604</x:v>
      </x:c>
      <x:c r="G3496" s="21" t="n">
        <x:f>F3491</x:f>
        <x:v>610.144533884839</x:v>
      </x:c>
      <x:c r="H3496" s="21" t="n">
        <x:f>F3496</x:f>
        <x:v>635.2245981738604</x:v>
      </x:c>
      <x:c r="I3496" s="27" t="n">
        <x:f>IF(AND(ISNUMBER(G3496),ISNUMBER(H3496),H3496&gt;0),G3496/H3496-1,"")</x:f>
        <x:v>-0.03948219946318421</x:v>
      </x:c>
      <x:c r="J3496" s="27" t="n">
        <x:f>IF(AND(ISNUMBER(G3496),F3496&gt;0),G3496/F3496-1,"")</x:f>
        <x:v>-0.03948219946318421</x:v>
      </x:c>
      <x:c r="K3496" s="19" t="str">
        <x:v>Smooth_12/EXP121/results/seed1391820987_Full.json</x:v>
      </x:c>
    </x:row>
    <x:row r="3497" ht="15" hidden="0" customHeight="1">
      <x:c r="A3497" s="3" t="str">
        <x:v>EXP121</x:v>
      </x:c>
      <x:c r="B3497" s="3" t="str">
        <x:v>Smooth 12</x:v>
      </x:c>
      <x:c r="C3497" s="18" t="n">
        <x:v>1391820987</x:v>
      </x:c>
      <x:c r="D3497" s="3" t="str">
        <x:v>Relative cutoff 1e-2</x:v>
      </x:c>
      <x:c r="E3497" s="18" t="n">
        <x:v>400</x:v>
      </x:c>
      <x:c r="F3497" s="21" t="n">
        <x:v>610.0103518724836</x:v>
      </x:c>
      <x:c r="G3497" s="21" t="n">
        <x:f>F3491</x:f>
        <x:v>610.144533884839</x:v>
      </x:c>
      <x:c r="H3497" s="21" t="n">
        <x:f>F3496</x:f>
        <x:v>635.2245981738604</x:v>
      </x:c>
      <x:c r="I3497" s="27" t="n">
        <x:f>IF(AND(ISNUMBER(G3497),ISNUMBER(H3497),H3497&gt;0),G3497/H3497-1,"")</x:f>
        <x:v>-0.03948219946318421</x:v>
      </x:c>
      <x:c r="J3497" s="27" t="n">
        <x:f>IF(AND(ISNUMBER(G3497),F3497&gt;0),G3497/F3497-1,"")</x:f>
        <x:v>0.00021996677915958607</x:v>
      </x:c>
      <x:c r="K3497" s="19" t="str">
        <x:v>Smooth_12/EXP121/results/seed1391820987_Relative_cutoff_1e-2.json</x:v>
      </x:c>
    </x:row>
    <x:row r="3498" ht="15" hidden="0" customHeight="1">
      <x:c r="A3498" s="3" t="str">
        <x:v>EXP121</x:v>
      </x:c>
      <x:c r="B3498" s="3" t="str">
        <x:v>Smooth 12</x:v>
      </x:c>
      <x:c r="C3498" s="18" t="n">
        <x:v>1391820987</x:v>
      </x:c>
      <x:c r="D3498" s="3" t="str">
        <x:v>Relative cutoff 1e-4</x:v>
      </x:c>
      <x:c r="E3498" s="18" t="n">
        <x:v>400</x:v>
      </x:c>
      <x:c r="F3498" s="21" t="n">
        <x:v>613.0988360849532</x:v>
      </x:c>
      <x:c r="G3498" s="21" t="n">
        <x:f>F3491</x:f>
        <x:v>610.144533884839</x:v>
      </x:c>
      <x:c r="H3498" s="21" t="n">
        <x:f>F3496</x:f>
        <x:v>635.2245981738604</x:v>
      </x:c>
      <x:c r="I3498" s="27" t="n">
        <x:f>IF(AND(ISNUMBER(G3498),ISNUMBER(H3498),H3498&gt;0),G3498/H3498-1,"")</x:f>
        <x:v>-0.03948219946318421</x:v>
      </x:c>
      <x:c r="J3498" s="27" t="n">
        <x:f>IF(AND(ISNUMBER(G3498),F3498&gt;0),G3498/F3498-1,"")</x:f>
        <x:v>-0.004818639387703549</x:v>
      </x:c>
      <x:c r="K3498" s="19" t="str">
        <x:v>Smooth_12/EXP121/results/seed1391820987_Relative_cutoff_1e-4.json</x:v>
      </x:c>
    </x:row>
    <x:row r="3499" ht="15" hidden="0" customHeight="1">
      <x:c r="A3499" s="3" t="str">
        <x:v>EXP121</x:v>
      </x:c>
      <x:c r="B3499" s="3" t="str">
        <x:v>Smooth 12</x:v>
      </x:c>
      <x:c r="C3499" s="18" t="n">
        <x:v>1646183259</x:v>
      </x:c>
      <x:c r="D3499" s="3" t="str">
        <x:v>BBP</x:v>
      </x:c>
      <x:c r="E3499" s="18" t="n">
        <x:v>400</x:v>
      </x:c>
      <x:c r="F3499" s="21" t="n">
        <x:v>709.3247869255796</x:v>
      </x:c>
      <x:c r="G3499" s="21" t="n">
        <x:f>F3499</x:f>
        <x:v>709.3247869255796</x:v>
      </x:c>
      <x:c r="H3499" s="21" t="n">
        <x:f>F3504</x:f>
        <x:v>696.426007673841</x:v>
      </x:c>
      <x:c r="I3499" s="27" t="n">
        <x:f>IF(AND(ISNUMBER(G3499),ISNUMBER(H3499),H3499&gt;0),G3499/H3499-1,"")</x:f>
        <x:v>0.01852139223637317</x:v>
      </x:c>
      <x:c r="J3499" s="27" t="n">
        <x:f>IF(AND(ISNUMBER(G3499),F3499&gt;0),G3499/F3499-1,"")</x:f>
        <x:v>0</x:v>
      </x:c>
      <x:c r="K3499" s="19" t="str">
        <x:v>Smooth_12/EXP121/results/seed1646183259_BBP.json</x:v>
      </x:c>
    </x:row>
    <x:row r="3500" ht="15" hidden="0" customHeight="1">
      <x:c r="A3500" s="3" t="str">
        <x:v>EXP121</x:v>
      </x:c>
      <x:c r="B3500" s="3" t="str">
        <x:v>Smooth 12</x:v>
      </x:c>
      <x:c r="C3500" s="18" t="n">
        <x:v>1646183259</x:v>
      </x:c>
      <x:c r="D3500" s="3" t="str">
        <x:v>Relative cutoff 1e-5</x:v>
      </x:c>
      <x:c r="E3500" s="18" t="n">
        <x:v>400</x:v>
      </x:c>
      <x:c r="F3500" s="21" t="n">
        <x:v>698.3094285305436</x:v>
      </x:c>
      <x:c r="G3500" s="21" t="n">
        <x:f>F3499</x:f>
        <x:v>709.3247869255796</x:v>
      </x:c>
      <x:c r="H3500" s="21" t="n">
        <x:f>F3504</x:f>
        <x:v>696.426007673841</x:v>
      </x:c>
      <x:c r="I3500" s="27" t="n">
        <x:f>IF(AND(ISNUMBER(G3500),ISNUMBER(H3500),H3500&gt;0),G3500/H3500-1,"")</x:f>
        <x:v>0.01852139223637317</x:v>
      </x:c>
      <x:c r="J3500" s="27" t="n">
        <x:f>IF(AND(ISNUMBER(G3500),F3500&gt;0),G3500/F3500-1,"")</x:f>
        <x:v>0.015774322878921554</x:v>
      </x:c>
      <x:c r="K3500" s="19" t="str">
        <x:v>Smooth_12/EXP121/results/seed1646183259_Relative_cutoff_1e-5.json</x:v>
      </x:c>
    </x:row>
    <x:row r="3501" ht="15" hidden="0" customHeight="1">
      <x:c r="A3501" s="3" t="str">
        <x:v>EXP121</x:v>
      </x:c>
      <x:c r="B3501" s="3" t="str">
        <x:v>Smooth 12</x:v>
      </x:c>
      <x:c r="C3501" s="18" t="n">
        <x:v>1646183259</x:v>
      </x:c>
      <x:c r="D3501" s="3" t="str">
        <x:v>Fixed rank 10</x:v>
      </x:c>
      <x:c r="E3501" s="18" t="n">
        <x:v>400</x:v>
      </x:c>
      <x:c r="F3501" s="21" t="n">
        <x:v>693.6905739509117</x:v>
      </x:c>
      <x:c r="G3501" s="21" t="n">
        <x:f>F3499</x:f>
        <x:v>709.3247869255796</x:v>
      </x:c>
      <x:c r="H3501" s="21" t="n">
        <x:f>F3504</x:f>
        <x:v>696.426007673841</x:v>
      </x:c>
      <x:c r="I3501" s="27" t="n">
        <x:f>IF(AND(ISNUMBER(G3501),ISNUMBER(H3501),H3501&gt;0),G3501/H3501-1,"")</x:f>
        <x:v>0.01852139223637317</x:v>
      </x:c>
      <x:c r="J3501" s="27" t="n">
        <x:f>IF(AND(ISNUMBER(G3501),F3501&gt;0),G3501/F3501-1,"")</x:f>
        <x:v>0.022537733049511344</x:v>
      </x:c>
      <x:c r="K3501" s="19" t="str">
        <x:v>Smooth_12/EXP121/results/seed1646183259_Fixed_rank_10.json</x:v>
      </x:c>
    </x:row>
    <x:row r="3502" ht="15" hidden="0" customHeight="1">
      <x:c r="A3502" s="3" t="str">
        <x:v>EXP121</x:v>
      </x:c>
      <x:c r="B3502" s="3" t="str">
        <x:v>Smooth 12</x:v>
      </x:c>
      <x:c r="C3502" s="18" t="n">
        <x:v>1646183259</x:v>
      </x:c>
      <x:c r="D3502" s="3" t="str">
        <x:v>Fixed rank 25</x:v>
      </x:c>
      <x:c r="E3502" s="18" t="n">
        <x:v>400</x:v>
      </x:c>
      <x:c r="F3502" s="21" t="n">
        <x:v>709.3247869255796</x:v>
      </x:c>
      <x:c r="G3502" s="21" t="n">
        <x:f>F3499</x:f>
        <x:v>709.3247869255796</x:v>
      </x:c>
      <x:c r="H3502" s="21" t="n">
        <x:f>F3504</x:f>
        <x:v>696.426007673841</x:v>
      </x:c>
      <x:c r="I3502" s="27" t="n">
        <x:f>IF(AND(ISNUMBER(G3502),ISNUMBER(H3502),H3502&gt;0),G3502/H3502-1,"")</x:f>
        <x:v>0.01852139223637317</x:v>
      </x:c>
      <x:c r="J3502" s="27" t="n">
        <x:f>IF(AND(ISNUMBER(G3502),F3502&gt;0),G3502/F3502-1,"")</x:f>
        <x:v>0</x:v>
      </x:c>
      <x:c r="K3502" s="19" t="str">
        <x:v>Smooth_12/EXP121/results/seed1646183259_Fixed_rank_25.json</x:v>
      </x:c>
    </x:row>
    <x:row r="3503" ht="15" hidden="0" customHeight="1">
      <x:c r="A3503" s="3" t="str">
        <x:v>EXP121</x:v>
      </x:c>
      <x:c r="B3503" s="3" t="str">
        <x:v>Smooth 12</x:v>
      </x:c>
      <x:c r="C3503" s="18" t="n">
        <x:v>1646183259</x:v>
      </x:c>
      <x:c r="D3503" s="3" t="str">
        <x:v>Relative cutoff 1e-6</x:v>
      </x:c>
      <x:c r="E3503" s="18" t="n">
        <x:v>400</x:v>
      </x:c>
      <x:c r="F3503" s="21" t="n">
        <x:v>696.426007673841</x:v>
      </x:c>
      <x:c r="G3503" s="21" t="n">
        <x:f>F3499</x:f>
        <x:v>709.3247869255796</x:v>
      </x:c>
      <x:c r="H3503" s="21" t="n">
        <x:f>F3504</x:f>
        <x:v>696.426007673841</x:v>
      </x:c>
      <x:c r="I3503" s="27" t="n">
        <x:f>IF(AND(ISNUMBER(G3503),ISNUMBER(H3503),H3503&gt;0),G3503/H3503-1,"")</x:f>
        <x:v>0.01852139223637317</x:v>
      </x:c>
      <x:c r="J3503" s="27" t="n">
        <x:f>IF(AND(ISNUMBER(G3503),F3503&gt;0),G3503/F3503-1,"")</x:f>
        <x:v>0.01852139223637317</x:v>
      </x:c>
      <x:c r="K3503" s="19" t="str">
        <x:v>Smooth_12/EXP121/results/seed1646183259_Relative_cutoff_1e-6.json</x:v>
      </x:c>
    </x:row>
    <x:row r="3504" ht="15" hidden="0" customHeight="1">
      <x:c r="A3504" s="3" t="str">
        <x:v>EXP121</x:v>
      </x:c>
      <x:c r="B3504" s="3" t="str">
        <x:v>Smooth 12</x:v>
      </x:c>
      <x:c r="C3504" s="18" t="n">
        <x:v>1646183259</x:v>
      </x:c>
      <x:c r="D3504" s="3" t="str">
        <x:v>Full</x:v>
      </x:c>
      <x:c r="E3504" s="18" t="n">
        <x:v>400</x:v>
      </x:c>
      <x:c r="F3504" s="21" t="n">
        <x:v>696.426007673841</x:v>
      </x:c>
      <x:c r="G3504" s="21" t="n">
        <x:f>F3499</x:f>
        <x:v>709.3247869255796</x:v>
      </x:c>
      <x:c r="H3504" s="21" t="n">
        <x:f>F3504</x:f>
        <x:v>696.426007673841</x:v>
      </x:c>
      <x:c r="I3504" s="27" t="n">
        <x:f>IF(AND(ISNUMBER(G3504),ISNUMBER(H3504),H3504&gt;0),G3504/H3504-1,"")</x:f>
        <x:v>0.01852139223637317</x:v>
      </x:c>
      <x:c r="J3504" s="27" t="n">
        <x:f>IF(AND(ISNUMBER(G3504),F3504&gt;0),G3504/F3504-1,"")</x:f>
        <x:v>0.01852139223637317</x:v>
      </x:c>
      <x:c r="K3504" s="19" t="str">
        <x:v>Smooth_12/EXP121/results/seed1646183259_Full.json</x:v>
      </x:c>
    </x:row>
    <x:row r="3505" ht="15" hidden="0" customHeight="1">
      <x:c r="A3505" s="3" t="str">
        <x:v>EXP121</x:v>
      </x:c>
      <x:c r="B3505" s="3" t="str">
        <x:v>Smooth 12</x:v>
      </x:c>
      <x:c r="C3505" s="18" t="n">
        <x:v>1646183259</x:v>
      </x:c>
      <x:c r="D3505" s="3" t="str">
        <x:v>Relative cutoff 1e-2</x:v>
      </x:c>
      <x:c r="E3505" s="18" t="n">
        <x:v>400</x:v>
      </x:c>
      <x:c r="F3505" s="21" t="n">
        <x:v>691.1613906828943</x:v>
      </x:c>
      <x:c r="G3505" s="21" t="n">
        <x:f>F3499</x:f>
        <x:v>709.3247869255796</x:v>
      </x:c>
      <x:c r="H3505" s="21" t="n">
        <x:f>F3504</x:f>
        <x:v>696.426007673841</x:v>
      </x:c>
      <x:c r="I3505" s="27" t="n">
        <x:f>IF(AND(ISNUMBER(G3505),ISNUMBER(H3505),H3505&gt;0),G3505/H3505-1,"")</x:f>
        <x:v>0.01852139223637317</x:v>
      </x:c>
      <x:c r="J3505" s="27" t="n">
        <x:f>IF(AND(ISNUMBER(G3505),F3505&gt;0),G3505/F3505-1,"")</x:f>
        <x:v>0.02627952962583624</x:v>
      </x:c>
      <x:c r="K3505" s="19" t="str">
        <x:v>Smooth_12/EXP121/results/seed1646183259_Relative_cutoff_1e-2.json</x:v>
      </x:c>
    </x:row>
    <x:row r="3506" ht="15" hidden="0" customHeight="1">
      <x:c r="A3506" s="3" t="str">
        <x:v>EXP121</x:v>
      </x:c>
      <x:c r="B3506" s="3" t="str">
        <x:v>Smooth 12</x:v>
      </x:c>
      <x:c r="C3506" s="18" t="n">
        <x:v>1646183259</x:v>
      </x:c>
      <x:c r="D3506" s="3" t="str">
        <x:v>Relative cutoff 1e-4</x:v>
      </x:c>
      <x:c r="E3506" s="18" t="n">
        <x:v>400</x:v>
      </x:c>
      <x:c r="F3506" s="21" t="n">
        <x:v>707.9430233930542</x:v>
      </x:c>
      <x:c r="G3506" s="21" t="n">
        <x:f>F3499</x:f>
        <x:v>709.3247869255796</x:v>
      </x:c>
      <x:c r="H3506" s="21" t="n">
        <x:f>F3504</x:f>
        <x:v>696.426007673841</x:v>
      </x:c>
      <x:c r="I3506" s="27" t="n">
        <x:f>IF(AND(ISNUMBER(G3506),ISNUMBER(H3506),H3506&gt;0),G3506/H3506-1,"")</x:f>
        <x:v>0.01852139223637317</x:v>
      </x:c>
      <x:c r="J3506" s="27" t="n">
        <x:f>IF(AND(ISNUMBER(G3506),F3506&gt;0),G3506/F3506-1,"")</x:f>
        <x:v>0.0019518004795116006</x:v>
      </x:c>
      <x:c r="K3506" s="19" t="str">
        <x:v>Smooth_12/EXP121/results/seed1646183259_Relative_cutoff_1e-4.json</x:v>
      </x:c>
    </x:row>
    <x:row r="3507" ht="15" hidden="0" customHeight="1">
      <x:c r="A3507" s="3" t="str">
        <x:v>EXP121</x:v>
      </x:c>
      <x:c r="B3507" s="3" t="str">
        <x:v>Smooth 12</x:v>
      </x:c>
      <x:c r="C3507" s="18" t="n">
        <x:v>1717792751</x:v>
      </x:c>
      <x:c r="D3507" s="3" t="str">
        <x:v>BBP</x:v>
      </x:c>
      <x:c r="E3507" s="18" t="n">
        <x:v>400</x:v>
      </x:c>
      <x:c r="F3507" s="21" t="n">
        <x:v>602.1590334910912</x:v>
      </x:c>
      <x:c r="G3507" s="21" t="n">
        <x:f>F3507</x:f>
        <x:v>602.1590334910912</x:v>
      </x:c>
      <x:c r="H3507" s="21" t="n">
        <x:f>F3512</x:f>
        <x:v>602.3983040448353</x:v>
      </x:c>
      <x:c r="I3507" s="27" t="n">
        <x:f>IF(AND(ISNUMBER(G3507),ISNUMBER(H3507),H3507&gt;0),G3507/H3507-1,"")</x:f>
        <x:v>-0.00039719659258241613</x:v>
      </x:c>
      <x:c r="J3507" s="27" t="n">
        <x:f>IF(AND(ISNUMBER(G3507),F3507&gt;0),G3507/F3507-1,"")</x:f>
        <x:v>0</x:v>
      </x:c>
      <x:c r="K3507" s="19" t="str">
        <x:v>Smooth_12/EXP121/results/seed1717792751_BBP.json</x:v>
      </x:c>
    </x:row>
    <x:row r="3508" ht="15" hidden="0" customHeight="1">
      <x:c r="A3508" s="3" t="str">
        <x:v>EXP121</x:v>
      </x:c>
      <x:c r="B3508" s="3" t="str">
        <x:v>Smooth 12</x:v>
      </x:c>
      <x:c r="C3508" s="18" t="n">
        <x:v>1717792751</x:v>
      </x:c>
      <x:c r="D3508" s="3" t="str">
        <x:v>Relative cutoff 1e-5</x:v>
      </x:c>
      <x:c r="E3508" s="18" t="n">
        <x:v>400</x:v>
      </x:c>
      <x:c r="F3508" s="21" t="n">
        <x:v>600.5045175483723</x:v>
      </x:c>
      <x:c r="G3508" s="21" t="n">
        <x:f>F3507</x:f>
        <x:v>602.1590334910912</x:v>
      </x:c>
      <x:c r="H3508" s="21" t="n">
        <x:f>F3512</x:f>
        <x:v>602.3983040448353</x:v>
      </x:c>
      <x:c r="I3508" s="27" t="n">
        <x:f>IF(AND(ISNUMBER(G3508),ISNUMBER(H3508),H3508&gt;0),G3508/H3508-1,"")</x:f>
        <x:v>-0.00039719659258241613</x:v>
      </x:c>
      <x:c r="J3508" s="27" t="n">
        <x:f>IF(AND(ISNUMBER(G3508),F3508&gt;0),G3508/F3508-1,"")</x:f>
        <x:v>0.0027552098183603047</x:v>
      </x:c>
      <x:c r="K3508" s="19" t="str">
        <x:v>Smooth_12/EXP121/results/seed1717792751_Relative_cutoff_1e-5.json</x:v>
      </x:c>
    </x:row>
    <x:row r="3509" ht="15" hidden="0" customHeight="1">
      <x:c r="A3509" s="3" t="str">
        <x:v>EXP121</x:v>
      </x:c>
      <x:c r="B3509" s="3" t="str">
        <x:v>Smooth 12</x:v>
      </x:c>
      <x:c r="C3509" s="18" t="n">
        <x:v>1717792751</x:v>
      </x:c>
      <x:c r="D3509" s="3" t="str">
        <x:v>Fixed rank 10</x:v>
      </x:c>
      <x:c r="E3509" s="18" t="n">
        <x:v>400</x:v>
      </x:c>
      <x:c r="F3509" s="21" t="n">
        <x:v>648.4188382468839</x:v>
      </x:c>
      <x:c r="G3509" s="21" t="n">
        <x:f>F3507</x:f>
        <x:v>602.1590334910912</x:v>
      </x:c>
      <x:c r="H3509" s="21" t="n">
        <x:f>F3512</x:f>
        <x:v>602.3983040448353</x:v>
      </x:c>
      <x:c r="I3509" s="27" t="n">
        <x:f>IF(AND(ISNUMBER(G3509),ISNUMBER(H3509),H3509&gt;0),G3509/H3509-1,"")</x:f>
        <x:v>-0.00039719659258241613</x:v>
      </x:c>
      <x:c r="J3509" s="27" t="n">
        <x:f>IF(AND(ISNUMBER(G3509),F3509&gt;0),G3509/F3509-1,"")</x:f>
        <x:v>-0.07134247499789526</x:v>
      </x:c>
      <x:c r="K3509" s="19" t="str">
        <x:v>Smooth_12/EXP121/results/seed1717792751_Fixed_rank_10.json</x:v>
      </x:c>
    </x:row>
    <x:row r="3510" ht="15" hidden="0" customHeight="1">
      <x:c r="A3510" s="3" t="str">
        <x:v>EXP121</x:v>
      </x:c>
      <x:c r="B3510" s="3" t="str">
        <x:v>Smooth 12</x:v>
      </x:c>
      <x:c r="C3510" s="18" t="n">
        <x:v>1717792751</x:v>
      </x:c>
      <x:c r="D3510" s="3" t="str">
        <x:v>Fixed rank 25</x:v>
      </x:c>
      <x:c r="E3510" s="18" t="n">
        <x:v>400</x:v>
      </x:c>
      <x:c r="F3510" s="21" t="n">
        <x:v>602.1590334910912</x:v>
      </x:c>
      <x:c r="G3510" s="21" t="n">
        <x:f>F3507</x:f>
        <x:v>602.1590334910912</x:v>
      </x:c>
      <x:c r="H3510" s="21" t="n">
        <x:f>F3512</x:f>
        <x:v>602.3983040448353</x:v>
      </x:c>
      <x:c r="I3510" s="27" t="n">
        <x:f>IF(AND(ISNUMBER(G3510),ISNUMBER(H3510),H3510&gt;0),G3510/H3510-1,"")</x:f>
        <x:v>-0.00039719659258241613</x:v>
      </x:c>
      <x:c r="J3510" s="27" t="n">
        <x:f>IF(AND(ISNUMBER(G3510),F3510&gt;0),G3510/F3510-1,"")</x:f>
        <x:v>0</x:v>
      </x:c>
      <x:c r="K3510" s="19" t="str">
        <x:v>Smooth_12/EXP121/results/seed1717792751_Fixed_rank_25.json</x:v>
      </x:c>
    </x:row>
    <x:row r="3511" ht="15" hidden="0" customHeight="1">
      <x:c r="A3511" s="3" t="str">
        <x:v>EXP121</x:v>
      </x:c>
      <x:c r="B3511" s="3" t="str">
        <x:v>Smooth 12</x:v>
      </x:c>
      <x:c r="C3511" s="18" t="n">
        <x:v>1717792751</x:v>
      </x:c>
      <x:c r="D3511" s="3" t="str">
        <x:v>Relative cutoff 1e-6</x:v>
      </x:c>
      <x:c r="E3511" s="18" t="n">
        <x:v>400</x:v>
      </x:c>
      <x:c r="F3511" s="21" t="n">
        <x:v>602.3983040448353</x:v>
      </x:c>
      <x:c r="G3511" s="21" t="n">
        <x:f>F3507</x:f>
        <x:v>602.1590334910912</x:v>
      </x:c>
      <x:c r="H3511" s="21" t="n">
        <x:f>F3512</x:f>
        <x:v>602.3983040448353</x:v>
      </x:c>
      <x:c r="I3511" s="27" t="n">
        <x:f>IF(AND(ISNUMBER(G3511),ISNUMBER(H3511),H3511&gt;0),G3511/H3511-1,"")</x:f>
        <x:v>-0.00039719659258241613</x:v>
      </x:c>
      <x:c r="J3511" s="27" t="n">
        <x:f>IF(AND(ISNUMBER(G3511),F3511&gt;0),G3511/F3511-1,"")</x:f>
        <x:v>-0.00039719659258241613</x:v>
      </x:c>
      <x:c r="K3511" s="19" t="str">
        <x:v>Smooth_12/EXP121/results/seed1717792751_Relative_cutoff_1e-6.json</x:v>
      </x:c>
    </x:row>
    <x:row r="3512" ht="15" hidden="0" customHeight="1">
      <x:c r="A3512" s="3" t="str">
        <x:v>EXP121</x:v>
      </x:c>
      <x:c r="B3512" s="3" t="str">
        <x:v>Smooth 12</x:v>
      </x:c>
      <x:c r="C3512" s="18" t="n">
        <x:v>1717792751</x:v>
      </x:c>
      <x:c r="D3512" s="3" t="str">
        <x:v>Full</x:v>
      </x:c>
      <x:c r="E3512" s="18" t="n">
        <x:v>400</x:v>
      </x:c>
      <x:c r="F3512" s="21" t="n">
        <x:v>602.3983040448353</x:v>
      </x:c>
      <x:c r="G3512" s="21" t="n">
        <x:f>F3507</x:f>
        <x:v>602.1590334910912</x:v>
      </x:c>
      <x:c r="H3512" s="21" t="n">
        <x:f>F3512</x:f>
        <x:v>602.3983040448353</x:v>
      </x:c>
      <x:c r="I3512" s="27" t="n">
        <x:f>IF(AND(ISNUMBER(G3512),ISNUMBER(H3512),H3512&gt;0),G3512/H3512-1,"")</x:f>
        <x:v>-0.00039719659258241613</x:v>
      </x:c>
      <x:c r="J3512" s="27" t="n">
        <x:f>IF(AND(ISNUMBER(G3512),F3512&gt;0),G3512/F3512-1,"")</x:f>
        <x:v>-0.00039719659258241613</x:v>
      </x:c>
      <x:c r="K3512" s="19" t="str">
        <x:v>Smooth_12/EXP121/results/seed1717792751_Full.json</x:v>
      </x:c>
    </x:row>
    <x:row r="3513" ht="15" hidden="0" customHeight="1">
      <x:c r="A3513" s="3" t="str">
        <x:v>EXP121</x:v>
      </x:c>
      <x:c r="B3513" s="3" t="str">
        <x:v>Smooth 12</x:v>
      </x:c>
      <x:c r="C3513" s="18" t="n">
        <x:v>1717792751</x:v>
      </x:c>
      <x:c r="D3513" s="3" t="str">
        <x:v>Relative cutoff 1e-2</x:v>
      </x:c>
      <x:c r="E3513" s="18" t="n">
        <x:v>400</x:v>
      </x:c>
      <x:c r="F3513" s="21" t="n">
        <x:v>628.4465320146741</x:v>
      </x:c>
      <x:c r="G3513" s="21" t="n">
        <x:f>F3507</x:f>
        <x:v>602.1590334910912</x:v>
      </x:c>
      <x:c r="H3513" s="21" t="n">
        <x:f>F3512</x:f>
        <x:v>602.3983040448353</x:v>
      </x:c>
      <x:c r="I3513" s="27" t="n">
        <x:f>IF(AND(ISNUMBER(G3513),ISNUMBER(H3513),H3513&gt;0),G3513/H3513-1,"")</x:f>
        <x:v>-0.00039719659258241613</x:v>
      </x:c>
      <x:c r="J3513" s="27" t="n">
        <x:f>IF(AND(ISNUMBER(G3513),F3513&gt;0),G3513/F3513-1,"")</x:f>
        <x:v>-0.041829331827658245</x:v>
      </x:c>
      <x:c r="K3513" s="19" t="str">
        <x:v>Smooth_12/EXP121/results/seed1717792751_Relative_cutoff_1e-2.json</x:v>
      </x:c>
    </x:row>
    <x:row r="3514" ht="15" hidden="0" customHeight="1">
      <x:c r="A3514" s="3" t="str">
        <x:v>EXP121</x:v>
      </x:c>
      <x:c r="B3514" s="3" t="str">
        <x:v>Smooth 12</x:v>
      </x:c>
      <x:c r="C3514" s="18" t="n">
        <x:v>1717792751</x:v>
      </x:c>
      <x:c r="D3514" s="3" t="str">
        <x:v>Relative cutoff 1e-4</x:v>
      </x:c>
      <x:c r="E3514" s="18" t="n">
        <x:v>400</x:v>
      </x:c>
      <x:c r="F3514" s="21" t="n">
        <x:v>580.9398512237834</x:v>
      </x:c>
      <x:c r="G3514" s="21" t="n">
        <x:f>F3507</x:f>
        <x:v>602.1590334910912</x:v>
      </x:c>
      <x:c r="H3514" s="21" t="n">
        <x:f>F3512</x:f>
        <x:v>602.3983040448353</x:v>
      </x:c>
      <x:c r="I3514" s="27" t="n">
        <x:f>IF(AND(ISNUMBER(G3514),ISNUMBER(H3514),H3514&gt;0),G3514/H3514-1,"")</x:f>
        <x:v>-0.00039719659258241613</x:v>
      </x:c>
      <x:c r="J3514" s="27" t="n">
        <x:f>IF(AND(ISNUMBER(G3514),F3514&gt;0),G3514/F3514-1,"")</x:f>
        <x:v>0.03652560970401386</x:v>
      </x:c>
      <x:c r="K3514" s="19" t="str">
        <x:v>Smooth_12/EXP121/results/seed1717792751_Relative_cutoff_1e-4.json</x:v>
      </x:c>
    </x:row>
    <x:row r="3515" ht="15" hidden="0" customHeight="1">
      <x:c r="A3515" s="3" t="str">
        <x:v>EXP121</x:v>
      </x:c>
      <x:c r="B3515" s="3" t="str">
        <x:v>Smooth 12</x:v>
      </x:c>
      <x:c r="C3515" s="18" t="n">
        <x:v>1723169116</x:v>
      </x:c>
      <x:c r="D3515" s="3" t="str">
        <x:v>BBP</x:v>
      </x:c>
      <x:c r="E3515" s="18" t="n">
        <x:v>400</x:v>
      </x:c>
      <x:c r="F3515" s="21" t="n">
        <x:v>646.353672176921</x:v>
      </x:c>
      <x:c r="G3515" s="21" t="n">
        <x:f>F3515</x:f>
        <x:v>646.353672176921</x:v>
      </x:c>
      <x:c r="H3515" s="21" t="n">
        <x:f>F3520</x:f>
        <x:v>635.5364055509415</x:v>
      </x:c>
      <x:c r="I3515" s="27" t="n">
        <x:f>IF(AND(ISNUMBER(G3515),ISNUMBER(H3515),H3515&gt;0),G3515/H3515-1,"")</x:f>
        <x:v>0.01702068761364206</x:v>
      </x:c>
      <x:c r="J3515" s="27" t="n">
        <x:f>IF(AND(ISNUMBER(G3515),F3515&gt;0),G3515/F3515-1,"")</x:f>
        <x:v>0</x:v>
      </x:c>
      <x:c r="K3515" s="19" t="str">
        <x:v>Smooth_12/EXP121/results/seed1723169116_BBP.json</x:v>
      </x:c>
    </x:row>
    <x:row r="3516" ht="15" hidden="0" customHeight="1">
      <x:c r="A3516" s="3" t="str">
        <x:v>EXP121</x:v>
      </x:c>
      <x:c r="B3516" s="3" t="str">
        <x:v>Smooth 12</x:v>
      </x:c>
      <x:c r="C3516" s="18" t="n">
        <x:v>1723169116</x:v>
      </x:c>
      <x:c r="D3516" s="3" t="str">
        <x:v>Relative cutoff 1e-5</x:v>
      </x:c>
      <x:c r="E3516" s="18" t="n">
        <x:v>400</x:v>
      </x:c>
      <x:c r="F3516" s="21" t="n">
        <x:v>635.5364055509415</x:v>
      </x:c>
      <x:c r="G3516" s="21" t="n">
        <x:f>F3515</x:f>
        <x:v>646.353672176921</x:v>
      </x:c>
      <x:c r="H3516" s="21" t="n">
        <x:f>F3520</x:f>
        <x:v>635.5364055509415</x:v>
      </x:c>
      <x:c r="I3516" s="27" t="n">
        <x:f>IF(AND(ISNUMBER(G3516),ISNUMBER(H3516),H3516&gt;0),G3516/H3516-1,"")</x:f>
        <x:v>0.01702068761364206</x:v>
      </x:c>
      <x:c r="J3516" s="27" t="n">
        <x:f>IF(AND(ISNUMBER(G3516),F3516&gt;0),G3516/F3516-1,"")</x:f>
        <x:v>0.01702068761364206</x:v>
      </x:c>
      <x:c r="K3516" s="19" t="str">
        <x:v>Smooth_12/EXP121/results/seed1723169116_Relative_cutoff_1e-5.json</x:v>
      </x:c>
    </x:row>
    <x:row r="3517" ht="15" hidden="0" customHeight="1">
      <x:c r="A3517" s="3" t="str">
        <x:v>EXP121</x:v>
      </x:c>
      <x:c r="B3517" s="3" t="str">
        <x:v>Smooth 12</x:v>
      </x:c>
      <x:c r="C3517" s="18" t="n">
        <x:v>1723169116</x:v>
      </x:c>
      <x:c r="D3517" s="3" t="str">
        <x:v>Fixed rank 10</x:v>
      </x:c>
      <x:c r="E3517" s="18" t="n">
        <x:v>400</x:v>
      </x:c>
      <x:c r="F3517" s="21" t="n">
        <x:v>662.5617955877043</x:v>
      </x:c>
      <x:c r="G3517" s="21" t="n">
        <x:f>F3515</x:f>
        <x:v>646.353672176921</x:v>
      </x:c>
      <x:c r="H3517" s="21" t="n">
        <x:f>F3520</x:f>
        <x:v>635.5364055509415</x:v>
      </x:c>
      <x:c r="I3517" s="27" t="n">
        <x:f>IF(AND(ISNUMBER(G3517),ISNUMBER(H3517),H3517&gt;0),G3517/H3517-1,"")</x:f>
        <x:v>0.01702068761364206</x:v>
      </x:c>
      <x:c r="J3517" s="27" t="n">
        <x:f>IF(AND(ISNUMBER(G3517),F3517&gt;0),G3517/F3517-1,"")</x:f>
        <x:v>-0.024462810138949242</x:v>
      </x:c>
      <x:c r="K3517" s="19" t="str">
        <x:v>Smooth_12/EXP121/results/seed1723169116_Fixed_rank_10.json</x:v>
      </x:c>
    </x:row>
    <x:row r="3518" ht="15" hidden="0" customHeight="1">
      <x:c r="A3518" s="3" t="str">
        <x:v>EXP121</x:v>
      </x:c>
      <x:c r="B3518" s="3" t="str">
        <x:v>Smooth 12</x:v>
      </x:c>
      <x:c r="C3518" s="18" t="n">
        <x:v>1723169116</x:v>
      </x:c>
      <x:c r="D3518" s="3" t="str">
        <x:v>Fixed rank 25</x:v>
      </x:c>
      <x:c r="E3518" s="18" t="n">
        <x:v>400</x:v>
      </x:c>
      <x:c r="F3518" s="21" t="n">
        <x:v>646.353672176921</x:v>
      </x:c>
      <x:c r="G3518" s="21" t="n">
        <x:f>F3515</x:f>
        <x:v>646.353672176921</x:v>
      </x:c>
      <x:c r="H3518" s="21" t="n">
        <x:f>F3520</x:f>
        <x:v>635.5364055509415</x:v>
      </x:c>
      <x:c r="I3518" s="27" t="n">
        <x:f>IF(AND(ISNUMBER(G3518),ISNUMBER(H3518),H3518&gt;0),G3518/H3518-1,"")</x:f>
        <x:v>0.01702068761364206</x:v>
      </x:c>
      <x:c r="J3518" s="27" t="n">
        <x:f>IF(AND(ISNUMBER(G3518),F3518&gt;0),G3518/F3518-1,"")</x:f>
        <x:v>0</x:v>
      </x:c>
      <x:c r="K3518" s="19" t="str">
        <x:v>Smooth_12/EXP121/results/seed1723169116_Fixed_rank_25.json</x:v>
      </x:c>
    </x:row>
    <x:row r="3519" ht="15" hidden="0" customHeight="1">
      <x:c r="A3519" s="3" t="str">
        <x:v>EXP121</x:v>
      </x:c>
      <x:c r="B3519" s="3" t="str">
        <x:v>Smooth 12</x:v>
      </x:c>
      <x:c r="C3519" s="18" t="n">
        <x:v>1723169116</x:v>
      </x:c>
      <x:c r="D3519" s="3" t="str">
        <x:v>Relative cutoff 1e-6</x:v>
      </x:c>
      <x:c r="E3519" s="18" t="n">
        <x:v>400</x:v>
      </x:c>
      <x:c r="F3519" s="21" t="n">
        <x:v>635.5364055509415</x:v>
      </x:c>
      <x:c r="G3519" s="21" t="n">
        <x:f>F3515</x:f>
        <x:v>646.353672176921</x:v>
      </x:c>
      <x:c r="H3519" s="21" t="n">
        <x:f>F3520</x:f>
        <x:v>635.5364055509415</x:v>
      </x:c>
      <x:c r="I3519" s="27" t="n">
        <x:f>IF(AND(ISNUMBER(G3519),ISNUMBER(H3519),H3519&gt;0),G3519/H3519-1,"")</x:f>
        <x:v>0.01702068761364206</x:v>
      </x:c>
      <x:c r="J3519" s="27" t="n">
        <x:f>IF(AND(ISNUMBER(G3519),F3519&gt;0),G3519/F3519-1,"")</x:f>
        <x:v>0.01702068761364206</x:v>
      </x:c>
      <x:c r="K3519" s="19" t="str">
        <x:v>Smooth_12/EXP121/results/seed1723169116_Relative_cutoff_1e-6.json</x:v>
      </x:c>
    </x:row>
    <x:row r="3520" ht="15" hidden="0" customHeight="1">
      <x:c r="A3520" s="3" t="str">
        <x:v>EXP121</x:v>
      </x:c>
      <x:c r="B3520" s="3" t="str">
        <x:v>Smooth 12</x:v>
      </x:c>
      <x:c r="C3520" s="18" t="n">
        <x:v>1723169116</x:v>
      </x:c>
      <x:c r="D3520" s="3" t="str">
        <x:v>Full</x:v>
      </x:c>
      <x:c r="E3520" s="18" t="n">
        <x:v>400</x:v>
      </x:c>
      <x:c r="F3520" s="21" t="n">
        <x:v>635.5364055509415</x:v>
      </x:c>
      <x:c r="G3520" s="21" t="n">
        <x:f>F3515</x:f>
        <x:v>646.353672176921</x:v>
      </x:c>
      <x:c r="H3520" s="21" t="n">
        <x:f>F3520</x:f>
        <x:v>635.5364055509415</x:v>
      </x:c>
      <x:c r="I3520" s="27" t="n">
        <x:f>IF(AND(ISNUMBER(G3520),ISNUMBER(H3520),H3520&gt;0),G3520/H3520-1,"")</x:f>
        <x:v>0.01702068761364206</x:v>
      </x:c>
      <x:c r="J3520" s="27" t="n">
        <x:f>IF(AND(ISNUMBER(G3520),F3520&gt;0),G3520/F3520-1,"")</x:f>
        <x:v>0.01702068761364206</x:v>
      </x:c>
      <x:c r="K3520" s="19" t="str">
        <x:v>Smooth_12/EXP121/results/seed1723169116_Full.json</x:v>
      </x:c>
    </x:row>
    <x:row r="3521" ht="15" hidden="0" customHeight="1">
      <x:c r="A3521" s="3" t="str">
        <x:v>EXP121</x:v>
      </x:c>
      <x:c r="B3521" s="3" t="str">
        <x:v>Smooth 12</x:v>
      </x:c>
      <x:c r="C3521" s="18" t="n">
        <x:v>1723169116</x:v>
      </x:c>
      <x:c r="D3521" s="3" t="str">
        <x:v>Relative cutoff 1e-2</x:v>
      </x:c>
      <x:c r="E3521" s="18" t="n">
        <x:v>400</x:v>
      </x:c>
      <x:c r="F3521" s="21" t="n">
        <x:v>651.417788968887</x:v>
      </x:c>
      <x:c r="G3521" s="21" t="n">
        <x:f>F3515</x:f>
        <x:v>646.353672176921</x:v>
      </x:c>
      <x:c r="H3521" s="21" t="n">
        <x:f>F3520</x:f>
        <x:v>635.5364055509415</x:v>
      </x:c>
      <x:c r="I3521" s="27" t="n">
        <x:f>IF(AND(ISNUMBER(G3521),ISNUMBER(H3521),H3521&gt;0),G3521/H3521-1,"")</x:f>
        <x:v>0.01702068761364206</x:v>
      </x:c>
      <x:c r="J3521" s="27" t="n">
        <x:f>IF(AND(ISNUMBER(G3521),F3521&gt;0),G3521/F3521-1,"")</x:f>
        <x:v>-0.007773992171724142</x:v>
      </x:c>
      <x:c r="K3521" s="19" t="str">
        <x:v>Smooth_12/EXP121/results/seed1723169116_Relative_cutoff_1e-2.json</x:v>
      </x:c>
    </x:row>
    <x:row r="3522" ht="15" hidden="0" customHeight="1">
      <x:c r="A3522" s="3" t="str">
        <x:v>EXP121</x:v>
      </x:c>
      <x:c r="B3522" s="3" t="str">
        <x:v>Smooth 12</x:v>
      </x:c>
      <x:c r="C3522" s="18" t="n">
        <x:v>1723169116</x:v>
      </x:c>
      <x:c r="D3522" s="3" t="str">
        <x:v>Relative cutoff 1e-4</x:v>
      </x:c>
      <x:c r="E3522" s="18" t="n">
        <x:v>400</x:v>
      </x:c>
      <x:c r="F3522" s="21" t="n">
        <x:v>646.8498522254183</x:v>
      </x:c>
      <x:c r="G3522" s="21" t="n">
        <x:f>F3515</x:f>
        <x:v>646.353672176921</x:v>
      </x:c>
      <x:c r="H3522" s="21" t="n">
        <x:f>F3520</x:f>
        <x:v>635.5364055509415</x:v>
      </x:c>
      <x:c r="I3522" s="27" t="n">
        <x:f>IF(AND(ISNUMBER(G3522),ISNUMBER(H3522),H3522&gt;0),G3522/H3522-1,"")</x:f>
        <x:v>0.01702068761364206</x:v>
      </x:c>
      <x:c r="J3522" s="27" t="n">
        <x:f>IF(AND(ISNUMBER(G3522),F3522&gt;0),G3522/F3522-1,"")</x:f>
        <x:v>-0.0007670714413712254</x:v>
      </x:c>
      <x:c r="K3522" s="19" t="str">
        <x:v>Smooth_12/EXP121/results/seed1723169116_Relative_cutoff_1e-4.json</x:v>
      </x:c>
    </x:row>
    <x:row r="3523" ht="15" hidden="0" customHeight="1">
      <x:c r="A3523" s="3" t="str">
        <x:v>EXP121</x:v>
      </x:c>
      <x:c r="B3523" s="3" t="str">
        <x:v>Smooth 12</x:v>
      </x:c>
      <x:c r="C3523" s="18" t="n">
        <x:v>1914270772</x:v>
      </x:c>
      <x:c r="D3523" s="3" t="str">
        <x:v>BBP</x:v>
      </x:c>
      <x:c r="E3523" s="18" t="n">
        <x:v>400</x:v>
      </x:c>
      <x:c r="F3523" s="21" t="n">
        <x:v>659.2845659367454</x:v>
      </x:c>
      <x:c r="G3523" s="21" t="n">
        <x:f>F3523</x:f>
        <x:v>659.2845659367454</x:v>
      </x:c>
      <x:c r="H3523" s="21" t="n">
        <x:f>F3528</x:f>
        <x:v>659.2845659367454</x:v>
      </x:c>
      <x:c r="I3523" s="27" t="n">
        <x:f>IF(AND(ISNUMBER(G3523),ISNUMBER(H3523),H3523&gt;0),G3523/H3523-1,"")</x:f>
        <x:v>0</x:v>
      </x:c>
      <x:c r="J3523" s="27" t="n">
        <x:f>IF(AND(ISNUMBER(G3523),F3523&gt;0),G3523/F3523-1,"")</x:f>
        <x:v>0</x:v>
      </x:c>
      <x:c r="K3523" s="19" t="str">
        <x:v>Smooth_12/EXP121/results/seed1914270772_BBP.json</x:v>
      </x:c>
    </x:row>
    <x:row r="3524" ht="15" hidden="0" customHeight="1">
      <x:c r="A3524" s="3" t="str">
        <x:v>EXP121</x:v>
      </x:c>
      <x:c r="B3524" s="3" t="str">
        <x:v>Smooth 12</x:v>
      </x:c>
      <x:c r="C3524" s="18" t="n">
        <x:v>1914270772</x:v>
      </x:c>
      <x:c r="D3524" s="3" t="str">
        <x:v>Relative cutoff 1e-5</x:v>
      </x:c>
      <x:c r="E3524" s="18" t="n">
        <x:v>400</x:v>
      </x:c>
      <x:c r="F3524" s="21" t="n">
        <x:v>659.2845659367454</x:v>
      </x:c>
      <x:c r="G3524" s="21" t="n">
        <x:f>F3523</x:f>
        <x:v>659.2845659367454</x:v>
      </x:c>
      <x:c r="H3524" s="21" t="n">
        <x:f>F3528</x:f>
        <x:v>659.2845659367454</x:v>
      </x:c>
      <x:c r="I3524" s="27" t="n">
        <x:f>IF(AND(ISNUMBER(G3524),ISNUMBER(H3524),H3524&gt;0),G3524/H3524-1,"")</x:f>
        <x:v>0</x:v>
      </x:c>
      <x:c r="J3524" s="27" t="n">
        <x:f>IF(AND(ISNUMBER(G3524),F3524&gt;0),G3524/F3524-1,"")</x:f>
        <x:v>0</x:v>
      </x:c>
      <x:c r="K3524" s="19" t="str">
        <x:v>Smooth_12/EXP121/results/seed1914270772_Relative_cutoff_1e-5.json</x:v>
      </x:c>
    </x:row>
    <x:row r="3525" ht="15" hidden="0" customHeight="1">
      <x:c r="A3525" s="3" t="str">
        <x:v>EXP121</x:v>
      </x:c>
      <x:c r="B3525" s="3" t="str">
        <x:v>Smooth 12</x:v>
      </x:c>
      <x:c r="C3525" s="18" t="n">
        <x:v>1914270772</x:v>
      </x:c>
      <x:c r="D3525" s="3" t="str">
        <x:v>Fixed rank 10</x:v>
      </x:c>
      <x:c r="E3525" s="18" t="n">
        <x:v>400</x:v>
      </x:c>
      <x:c r="F3525" s="21" t="n">
        <x:v>664.5169176614185</x:v>
      </x:c>
      <x:c r="G3525" s="21" t="n">
        <x:f>F3523</x:f>
        <x:v>659.2845659367454</x:v>
      </x:c>
      <x:c r="H3525" s="21" t="n">
        <x:f>F3528</x:f>
        <x:v>659.2845659367454</x:v>
      </x:c>
      <x:c r="I3525" s="27" t="n">
        <x:f>IF(AND(ISNUMBER(G3525),ISNUMBER(H3525),H3525&gt;0),G3525/H3525-1,"")</x:f>
        <x:v>0</x:v>
      </x:c>
      <x:c r="J3525" s="27" t="n">
        <x:f>IF(AND(ISNUMBER(G3525),F3525&gt;0),G3525/F3525-1,"")</x:f>
        <x:v>-0.007873918008117653</x:v>
      </x:c>
      <x:c r="K3525" s="19" t="str">
        <x:v>Smooth_12/EXP121/results/seed1914270772_Fixed_rank_10.json</x:v>
      </x:c>
    </x:row>
    <x:row r="3526" ht="15" hidden="0" customHeight="1">
      <x:c r="A3526" s="3" t="str">
        <x:v>EXP121</x:v>
      </x:c>
      <x:c r="B3526" s="3" t="str">
        <x:v>Smooth 12</x:v>
      </x:c>
      <x:c r="C3526" s="18" t="n">
        <x:v>1914270772</x:v>
      </x:c>
      <x:c r="D3526" s="3" t="str">
        <x:v>Fixed rank 25</x:v>
      </x:c>
      <x:c r="E3526" s="18" t="n">
        <x:v>400</x:v>
      </x:c>
      <x:c r="F3526" s="21" t="n">
        <x:v>659.2845659367454</x:v>
      </x:c>
      <x:c r="G3526" s="21" t="n">
        <x:f>F3523</x:f>
        <x:v>659.2845659367454</x:v>
      </x:c>
      <x:c r="H3526" s="21" t="n">
        <x:f>F3528</x:f>
        <x:v>659.2845659367454</x:v>
      </x:c>
      <x:c r="I3526" s="27" t="n">
        <x:f>IF(AND(ISNUMBER(G3526),ISNUMBER(H3526),H3526&gt;0),G3526/H3526-1,"")</x:f>
        <x:v>0</x:v>
      </x:c>
      <x:c r="J3526" s="27" t="n">
        <x:f>IF(AND(ISNUMBER(G3526),F3526&gt;0),G3526/F3526-1,"")</x:f>
        <x:v>0</x:v>
      </x:c>
      <x:c r="K3526" s="19" t="str">
        <x:v>Smooth_12/EXP121/results/seed1914270772_Fixed_rank_25.json</x:v>
      </x:c>
    </x:row>
    <x:row r="3527" ht="15" hidden="0" customHeight="1">
      <x:c r="A3527" s="3" t="str">
        <x:v>EXP121</x:v>
      </x:c>
      <x:c r="B3527" s="3" t="str">
        <x:v>Smooth 12</x:v>
      </x:c>
      <x:c r="C3527" s="18" t="n">
        <x:v>1914270772</x:v>
      </x:c>
      <x:c r="D3527" s="3" t="str">
        <x:v>Relative cutoff 1e-6</x:v>
      </x:c>
      <x:c r="E3527" s="18" t="n">
        <x:v>400</x:v>
      </x:c>
      <x:c r="F3527" s="21" t="n">
        <x:v>659.2845659367454</x:v>
      </x:c>
      <x:c r="G3527" s="21" t="n">
        <x:f>F3523</x:f>
        <x:v>659.2845659367454</x:v>
      </x:c>
      <x:c r="H3527" s="21" t="n">
        <x:f>F3528</x:f>
        <x:v>659.2845659367454</x:v>
      </x:c>
      <x:c r="I3527" s="27" t="n">
        <x:f>IF(AND(ISNUMBER(G3527),ISNUMBER(H3527),H3527&gt;0),G3527/H3527-1,"")</x:f>
        <x:v>0</x:v>
      </x:c>
      <x:c r="J3527" s="27" t="n">
        <x:f>IF(AND(ISNUMBER(G3527),F3527&gt;0),G3527/F3527-1,"")</x:f>
        <x:v>0</x:v>
      </x:c>
      <x:c r="K3527" s="19" t="str">
        <x:v>Smooth_12/EXP121/results/seed1914270772_Relative_cutoff_1e-6.json</x:v>
      </x:c>
    </x:row>
    <x:row r="3528" ht="15" hidden="0" customHeight="1">
      <x:c r="A3528" s="3" t="str">
        <x:v>EXP121</x:v>
      </x:c>
      <x:c r="B3528" s="3" t="str">
        <x:v>Smooth 12</x:v>
      </x:c>
      <x:c r="C3528" s="18" t="n">
        <x:v>1914270772</x:v>
      </x:c>
      <x:c r="D3528" s="3" t="str">
        <x:v>Full</x:v>
      </x:c>
      <x:c r="E3528" s="18" t="n">
        <x:v>400</x:v>
      </x:c>
      <x:c r="F3528" s="21" t="n">
        <x:v>659.2845659367454</x:v>
      </x:c>
      <x:c r="G3528" s="21" t="n">
        <x:f>F3523</x:f>
        <x:v>659.2845659367454</x:v>
      </x:c>
      <x:c r="H3528" s="21" t="n">
        <x:f>F3528</x:f>
        <x:v>659.2845659367454</x:v>
      </x:c>
      <x:c r="I3528" s="27" t="n">
        <x:f>IF(AND(ISNUMBER(G3528),ISNUMBER(H3528),H3528&gt;0),G3528/H3528-1,"")</x:f>
        <x:v>0</x:v>
      </x:c>
      <x:c r="J3528" s="27" t="n">
        <x:f>IF(AND(ISNUMBER(G3528),F3528&gt;0),G3528/F3528-1,"")</x:f>
        <x:v>0</x:v>
      </x:c>
      <x:c r="K3528" s="19" t="str">
        <x:v>Smooth_12/EXP121/results/seed1914270772_Full.json</x:v>
      </x:c>
    </x:row>
    <x:row r="3529" ht="15" hidden="0" customHeight="1">
      <x:c r="A3529" s="3" t="str">
        <x:v>EXP121</x:v>
      </x:c>
      <x:c r="B3529" s="3" t="str">
        <x:v>Smooth 12</x:v>
      </x:c>
      <x:c r="C3529" s="18" t="n">
        <x:v>1914270772</x:v>
      </x:c>
      <x:c r="D3529" s="3" t="str">
        <x:v>Relative cutoff 1e-2</x:v>
      </x:c>
      <x:c r="E3529" s="18" t="n">
        <x:v>400</x:v>
      </x:c>
      <x:c r="F3529" s="21" t="n">
        <x:v>624.047101403721</x:v>
      </x:c>
      <x:c r="G3529" s="21" t="n">
        <x:f>F3523</x:f>
        <x:v>659.2845659367454</x:v>
      </x:c>
      <x:c r="H3529" s="21" t="n">
        <x:f>F3528</x:f>
        <x:v>659.2845659367454</x:v>
      </x:c>
      <x:c r="I3529" s="27" t="n">
        <x:f>IF(AND(ISNUMBER(G3529),ISNUMBER(H3529),H3529&gt;0),G3529/H3529-1,"")</x:f>
        <x:v>0</x:v>
      </x:c>
      <x:c r="J3529" s="27" t="n">
        <x:f>IF(AND(ISNUMBER(G3529),F3529&gt;0),G3529/F3529-1,"")</x:f>
        <x:v>0.056466033499333435</x:v>
      </x:c>
      <x:c r="K3529" s="19" t="str">
        <x:v>Smooth_12/EXP121/results/seed1914270772_Relative_cutoff_1e-2.json</x:v>
      </x:c>
    </x:row>
    <x:row r="3530" ht="15" hidden="0" customHeight="1">
      <x:c r="A3530" s="3" t="str">
        <x:v>EXP121</x:v>
      </x:c>
      <x:c r="B3530" s="3" t="str">
        <x:v>Smooth 12</x:v>
      </x:c>
      <x:c r="C3530" s="18" t="n">
        <x:v>1914270772</x:v>
      </x:c>
      <x:c r="D3530" s="3" t="str">
        <x:v>Relative cutoff 1e-4</x:v>
      </x:c>
      <x:c r="E3530" s="18" t="n">
        <x:v>400</x:v>
      </x:c>
      <x:c r="F3530" s="21" t="n">
        <x:v>667.4353753050128</x:v>
      </x:c>
      <x:c r="G3530" s="21" t="n">
        <x:f>F3523</x:f>
        <x:v>659.2845659367454</x:v>
      </x:c>
      <x:c r="H3530" s="21" t="n">
        <x:f>F3528</x:f>
        <x:v>659.2845659367454</x:v>
      </x:c>
      <x:c r="I3530" s="27" t="n">
        <x:f>IF(AND(ISNUMBER(G3530),ISNUMBER(H3530),H3530&gt;0),G3530/H3530-1,"")</x:f>
        <x:v>0</x:v>
      </x:c>
      <x:c r="J3530" s="27" t="n">
        <x:f>IF(AND(ISNUMBER(G3530),F3530&gt;0),G3530/F3530-1,"")</x:f>
        <x:v>-0.012212132694558786</x:v>
      </x:c>
      <x:c r="K3530" s="19" t="str">
        <x:v>Smooth_12/EXP121/results/seed1914270772_Relative_cutoff_1e-4.json</x:v>
      </x:c>
    </x:row>
    <x:row r="3531" ht="15" hidden="0" customHeight="1">
      <x:c r="A3531" s="3" t="str">
        <x:v>EXP131</x:v>
      </x:c>
      <x:c r="B3531" s="3" t="str">
        <x:v>Smooth 3</x:v>
      </x:c>
      <x:c r="C3531" s="18" t="n">
        <x:v>7600</x:v>
      </x:c>
      <x:c r="D3531" s="3" t="str">
        <x:v>BBP</x:v>
      </x:c>
      <x:c r="E3531" s="18" t="n">
        <x:v>400</x:v>
      </x:c>
      <x:c r="F3531" s="21" t="n">
        <x:v>438.56132486004753</x:v>
      </x:c>
      <x:c r="G3531" s="21" t="n">
        <x:f>F3531</x:f>
        <x:v>438.56132486004753</x:v>
      </x:c>
      <x:c r="H3531" s="21" t="n">
        <x:f>F3536</x:f>
        <x:v>403.67576529978453</x:v>
      </x:c>
      <x:c r="I3531" s="27" t="n">
        <x:f>IF(AND(ISNUMBER(G3531),ISNUMBER(H3531),H3531&gt;0),G3531/H3531-1,"")</x:f>
        <x:v>0.08641975208582497</x:v>
      </x:c>
      <x:c r="J3531" s="27" t="n">
        <x:f>IF(AND(ISNUMBER(G3531),F3531&gt;0),G3531/F3531-1,"")</x:f>
        <x:v>0</x:v>
      </x:c>
      <x:c r="K3531" s="19" t="str">
        <x:v>Smooth_3/EXP131/results/seed7600_BBP.json</x:v>
      </x:c>
    </x:row>
    <x:row r="3532" ht="15" hidden="0" customHeight="1">
      <x:c r="A3532" s="3" t="str">
        <x:v>EXP131</x:v>
      </x:c>
      <x:c r="B3532" s="3" t="str">
        <x:v>Smooth 3</x:v>
      </x:c>
      <x:c r="C3532" s="18" t="n">
        <x:v>7600</x:v>
      </x:c>
      <x:c r="D3532" s="3" t="str">
        <x:v>Relative cutoff 1e-5</x:v>
      </x:c>
      <x:c r="E3532" s="18" t="n">
        <x:v>400</x:v>
      </x:c>
      <x:c r="F3532" s="21" t="n">
        <x:v>410.9640480372262</x:v>
      </x:c>
      <x:c r="G3532" s="21" t="n">
        <x:f>F3531</x:f>
        <x:v>438.56132486004753</x:v>
      </x:c>
      <x:c r="H3532" s="21" t="n">
        <x:f>F3536</x:f>
        <x:v>403.67576529978453</x:v>
      </x:c>
      <x:c r="I3532" s="27" t="n">
        <x:f>IF(AND(ISNUMBER(G3532),ISNUMBER(H3532),H3532&gt;0),G3532/H3532-1,"")</x:f>
        <x:v>0.08641975208582497</x:v>
      </x:c>
      <x:c r="J3532" s="27" t="n">
        <x:f>IF(AND(ISNUMBER(G3532),F3532&gt;0),G3532/F3532-1,"")</x:f>
        <x:v>0.06715253306128988</x:v>
      </x:c>
      <x:c r="K3532" s="19" t="str">
        <x:v>Smooth_3/EXP131/results/seed7600_Relative_cutoff_1e-5.json</x:v>
      </x:c>
    </x:row>
    <x:row r="3533" ht="15" hidden="0" customHeight="1">
      <x:c r="A3533" s="3" t="str">
        <x:v>EXP131</x:v>
      </x:c>
      <x:c r="B3533" s="3" t="str">
        <x:v>Smooth 3</x:v>
      </x:c>
      <x:c r="C3533" s="18" t="n">
        <x:v>7600</x:v>
      </x:c>
      <x:c r="D3533" s="3" t="str">
        <x:v>Fixed rank 10</x:v>
      </x:c>
      <x:c r="E3533" s="18" t="n">
        <x:v>400</x:v>
      </x:c>
      <x:c r="F3533" s="21" t="n">
        <x:v>412.42338782622585</x:v>
      </x:c>
      <x:c r="G3533" s="21" t="n">
        <x:f>F3531</x:f>
        <x:v>438.56132486004753</x:v>
      </x:c>
      <x:c r="H3533" s="21" t="n">
        <x:f>F3536</x:f>
        <x:v>403.67576529978453</x:v>
      </x:c>
      <x:c r="I3533" s="27" t="n">
        <x:f>IF(AND(ISNUMBER(G3533),ISNUMBER(H3533),H3533&gt;0),G3533/H3533-1,"")</x:f>
        <x:v>0.08641975208582497</x:v>
      </x:c>
      <x:c r="J3533" s="27" t="n">
        <x:f>IF(AND(ISNUMBER(G3533),F3533&gt;0),G3533/F3533-1,"")</x:f>
        <x:v>0.06337646652772966</x:v>
      </x:c>
      <x:c r="K3533" s="19" t="str">
        <x:v>Smooth_3/EXP131/results/seed7600_Fixed_rank_10.json</x:v>
      </x:c>
    </x:row>
    <x:row r="3534" ht="15" hidden="0" customHeight="1">
      <x:c r="A3534" s="3" t="str">
        <x:v>EXP131</x:v>
      </x:c>
      <x:c r="B3534" s="3" t="str">
        <x:v>Smooth 3</x:v>
      </x:c>
      <x:c r="C3534" s="18" t="n">
        <x:v>7600</x:v>
      </x:c>
      <x:c r="D3534" s="3" t="str">
        <x:v>Fixed rank 25</x:v>
      </x:c>
      <x:c r="E3534" s="18" t="n">
        <x:v>400</x:v>
      </x:c>
      <x:c r="F3534" s="21" t="n">
        <x:v>401.2296980842935</x:v>
      </x:c>
      <x:c r="G3534" s="21" t="n">
        <x:f>F3531</x:f>
        <x:v>438.56132486004753</x:v>
      </x:c>
      <x:c r="H3534" s="21" t="n">
        <x:f>F3536</x:f>
        <x:v>403.67576529978453</x:v>
      </x:c>
      <x:c r="I3534" s="27" t="n">
        <x:f>IF(AND(ISNUMBER(G3534),ISNUMBER(H3534),H3534&gt;0),G3534/H3534-1,"")</x:f>
        <x:v>0.08641975208582497</x:v>
      </x:c>
      <x:c r="J3534" s="27" t="n">
        <x:f>IF(AND(ISNUMBER(G3534),F3534&gt;0),G3534/F3534-1,"")</x:f>
        <x:v>0.09304302985047519</x:v>
      </x:c>
      <x:c r="K3534" s="19" t="str">
        <x:v>Smooth_3/EXP131/results/seed7600_Fixed_rank_25.json</x:v>
      </x:c>
    </x:row>
    <x:row r="3535" ht="15" hidden="0" customHeight="1">
      <x:c r="A3535" s="3" t="str">
        <x:v>EXP131</x:v>
      </x:c>
      <x:c r="B3535" s="3" t="str">
        <x:v>Smooth 3</x:v>
      </x:c>
      <x:c r="C3535" s="18" t="n">
        <x:v>7600</x:v>
      </x:c>
      <x:c r="D3535" s="3" t="str">
        <x:v>Relative cutoff 1e-6</x:v>
      </x:c>
      <x:c r="E3535" s="18" t="n">
        <x:v>400</x:v>
      </x:c>
      <x:c r="F3535" s="21" t="n">
        <x:v>410.9640480372262</x:v>
      </x:c>
      <x:c r="G3535" s="21" t="n">
        <x:f>F3531</x:f>
        <x:v>438.56132486004753</x:v>
      </x:c>
      <x:c r="H3535" s="21" t="n">
        <x:f>F3536</x:f>
        <x:v>403.67576529978453</x:v>
      </x:c>
      <x:c r="I3535" s="27" t="n">
        <x:f>IF(AND(ISNUMBER(G3535),ISNUMBER(H3535),H3535&gt;0),G3535/H3535-1,"")</x:f>
        <x:v>0.08641975208582497</x:v>
      </x:c>
      <x:c r="J3535" s="27" t="n">
        <x:f>IF(AND(ISNUMBER(G3535),F3535&gt;0),G3535/F3535-1,"")</x:f>
        <x:v>0.06715253306128988</x:v>
      </x:c>
      <x:c r="K3535" s="19" t="str">
        <x:v>Smooth_3/EXP131/results/seed7600_Relative_cutoff_1e-6.json</x:v>
      </x:c>
    </x:row>
    <x:row r="3536" ht="15" hidden="0" customHeight="1">
      <x:c r="A3536" s="3" t="str">
        <x:v>EXP131</x:v>
      </x:c>
      <x:c r="B3536" s="3" t="str">
        <x:v>Smooth 3</x:v>
      </x:c>
      <x:c r="C3536" s="18" t="n">
        <x:v>7600</x:v>
      </x:c>
      <x:c r="D3536" s="3" t="str">
        <x:v>Full</x:v>
      </x:c>
      <x:c r="E3536" s="18" t="n">
        <x:v>400</x:v>
      </x:c>
      <x:c r="F3536" s="21" t="n">
        <x:v>403.67576529978453</x:v>
      </x:c>
      <x:c r="G3536" s="21" t="n">
        <x:f>F3531</x:f>
        <x:v>438.56132486004753</x:v>
      </x:c>
      <x:c r="H3536" s="21" t="n">
        <x:f>F3536</x:f>
        <x:v>403.67576529978453</x:v>
      </x:c>
      <x:c r="I3536" s="27" t="n">
        <x:f>IF(AND(ISNUMBER(G3536),ISNUMBER(H3536),H3536&gt;0),G3536/H3536-1,"")</x:f>
        <x:v>0.08641975208582497</x:v>
      </x:c>
      <x:c r="J3536" s="27" t="n">
        <x:f>IF(AND(ISNUMBER(G3536),F3536&gt;0),G3536/F3536-1,"")</x:f>
        <x:v>0.08641975208582497</x:v>
      </x:c>
      <x:c r="K3536" s="19" t="str">
        <x:v>Smooth_3/EXP131/results/seed7600_Full.json</x:v>
      </x:c>
    </x:row>
    <x:row r="3537" ht="15" hidden="0" customHeight="1">
      <x:c r="A3537" s="3" t="str">
        <x:v>EXP131</x:v>
      </x:c>
      <x:c r="B3537" s="3" t="str">
        <x:v>Smooth 3</x:v>
      </x:c>
      <x:c r="C3537" s="18" t="n">
        <x:v>7600</x:v>
      </x:c>
      <x:c r="D3537" s="3" t="str">
        <x:v>Relative cutoff 1e-2</x:v>
      </x:c>
      <x:c r="E3537" s="18" t="n">
        <x:v>400</x:v>
      </x:c>
      <x:c r="F3537" s="21" t="n">
        <x:v>405.47732533466086</x:v>
      </x:c>
      <x:c r="G3537" s="21" t="n">
        <x:f>F3531</x:f>
        <x:v>438.56132486004753</x:v>
      </x:c>
      <x:c r="H3537" s="21" t="n">
        <x:f>F3536</x:f>
        <x:v>403.67576529978453</x:v>
      </x:c>
      <x:c r="I3537" s="27" t="n">
        <x:f>IF(AND(ISNUMBER(G3537),ISNUMBER(H3537),H3537&gt;0),G3537/H3537-1,"")</x:f>
        <x:v>0.08641975208582497</x:v>
      </x:c>
      <x:c r="J3537" s="27" t="n">
        <x:f>IF(AND(ISNUMBER(G3537),F3537&gt;0),G3537/F3537-1,"")</x:f>
        <x:v>0.0815927240766936</x:v>
      </x:c>
      <x:c r="K3537" s="19" t="str">
        <x:v>Smooth_3/EXP131/results/seed7600_Relative_cutoff_1e-2.json</x:v>
      </x:c>
    </x:row>
    <x:row r="3538" ht="15" hidden="0" customHeight="1">
      <x:c r="A3538" s="3" t="str">
        <x:v>EXP131</x:v>
      </x:c>
      <x:c r="B3538" s="3" t="str">
        <x:v>Smooth 3</x:v>
      </x:c>
      <x:c r="C3538" s="18" t="n">
        <x:v>7600</x:v>
      </x:c>
      <x:c r="D3538" s="3" t="str">
        <x:v>Relative cutoff 1e-4</x:v>
      </x:c>
      <x:c r="E3538" s="18" t="n">
        <x:v>400</x:v>
      </x:c>
      <x:c r="F3538" s="21" t="n">
        <x:v>402.3045165757863</x:v>
      </x:c>
      <x:c r="G3538" s="21" t="n">
        <x:f>F3531</x:f>
        <x:v>438.56132486004753</x:v>
      </x:c>
      <x:c r="H3538" s="21" t="n">
        <x:f>F3536</x:f>
        <x:v>403.67576529978453</x:v>
      </x:c>
      <x:c r="I3538" s="27" t="n">
        <x:f>IF(AND(ISNUMBER(G3538),ISNUMBER(H3538),H3538&gt;0),G3538/H3538-1,"")</x:f>
        <x:v>0.08641975208582497</x:v>
      </x:c>
      <x:c r="J3538" s="27" t="n">
        <x:f>IF(AND(ISNUMBER(G3538),F3538&gt;0),G3538/F3538-1,"")</x:f>
        <x:v>0.09012279701172865</x:v>
      </x:c>
      <x:c r="K3538" s="19" t="str">
        <x:v>Smooth_3/EXP131/results/seed7600_Relative_cutoff_1e-4.json</x:v>
      </x:c>
    </x:row>
    <x:row r="3539" ht="15" hidden="0" customHeight="1">
      <x:c r="A3539" s="3" t="str">
        <x:v>EXP131</x:v>
      </x:c>
      <x:c r="B3539" s="3" t="str">
        <x:v>Smooth 3</x:v>
      </x:c>
      <x:c r="C3539" s="18" t="n">
        <x:v>7602</x:v>
      </x:c>
      <x:c r="D3539" s="3" t="str">
        <x:v>BBP</x:v>
      </x:c>
      <x:c r="E3539" s="18" t="n">
        <x:v>400</x:v>
      </x:c>
      <x:c r="F3539" s="21" t="n">
        <x:v>443.1649882506214</x:v>
      </x:c>
      <x:c r="G3539" s="21" t="n">
        <x:f>F3539</x:f>
        <x:v>443.1649882506214</x:v>
      </x:c>
      <x:c r="H3539" s="21" t="n">
        <x:f>F3544</x:f>
        <x:v>447.90402595875725</x:v>
      </x:c>
      <x:c r="I3539" s="27" t="n">
        <x:f>IF(AND(ISNUMBER(G3539),ISNUMBER(H3539),H3539&gt;0),G3539/H3539-1,"")</x:f>
        <x:v>-0.010580475801689304</x:v>
      </x:c>
      <x:c r="J3539" s="27" t="n">
        <x:f>IF(AND(ISNUMBER(G3539),F3539&gt;0),G3539/F3539-1,"")</x:f>
        <x:v>0</x:v>
      </x:c>
      <x:c r="K3539" s="19" t="str">
        <x:v>Smooth_3/EXP131/results/seed7602_BBP.json</x:v>
      </x:c>
    </x:row>
    <x:row r="3540" ht="15" hidden="0" customHeight="1">
      <x:c r="A3540" s="3" t="str">
        <x:v>EXP131</x:v>
      </x:c>
      <x:c r="B3540" s="3" t="str">
        <x:v>Smooth 3</x:v>
      </x:c>
      <x:c r="C3540" s="18" t="n">
        <x:v>7602</x:v>
      </x:c>
      <x:c r="D3540" s="3" t="str">
        <x:v>Relative cutoff 1e-5</x:v>
      </x:c>
      <x:c r="E3540" s="18" t="n">
        <x:v>400</x:v>
      </x:c>
      <x:c r="F3540" s="21" t="n">
        <x:v>461.29178325780464</x:v>
      </x:c>
      <x:c r="G3540" s="21" t="n">
        <x:f>F3539</x:f>
        <x:v>443.1649882506214</x:v>
      </x:c>
      <x:c r="H3540" s="21" t="n">
        <x:f>F3544</x:f>
        <x:v>447.90402595875725</x:v>
      </x:c>
      <x:c r="I3540" s="27" t="n">
        <x:f>IF(AND(ISNUMBER(G3540),ISNUMBER(H3540),H3540&gt;0),G3540/H3540-1,"")</x:f>
        <x:v>-0.010580475801689304</x:v>
      </x:c>
      <x:c r="J3540" s="27" t="n">
        <x:f>IF(AND(ISNUMBER(G3540),F3540&gt;0),G3540/F3540-1,"")</x:f>
        <x:v>-0.03929572488624333</x:v>
      </x:c>
      <x:c r="K3540" s="19" t="str">
        <x:v>Smooth_3/EXP131/results/seed7602_Relative_cutoff_1e-5.json</x:v>
      </x:c>
    </x:row>
    <x:row r="3541" ht="15" hidden="0" customHeight="1">
      <x:c r="A3541" s="3" t="str">
        <x:v>EXP131</x:v>
      </x:c>
      <x:c r="B3541" s="3" t="str">
        <x:v>Smooth 3</x:v>
      </x:c>
      <x:c r="C3541" s="18" t="n">
        <x:v>7602</x:v>
      </x:c>
      <x:c r="D3541" s="3" t="str">
        <x:v>Fixed rank 10</x:v>
      </x:c>
      <x:c r="E3541" s="18" t="n">
        <x:v>400</x:v>
      </x:c>
      <x:c r="F3541" s="21" t="n">
        <x:v>470.84252262500604</x:v>
      </x:c>
      <x:c r="G3541" s="21" t="n">
        <x:f>F3539</x:f>
        <x:v>443.1649882506214</x:v>
      </x:c>
      <x:c r="H3541" s="21" t="n">
        <x:f>F3544</x:f>
        <x:v>447.90402595875725</x:v>
      </x:c>
      <x:c r="I3541" s="27" t="n">
        <x:f>IF(AND(ISNUMBER(G3541),ISNUMBER(H3541),H3541&gt;0),G3541/H3541-1,"")</x:f>
        <x:v>-0.010580475801689304</x:v>
      </x:c>
      <x:c r="J3541" s="27" t="n">
        <x:f>IF(AND(ISNUMBER(G3541),F3541&gt;0),G3541/F3541-1,"")</x:f>
        <x:v>-0.058782996531576925</x:v>
      </x:c>
      <x:c r="K3541" s="19" t="str">
        <x:v>Smooth_3/EXP131/results/seed7602_Fixed_rank_10.json</x:v>
      </x:c>
    </x:row>
    <x:row r="3542" ht="15" hidden="0" customHeight="1">
      <x:c r="A3542" s="3" t="str">
        <x:v>EXP131</x:v>
      </x:c>
      <x:c r="B3542" s="3" t="str">
        <x:v>Smooth 3</x:v>
      </x:c>
      <x:c r="C3542" s="18" t="n">
        <x:v>7602</x:v>
      </x:c>
      <x:c r="D3542" s="3" t="str">
        <x:v>Fixed rank 25</x:v>
      </x:c>
      <x:c r="E3542" s="18" t="n">
        <x:v>400</x:v>
      </x:c>
      <x:c r="F3542" s="21" t="n">
        <x:v>402.39581486442677</x:v>
      </x:c>
      <x:c r="G3542" s="21" t="n">
        <x:f>F3539</x:f>
        <x:v>443.1649882506214</x:v>
      </x:c>
      <x:c r="H3542" s="21" t="n">
        <x:f>F3544</x:f>
        <x:v>447.90402595875725</x:v>
      </x:c>
      <x:c r="I3542" s="27" t="n">
        <x:f>IF(AND(ISNUMBER(G3542),ISNUMBER(H3542),H3542&gt;0),G3542/H3542-1,"")</x:f>
        <x:v>-0.010580475801689304</x:v>
      </x:c>
      <x:c r="J3542" s="27" t="n">
        <x:f>IF(AND(ISNUMBER(G3542),F3542&gt;0),G3542/F3542-1,"")</x:f>
        <x:v>0.10131609693786303</x:v>
      </x:c>
      <x:c r="K3542" s="19" t="str">
        <x:v>Smooth_3/EXP131/results/seed7602_Fixed_rank_25.json</x:v>
      </x:c>
    </x:row>
    <x:row r="3543" ht="15" hidden="0" customHeight="1">
      <x:c r="A3543" s="3" t="str">
        <x:v>EXP131</x:v>
      </x:c>
      <x:c r="B3543" s="3" t="str">
        <x:v>Smooth 3</x:v>
      </x:c>
      <x:c r="C3543" s="18" t="n">
        <x:v>7602</x:v>
      </x:c>
      <x:c r="D3543" s="3" t="str">
        <x:v>Relative cutoff 1e-6</x:v>
      </x:c>
      <x:c r="E3543" s="18" t="n">
        <x:v>400</x:v>
      </x:c>
      <x:c r="F3543" s="21" t="n">
        <x:v>461.29178325780464</x:v>
      </x:c>
      <x:c r="G3543" s="21" t="n">
        <x:f>F3539</x:f>
        <x:v>443.1649882506214</x:v>
      </x:c>
      <x:c r="H3543" s="21" t="n">
        <x:f>F3544</x:f>
        <x:v>447.90402595875725</x:v>
      </x:c>
      <x:c r="I3543" s="27" t="n">
        <x:f>IF(AND(ISNUMBER(G3543),ISNUMBER(H3543),H3543&gt;0),G3543/H3543-1,"")</x:f>
        <x:v>-0.010580475801689304</x:v>
      </x:c>
      <x:c r="J3543" s="27" t="n">
        <x:f>IF(AND(ISNUMBER(G3543),F3543&gt;0),G3543/F3543-1,"")</x:f>
        <x:v>-0.03929572488624333</x:v>
      </x:c>
      <x:c r="K3543" s="19" t="str">
        <x:v>Smooth_3/EXP131/results/seed7602_Relative_cutoff_1e-6.json</x:v>
      </x:c>
    </x:row>
    <x:row r="3544" ht="15" hidden="0" customHeight="1">
      <x:c r="A3544" s="3" t="str">
        <x:v>EXP131</x:v>
      </x:c>
      <x:c r="B3544" s="3" t="str">
        <x:v>Smooth 3</x:v>
      </x:c>
      <x:c r="C3544" s="18" t="n">
        <x:v>7602</x:v>
      </x:c>
      <x:c r="D3544" s="3" t="str">
        <x:v>Full</x:v>
      </x:c>
      <x:c r="E3544" s="18" t="n">
        <x:v>400</x:v>
      </x:c>
      <x:c r="F3544" s="21" t="n">
        <x:v>447.90402595875725</x:v>
      </x:c>
      <x:c r="G3544" s="21" t="n">
        <x:f>F3539</x:f>
        <x:v>443.1649882506214</x:v>
      </x:c>
      <x:c r="H3544" s="21" t="n">
        <x:f>F3544</x:f>
        <x:v>447.90402595875725</x:v>
      </x:c>
      <x:c r="I3544" s="27" t="n">
        <x:f>IF(AND(ISNUMBER(G3544),ISNUMBER(H3544),H3544&gt;0),G3544/H3544-1,"")</x:f>
        <x:v>-0.010580475801689304</x:v>
      </x:c>
      <x:c r="J3544" s="27" t="n">
        <x:f>IF(AND(ISNUMBER(G3544),F3544&gt;0),G3544/F3544-1,"")</x:f>
        <x:v>-0.010580475801689304</x:v>
      </x:c>
      <x:c r="K3544" s="19" t="str">
        <x:v>Smooth_3/EXP131/results/seed7602_Full.json</x:v>
      </x:c>
    </x:row>
    <x:row r="3545" ht="15" hidden="0" customHeight="1">
      <x:c r="A3545" s="3" t="str">
        <x:v>EXP131</x:v>
      </x:c>
      <x:c r="B3545" s="3" t="str">
        <x:v>Smooth 3</x:v>
      </x:c>
      <x:c r="C3545" s="18" t="n">
        <x:v>7602</x:v>
      </x:c>
      <x:c r="D3545" s="3" t="str">
        <x:v>Relative cutoff 1e-2</x:v>
      </x:c>
      <x:c r="E3545" s="18" t="n">
        <x:v>400</x:v>
      </x:c>
      <x:c r="F3545" s="21" t="n">
        <x:v>441.58475601996327</x:v>
      </x:c>
      <x:c r="G3545" s="21" t="n">
        <x:f>F3539</x:f>
        <x:v>443.1649882506214</x:v>
      </x:c>
      <x:c r="H3545" s="21" t="n">
        <x:f>F3544</x:f>
        <x:v>447.90402595875725</x:v>
      </x:c>
      <x:c r="I3545" s="27" t="n">
        <x:f>IF(AND(ISNUMBER(G3545),ISNUMBER(H3545),H3545&gt;0),G3545/H3545-1,"")</x:f>
        <x:v>-0.010580475801689304</x:v>
      </x:c>
      <x:c r="J3545" s="27" t="n">
        <x:f>IF(AND(ISNUMBER(G3545),F3545&gt;0),G3545/F3545-1,"")</x:f>
        <x:v>0.0035785479664218744</x:v>
      </x:c>
      <x:c r="K3545" s="19" t="str">
        <x:v>Smooth_3/EXP131/results/seed7602_Relative_cutoff_1e-2.json</x:v>
      </x:c>
    </x:row>
    <x:row r="3546" ht="15" hidden="0" customHeight="1">
      <x:c r="A3546" s="3" t="str">
        <x:v>EXP131</x:v>
      </x:c>
      <x:c r="B3546" s="3" t="str">
        <x:v>Smooth 3</x:v>
      </x:c>
      <x:c r="C3546" s="18" t="n">
        <x:v>7602</x:v>
      </x:c>
      <x:c r="D3546" s="3" t="str">
        <x:v>Relative cutoff 1e-4</x:v>
      </x:c>
      <x:c r="E3546" s="18" t="n">
        <x:v>400</x:v>
      </x:c>
      <x:c r="F3546" s="21" t="n">
        <x:v>430.5048940901274</x:v>
      </x:c>
      <x:c r="G3546" s="21" t="n">
        <x:f>F3539</x:f>
        <x:v>443.1649882506214</x:v>
      </x:c>
      <x:c r="H3546" s="21" t="n">
        <x:f>F3544</x:f>
        <x:v>447.90402595875725</x:v>
      </x:c>
      <x:c r="I3546" s="27" t="n">
        <x:f>IF(AND(ISNUMBER(G3546),ISNUMBER(H3546),H3546&gt;0),G3546/H3546-1,"")</x:f>
        <x:v>-0.010580475801689304</x:v>
      </x:c>
      <x:c r="J3546" s="27" t="n">
        <x:f>IF(AND(ISNUMBER(G3546),F3546&gt;0),G3546/F3546-1,"")</x:f>
        <x:v>0.029407549912414233</x:v>
      </x:c>
      <x:c r="K3546" s="19" t="str">
        <x:v>Smooth_3/EXP131/results/seed7602_Relative_cutoff_1e-4.json</x:v>
      </x:c>
    </x:row>
    <x:row r="3547" ht="15" hidden="0" customHeight="1">
      <x:c r="A3547" s="3" t="str">
        <x:v>EXP131</x:v>
      </x:c>
      <x:c r="B3547" s="3" t="str">
        <x:v>Smooth 3</x:v>
      </x:c>
      <x:c r="C3547" s="18" t="n">
        <x:v>7603</x:v>
      </x:c>
      <x:c r="D3547" s="3" t="str">
        <x:v>BBP</x:v>
      </x:c>
      <x:c r="E3547" s="18" t="n">
        <x:v>400</x:v>
      </x:c>
      <x:c r="F3547" s="21" t="n">
        <x:v>425.4257269904839</x:v>
      </x:c>
      <x:c r="G3547" s="21" t="n">
        <x:f>F3547</x:f>
        <x:v>425.4257269904839</x:v>
      </x:c>
      <x:c r="H3547" s="21" t="n">
        <x:f>F3552</x:f>
        <x:v>437.93246827277414</x:v>
      </x:c>
      <x:c r="I3547" s="27" t="n">
        <x:f>IF(AND(ISNUMBER(G3547),ISNUMBER(H3547),H3547&gt;0),G3547/H3547-1,"")</x:f>
        <x:v>-0.028558607064731678</x:v>
      </x:c>
      <x:c r="J3547" s="27" t="n">
        <x:f>IF(AND(ISNUMBER(G3547),F3547&gt;0),G3547/F3547-1,"")</x:f>
        <x:v>0</x:v>
      </x:c>
      <x:c r="K3547" s="19" t="str">
        <x:v>Smooth_3/EXP131/results/seed7603_BBP.json</x:v>
      </x:c>
    </x:row>
    <x:row r="3548" ht="15" hidden="0" customHeight="1">
      <x:c r="A3548" s="3" t="str">
        <x:v>EXP131</x:v>
      </x:c>
      <x:c r="B3548" s="3" t="str">
        <x:v>Smooth 3</x:v>
      </x:c>
      <x:c r="C3548" s="18" t="n">
        <x:v>7603</x:v>
      </x:c>
      <x:c r="D3548" s="3" t="str">
        <x:v>Relative cutoff 1e-5</x:v>
      </x:c>
      <x:c r="E3548" s="18" t="n">
        <x:v>400</x:v>
      </x:c>
      <x:c r="F3548" s="21" t="n">
        <x:v>431.9413560056451</x:v>
      </x:c>
      <x:c r="G3548" s="21" t="n">
        <x:f>F3547</x:f>
        <x:v>425.4257269904839</x:v>
      </x:c>
      <x:c r="H3548" s="21" t="n">
        <x:f>F3552</x:f>
        <x:v>437.93246827277414</x:v>
      </x:c>
      <x:c r="I3548" s="27" t="n">
        <x:f>IF(AND(ISNUMBER(G3548),ISNUMBER(H3548),H3548&gt;0),G3548/H3548-1,"")</x:f>
        <x:v>-0.028558607064731678</x:v>
      </x:c>
      <x:c r="J3548" s="27" t="n">
        <x:f>IF(AND(ISNUMBER(G3548),F3548&gt;0),G3548/F3548-1,"")</x:f>
        <x:v>-0.01508452229583701</x:v>
      </x:c>
      <x:c r="K3548" s="19" t="str">
        <x:v>Smooth_3/EXP131/results/seed7603_Relative_cutoff_1e-5.json</x:v>
      </x:c>
    </x:row>
    <x:row r="3549" ht="15" hidden="0" customHeight="1">
      <x:c r="A3549" s="3" t="str">
        <x:v>EXP131</x:v>
      </x:c>
      <x:c r="B3549" s="3" t="str">
        <x:v>Smooth 3</x:v>
      </x:c>
      <x:c r="C3549" s="18" t="n">
        <x:v>7603</x:v>
      </x:c>
      <x:c r="D3549" s="3" t="str">
        <x:v>Fixed rank 10</x:v>
      </x:c>
      <x:c r="E3549" s="18" t="n">
        <x:v>400</x:v>
      </x:c>
      <x:c r="F3549" s="21" t="n">
        <x:v>434.2022863551638</x:v>
      </x:c>
      <x:c r="G3549" s="21" t="n">
        <x:f>F3547</x:f>
        <x:v>425.4257269904839</x:v>
      </x:c>
      <x:c r="H3549" s="21" t="n">
        <x:f>F3552</x:f>
        <x:v>437.93246827277414</x:v>
      </x:c>
      <x:c r="I3549" s="27" t="n">
        <x:f>IF(AND(ISNUMBER(G3549),ISNUMBER(H3549),H3549&gt;0),G3549/H3549-1,"")</x:f>
        <x:v>-0.028558607064731678</x:v>
      </x:c>
      <x:c r="J3549" s="27" t="n">
        <x:f>IF(AND(ISNUMBER(G3549),F3549&gt;0),G3549/F3549-1,"")</x:f>
        <x:v>-0.02021306575410553</x:v>
      </x:c>
      <x:c r="K3549" s="19" t="str">
        <x:v>Smooth_3/EXP131/results/seed7603_Fixed_rank_10.json</x:v>
      </x:c>
    </x:row>
    <x:row r="3550" ht="15" hidden="0" customHeight="1">
      <x:c r="A3550" s="3" t="str">
        <x:v>EXP131</x:v>
      </x:c>
      <x:c r="B3550" s="3" t="str">
        <x:v>Smooth 3</x:v>
      </x:c>
      <x:c r="C3550" s="18" t="n">
        <x:v>7603</x:v>
      </x:c>
      <x:c r="D3550" s="3" t="str">
        <x:v>Fixed rank 25</x:v>
      </x:c>
      <x:c r="E3550" s="18" t="n">
        <x:v>400</x:v>
      </x:c>
      <x:c r="F3550" s="21" t="n">
        <x:v>425.4257269904839</x:v>
      </x:c>
      <x:c r="G3550" s="21" t="n">
        <x:f>F3547</x:f>
        <x:v>425.4257269904839</x:v>
      </x:c>
      <x:c r="H3550" s="21" t="n">
        <x:f>F3552</x:f>
        <x:v>437.93246827277414</x:v>
      </x:c>
      <x:c r="I3550" s="27" t="n">
        <x:f>IF(AND(ISNUMBER(G3550),ISNUMBER(H3550),H3550&gt;0),G3550/H3550-1,"")</x:f>
        <x:v>-0.028558607064731678</x:v>
      </x:c>
      <x:c r="J3550" s="27" t="n">
        <x:f>IF(AND(ISNUMBER(G3550),F3550&gt;0),G3550/F3550-1,"")</x:f>
        <x:v>0</x:v>
      </x:c>
      <x:c r="K3550" s="19" t="str">
        <x:v>Smooth_3/EXP131/results/seed7603_Fixed_rank_25.json</x:v>
      </x:c>
    </x:row>
    <x:row r="3551" ht="15" hidden="0" customHeight="1">
      <x:c r="A3551" s="3" t="str">
        <x:v>EXP131</x:v>
      </x:c>
      <x:c r="B3551" s="3" t="str">
        <x:v>Smooth 3</x:v>
      </x:c>
      <x:c r="C3551" s="18" t="n">
        <x:v>7603</x:v>
      </x:c>
      <x:c r="D3551" s="3" t="str">
        <x:v>Relative cutoff 1e-6</x:v>
      </x:c>
      <x:c r="E3551" s="18" t="n">
        <x:v>400</x:v>
      </x:c>
      <x:c r="F3551" s="21" t="n">
        <x:v>437.93246827277414</x:v>
      </x:c>
      <x:c r="G3551" s="21" t="n">
        <x:f>F3547</x:f>
        <x:v>425.4257269904839</x:v>
      </x:c>
      <x:c r="H3551" s="21" t="n">
        <x:f>F3552</x:f>
        <x:v>437.93246827277414</x:v>
      </x:c>
      <x:c r="I3551" s="27" t="n">
        <x:f>IF(AND(ISNUMBER(G3551),ISNUMBER(H3551),H3551&gt;0),G3551/H3551-1,"")</x:f>
        <x:v>-0.028558607064731678</x:v>
      </x:c>
      <x:c r="J3551" s="27" t="n">
        <x:f>IF(AND(ISNUMBER(G3551),F3551&gt;0),G3551/F3551-1,"")</x:f>
        <x:v>-0.028558607064731678</x:v>
      </x:c>
      <x:c r="K3551" s="19" t="str">
        <x:v>Smooth_3/EXP131/results/seed7603_Relative_cutoff_1e-6.json</x:v>
      </x:c>
    </x:row>
    <x:row r="3552" ht="15" hidden="0" customHeight="1">
      <x:c r="A3552" s="3" t="str">
        <x:v>EXP131</x:v>
      </x:c>
      <x:c r="B3552" s="3" t="str">
        <x:v>Smooth 3</x:v>
      </x:c>
      <x:c r="C3552" s="18" t="n">
        <x:v>7603</x:v>
      </x:c>
      <x:c r="D3552" s="3" t="str">
        <x:v>Full</x:v>
      </x:c>
      <x:c r="E3552" s="18" t="n">
        <x:v>400</x:v>
      </x:c>
      <x:c r="F3552" s="21" t="n">
        <x:v>437.93246827277414</x:v>
      </x:c>
      <x:c r="G3552" s="21" t="n">
        <x:f>F3547</x:f>
        <x:v>425.4257269904839</x:v>
      </x:c>
      <x:c r="H3552" s="21" t="n">
        <x:f>F3552</x:f>
        <x:v>437.93246827277414</x:v>
      </x:c>
      <x:c r="I3552" s="27" t="n">
        <x:f>IF(AND(ISNUMBER(G3552),ISNUMBER(H3552),H3552&gt;0),G3552/H3552-1,"")</x:f>
        <x:v>-0.028558607064731678</x:v>
      </x:c>
      <x:c r="J3552" s="27" t="n">
        <x:f>IF(AND(ISNUMBER(G3552),F3552&gt;0),G3552/F3552-1,"")</x:f>
        <x:v>-0.028558607064731678</x:v>
      </x:c>
      <x:c r="K3552" s="19" t="str">
        <x:v>Smooth_3/EXP131/results/seed7603_Full.json</x:v>
      </x:c>
    </x:row>
    <x:row r="3553" ht="15" hidden="0" customHeight="1">
      <x:c r="A3553" s="3" t="str">
        <x:v>EXP131</x:v>
      </x:c>
      <x:c r="B3553" s="3" t="str">
        <x:v>Smooth 3</x:v>
      </x:c>
      <x:c r="C3553" s="18" t="n">
        <x:v>7603</x:v>
      </x:c>
      <x:c r="D3553" s="3" t="str">
        <x:v>Relative cutoff 1e-2</x:v>
      </x:c>
      <x:c r="E3553" s="18" t="n">
        <x:v>400</x:v>
      </x:c>
      <x:c r="F3553" s="21" t="n">
        <x:v>473.03808851232225</x:v>
      </x:c>
      <x:c r="G3553" s="21" t="n">
        <x:f>F3547</x:f>
        <x:v>425.4257269904839</x:v>
      </x:c>
      <x:c r="H3553" s="21" t="n">
        <x:f>F3552</x:f>
        <x:v>437.93246827277414</x:v>
      </x:c>
      <x:c r="I3553" s="27" t="n">
        <x:f>IF(AND(ISNUMBER(G3553),ISNUMBER(H3553),H3553&gt;0),G3553/H3553-1,"")</x:f>
        <x:v>-0.028558607064731678</x:v>
      </x:c>
      <x:c r="J3553" s="27" t="n">
        <x:f>IF(AND(ISNUMBER(G3553),F3553&gt;0),G3553/F3553-1,"")</x:f>
        <x:v>-0.10065227870249627</x:v>
      </x:c>
      <x:c r="K3553" s="19" t="str">
        <x:v>Smooth_3/EXP131/results/seed7603_Relative_cutoff_1e-2.json</x:v>
      </x:c>
    </x:row>
    <x:row r="3554" ht="15" hidden="0" customHeight="1">
      <x:c r="A3554" s="3" t="str">
        <x:v>EXP131</x:v>
      </x:c>
      <x:c r="B3554" s="3" t="str">
        <x:v>Smooth 3</x:v>
      </x:c>
      <x:c r="C3554" s="18" t="n">
        <x:v>7603</x:v>
      </x:c>
      <x:c r="D3554" s="3" t="str">
        <x:v>Relative cutoff 1e-4</x:v>
      </x:c>
      <x:c r="E3554" s="18" t="n">
        <x:v>400</x:v>
      </x:c>
      <x:c r="F3554" s="21" t="n">
        <x:v>421.01588994765723</x:v>
      </x:c>
      <x:c r="G3554" s="21" t="n">
        <x:f>F3547</x:f>
        <x:v>425.4257269904839</x:v>
      </x:c>
      <x:c r="H3554" s="21" t="n">
        <x:f>F3552</x:f>
        <x:v>437.93246827277414</x:v>
      </x:c>
      <x:c r="I3554" s="27" t="n">
        <x:f>IF(AND(ISNUMBER(G3554),ISNUMBER(H3554),H3554&gt;0),G3554/H3554-1,"")</x:f>
        <x:v>-0.028558607064731678</x:v>
      </x:c>
      <x:c r="J3554" s="27" t="n">
        <x:f>IF(AND(ISNUMBER(G3554),F3554&gt;0),G3554/F3554-1,"")</x:f>
        <x:v>0.01047427697651715</x:v>
      </x:c>
      <x:c r="K3554" s="19" t="str">
        <x:v>Smooth_3/EXP131/results/seed7603_Relative_cutoff_1e-4.json</x:v>
      </x:c>
    </x:row>
    <x:row r="3555" ht="15" hidden="0" customHeight="1">
      <x:c r="A3555" s="3" t="str">
        <x:v>EXP131</x:v>
      </x:c>
      <x:c r="B3555" s="3" t="str">
        <x:v>Smooth 3</x:v>
      </x:c>
      <x:c r="C3555" s="18" t="n">
        <x:v>7604</x:v>
      </x:c>
      <x:c r="D3555" s="3" t="str">
        <x:v>BBP</x:v>
      </x:c>
      <x:c r="E3555" s="18" t="n">
        <x:v>400</x:v>
      </x:c>
      <x:c r="F3555" s="21" t="n">
        <x:v>431.11994198029726</x:v>
      </x:c>
      <x:c r="G3555" s="21" t="n">
        <x:f>F3555</x:f>
        <x:v>431.11994198029726</x:v>
      </x:c>
      <x:c r="H3555" s="21" t="n">
        <x:f>F3560</x:f>
        <x:v>430.53625578615186</x:v>
      </x:c>
      <x:c r="I3555" s="27" t="n">
        <x:f>IF(AND(ISNUMBER(G3555),ISNUMBER(H3555),H3555&gt;0),G3555/H3555-1,"")</x:f>
        <x:v>0.0013557190278425946</x:v>
      </x:c>
      <x:c r="J3555" s="27" t="n">
        <x:f>IF(AND(ISNUMBER(G3555),F3555&gt;0),G3555/F3555-1,"")</x:f>
        <x:v>0</x:v>
      </x:c>
      <x:c r="K3555" s="19" t="str">
        <x:v>Smooth_3/EXP131/results/seed7604_BBP.json</x:v>
      </x:c>
    </x:row>
    <x:row r="3556" ht="15" hidden="0" customHeight="1">
      <x:c r="A3556" s="3" t="str">
        <x:v>EXP131</x:v>
      </x:c>
      <x:c r="B3556" s="3" t="str">
        <x:v>Smooth 3</x:v>
      </x:c>
      <x:c r="C3556" s="18" t="n">
        <x:v>7604</x:v>
      </x:c>
      <x:c r="D3556" s="3" t="str">
        <x:v>Relative cutoff 1e-5</x:v>
      </x:c>
      <x:c r="E3556" s="18" t="n">
        <x:v>400</x:v>
      </x:c>
      <x:c r="F3556" s="21" t="n">
        <x:v>427.66463839813645</x:v>
      </x:c>
      <x:c r="G3556" s="21" t="n">
        <x:f>F3555</x:f>
        <x:v>431.11994198029726</x:v>
      </x:c>
      <x:c r="H3556" s="21" t="n">
        <x:f>F3560</x:f>
        <x:v>430.53625578615186</x:v>
      </x:c>
      <x:c r="I3556" s="27" t="n">
        <x:f>IF(AND(ISNUMBER(G3556),ISNUMBER(H3556),H3556&gt;0),G3556/H3556-1,"")</x:f>
        <x:v>0.0013557190278425946</x:v>
      </x:c>
      <x:c r="J3556" s="27" t="n">
        <x:f>IF(AND(ISNUMBER(G3556),F3556&gt;0),G3556/F3556-1,"")</x:f>
        <x:v>0.008079469920877713</x:v>
      </x:c>
      <x:c r="K3556" s="19" t="str">
        <x:v>Smooth_3/EXP131/results/seed7604_Relative_cutoff_1e-5.json</x:v>
      </x:c>
    </x:row>
    <x:row r="3557" ht="15" hidden="0" customHeight="1">
      <x:c r="A3557" s="3" t="str">
        <x:v>EXP131</x:v>
      </x:c>
      <x:c r="B3557" s="3" t="str">
        <x:v>Smooth 3</x:v>
      </x:c>
      <x:c r="C3557" s="18" t="n">
        <x:v>7604</x:v>
      </x:c>
      <x:c r="D3557" s="3" t="str">
        <x:v>Fixed rank 10</x:v>
      </x:c>
      <x:c r="E3557" s="18" t="n">
        <x:v>400</x:v>
      </x:c>
      <x:c r="F3557" s="21" t="n">
        <x:v>412.7247310429722</x:v>
      </x:c>
      <x:c r="G3557" s="21" t="n">
        <x:f>F3555</x:f>
        <x:v>431.11994198029726</x:v>
      </x:c>
      <x:c r="H3557" s="21" t="n">
        <x:f>F3560</x:f>
        <x:v>430.53625578615186</x:v>
      </x:c>
      <x:c r="I3557" s="27" t="n">
        <x:f>IF(AND(ISNUMBER(G3557),ISNUMBER(H3557),H3557&gt;0),G3557/H3557-1,"")</x:f>
        <x:v>0.0013557190278425946</x:v>
      </x:c>
      <x:c r="J3557" s="27" t="n">
        <x:f>IF(AND(ISNUMBER(G3557),F3557&gt;0),G3557/F3557-1,"")</x:f>
        <x:v>0.04457016881648834</x:v>
      </x:c>
      <x:c r="K3557" s="19" t="str">
        <x:v>Smooth_3/EXP131/results/seed7604_Fixed_rank_10.json</x:v>
      </x:c>
    </x:row>
    <x:row r="3558" ht="15" hidden="0" customHeight="1">
      <x:c r="A3558" s="3" t="str">
        <x:v>EXP131</x:v>
      </x:c>
      <x:c r="B3558" s="3" t="str">
        <x:v>Smooth 3</x:v>
      </x:c>
      <x:c r="C3558" s="18" t="n">
        <x:v>7604</x:v>
      </x:c>
      <x:c r="D3558" s="3" t="str">
        <x:v>Fixed rank 25</x:v>
      </x:c>
      <x:c r="E3558" s="18" t="n">
        <x:v>400</x:v>
      </x:c>
      <x:c r="F3558" s="21" t="n">
        <x:v>431.11994198029726</x:v>
      </x:c>
      <x:c r="G3558" s="21" t="n">
        <x:f>F3555</x:f>
        <x:v>431.11994198029726</x:v>
      </x:c>
      <x:c r="H3558" s="21" t="n">
        <x:f>F3560</x:f>
        <x:v>430.53625578615186</x:v>
      </x:c>
      <x:c r="I3558" s="27" t="n">
        <x:f>IF(AND(ISNUMBER(G3558),ISNUMBER(H3558),H3558&gt;0),G3558/H3558-1,"")</x:f>
        <x:v>0.0013557190278425946</x:v>
      </x:c>
      <x:c r="J3558" s="27" t="n">
        <x:f>IF(AND(ISNUMBER(G3558),F3558&gt;0),G3558/F3558-1,"")</x:f>
        <x:v>0</x:v>
      </x:c>
      <x:c r="K3558" s="19" t="str">
        <x:v>Smooth_3/EXP131/results/seed7604_Fixed_rank_25.json</x:v>
      </x:c>
    </x:row>
    <x:row r="3559" ht="15" hidden="0" customHeight="1">
      <x:c r="A3559" s="3" t="str">
        <x:v>EXP131</x:v>
      </x:c>
      <x:c r="B3559" s="3" t="str">
        <x:v>Smooth 3</x:v>
      </x:c>
      <x:c r="C3559" s="18" t="n">
        <x:v>7604</x:v>
      </x:c>
      <x:c r="D3559" s="3" t="str">
        <x:v>Relative cutoff 1e-6</x:v>
      </x:c>
      <x:c r="E3559" s="18" t="n">
        <x:v>400</x:v>
      </x:c>
      <x:c r="F3559" s="21" t="n">
        <x:v>423.9603926461857</x:v>
      </x:c>
      <x:c r="G3559" s="21" t="n">
        <x:f>F3555</x:f>
        <x:v>431.11994198029726</x:v>
      </x:c>
      <x:c r="H3559" s="21" t="n">
        <x:f>F3560</x:f>
        <x:v>430.53625578615186</x:v>
      </x:c>
      <x:c r="I3559" s="27" t="n">
        <x:f>IF(AND(ISNUMBER(G3559),ISNUMBER(H3559),H3559&gt;0),G3559/H3559-1,"")</x:f>
        <x:v>0.0013557190278425946</x:v>
      </x:c>
      <x:c r="J3559" s="27" t="n">
        <x:f>IF(AND(ISNUMBER(G3559),F3559&gt;0),G3559/F3559-1,"")</x:f>
        <x:v>0.016887307065229784</x:v>
      </x:c>
      <x:c r="K3559" s="19" t="str">
        <x:v>Smooth_3/EXP131/results/seed7604_Relative_cutoff_1e-6.json</x:v>
      </x:c>
    </x:row>
    <x:row r="3560" ht="15" hidden="0" customHeight="1">
      <x:c r="A3560" s="3" t="str">
        <x:v>EXP131</x:v>
      </x:c>
      <x:c r="B3560" s="3" t="str">
        <x:v>Smooth 3</x:v>
      </x:c>
      <x:c r="C3560" s="18" t="n">
        <x:v>7604</x:v>
      </x:c>
      <x:c r="D3560" s="3" t="str">
        <x:v>Full</x:v>
      </x:c>
      <x:c r="E3560" s="18" t="n">
        <x:v>400</x:v>
      </x:c>
      <x:c r="F3560" s="21" t="n">
        <x:v>430.53625578615186</x:v>
      </x:c>
      <x:c r="G3560" s="21" t="n">
        <x:f>F3555</x:f>
        <x:v>431.11994198029726</x:v>
      </x:c>
      <x:c r="H3560" s="21" t="n">
        <x:f>F3560</x:f>
        <x:v>430.53625578615186</x:v>
      </x:c>
      <x:c r="I3560" s="27" t="n">
        <x:f>IF(AND(ISNUMBER(G3560),ISNUMBER(H3560),H3560&gt;0),G3560/H3560-1,"")</x:f>
        <x:v>0.0013557190278425946</x:v>
      </x:c>
      <x:c r="J3560" s="27" t="n">
        <x:f>IF(AND(ISNUMBER(G3560),F3560&gt;0),G3560/F3560-1,"")</x:f>
        <x:v>0.0013557190278425946</x:v>
      </x:c>
      <x:c r="K3560" s="19" t="str">
        <x:v>Smooth_3/EXP131/results/seed7604_Full.json</x:v>
      </x:c>
    </x:row>
    <x:row r="3561" ht="15" hidden="0" customHeight="1">
      <x:c r="A3561" s="3" t="str">
        <x:v>EXP131</x:v>
      </x:c>
      <x:c r="B3561" s="3" t="str">
        <x:v>Smooth 3</x:v>
      </x:c>
      <x:c r="C3561" s="18" t="n">
        <x:v>7604</x:v>
      </x:c>
      <x:c r="D3561" s="3" t="str">
        <x:v>Relative cutoff 1e-2</x:v>
      </x:c>
      <x:c r="E3561" s="18" t="n">
        <x:v>400</x:v>
      </x:c>
      <x:c r="F3561" s="21" t="n">
        <x:v>387.4293025083571</x:v>
      </x:c>
      <x:c r="G3561" s="21" t="n">
        <x:f>F3555</x:f>
        <x:v>431.11994198029726</x:v>
      </x:c>
      <x:c r="H3561" s="21" t="n">
        <x:f>F3560</x:f>
        <x:v>430.53625578615186</x:v>
      </x:c>
      <x:c r="I3561" s="27" t="n">
        <x:f>IF(AND(ISNUMBER(G3561),ISNUMBER(H3561),H3561&gt;0),G3561/H3561-1,"")</x:f>
        <x:v>0.0013557190278425946</x:v>
      </x:c>
      <x:c r="J3561" s="27" t="n">
        <x:f>IF(AND(ISNUMBER(G3561),F3561&gt;0),G3561/F3561-1,"")</x:f>
        <x:v>0.11277061179696823</x:v>
      </x:c>
      <x:c r="K3561" s="19" t="str">
        <x:v>Smooth_3/EXP131/results/seed7604_Relative_cutoff_1e-2.json</x:v>
      </x:c>
    </x:row>
    <x:row r="3562" ht="15" hidden="0" customHeight="1">
      <x:c r="A3562" s="3" t="str">
        <x:v>EXP131</x:v>
      </x:c>
      <x:c r="B3562" s="3" t="str">
        <x:v>Smooth 3</x:v>
      </x:c>
      <x:c r="C3562" s="18" t="n">
        <x:v>7604</x:v>
      </x:c>
      <x:c r="D3562" s="3" t="str">
        <x:v>Relative cutoff 1e-4</x:v>
      </x:c>
      <x:c r="E3562" s="18" t="n">
        <x:v>400</x:v>
      </x:c>
      <x:c r="F3562" s="21" t="n">
        <x:v>435.1971506941075</x:v>
      </x:c>
      <x:c r="G3562" s="21" t="n">
        <x:f>F3555</x:f>
        <x:v>431.11994198029726</x:v>
      </x:c>
      <x:c r="H3562" s="21" t="n">
        <x:f>F3560</x:f>
        <x:v>430.53625578615186</x:v>
      </x:c>
      <x:c r="I3562" s="27" t="n">
        <x:f>IF(AND(ISNUMBER(G3562),ISNUMBER(H3562),H3562&gt;0),G3562/H3562-1,"")</x:f>
        <x:v>0.0013557190278425946</x:v>
      </x:c>
      <x:c r="J3562" s="27" t="n">
        <x:f>IF(AND(ISNUMBER(G3562),F3562&gt;0),G3562/F3562-1,"")</x:f>
        <x:v>-0.00936864753665645</x:v>
      </x:c>
      <x:c r="K3562" s="19" t="str">
        <x:v>Smooth_3/EXP131/results/seed7604_Relative_cutoff_1e-4.json</x:v>
      </x:c>
    </x:row>
    <x:row r="3563" ht="15" hidden="0" customHeight="1">
      <x:c r="A3563" s="3" t="str">
        <x:v>EXP131</x:v>
      </x:c>
      <x:c r="B3563" s="3" t="str">
        <x:v>Smooth 3</x:v>
      </x:c>
      <x:c r="C3563" s="18" t="n">
        <x:v>174934167</x:v>
      </x:c>
      <x:c r="D3563" s="3" t="str">
        <x:v>BBP</x:v>
      </x:c>
      <x:c r="E3563" s="18" t="n">
        <x:v>400</x:v>
      </x:c>
      <x:c r="F3563" s="21" t="n">
        <x:v>579.5469554516712</x:v>
      </x:c>
      <x:c r="G3563" s="21" t="n">
        <x:f>F3563</x:f>
        <x:v>579.5469554516712</x:v>
      </x:c>
      <x:c r="H3563" s="21" t="n">
        <x:f>F3568</x:f>
        <x:v>592.6077039561031</x:v>
      </x:c>
      <x:c r="I3563" s="27" t="n">
        <x:f>IF(AND(ISNUMBER(G3563),ISNUMBER(H3563),H3563&gt;0),G3563/H3563-1,"")</x:f>
        <x:v>-0.022039451085839046</x:v>
      </x:c>
      <x:c r="J3563" s="27" t="n">
        <x:f>IF(AND(ISNUMBER(G3563),F3563&gt;0),G3563/F3563-1,"")</x:f>
        <x:v>0</x:v>
      </x:c>
      <x:c r="K3563" s="19" t="str">
        <x:v>Smooth_3/EXP131/results/seed174934167_BBP.json</x:v>
      </x:c>
    </x:row>
    <x:row r="3564" ht="15" hidden="0" customHeight="1">
      <x:c r="A3564" s="3" t="str">
        <x:v>EXP131</x:v>
      </x:c>
      <x:c r="B3564" s="3" t="str">
        <x:v>Smooth 3</x:v>
      </x:c>
      <x:c r="C3564" s="18" t="n">
        <x:v>174934167</x:v>
      </x:c>
      <x:c r="D3564" s="3" t="str">
        <x:v>Relative cutoff 1e-5</x:v>
      </x:c>
      <x:c r="E3564" s="18" t="n">
        <x:v>400</x:v>
      </x:c>
      <x:c r="F3564" s="21" t="n">
        <x:v>579.5469554516712</x:v>
      </x:c>
      <x:c r="G3564" s="21" t="n">
        <x:f>F3563</x:f>
        <x:v>579.5469554516712</x:v>
      </x:c>
      <x:c r="H3564" s="21" t="n">
        <x:f>F3568</x:f>
        <x:v>592.6077039561031</x:v>
      </x:c>
      <x:c r="I3564" s="27" t="n">
        <x:f>IF(AND(ISNUMBER(G3564),ISNUMBER(H3564),H3564&gt;0),G3564/H3564-1,"")</x:f>
        <x:v>-0.022039451085839046</x:v>
      </x:c>
      <x:c r="J3564" s="27" t="n">
        <x:f>IF(AND(ISNUMBER(G3564),F3564&gt;0),G3564/F3564-1,"")</x:f>
        <x:v>0</x:v>
      </x:c>
      <x:c r="K3564" s="19" t="str">
        <x:v>Smooth_3/EXP131/results/seed174934167_Relative_cutoff_1e-5.json</x:v>
      </x:c>
    </x:row>
    <x:row r="3565" ht="15" hidden="0" customHeight="1">
      <x:c r="A3565" s="3" t="str">
        <x:v>EXP131</x:v>
      </x:c>
      <x:c r="B3565" s="3" t="str">
        <x:v>Smooth 3</x:v>
      </x:c>
      <x:c r="C3565" s="18" t="n">
        <x:v>174934167</x:v>
      </x:c>
      <x:c r="D3565" s="3" t="str">
        <x:v>Fixed rank 10</x:v>
      </x:c>
      <x:c r="E3565" s="18" t="n">
        <x:v>400</x:v>
      </x:c>
      <x:c r="F3565" s="21" t="n">
        <x:v>560.9235386562025</x:v>
      </x:c>
      <x:c r="G3565" s="21" t="n">
        <x:f>F3563</x:f>
        <x:v>579.5469554516712</x:v>
      </x:c>
      <x:c r="H3565" s="21" t="n">
        <x:f>F3568</x:f>
        <x:v>592.6077039561031</x:v>
      </x:c>
      <x:c r="I3565" s="27" t="n">
        <x:f>IF(AND(ISNUMBER(G3565),ISNUMBER(H3565),H3565&gt;0),G3565/H3565-1,"")</x:f>
        <x:v>-0.022039451085839046</x:v>
      </x:c>
      <x:c r="J3565" s="27" t="n">
        <x:f>IF(AND(ISNUMBER(G3565),F3565&gt;0),G3565/F3565-1,"")</x:f>
        <x:v>0.03320134655087692</x:v>
      </x:c>
      <x:c r="K3565" s="19" t="str">
        <x:v>Smooth_3/EXP131/results/seed174934167_Fixed_rank_10.json</x:v>
      </x:c>
    </x:row>
    <x:row r="3566" ht="15" hidden="0" customHeight="1">
      <x:c r="A3566" s="3" t="str">
        <x:v>EXP131</x:v>
      </x:c>
      <x:c r="B3566" s="3" t="str">
        <x:v>Smooth 3</x:v>
      </x:c>
      <x:c r="C3566" s="18" t="n">
        <x:v>174934167</x:v>
      </x:c>
      <x:c r="D3566" s="3" t="str">
        <x:v>Fixed rank 25</x:v>
      </x:c>
      <x:c r="E3566" s="18" t="n">
        <x:v>400</x:v>
      </x:c>
      <x:c r="F3566" s="21" t="n">
        <x:v>579.5469554516712</x:v>
      </x:c>
      <x:c r="G3566" s="21" t="n">
        <x:f>F3563</x:f>
        <x:v>579.5469554516712</x:v>
      </x:c>
      <x:c r="H3566" s="21" t="n">
        <x:f>F3568</x:f>
        <x:v>592.6077039561031</x:v>
      </x:c>
      <x:c r="I3566" s="27" t="n">
        <x:f>IF(AND(ISNUMBER(G3566),ISNUMBER(H3566),H3566&gt;0),G3566/H3566-1,"")</x:f>
        <x:v>-0.022039451085839046</x:v>
      </x:c>
      <x:c r="J3566" s="27" t="n">
        <x:f>IF(AND(ISNUMBER(G3566),F3566&gt;0),G3566/F3566-1,"")</x:f>
        <x:v>0</x:v>
      </x:c>
      <x:c r="K3566" s="19" t="str">
        <x:v>Smooth_3/EXP131/results/seed174934167_Fixed_rank_25.json</x:v>
      </x:c>
    </x:row>
    <x:row r="3567" ht="15" hidden="0" customHeight="1">
      <x:c r="A3567" s="3" t="str">
        <x:v>EXP131</x:v>
      </x:c>
      <x:c r="B3567" s="3" t="str">
        <x:v>Smooth 3</x:v>
      </x:c>
      <x:c r="C3567" s="18" t="n">
        <x:v>174934167</x:v>
      </x:c>
      <x:c r="D3567" s="3" t="str">
        <x:v>Relative cutoff 1e-6</x:v>
      </x:c>
      <x:c r="E3567" s="18" t="n">
        <x:v>400</x:v>
      </x:c>
      <x:c r="F3567" s="21" t="n">
        <x:v>579.5469554516712</x:v>
      </x:c>
      <x:c r="G3567" s="21" t="n">
        <x:f>F3563</x:f>
        <x:v>579.5469554516712</x:v>
      </x:c>
      <x:c r="H3567" s="21" t="n">
        <x:f>F3568</x:f>
        <x:v>592.6077039561031</x:v>
      </x:c>
      <x:c r="I3567" s="27" t="n">
        <x:f>IF(AND(ISNUMBER(G3567),ISNUMBER(H3567),H3567&gt;0),G3567/H3567-1,"")</x:f>
        <x:v>-0.022039451085839046</x:v>
      </x:c>
      <x:c r="J3567" s="27" t="n">
        <x:f>IF(AND(ISNUMBER(G3567),F3567&gt;0),G3567/F3567-1,"")</x:f>
        <x:v>0</x:v>
      </x:c>
      <x:c r="K3567" s="19" t="str">
        <x:v>Smooth_3/EXP131/results/seed174934167_Relative_cutoff_1e-6.json</x:v>
      </x:c>
    </x:row>
    <x:row r="3568" ht="15" hidden="0" customHeight="1">
      <x:c r="A3568" s="3" t="str">
        <x:v>EXP131</x:v>
      </x:c>
      <x:c r="B3568" s="3" t="str">
        <x:v>Smooth 3</x:v>
      </x:c>
      <x:c r="C3568" s="18" t="n">
        <x:v>174934167</x:v>
      </x:c>
      <x:c r="D3568" s="3" t="str">
        <x:v>Full</x:v>
      </x:c>
      <x:c r="E3568" s="18" t="n">
        <x:v>400</x:v>
      </x:c>
      <x:c r="F3568" s="21" t="n">
        <x:v>592.6077039561031</x:v>
      </x:c>
      <x:c r="G3568" s="21" t="n">
        <x:f>F3563</x:f>
        <x:v>579.5469554516712</x:v>
      </x:c>
      <x:c r="H3568" s="21" t="n">
        <x:f>F3568</x:f>
        <x:v>592.6077039561031</x:v>
      </x:c>
      <x:c r="I3568" s="27" t="n">
        <x:f>IF(AND(ISNUMBER(G3568),ISNUMBER(H3568),H3568&gt;0),G3568/H3568-1,"")</x:f>
        <x:v>-0.022039451085839046</x:v>
      </x:c>
      <x:c r="J3568" s="27" t="n">
        <x:f>IF(AND(ISNUMBER(G3568),F3568&gt;0),G3568/F3568-1,"")</x:f>
        <x:v>-0.022039451085839046</x:v>
      </x:c>
      <x:c r="K3568" s="19" t="str">
        <x:v>Smooth_3/EXP131/results/seed174934167_Full.json</x:v>
      </x:c>
    </x:row>
    <x:row r="3569" ht="15" hidden="0" customHeight="1">
      <x:c r="A3569" s="3" t="str">
        <x:v>EXP131</x:v>
      </x:c>
      <x:c r="B3569" s="3" t="str">
        <x:v>Smooth 3</x:v>
      </x:c>
      <x:c r="C3569" s="18" t="n">
        <x:v>174934167</x:v>
      </x:c>
      <x:c r="D3569" s="3" t="str">
        <x:v>Relative cutoff 1e-2</x:v>
      </x:c>
      <x:c r="E3569" s="18" t="n">
        <x:v>400</x:v>
      </x:c>
      <x:c r="F3569" s="21" t="n">
        <x:v>564.3297809350396</x:v>
      </x:c>
      <x:c r="G3569" s="21" t="n">
        <x:f>F3563</x:f>
        <x:v>579.5469554516712</x:v>
      </x:c>
      <x:c r="H3569" s="21" t="n">
        <x:f>F3568</x:f>
        <x:v>592.6077039561031</x:v>
      </x:c>
      <x:c r="I3569" s="27" t="n">
        <x:f>IF(AND(ISNUMBER(G3569),ISNUMBER(H3569),H3569&gt;0),G3569/H3569-1,"")</x:f>
        <x:v>-0.022039451085839046</x:v>
      </x:c>
      <x:c r="J3569" s="27" t="n">
        <x:f>IF(AND(ISNUMBER(G3569),F3569&gt;0),G3569/F3569-1,"")</x:f>
        <x:v>0.026965038937725838</x:v>
      </x:c>
      <x:c r="K3569" s="19" t="str">
        <x:v>Smooth_3/EXP131/results/seed174934167_Relative_cutoff_1e-2.json</x:v>
      </x:c>
    </x:row>
    <x:row r="3570" ht="15" hidden="0" customHeight="1">
      <x:c r="A3570" s="3" t="str">
        <x:v>EXP131</x:v>
      </x:c>
      <x:c r="B3570" s="3" t="str">
        <x:v>Smooth 3</x:v>
      </x:c>
      <x:c r="C3570" s="18" t="n">
        <x:v>174934167</x:v>
      </x:c>
      <x:c r="D3570" s="3" t="str">
        <x:v>Relative cutoff 1e-4</x:v>
      </x:c>
      <x:c r="E3570" s="18" t="n">
        <x:v>400</x:v>
      </x:c>
      <x:c r="F3570" s="21" t="n">
        <x:v>592.1735172176259</x:v>
      </x:c>
      <x:c r="G3570" s="21" t="n">
        <x:f>F3563</x:f>
        <x:v>579.5469554516712</x:v>
      </x:c>
      <x:c r="H3570" s="21" t="n">
        <x:f>F3568</x:f>
        <x:v>592.6077039561031</x:v>
      </x:c>
      <x:c r="I3570" s="27" t="n">
        <x:f>IF(AND(ISNUMBER(G3570),ISNUMBER(H3570),H3570&gt;0),G3570/H3570-1,"")</x:f>
        <x:v>-0.022039451085839046</x:v>
      </x:c>
      <x:c r="J3570" s="27" t="n">
        <x:f>IF(AND(ISNUMBER(G3570),F3570&gt;0),G3570/F3570-1,"")</x:f>
        <x:v>-0.02132240196299484</x:v>
      </x:c>
      <x:c r="K3570" s="19" t="str">
        <x:v>Smooth_3/EXP131/results/seed174934167_Relative_cutoff_1e-4.json</x:v>
      </x:c>
    </x:row>
    <x:row r="3571" ht="15" hidden="0" customHeight="1">
      <x:c r="A3571" s="3" t="str">
        <x:v>EXP131</x:v>
      </x:c>
      <x:c r="B3571" s="3" t="str">
        <x:v>Smooth 3</x:v>
      </x:c>
      <x:c r="C3571" s="18" t="n">
        <x:v>372273586</x:v>
      </x:c>
      <x:c r="D3571" s="3" t="str">
        <x:v>BBP</x:v>
      </x:c>
      <x:c r="E3571" s="18" t="n">
        <x:v>400</x:v>
      </x:c>
      <x:c r="F3571" s="21" t="n">
        <x:v>363.58415360349704</x:v>
      </x:c>
      <x:c r="G3571" s="21" t="n">
        <x:f>F3571</x:f>
        <x:v>363.58415360349704</x:v>
      </x:c>
      <x:c r="H3571" s="21" t="n">
        <x:f>F3576</x:f>
        <x:v>372.1895036328304</x:v>
      </x:c>
      <x:c r="I3571" s="27" t="n">
        <x:f>IF(AND(ISNUMBER(G3571),ISNUMBER(H3571),H3571&gt;0),G3571/H3571-1,"")</x:f>
        <x:v>-0.023120883166610318</x:v>
      </x:c>
      <x:c r="J3571" s="27" t="n">
        <x:f>IF(AND(ISNUMBER(G3571),F3571&gt;0),G3571/F3571-1,"")</x:f>
        <x:v>0</x:v>
      </x:c>
      <x:c r="K3571" s="19" t="str">
        <x:v>Smooth_3/EXP131/results/seed372273586_BBP.json</x:v>
      </x:c>
    </x:row>
    <x:row r="3572" ht="15" hidden="0" customHeight="1">
      <x:c r="A3572" s="3" t="str">
        <x:v>EXP131</x:v>
      </x:c>
      <x:c r="B3572" s="3" t="str">
        <x:v>Smooth 3</x:v>
      </x:c>
      <x:c r="C3572" s="18" t="n">
        <x:v>372273586</x:v>
      </x:c>
      <x:c r="D3572" s="3" t="str">
        <x:v>Relative cutoff 1e-5</x:v>
      </x:c>
      <x:c r="E3572" s="18" t="n">
        <x:v>400</x:v>
      </x:c>
      <x:c r="F3572" s="21" t="n">
        <x:v>363.6633741188723</x:v>
      </x:c>
      <x:c r="G3572" s="21" t="n">
        <x:f>F3571</x:f>
        <x:v>363.58415360349704</x:v>
      </x:c>
      <x:c r="H3572" s="21" t="n">
        <x:f>F3576</x:f>
        <x:v>372.1895036328304</x:v>
      </x:c>
      <x:c r="I3572" s="27" t="n">
        <x:f>IF(AND(ISNUMBER(G3572),ISNUMBER(H3572),H3572&gt;0),G3572/H3572-1,"")</x:f>
        <x:v>-0.023120883166610318</x:v>
      </x:c>
      <x:c r="J3572" s="27" t="n">
        <x:f>IF(AND(ISNUMBER(G3572),F3572&gt;0),G3572/F3572-1,"")</x:f>
        <x:v>-0.00021784023636473027</x:v>
      </x:c>
      <x:c r="K3572" s="19" t="str">
        <x:v>Smooth_3/EXP131/results/seed372273586_Relative_cutoff_1e-5.json</x:v>
      </x:c>
    </x:row>
    <x:row r="3573" ht="15" hidden="0" customHeight="1">
      <x:c r="A3573" s="3" t="str">
        <x:v>EXP131</x:v>
      </x:c>
      <x:c r="B3573" s="3" t="str">
        <x:v>Smooth 3</x:v>
      </x:c>
      <x:c r="C3573" s="18" t="n">
        <x:v>372273586</x:v>
      </x:c>
      <x:c r="D3573" s="3" t="str">
        <x:v>Fixed rank 10</x:v>
      </x:c>
      <x:c r="E3573" s="18" t="n">
        <x:v>400</x:v>
      </x:c>
      <x:c r="F3573" s="21" t="n">
        <x:v>384.0879703151155</x:v>
      </x:c>
      <x:c r="G3573" s="21" t="n">
        <x:f>F3571</x:f>
        <x:v>363.58415360349704</x:v>
      </x:c>
      <x:c r="H3573" s="21" t="n">
        <x:f>F3576</x:f>
        <x:v>372.1895036328304</x:v>
      </x:c>
      <x:c r="I3573" s="27" t="n">
        <x:f>IF(AND(ISNUMBER(G3573),ISNUMBER(H3573),H3573&gt;0),G3573/H3573-1,"")</x:f>
        <x:v>-0.023120883166610318</x:v>
      </x:c>
      <x:c r="J3573" s="27" t="n">
        <x:f>IF(AND(ISNUMBER(G3573),F3573&gt;0),G3573/F3573-1,"")</x:f>
        <x:v>-0.053383126513430246</x:v>
      </x:c>
      <x:c r="K3573" s="19" t="str">
        <x:v>Smooth_3/EXP131/results/seed372273586_Fixed_rank_10.json</x:v>
      </x:c>
    </x:row>
    <x:row r="3574" ht="15" hidden="0" customHeight="1">
      <x:c r="A3574" s="3" t="str">
        <x:v>EXP131</x:v>
      </x:c>
      <x:c r="B3574" s="3" t="str">
        <x:v>Smooth 3</x:v>
      </x:c>
      <x:c r="C3574" s="18" t="n">
        <x:v>372273586</x:v>
      </x:c>
      <x:c r="D3574" s="3" t="str">
        <x:v>Fixed rank 25</x:v>
      </x:c>
      <x:c r="E3574" s="18" t="n">
        <x:v>400</x:v>
      </x:c>
      <x:c r="F3574" s="21" t="n">
        <x:v>363.58415360349704</x:v>
      </x:c>
      <x:c r="G3574" s="21" t="n">
        <x:f>F3571</x:f>
        <x:v>363.58415360349704</x:v>
      </x:c>
      <x:c r="H3574" s="21" t="n">
        <x:f>F3576</x:f>
        <x:v>372.1895036328304</x:v>
      </x:c>
      <x:c r="I3574" s="27" t="n">
        <x:f>IF(AND(ISNUMBER(G3574),ISNUMBER(H3574),H3574&gt;0),G3574/H3574-1,"")</x:f>
        <x:v>-0.023120883166610318</x:v>
      </x:c>
      <x:c r="J3574" s="27" t="n">
        <x:f>IF(AND(ISNUMBER(G3574),F3574&gt;0),G3574/F3574-1,"")</x:f>
        <x:v>0</x:v>
      </x:c>
      <x:c r="K3574" s="19" t="str">
        <x:v>Smooth_3/EXP131/results/seed372273586_Fixed_rank_25.json</x:v>
      </x:c>
    </x:row>
    <x:row r="3575" ht="15" hidden="0" customHeight="1">
      <x:c r="A3575" s="3" t="str">
        <x:v>EXP131</x:v>
      </x:c>
      <x:c r="B3575" s="3" t="str">
        <x:v>Smooth 3</x:v>
      </x:c>
      <x:c r="C3575" s="18" t="n">
        <x:v>372273586</x:v>
      </x:c>
      <x:c r="D3575" s="3" t="str">
        <x:v>Relative cutoff 1e-6</x:v>
      </x:c>
      <x:c r="E3575" s="18" t="n">
        <x:v>400</x:v>
      </x:c>
      <x:c r="F3575" s="21" t="n">
        <x:v>372.1895036328304</x:v>
      </x:c>
      <x:c r="G3575" s="21" t="n">
        <x:f>F3571</x:f>
        <x:v>363.58415360349704</x:v>
      </x:c>
      <x:c r="H3575" s="21" t="n">
        <x:f>F3576</x:f>
        <x:v>372.1895036328304</x:v>
      </x:c>
      <x:c r="I3575" s="27" t="n">
        <x:f>IF(AND(ISNUMBER(G3575),ISNUMBER(H3575),H3575&gt;0),G3575/H3575-1,"")</x:f>
        <x:v>-0.023120883166610318</x:v>
      </x:c>
      <x:c r="J3575" s="27" t="n">
        <x:f>IF(AND(ISNUMBER(G3575),F3575&gt;0),G3575/F3575-1,"")</x:f>
        <x:v>-0.023120883166610318</x:v>
      </x:c>
      <x:c r="K3575" s="19" t="str">
        <x:v>Smooth_3/EXP131/results/seed372273586_Relative_cutoff_1e-6.json</x:v>
      </x:c>
    </x:row>
    <x:row r="3576" ht="15" hidden="0" customHeight="1">
      <x:c r="A3576" s="3" t="str">
        <x:v>EXP131</x:v>
      </x:c>
      <x:c r="B3576" s="3" t="str">
        <x:v>Smooth 3</x:v>
      </x:c>
      <x:c r="C3576" s="18" t="n">
        <x:v>372273586</x:v>
      </x:c>
      <x:c r="D3576" s="3" t="str">
        <x:v>Full</x:v>
      </x:c>
      <x:c r="E3576" s="18" t="n">
        <x:v>400</x:v>
      </x:c>
      <x:c r="F3576" s="21" t="n">
        <x:v>372.1895036328304</x:v>
      </x:c>
      <x:c r="G3576" s="21" t="n">
        <x:f>F3571</x:f>
        <x:v>363.58415360349704</x:v>
      </x:c>
      <x:c r="H3576" s="21" t="n">
        <x:f>F3576</x:f>
        <x:v>372.1895036328304</x:v>
      </x:c>
      <x:c r="I3576" s="27" t="n">
        <x:f>IF(AND(ISNUMBER(G3576),ISNUMBER(H3576),H3576&gt;0),G3576/H3576-1,"")</x:f>
        <x:v>-0.023120883166610318</x:v>
      </x:c>
      <x:c r="J3576" s="27" t="n">
        <x:f>IF(AND(ISNUMBER(G3576),F3576&gt;0),G3576/F3576-1,"")</x:f>
        <x:v>-0.023120883166610318</x:v>
      </x:c>
      <x:c r="K3576" s="19" t="str">
        <x:v>Smooth_3/EXP131/results/seed372273586_Full.json</x:v>
      </x:c>
    </x:row>
    <x:row r="3577" ht="15" hidden="0" customHeight="1">
      <x:c r="A3577" s="3" t="str">
        <x:v>EXP131</x:v>
      </x:c>
      <x:c r="B3577" s="3" t="str">
        <x:v>Smooth 3</x:v>
      </x:c>
      <x:c r="C3577" s="18" t="n">
        <x:v>372273586</x:v>
      </x:c>
      <x:c r="D3577" s="3" t="str">
        <x:v>Relative cutoff 1e-2</x:v>
      </x:c>
      <x:c r="E3577" s="18" t="n">
        <x:v>400</x:v>
      </x:c>
      <x:c r="F3577" s="21" t="n">
        <x:v>390.5012003116112</x:v>
      </x:c>
      <x:c r="G3577" s="21" t="n">
        <x:f>F3571</x:f>
        <x:v>363.58415360349704</x:v>
      </x:c>
      <x:c r="H3577" s="21" t="n">
        <x:f>F3576</x:f>
        <x:v>372.1895036328304</x:v>
      </x:c>
      <x:c r="I3577" s="27" t="n">
        <x:f>IF(AND(ISNUMBER(G3577),ISNUMBER(H3577),H3577&gt;0),G3577/H3577-1,"")</x:f>
        <x:v>-0.023120883166610318</x:v>
      </x:c>
      <x:c r="J3577" s="27" t="n">
        <x:f>IF(AND(ISNUMBER(G3577),F3577&gt;0),G3577/F3577-1,"")</x:f>
        <x:v>-0.06892948520167153</x:v>
      </x:c>
      <x:c r="K3577" s="19" t="str">
        <x:v>Smooth_3/EXP131/results/seed372273586_Relative_cutoff_1e-2.json</x:v>
      </x:c>
    </x:row>
    <x:row r="3578" ht="15" hidden="0" customHeight="1">
      <x:c r="A3578" s="3" t="str">
        <x:v>EXP131</x:v>
      </x:c>
      <x:c r="B3578" s="3" t="str">
        <x:v>Smooth 3</x:v>
      </x:c>
      <x:c r="C3578" s="18" t="n">
        <x:v>372273586</x:v>
      </x:c>
      <x:c r="D3578" s="3" t="str">
        <x:v>Relative cutoff 1e-4</x:v>
      </x:c>
      <x:c r="E3578" s="18" t="n">
        <x:v>400</x:v>
      </x:c>
      <x:c r="F3578" s="21" t="n">
        <x:v>402.89885445343856</x:v>
      </x:c>
      <x:c r="G3578" s="21" t="n">
        <x:f>F3571</x:f>
        <x:v>363.58415360349704</x:v>
      </x:c>
      <x:c r="H3578" s="21" t="n">
        <x:f>F3576</x:f>
        <x:v>372.1895036328304</x:v>
      </x:c>
      <x:c r="I3578" s="27" t="n">
        <x:f>IF(AND(ISNUMBER(G3578),ISNUMBER(H3578),H3578&gt;0),G3578/H3578-1,"")</x:f>
        <x:v>-0.023120883166610318</x:v>
      </x:c>
      <x:c r="J3578" s="27" t="n">
        <x:f>IF(AND(ISNUMBER(G3578),F3578&gt;0),G3578/F3578-1,"")</x:f>
        <x:v>-0.09757957962743469</x:v>
      </x:c>
      <x:c r="K3578" s="19" t="str">
        <x:v>Smooth_3/EXP131/results/seed372273586_Relative_cutoff_1e-4.json</x:v>
      </x:c>
    </x:row>
    <x:row r="3579" ht="15" hidden="0" customHeight="1">
      <x:c r="A3579" s="3" t="str">
        <x:v>EXP131</x:v>
      </x:c>
      <x:c r="B3579" s="3" t="str">
        <x:v>Smooth 3</x:v>
      </x:c>
      <x:c r="C3579" s="18" t="n">
        <x:v>1091417152</x:v>
      </x:c>
      <x:c r="D3579" s="3" t="str">
        <x:v>BBP</x:v>
      </x:c>
      <x:c r="E3579" s="18" t="n">
        <x:v>400</x:v>
      </x:c>
      <x:c r="F3579" s="21" t="n">
        <x:v>462.184989045356</x:v>
      </x:c>
      <x:c r="G3579" s="21" t="n">
        <x:f>F3579</x:f>
        <x:v>462.184989045356</x:v>
      </x:c>
      <x:c r="H3579" s="21" t="n">
        <x:f>F3584</x:f>
        <x:v>437.32268705996466</x:v>
      </x:c>
      <x:c r="I3579" s="27" t="n">
        <x:f>IF(AND(ISNUMBER(G3579),ISNUMBER(H3579),H3579&gt;0),G3579/H3579-1,"")</x:f>
        <x:v>0.05685115984385747</x:v>
      </x:c>
      <x:c r="J3579" s="27" t="n">
        <x:f>IF(AND(ISNUMBER(G3579),F3579&gt;0),G3579/F3579-1,"")</x:f>
        <x:v>0</x:v>
      </x:c>
      <x:c r="K3579" s="19" t="str">
        <x:v>Smooth_3/EXP131/results/seed1091417152_BBP.json</x:v>
      </x:c>
    </x:row>
    <x:row r="3580" ht="15" hidden="0" customHeight="1">
      <x:c r="A3580" s="3" t="str">
        <x:v>EXP131</x:v>
      </x:c>
      <x:c r="B3580" s="3" t="str">
        <x:v>Smooth 3</x:v>
      </x:c>
      <x:c r="C3580" s="18" t="n">
        <x:v>1091417152</x:v>
      </x:c>
      <x:c r="D3580" s="3" t="str">
        <x:v>Relative cutoff 1e-5</x:v>
      </x:c>
      <x:c r="E3580" s="18" t="n">
        <x:v>400</x:v>
      </x:c>
      <x:c r="F3580" s="21" t="n">
        <x:v>447.4750023556475</x:v>
      </x:c>
      <x:c r="G3580" s="21" t="n">
        <x:f>F3579</x:f>
        <x:v>462.184989045356</x:v>
      </x:c>
      <x:c r="H3580" s="21" t="n">
        <x:f>F3584</x:f>
        <x:v>437.32268705996466</x:v>
      </x:c>
      <x:c r="I3580" s="27" t="n">
        <x:f>IF(AND(ISNUMBER(G3580),ISNUMBER(H3580),H3580&gt;0),G3580/H3580-1,"")</x:f>
        <x:v>0.05685115984385747</x:v>
      </x:c>
      <x:c r="J3580" s="27" t="n">
        <x:f>IF(AND(ISNUMBER(G3580),F3580&gt;0),G3580/F3580-1,"")</x:f>
        <x:v>0.03287331496121704</x:v>
      </x:c>
      <x:c r="K3580" s="19" t="str">
        <x:v>Smooth_3/EXP131/results/seed1091417152_Relative_cutoff_1e-5.json</x:v>
      </x:c>
    </x:row>
    <x:row r="3581" ht="15" hidden="0" customHeight="1">
      <x:c r="A3581" s="3" t="str">
        <x:v>EXP131</x:v>
      </x:c>
      <x:c r="B3581" s="3" t="str">
        <x:v>Smooth 3</x:v>
      </x:c>
      <x:c r="C3581" s="18" t="n">
        <x:v>1091417152</x:v>
      </x:c>
      <x:c r="D3581" s="3" t="str">
        <x:v>Fixed rank 10</x:v>
      </x:c>
      <x:c r="E3581" s="18" t="n">
        <x:v>400</x:v>
      </x:c>
      <x:c r="F3581" s="21" t="n">
        <x:v>480.8864178916018</x:v>
      </x:c>
      <x:c r="G3581" s="21" t="n">
        <x:f>F3579</x:f>
        <x:v>462.184989045356</x:v>
      </x:c>
      <x:c r="H3581" s="21" t="n">
        <x:f>F3584</x:f>
        <x:v>437.32268705996466</x:v>
      </x:c>
      <x:c r="I3581" s="27" t="n">
        <x:f>IF(AND(ISNUMBER(G3581),ISNUMBER(H3581),H3581&gt;0),G3581/H3581-1,"")</x:f>
        <x:v>0.05685115984385747</x:v>
      </x:c>
      <x:c r="J3581" s="27" t="n">
        <x:f>IF(AND(ISNUMBER(G3581),F3581&gt;0),G3581/F3581-1,"")</x:f>
        <x:v>-0.03888949271688791</x:v>
      </x:c>
      <x:c r="K3581" s="19" t="str">
        <x:v>Smooth_3/EXP131/results/seed1091417152_Fixed_rank_10.json</x:v>
      </x:c>
    </x:row>
    <x:row r="3582" ht="15" hidden="0" customHeight="1">
      <x:c r="A3582" s="3" t="str">
        <x:v>EXP131</x:v>
      </x:c>
      <x:c r="B3582" s="3" t="str">
        <x:v>Smooth 3</x:v>
      </x:c>
      <x:c r="C3582" s="18" t="n">
        <x:v>1091417152</x:v>
      </x:c>
      <x:c r="D3582" s="3" t="str">
        <x:v>Fixed rank 25</x:v>
      </x:c>
      <x:c r="E3582" s="18" t="n">
        <x:v>400</x:v>
      </x:c>
      <x:c r="F3582" s="21" t="n">
        <x:v>449.95084887222265</x:v>
      </x:c>
      <x:c r="G3582" s="21" t="n">
        <x:f>F3579</x:f>
        <x:v>462.184989045356</x:v>
      </x:c>
      <x:c r="H3582" s="21" t="n">
        <x:f>F3584</x:f>
        <x:v>437.32268705996466</x:v>
      </x:c>
      <x:c r="I3582" s="27" t="n">
        <x:f>IF(AND(ISNUMBER(G3582),ISNUMBER(H3582),H3582&gt;0),G3582/H3582-1,"")</x:f>
        <x:v>0.05685115984385747</x:v>
      </x:c>
      <x:c r="J3582" s="27" t="n">
        <x:f>IF(AND(ISNUMBER(G3582),F3582&gt;0),G3582/F3582-1,"")</x:f>
        <x:v>0.027189947977201534</x:v>
      </x:c>
      <x:c r="K3582" s="19" t="str">
        <x:v>Smooth_3/EXP131/results/seed1091417152_Fixed_rank_25.json</x:v>
      </x:c>
    </x:row>
    <x:row r="3583" ht="15" hidden="0" customHeight="1">
      <x:c r="A3583" s="3" t="str">
        <x:v>EXP131</x:v>
      </x:c>
      <x:c r="B3583" s="3" t="str">
        <x:v>Smooth 3</x:v>
      </x:c>
      <x:c r="C3583" s="18" t="n">
        <x:v>1091417152</x:v>
      </x:c>
      <x:c r="D3583" s="3" t="str">
        <x:v>Relative cutoff 1e-6</x:v>
      </x:c>
      <x:c r="E3583" s="18" t="n">
        <x:v>400</x:v>
      </x:c>
      <x:c r="F3583" s="21" t="n">
        <x:v>449.95084887222265</x:v>
      </x:c>
      <x:c r="G3583" s="21" t="n">
        <x:f>F3579</x:f>
        <x:v>462.184989045356</x:v>
      </x:c>
      <x:c r="H3583" s="21" t="n">
        <x:f>F3584</x:f>
        <x:v>437.32268705996466</x:v>
      </x:c>
      <x:c r="I3583" s="27" t="n">
        <x:f>IF(AND(ISNUMBER(G3583),ISNUMBER(H3583),H3583&gt;0),G3583/H3583-1,"")</x:f>
        <x:v>0.05685115984385747</x:v>
      </x:c>
      <x:c r="J3583" s="27" t="n">
        <x:f>IF(AND(ISNUMBER(G3583),F3583&gt;0),G3583/F3583-1,"")</x:f>
        <x:v>0.027189947977201534</x:v>
      </x:c>
      <x:c r="K3583" s="19" t="str">
        <x:v>Smooth_3/EXP131/results/seed1091417152_Relative_cutoff_1e-6.json</x:v>
      </x:c>
    </x:row>
    <x:row r="3584" ht="15" hidden="0" customHeight="1">
      <x:c r="A3584" s="3" t="str">
        <x:v>EXP131</x:v>
      </x:c>
      <x:c r="B3584" s="3" t="str">
        <x:v>Smooth 3</x:v>
      </x:c>
      <x:c r="C3584" s="18" t="n">
        <x:v>1091417152</x:v>
      </x:c>
      <x:c r="D3584" s="3" t="str">
        <x:v>Full</x:v>
      </x:c>
      <x:c r="E3584" s="18" t="n">
        <x:v>400</x:v>
      </x:c>
      <x:c r="F3584" s="21" t="n">
        <x:v>437.32268705996466</x:v>
      </x:c>
      <x:c r="G3584" s="21" t="n">
        <x:f>F3579</x:f>
        <x:v>462.184989045356</x:v>
      </x:c>
      <x:c r="H3584" s="21" t="n">
        <x:f>F3584</x:f>
        <x:v>437.32268705996466</x:v>
      </x:c>
      <x:c r="I3584" s="27" t="n">
        <x:f>IF(AND(ISNUMBER(G3584),ISNUMBER(H3584),H3584&gt;0),G3584/H3584-1,"")</x:f>
        <x:v>0.05685115984385747</x:v>
      </x:c>
      <x:c r="J3584" s="27" t="n">
        <x:f>IF(AND(ISNUMBER(G3584),F3584&gt;0),G3584/F3584-1,"")</x:f>
        <x:v>0.05685115984385747</x:v>
      </x:c>
      <x:c r="K3584" s="19" t="str">
        <x:v>Smooth_3/EXP131/results/seed1091417152_Full.json</x:v>
      </x:c>
    </x:row>
    <x:row r="3585" ht="15" hidden="0" customHeight="1">
      <x:c r="A3585" s="3" t="str">
        <x:v>EXP131</x:v>
      </x:c>
      <x:c r="B3585" s="3" t="str">
        <x:v>Smooth 3</x:v>
      </x:c>
      <x:c r="C3585" s="18" t="n">
        <x:v>1091417152</x:v>
      </x:c>
      <x:c r="D3585" s="3" t="str">
        <x:v>Relative cutoff 1e-2</x:v>
      </x:c>
      <x:c r="E3585" s="18" t="n">
        <x:v>400</x:v>
      </x:c>
      <x:c r="F3585" s="21" t="n">
        <x:v>497.3794426157475</x:v>
      </x:c>
      <x:c r="G3585" s="21" t="n">
        <x:f>F3579</x:f>
        <x:v>462.184989045356</x:v>
      </x:c>
      <x:c r="H3585" s="21" t="n">
        <x:f>F3584</x:f>
        <x:v>437.32268705996466</x:v>
      </x:c>
      <x:c r="I3585" s="27" t="n">
        <x:f>IF(AND(ISNUMBER(G3585),ISNUMBER(H3585),H3585&gt;0),G3585/H3585-1,"")</x:f>
        <x:v>0.05685115984385747</x:v>
      </x:c>
      <x:c r="J3585" s="27" t="n">
        <x:f>IF(AND(ISNUMBER(G3585),F3585&gt;0),G3585/F3585-1,"")</x:f>
        <x:v>-0.07075976720167965</x:v>
      </x:c>
      <x:c r="K3585" s="19" t="str">
        <x:v>Smooth_3/EXP131/results/seed1091417152_Relative_cutoff_1e-2.json</x:v>
      </x:c>
    </x:row>
    <x:row r="3586" ht="15" hidden="0" customHeight="1">
      <x:c r="A3586" s="3" t="str">
        <x:v>EXP131</x:v>
      </x:c>
      <x:c r="B3586" s="3" t="str">
        <x:v>Smooth 3</x:v>
      </x:c>
      <x:c r="C3586" s="18" t="n">
        <x:v>1091417152</x:v>
      </x:c>
      <x:c r="D3586" s="3" t="str">
        <x:v>Relative cutoff 1e-4</x:v>
      </x:c>
      <x:c r="E3586" s="18" t="n">
        <x:v>400</x:v>
      </x:c>
      <x:c r="F3586" s="21" t="n">
        <x:v>479.40865042585597</x:v>
      </x:c>
      <x:c r="G3586" s="21" t="n">
        <x:f>F3579</x:f>
        <x:v>462.184989045356</x:v>
      </x:c>
      <x:c r="H3586" s="21" t="n">
        <x:f>F3584</x:f>
        <x:v>437.32268705996466</x:v>
      </x:c>
      <x:c r="I3586" s="27" t="n">
        <x:f>IF(AND(ISNUMBER(G3586),ISNUMBER(H3586),H3586&gt;0),G3586/H3586-1,"")</x:f>
        <x:v>0.05685115984385747</x:v>
      </x:c>
      <x:c r="J3586" s="27" t="n">
        <x:f>IF(AND(ISNUMBER(G3586),F3586&gt;0),G3586/F3586-1,"")</x:f>
        <x:v>-0.0359268890229667</x:v>
      </x:c>
      <x:c r="K3586" s="19" t="str">
        <x:v>Smooth_3/EXP131/results/seed1091417152_Relative_cutoff_1e-4.json</x:v>
      </x:c>
    </x:row>
    <x:row r="3587" ht="15" hidden="0" customHeight="1">
      <x:c r="A3587" s="3" t="str">
        <x:v>EXP131</x:v>
      </x:c>
      <x:c r="B3587" s="3" t="str">
        <x:v>Smooth 3</x:v>
      </x:c>
      <x:c r="C3587" s="18" t="n">
        <x:v>1115116357</x:v>
      </x:c>
      <x:c r="D3587" s="3" t="str">
        <x:v>BBP</x:v>
      </x:c>
      <x:c r="E3587" s="18" t="n">
        <x:v>400</x:v>
      </x:c>
      <x:c r="F3587" s="21" t="n">
        <x:v>445.3694889488111</x:v>
      </x:c>
      <x:c r="G3587" s="21" t="n">
        <x:f>F3587</x:f>
        <x:v>445.3694889488111</x:v>
      </x:c>
      <x:c r="H3587" s="21" t="n">
        <x:f>F3592</x:f>
        <x:v>436.30899569052406</x:v>
      </x:c>
      <x:c r="I3587" s="27" t="n">
        <x:f>IF(AND(ISNUMBER(G3587),ISNUMBER(H3587),H3587&gt;0),G3587/H3587-1,"")</x:f>
        <x:v>0.02076623069379413</x:v>
      </x:c>
      <x:c r="J3587" s="27" t="n">
        <x:f>IF(AND(ISNUMBER(G3587),F3587&gt;0),G3587/F3587-1,"")</x:f>
        <x:v>0</x:v>
      </x:c>
      <x:c r="K3587" s="19" t="str">
        <x:v>Smooth_3/EXP131/results/seed1115116357_BBP.json</x:v>
      </x:c>
    </x:row>
    <x:row r="3588" ht="15" hidden="0" customHeight="1">
      <x:c r="A3588" s="3" t="str">
        <x:v>EXP131</x:v>
      </x:c>
      <x:c r="B3588" s="3" t="str">
        <x:v>Smooth 3</x:v>
      </x:c>
      <x:c r="C3588" s="18" t="n">
        <x:v>1115116357</x:v>
      </x:c>
      <x:c r="D3588" s="3" t="str">
        <x:v>Relative cutoff 1e-5</x:v>
      </x:c>
      <x:c r="E3588" s="18" t="n">
        <x:v>400</x:v>
      </x:c>
      <x:c r="F3588" s="21" t="n">
        <x:v>441.67956529654435</x:v>
      </x:c>
      <x:c r="G3588" s="21" t="n">
        <x:f>F3587</x:f>
        <x:v>445.3694889488111</x:v>
      </x:c>
      <x:c r="H3588" s="21" t="n">
        <x:f>F3592</x:f>
        <x:v>436.30899569052406</x:v>
      </x:c>
      <x:c r="I3588" s="27" t="n">
        <x:f>IF(AND(ISNUMBER(G3588),ISNUMBER(H3588),H3588&gt;0),G3588/H3588-1,"")</x:f>
        <x:v>0.02076623069379413</x:v>
      </x:c>
      <x:c r="J3588" s="27" t="n">
        <x:f>IF(AND(ISNUMBER(G3588),F3588&gt;0),G3588/F3588-1,"")</x:f>
        <x:v>0.00835430013564098</x:v>
      </x:c>
      <x:c r="K3588" s="19" t="str">
        <x:v>Smooth_3/EXP131/results/seed1115116357_Relative_cutoff_1e-5.json</x:v>
      </x:c>
    </x:row>
    <x:row r="3589" ht="15" hidden="0" customHeight="1">
      <x:c r="A3589" s="3" t="str">
        <x:v>EXP131</x:v>
      </x:c>
      <x:c r="B3589" s="3" t="str">
        <x:v>Smooth 3</x:v>
      </x:c>
      <x:c r="C3589" s="18" t="n">
        <x:v>1115116357</x:v>
      </x:c>
      <x:c r="D3589" s="3" t="str">
        <x:v>Fixed rank 10</x:v>
      </x:c>
      <x:c r="E3589" s="18" t="n">
        <x:v>400</x:v>
      </x:c>
      <x:c r="F3589" s="21" t="n">
        <x:v>440.3805771982205</x:v>
      </x:c>
      <x:c r="G3589" s="21" t="n">
        <x:f>F3587</x:f>
        <x:v>445.3694889488111</x:v>
      </x:c>
      <x:c r="H3589" s="21" t="n">
        <x:f>F3592</x:f>
        <x:v>436.30899569052406</x:v>
      </x:c>
      <x:c r="I3589" s="27" t="n">
        <x:f>IF(AND(ISNUMBER(G3589),ISNUMBER(H3589),H3589&gt;0),G3589/H3589-1,"")</x:f>
        <x:v>0.02076623069379413</x:v>
      </x:c>
      <x:c r="J3589" s="27" t="n">
        <x:f>IF(AND(ISNUMBER(G3589),F3589&gt;0),G3589/F3589-1,"")</x:f>
        <x:v>0.011328637112769435</x:v>
      </x:c>
      <x:c r="K3589" s="19" t="str">
        <x:v>Smooth_3/EXP131/results/seed1115116357_Fixed_rank_10.json</x:v>
      </x:c>
    </x:row>
    <x:row r="3590" ht="15" hidden="0" customHeight="1">
      <x:c r="A3590" s="3" t="str">
        <x:v>EXP131</x:v>
      </x:c>
      <x:c r="B3590" s="3" t="str">
        <x:v>Smooth 3</x:v>
      </x:c>
      <x:c r="C3590" s="18" t="n">
        <x:v>1115116357</x:v>
      </x:c>
      <x:c r="D3590" s="3" t="str">
        <x:v>Fixed rank 25</x:v>
      </x:c>
      <x:c r="E3590" s="18" t="n">
        <x:v>400</x:v>
      </x:c>
      <x:c r="F3590" s="21" t="n">
        <x:v>441.67956529654435</x:v>
      </x:c>
      <x:c r="G3590" s="21" t="n">
        <x:f>F3587</x:f>
        <x:v>445.3694889488111</x:v>
      </x:c>
      <x:c r="H3590" s="21" t="n">
        <x:f>F3592</x:f>
        <x:v>436.30899569052406</x:v>
      </x:c>
      <x:c r="I3590" s="27" t="n">
        <x:f>IF(AND(ISNUMBER(G3590),ISNUMBER(H3590),H3590&gt;0),G3590/H3590-1,"")</x:f>
        <x:v>0.02076623069379413</x:v>
      </x:c>
      <x:c r="J3590" s="27" t="n">
        <x:f>IF(AND(ISNUMBER(G3590),F3590&gt;0),G3590/F3590-1,"")</x:f>
        <x:v>0.00835430013564098</x:v>
      </x:c>
      <x:c r="K3590" s="19" t="str">
        <x:v>Smooth_3/EXP131/results/seed1115116357_Fixed_rank_25.json</x:v>
      </x:c>
    </x:row>
    <x:row r="3591" ht="15" hidden="0" customHeight="1">
      <x:c r="A3591" s="3" t="str">
        <x:v>EXP131</x:v>
      </x:c>
      <x:c r="B3591" s="3" t="str">
        <x:v>Smooth 3</x:v>
      </x:c>
      <x:c r="C3591" s="18" t="n">
        <x:v>1115116357</x:v>
      </x:c>
      <x:c r="D3591" s="3" t="str">
        <x:v>Relative cutoff 1e-6</x:v>
      </x:c>
      <x:c r="E3591" s="18" t="n">
        <x:v>400</x:v>
      </x:c>
      <x:c r="F3591" s="21" t="n">
        <x:v>436.30899569052406</x:v>
      </x:c>
      <x:c r="G3591" s="21" t="n">
        <x:f>F3587</x:f>
        <x:v>445.3694889488111</x:v>
      </x:c>
      <x:c r="H3591" s="21" t="n">
        <x:f>F3592</x:f>
        <x:v>436.30899569052406</x:v>
      </x:c>
      <x:c r="I3591" s="27" t="n">
        <x:f>IF(AND(ISNUMBER(G3591),ISNUMBER(H3591),H3591&gt;0),G3591/H3591-1,"")</x:f>
        <x:v>0.02076623069379413</x:v>
      </x:c>
      <x:c r="J3591" s="27" t="n">
        <x:f>IF(AND(ISNUMBER(G3591),F3591&gt;0),G3591/F3591-1,"")</x:f>
        <x:v>0.02076623069379413</x:v>
      </x:c>
      <x:c r="K3591" s="19" t="str">
        <x:v>Smooth_3/EXP131/results/seed1115116357_Relative_cutoff_1e-6.json</x:v>
      </x:c>
    </x:row>
    <x:row r="3592" ht="15" hidden="0" customHeight="1">
      <x:c r="A3592" s="3" t="str">
        <x:v>EXP131</x:v>
      </x:c>
      <x:c r="B3592" s="3" t="str">
        <x:v>Smooth 3</x:v>
      </x:c>
      <x:c r="C3592" s="18" t="n">
        <x:v>1115116357</x:v>
      </x:c>
      <x:c r="D3592" s="3" t="str">
        <x:v>Full</x:v>
      </x:c>
      <x:c r="E3592" s="18" t="n">
        <x:v>400</x:v>
      </x:c>
      <x:c r="F3592" s="21" t="n">
        <x:v>436.30899569052406</x:v>
      </x:c>
      <x:c r="G3592" s="21" t="n">
        <x:f>F3587</x:f>
        <x:v>445.3694889488111</x:v>
      </x:c>
      <x:c r="H3592" s="21" t="n">
        <x:f>F3592</x:f>
        <x:v>436.30899569052406</x:v>
      </x:c>
      <x:c r="I3592" s="27" t="n">
        <x:f>IF(AND(ISNUMBER(G3592),ISNUMBER(H3592),H3592&gt;0),G3592/H3592-1,"")</x:f>
        <x:v>0.02076623069379413</x:v>
      </x:c>
      <x:c r="J3592" s="27" t="n">
        <x:f>IF(AND(ISNUMBER(G3592),F3592&gt;0),G3592/F3592-1,"")</x:f>
        <x:v>0.02076623069379413</x:v>
      </x:c>
      <x:c r="K3592" s="19" t="str">
        <x:v>Smooth_3/EXP131/results/seed1115116357_Full.json</x:v>
      </x:c>
    </x:row>
    <x:row r="3593" ht="15" hidden="0" customHeight="1">
      <x:c r="A3593" s="3" t="str">
        <x:v>EXP131</x:v>
      </x:c>
      <x:c r="B3593" s="3" t="str">
        <x:v>Smooth 3</x:v>
      </x:c>
      <x:c r="C3593" s="18" t="n">
        <x:v>1115116357</x:v>
      </x:c>
      <x:c r="D3593" s="3" t="str">
        <x:v>Relative cutoff 1e-2</x:v>
      </x:c>
      <x:c r="E3593" s="18" t="n">
        <x:v>400</x:v>
      </x:c>
      <x:c r="F3593" s="21" t="n">
        <x:v>425.85480201413134</x:v>
      </x:c>
      <x:c r="G3593" s="21" t="n">
        <x:f>F3587</x:f>
        <x:v>445.3694889488111</x:v>
      </x:c>
      <x:c r="H3593" s="21" t="n">
        <x:f>F3592</x:f>
        <x:v>436.30899569052406</x:v>
      </x:c>
      <x:c r="I3593" s="27" t="n">
        <x:f>IF(AND(ISNUMBER(G3593),ISNUMBER(H3593),H3593&gt;0),G3593/H3593-1,"")</x:f>
        <x:v>0.02076623069379413</x:v>
      </x:c>
      <x:c r="J3593" s="27" t="n">
        <x:f>IF(AND(ISNUMBER(G3593),F3593&gt;0),G3593/F3593-1,"")</x:f>
        <x:v>0.04582474318096863</x:v>
      </x:c>
      <x:c r="K3593" s="19" t="str">
        <x:v>Smooth_3/EXP131/results/seed1115116357_Relative_cutoff_1e-2.json</x:v>
      </x:c>
    </x:row>
    <x:row r="3594" ht="15" hidden="0" customHeight="1">
      <x:c r="A3594" s="3" t="str">
        <x:v>EXP131</x:v>
      </x:c>
      <x:c r="B3594" s="3" t="str">
        <x:v>Smooth 3</x:v>
      </x:c>
      <x:c r="C3594" s="18" t="n">
        <x:v>1115116357</x:v>
      </x:c>
      <x:c r="D3594" s="3" t="str">
        <x:v>Relative cutoff 1e-4</x:v>
      </x:c>
      <x:c r="E3594" s="18" t="n">
        <x:v>400</x:v>
      </x:c>
      <x:c r="F3594" s="21" t="n">
        <x:v>430.74256696174865</x:v>
      </x:c>
      <x:c r="G3594" s="21" t="n">
        <x:f>F3587</x:f>
        <x:v>445.3694889488111</x:v>
      </x:c>
      <x:c r="H3594" s="21" t="n">
        <x:f>F3592</x:f>
        <x:v>436.30899569052406</x:v>
      </x:c>
      <x:c r="I3594" s="27" t="n">
        <x:f>IF(AND(ISNUMBER(G3594),ISNUMBER(H3594),H3594&gt;0),G3594/H3594-1,"")</x:f>
        <x:v>0.02076623069379413</x:v>
      </x:c>
      <x:c r="J3594" s="27" t="n">
        <x:f>IF(AND(ISNUMBER(G3594),F3594&gt;0),G3594/F3594-1,"")</x:f>
        <x:v>0.03395745651569504</x:v>
      </x:c>
      <x:c r="K3594" s="19" t="str">
        <x:v>Smooth_3/EXP131/results/seed1115116357_Relative_cutoff_1e-4.json</x:v>
      </x:c>
    </x:row>
    <x:row r="3595" ht="15" hidden="0" customHeight="1">
      <x:c r="A3595" s="3" t="str">
        <x:v>EXP131</x:v>
      </x:c>
      <x:c r="B3595" s="3" t="str">
        <x:v>Smooth 3</x:v>
      </x:c>
      <x:c r="C3595" s="18" t="n">
        <x:v>1277917277</x:v>
      </x:c>
      <x:c r="D3595" s="3" t="str">
        <x:v>BBP</x:v>
      </x:c>
      <x:c r="E3595" s="18" t="n">
        <x:v>400</x:v>
      </x:c>
      <x:c r="F3595" s="21" t="n">
        <x:v>420.6815394000997</x:v>
      </x:c>
      <x:c r="G3595" s="21" t="n">
        <x:f>F3595</x:f>
        <x:v>420.6815394000997</x:v>
      </x:c>
      <x:c r="H3595" s="21" t="n">
        <x:f>F3600</x:f>
        <x:v>459.1155862356643</x:v>
      </x:c>
      <x:c r="I3595" s="27" t="n">
        <x:f>IF(AND(ISNUMBER(G3595),ISNUMBER(H3595),H3595&gt;0),G3595/H3595-1,"")</x:f>
        <x:v>-0.08371322601066378</x:v>
      </x:c>
      <x:c r="J3595" s="27" t="n">
        <x:f>IF(AND(ISNUMBER(G3595),F3595&gt;0),G3595/F3595-1,"")</x:f>
        <x:v>0</x:v>
      </x:c>
      <x:c r="K3595" s="19" t="str">
        <x:v>Smooth_3/EXP131/results/seed1277917277_BBP.json</x:v>
      </x:c>
    </x:row>
    <x:row r="3596" ht="15" hidden="0" customHeight="1">
      <x:c r="A3596" s="3" t="str">
        <x:v>EXP131</x:v>
      </x:c>
      <x:c r="B3596" s="3" t="str">
        <x:v>Smooth 3</x:v>
      </x:c>
      <x:c r="C3596" s="18" t="n">
        <x:v>1277917277</x:v>
      </x:c>
      <x:c r="D3596" s="3" t="str">
        <x:v>Relative cutoff 1e-5</x:v>
      </x:c>
      <x:c r="E3596" s="18" t="n">
        <x:v>400</x:v>
      </x:c>
      <x:c r="F3596" s="21" t="n">
        <x:v>459.1155862356643</x:v>
      </x:c>
      <x:c r="G3596" s="21" t="n">
        <x:f>F3595</x:f>
        <x:v>420.6815394000997</x:v>
      </x:c>
      <x:c r="H3596" s="21" t="n">
        <x:f>F3600</x:f>
        <x:v>459.1155862356643</x:v>
      </x:c>
      <x:c r="I3596" s="27" t="n">
        <x:f>IF(AND(ISNUMBER(G3596),ISNUMBER(H3596),H3596&gt;0),G3596/H3596-1,"")</x:f>
        <x:v>-0.08371322601066378</x:v>
      </x:c>
      <x:c r="J3596" s="27" t="n">
        <x:f>IF(AND(ISNUMBER(G3596),F3596&gt;0),G3596/F3596-1,"")</x:f>
        <x:v>-0.08371322601066378</x:v>
      </x:c>
      <x:c r="K3596" s="19" t="str">
        <x:v>Smooth_3/EXP131/results/seed1277917277_Relative_cutoff_1e-5.json</x:v>
      </x:c>
    </x:row>
    <x:row r="3597" ht="15" hidden="0" customHeight="1">
      <x:c r="A3597" s="3" t="str">
        <x:v>EXP131</x:v>
      </x:c>
      <x:c r="B3597" s="3" t="str">
        <x:v>Smooth 3</x:v>
      </x:c>
      <x:c r="C3597" s="18" t="n">
        <x:v>1277917277</x:v>
      </x:c>
      <x:c r="D3597" s="3" t="str">
        <x:v>Fixed rank 10</x:v>
      </x:c>
      <x:c r="E3597" s="18" t="n">
        <x:v>400</x:v>
      </x:c>
      <x:c r="F3597" s="21" t="n">
        <x:v>425.715862033368</x:v>
      </x:c>
      <x:c r="G3597" s="21" t="n">
        <x:f>F3595</x:f>
        <x:v>420.6815394000997</x:v>
      </x:c>
      <x:c r="H3597" s="21" t="n">
        <x:f>F3600</x:f>
        <x:v>459.1155862356643</x:v>
      </x:c>
      <x:c r="I3597" s="27" t="n">
        <x:f>IF(AND(ISNUMBER(G3597),ISNUMBER(H3597),H3597&gt;0),G3597/H3597-1,"")</x:f>
        <x:v>-0.08371322601066378</x:v>
      </x:c>
      <x:c r="J3597" s="27" t="n">
        <x:f>IF(AND(ISNUMBER(G3597),F3597&gt;0),G3597/F3597-1,"")</x:f>
        <x:v>-0.011825546290952338</x:v>
      </x:c>
      <x:c r="K3597" s="19" t="str">
        <x:v>Smooth_3/EXP131/results/seed1277917277_Fixed_rank_10.json</x:v>
      </x:c>
    </x:row>
    <x:row r="3598" ht="15" hidden="0" customHeight="1">
      <x:c r="A3598" s="3" t="str">
        <x:v>EXP131</x:v>
      </x:c>
      <x:c r="B3598" s="3" t="str">
        <x:v>Smooth 3</x:v>
      </x:c>
      <x:c r="C3598" s="18" t="n">
        <x:v>1277917277</x:v>
      </x:c>
      <x:c r="D3598" s="3" t="str">
        <x:v>Fixed rank 25</x:v>
      </x:c>
      <x:c r="E3598" s="18" t="n">
        <x:v>400</x:v>
      </x:c>
      <x:c r="F3598" s="21" t="n">
        <x:v>459.1155862356643</x:v>
      </x:c>
      <x:c r="G3598" s="21" t="n">
        <x:f>F3595</x:f>
        <x:v>420.6815394000997</x:v>
      </x:c>
      <x:c r="H3598" s="21" t="n">
        <x:f>F3600</x:f>
        <x:v>459.1155862356643</x:v>
      </x:c>
      <x:c r="I3598" s="27" t="n">
        <x:f>IF(AND(ISNUMBER(G3598),ISNUMBER(H3598),H3598&gt;0),G3598/H3598-1,"")</x:f>
        <x:v>-0.08371322601066378</x:v>
      </x:c>
      <x:c r="J3598" s="27" t="n">
        <x:f>IF(AND(ISNUMBER(G3598),F3598&gt;0),G3598/F3598-1,"")</x:f>
        <x:v>-0.08371322601066378</x:v>
      </x:c>
      <x:c r="K3598" s="19" t="str">
        <x:v>Smooth_3/EXP131/results/seed1277917277_Fixed_rank_25.json</x:v>
      </x:c>
    </x:row>
    <x:row r="3599" ht="15" hidden="0" customHeight="1">
      <x:c r="A3599" s="3" t="str">
        <x:v>EXP131</x:v>
      </x:c>
      <x:c r="B3599" s="3" t="str">
        <x:v>Smooth 3</x:v>
      </x:c>
      <x:c r="C3599" s="18" t="n">
        <x:v>1277917277</x:v>
      </x:c>
      <x:c r="D3599" s="3" t="str">
        <x:v>Relative cutoff 1e-6</x:v>
      </x:c>
      <x:c r="E3599" s="18" t="n">
        <x:v>400</x:v>
      </x:c>
      <x:c r="F3599" s="21" t="n">
        <x:v>459.1155862356643</x:v>
      </x:c>
      <x:c r="G3599" s="21" t="n">
        <x:f>F3595</x:f>
        <x:v>420.6815394000997</x:v>
      </x:c>
      <x:c r="H3599" s="21" t="n">
        <x:f>F3600</x:f>
        <x:v>459.1155862356643</x:v>
      </x:c>
      <x:c r="I3599" s="27" t="n">
        <x:f>IF(AND(ISNUMBER(G3599),ISNUMBER(H3599),H3599&gt;0),G3599/H3599-1,"")</x:f>
        <x:v>-0.08371322601066378</x:v>
      </x:c>
      <x:c r="J3599" s="27" t="n">
        <x:f>IF(AND(ISNUMBER(G3599),F3599&gt;0),G3599/F3599-1,"")</x:f>
        <x:v>-0.08371322601066378</x:v>
      </x:c>
      <x:c r="K3599" s="19" t="str">
        <x:v>Smooth_3/EXP131/results/seed1277917277_Relative_cutoff_1e-6.json</x:v>
      </x:c>
    </x:row>
    <x:row r="3600" ht="15" hidden="0" customHeight="1">
      <x:c r="A3600" s="3" t="str">
        <x:v>EXP131</x:v>
      </x:c>
      <x:c r="B3600" s="3" t="str">
        <x:v>Smooth 3</x:v>
      </x:c>
      <x:c r="C3600" s="18" t="n">
        <x:v>1277917277</x:v>
      </x:c>
      <x:c r="D3600" s="3" t="str">
        <x:v>Full</x:v>
      </x:c>
      <x:c r="E3600" s="18" t="n">
        <x:v>400</x:v>
      </x:c>
      <x:c r="F3600" s="21" t="n">
        <x:v>459.1155862356643</x:v>
      </x:c>
      <x:c r="G3600" s="21" t="n">
        <x:f>F3595</x:f>
        <x:v>420.6815394000997</x:v>
      </x:c>
      <x:c r="H3600" s="21" t="n">
        <x:f>F3600</x:f>
        <x:v>459.1155862356643</x:v>
      </x:c>
      <x:c r="I3600" s="27" t="n">
        <x:f>IF(AND(ISNUMBER(G3600),ISNUMBER(H3600),H3600&gt;0),G3600/H3600-1,"")</x:f>
        <x:v>-0.08371322601066378</x:v>
      </x:c>
      <x:c r="J3600" s="27" t="n">
        <x:f>IF(AND(ISNUMBER(G3600),F3600&gt;0),G3600/F3600-1,"")</x:f>
        <x:v>-0.08371322601066378</x:v>
      </x:c>
      <x:c r="K3600" s="19" t="str">
        <x:v>Smooth_3/EXP131/results/seed1277917277_Full.json</x:v>
      </x:c>
    </x:row>
    <x:row r="3601" ht="15" hidden="0" customHeight="1">
      <x:c r="A3601" s="3" t="str">
        <x:v>EXP131</x:v>
      </x:c>
      <x:c r="B3601" s="3" t="str">
        <x:v>Smooth 3</x:v>
      </x:c>
      <x:c r="C3601" s="18" t="n">
        <x:v>1277917277</x:v>
      </x:c>
      <x:c r="D3601" s="3" t="str">
        <x:v>Relative cutoff 1e-2</x:v>
      </x:c>
      <x:c r="E3601" s="18" t="n">
        <x:v>400</x:v>
      </x:c>
      <x:c r="F3601" s="21" t="n">
        <x:v>454.4415866960686</x:v>
      </x:c>
      <x:c r="G3601" s="21" t="n">
        <x:f>F3595</x:f>
        <x:v>420.6815394000997</x:v>
      </x:c>
      <x:c r="H3601" s="21" t="n">
        <x:f>F3600</x:f>
        <x:v>459.1155862356643</x:v>
      </x:c>
      <x:c r="I3601" s="27" t="n">
        <x:f>IF(AND(ISNUMBER(G3601),ISNUMBER(H3601),H3601&gt;0),G3601/H3601-1,"")</x:f>
        <x:v>-0.08371322601066378</x:v>
      </x:c>
      <x:c r="J3601" s="27" t="n">
        <x:f>IF(AND(ISNUMBER(G3601),F3601&gt;0),G3601/F3601-1,"")</x:f>
        <x:v>-0.074289079794424</x:v>
      </x:c>
      <x:c r="K3601" s="19" t="str">
        <x:v>Smooth_3/EXP131/results/seed1277917277_Relative_cutoff_1e-2.json</x:v>
      </x:c>
    </x:row>
    <x:row r="3602" ht="15" hidden="0" customHeight="1">
      <x:c r="A3602" s="3" t="str">
        <x:v>EXP131</x:v>
      </x:c>
      <x:c r="B3602" s="3" t="str">
        <x:v>Smooth 3</x:v>
      </x:c>
      <x:c r="C3602" s="18" t="n">
        <x:v>1277917277</x:v>
      </x:c>
      <x:c r="D3602" s="3" t="str">
        <x:v>Relative cutoff 1e-4</x:v>
      </x:c>
      <x:c r="E3602" s="18" t="n">
        <x:v>400</x:v>
      </x:c>
      <x:c r="F3602" s="21" t="n">
        <x:v>474.0927766113955</x:v>
      </x:c>
      <x:c r="G3602" s="21" t="n">
        <x:f>F3595</x:f>
        <x:v>420.6815394000997</x:v>
      </x:c>
      <x:c r="H3602" s="21" t="n">
        <x:f>F3600</x:f>
        <x:v>459.1155862356643</x:v>
      </x:c>
      <x:c r="I3602" s="27" t="n">
        <x:f>IF(AND(ISNUMBER(G3602),ISNUMBER(H3602),H3602&gt;0),G3602/H3602-1,"")</x:f>
        <x:v>-0.08371322601066378</x:v>
      </x:c>
      <x:c r="J3602" s="27" t="n">
        <x:f>IF(AND(ISNUMBER(G3602),F3602&gt;0),G3602/F3602-1,"")</x:f>
        <x:v>-0.11265988398527305</x:v>
      </x:c>
      <x:c r="K3602" s="19" t="str">
        <x:v>Smooth_3/EXP131/results/seed1277917277_Relative_cutoff_1e-4.json</x:v>
      </x:c>
    </x:row>
    <x:row r="3603" ht="15" hidden="0" customHeight="1">
      <x:c r="A3603" s="3" t="str">
        <x:v>EXP131</x:v>
      </x:c>
      <x:c r="B3603" s="3" t="str">
        <x:v>Smooth 3</x:v>
      </x:c>
      <x:c r="C3603" s="18" t="n">
        <x:v>1288985921</x:v>
      </x:c>
      <x:c r="D3603" s="3" t="str">
        <x:v>BBP</x:v>
      </x:c>
      <x:c r="E3603" s="18" t="n">
        <x:v>400</x:v>
      </x:c>
      <x:c r="F3603" s="21" t="n">
        <x:v>376.256147041687</x:v>
      </x:c>
      <x:c r="G3603" s="21" t="n">
        <x:f>F3603</x:f>
        <x:v>376.256147041687</x:v>
      </x:c>
      <x:c r="H3603" s="21" t="n">
        <x:f>F3608</x:f>
        <x:v>353.31072729200093</x:v>
      </x:c>
      <x:c r="I3603" s="27" t="n">
        <x:f>IF(AND(ISNUMBER(G3603),ISNUMBER(H3603),H3603&gt;0),G3603/H3603-1,"")</x:f>
        <x:v>0.0649440222932216</x:v>
      </x:c>
      <x:c r="J3603" s="27" t="n">
        <x:f>IF(AND(ISNUMBER(G3603),F3603&gt;0),G3603/F3603-1,"")</x:f>
        <x:v>0</x:v>
      </x:c>
      <x:c r="K3603" s="19" t="str">
        <x:v>Smooth_3/EXP131/results/seed1288985921_BBP.json</x:v>
      </x:c>
    </x:row>
    <x:row r="3604" ht="15" hidden="0" customHeight="1">
      <x:c r="A3604" s="3" t="str">
        <x:v>EXP131</x:v>
      </x:c>
      <x:c r="B3604" s="3" t="str">
        <x:v>Smooth 3</x:v>
      </x:c>
      <x:c r="C3604" s="18" t="n">
        <x:v>1288985921</x:v>
      </x:c>
      <x:c r="D3604" s="3" t="str">
        <x:v>Relative cutoff 1e-5</x:v>
      </x:c>
      <x:c r="E3604" s="18" t="n">
        <x:v>400</x:v>
      </x:c>
      <x:c r="F3604" s="21" t="n">
        <x:v>353.31072729200093</x:v>
      </x:c>
      <x:c r="G3604" s="21" t="n">
        <x:f>F3603</x:f>
        <x:v>376.256147041687</x:v>
      </x:c>
      <x:c r="H3604" s="21" t="n">
        <x:f>F3608</x:f>
        <x:v>353.31072729200093</x:v>
      </x:c>
      <x:c r="I3604" s="27" t="n">
        <x:f>IF(AND(ISNUMBER(G3604),ISNUMBER(H3604),H3604&gt;0),G3604/H3604-1,"")</x:f>
        <x:v>0.0649440222932216</x:v>
      </x:c>
      <x:c r="J3604" s="27" t="n">
        <x:f>IF(AND(ISNUMBER(G3604),F3604&gt;0),G3604/F3604-1,"")</x:f>
        <x:v>0.0649440222932216</x:v>
      </x:c>
      <x:c r="K3604" s="19" t="str">
        <x:v>Smooth_3/EXP131/results/seed1288985921_Relative_cutoff_1e-5.json</x:v>
      </x:c>
    </x:row>
    <x:row r="3605" ht="15" hidden="0" customHeight="1">
      <x:c r="A3605" s="3" t="str">
        <x:v>EXP131</x:v>
      </x:c>
      <x:c r="B3605" s="3" t="str">
        <x:v>Smooth 3</x:v>
      </x:c>
      <x:c r="C3605" s="18" t="n">
        <x:v>1288985921</x:v>
      </x:c>
      <x:c r="D3605" s="3" t="str">
        <x:v>Fixed rank 10</x:v>
      </x:c>
      <x:c r="E3605" s="18" t="n">
        <x:v>400</x:v>
      </x:c>
      <x:c r="F3605" s="21" t="n">
        <x:v>373.8778741680392</x:v>
      </x:c>
      <x:c r="G3605" s="21" t="n">
        <x:f>F3603</x:f>
        <x:v>376.256147041687</x:v>
      </x:c>
      <x:c r="H3605" s="21" t="n">
        <x:f>F3608</x:f>
        <x:v>353.31072729200093</x:v>
      </x:c>
      <x:c r="I3605" s="27" t="n">
        <x:f>IF(AND(ISNUMBER(G3605),ISNUMBER(H3605),H3605&gt;0),G3605/H3605-1,"")</x:f>
        <x:v>0.0649440222932216</x:v>
      </x:c>
      <x:c r="J3605" s="27" t="n">
        <x:f>IF(AND(ISNUMBER(G3605),F3605&gt;0),G3605/F3605-1,"")</x:f>
        <x:v>0.006361095528693461</x:v>
      </x:c>
      <x:c r="K3605" s="19" t="str">
        <x:v>Smooth_3/EXP131/results/seed1288985921_Fixed_rank_10.json</x:v>
      </x:c>
    </x:row>
    <x:row r="3606" ht="15" hidden="0" customHeight="1">
      <x:c r="A3606" s="3" t="str">
        <x:v>EXP131</x:v>
      </x:c>
      <x:c r="B3606" s="3" t="str">
        <x:v>Smooth 3</x:v>
      </x:c>
      <x:c r="C3606" s="18" t="n">
        <x:v>1288985921</x:v>
      </x:c>
      <x:c r="D3606" s="3" t="str">
        <x:v>Fixed rank 25</x:v>
      </x:c>
      <x:c r="E3606" s="18" t="n">
        <x:v>400</x:v>
      </x:c>
      <x:c r="F3606" s="21" t="n">
        <x:v>376.256147041687</x:v>
      </x:c>
      <x:c r="G3606" s="21" t="n">
        <x:f>F3603</x:f>
        <x:v>376.256147041687</x:v>
      </x:c>
      <x:c r="H3606" s="21" t="n">
        <x:f>F3608</x:f>
        <x:v>353.31072729200093</x:v>
      </x:c>
      <x:c r="I3606" s="27" t="n">
        <x:f>IF(AND(ISNUMBER(G3606),ISNUMBER(H3606),H3606&gt;0),G3606/H3606-1,"")</x:f>
        <x:v>0.0649440222932216</x:v>
      </x:c>
      <x:c r="J3606" s="27" t="n">
        <x:f>IF(AND(ISNUMBER(G3606),F3606&gt;0),G3606/F3606-1,"")</x:f>
        <x:v>0</x:v>
      </x:c>
      <x:c r="K3606" s="19" t="str">
        <x:v>Smooth_3/EXP131/results/seed1288985921_Fixed_rank_25.json</x:v>
      </x:c>
    </x:row>
    <x:row r="3607" ht="15" hidden="0" customHeight="1">
      <x:c r="A3607" s="3" t="str">
        <x:v>EXP131</x:v>
      </x:c>
      <x:c r="B3607" s="3" t="str">
        <x:v>Smooth 3</x:v>
      </x:c>
      <x:c r="C3607" s="18" t="n">
        <x:v>1288985921</x:v>
      </x:c>
      <x:c r="D3607" s="3" t="str">
        <x:v>Relative cutoff 1e-6</x:v>
      </x:c>
      <x:c r="E3607" s="18" t="n">
        <x:v>400</x:v>
      </x:c>
      <x:c r="F3607" s="21" t="n">
        <x:v>353.31072729200093</x:v>
      </x:c>
      <x:c r="G3607" s="21" t="n">
        <x:f>F3603</x:f>
        <x:v>376.256147041687</x:v>
      </x:c>
      <x:c r="H3607" s="21" t="n">
        <x:f>F3608</x:f>
        <x:v>353.31072729200093</x:v>
      </x:c>
      <x:c r="I3607" s="27" t="n">
        <x:f>IF(AND(ISNUMBER(G3607),ISNUMBER(H3607),H3607&gt;0),G3607/H3607-1,"")</x:f>
        <x:v>0.0649440222932216</x:v>
      </x:c>
      <x:c r="J3607" s="27" t="n">
        <x:f>IF(AND(ISNUMBER(G3607),F3607&gt;0),G3607/F3607-1,"")</x:f>
        <x:v>0.0649440222932216</x:v>
      </x:c>
      <x:c r="K3607" s="19" t="str">
        <x:v>Smooth_3/EXP131/results/seed1288985921_Relative_cutoff_1e-6.json</x:v>
      </x:c>
    </x:row>
    <x:row r="3608" ht="15" hidden="0" customHeight="1">
      <x:c r="A3608" s="3" t="str">
        <x:v>EXP131</x:v>
      </x:c>
      <x:c r="B3608" s="3" t="str">
        <x:v>Smooth 3</x:v>
      </x:c>
      <x:c r="C3608" s="18" t="n">
        <x:v>1288985921</x:v>
      </x:c>
      <x:c r="D3608" s="3" t="str">
        <x:v>Full</x:v>
      </x:c>
      <x:c r="E3608" s="18" t="n">
        <x:v>400</x:v>
      </x:c>
      <x:c r="F3608" s="21" t="n">
        <x:v>353.31072729200093</x:v>
      </x:c>
      <x:c r="G3608" s="21" t="n">
        <x:f>F3603</x:f>
        <x:v>376.256147041687</x:v>
      </x:c>
      <x:c r="H3608" s="21" t="n">
        <x:f>F3608</x:f>
        <x:v>353.31072729200093</x:v>
      </x:c>
      <x:c r="I3608" s="27" t="n">
        <x:f>IF(AND(ISNUMBER(G3608),ISNUMBER(H3608),H3608&gt;0),G3608/H3608-1,"")</x:f>
        <x:v>0.0649440222932216</x:v>
      </x:c>
      <x:c r="J3608" s="27" t="n">
        <x:f>IF(AND(ISNUMBER(G3608),F3608&gt;0),G3608/F3608-1,"")</x:f>
        <x:v>0.0649440222932216</x:v>
      </x:c>
      <x:c r="K3608" s="19" t="str">
        <x:v>Smooth_3/EXP131/results/seed1288985921_Full.json</x:v>
      </x:c>
    </x:row>
    <x:row r="3609" ht="15" hidden="0" customHeight="1">
      <x:c r="A3609" s="3" t="str">
        <x:v>EXP131</x:v>
      </x:c>
      <x:c r="B3609" s="3" t="str">
        <x:v>Smooth 3</x:v>
      </x:c>
      <x:c r="C3609" s="18" t="n">
        <x:v>1288985921</x:v>
      </x:c>
      <x:c r="D3609" s="3" t="str">
        <x:v>Relative cutoff 1e-2</x:v>
      </x:c>
      <x:c r="E3609" s="18" t="n">
        <x:v>400</x:v>
      </x:c>
      <x:c r="F3609" s="21" t="n">
        <x:v>473.22087382129513</x:v>
      </x:c>
      <x:c r="G3609" s="21" t="n">
        <x:f>F3603</x:f>
        <x:v>376.256147041687</x:v>
      </x:c>
      <x:c r="H3609" s="21" t="n">
        <x:f>F3608</x:f>
        <x:v>353.31072729200093</x:v>
      </x:c>
      <x:c r="I3609" s="27" t="n">
        <x:f>IF(AND(ISNUMBER(G3609),ISNUMBER(H3609),H3609&gt;0),G3609/H3609-1,"")</x:f>
        <x:v>0.0649440222932216</x:v>
      </x:c>
      <x:c r="J3609" s="27" t="n">
        <x:f>IF(AND(ISNUMBER(G3609),F3609&gt;0),G3609/F3609-1,"")</x:f>
        <x:v>-0.2049037397623873</x:v>
      </x:c>
      <x:c r="K3609" s="19" t="str">
        <x:v>Smooth_3/EXP131/results/seed1288985921_Relative_cutoff_1e-2.json</x:v>
      </x:c>
    </x:row>
    <x:row r="3610" ht="15" hidden="0" customHeight="1">
      <x:c r="A3610" s="3" t="str">
        <x:v>EXP131</x:v>
      </x:c>
      <x:c r="B3610" s="3" t="str">
        <x:v>Smooth 3</x:v>
      </x:c>
      <x:c r="C3610" s="18" t="n">
        <x:v>1288985921</x:v>
      </x:c>
      <x:c r="D3610" s="3" t="str">
        <x:v>Relative cutoff 1e-4</x:v>
      </x:c>
      <x:c r="E3610" s="18" t="n">
        <x:v>400</x:v>
      </x:c>
      <x:c r="F3610" s="21" t="n">
        <x:v>387.04312244764844</x:v>
      </x:c>
      <x:c r="G3610" s="21" t="n">
        <x:f>F3603</x:f>
        <x:v>376.256147041687</x:v>
      </x:c>
      <x:c r="H3610" s="21" t="n">
        <x:f>F3608</x:f>
        <x:v>353.31072729200093</x:v>
      </x:c>
      <x:c r="I3610" s="27" t="n">
        <x:f>IF(AND(ISNUMBER(G3610),ISNUMBER(H3610),H3610&gt;0),G3610/H3610-1,"")</x:f>
        <x:v>0.0649440222932216</x:v>
      </x:c>
      <x:c r="J3610" s="27" t="n">
        <x:f>IF(AND(ISNUMBER(G3610),F3610&gt;0),G3610/F3610-1,"")</x:f>
        <x:v>-0.02787021595357375</x:v>
      </x:c>
      <x:c r="K3610" s="19" t="str">
        <x:v>Smooth_3/EXP131/results/seed1288985921_Relative_cutoff_1e-4.json</x:v>
      </x:c>
    </x:row>
    <x:row r="3611" ht="15" hidden="0" customHeight="1">
      <x:c r="A3611" s="3" t="str">
        <x:v>EXP131</x:v>
      </x:c>
      <x:c r="B3611" s="3" t="str">
        <x:v>Smooth 3</x:v>
      </x:c>
      <x:c r="C3611" s="18" t="n">
        <x:v>1391820987</x:v>
      </x:c>
      <x:c r="D3611" s="3" t="str">
        <x:v>BBP</x:v>
      </x:c>
      <x:c r="E3611" s="18" t="n">
        <x:v>400</x:v>
      </x:c>
      <x:c r="F3611" s="21" t="n">
        <x:v>473.1902440087733</x:v>
      </x:c>
      <x:c r="G3611" s="21" t="n">
        <x:f>F3611</x:f>
        <x:v>473.1902440087733</x:v>
      </x:c>
      <x:c r="H3611" s="21" t="n">
        <x:f>F3616</x:f>
        <x:v>477.6550902880468</x:v>
      </x:c>
      <x:c r="I3611" s="27" t="n">
        <x:f>IF(AND(ISNUMBER(G3611),ISNUMBER(H3611),H3611&gt;0),G3611/H3611-1,"")</x:f>
        <x:v>-0.009347427401183994</x:v>
      </x:c>
      <x:c r="J3611" s="27" t="n">
        <x:f>IF(AND(ISNUMBER(G3611),F3611&gt;0),G3611/F3611-1,"")</x:f>
        <x:v>0</x:v>
      </x:c>
      <x:c r="K3611" s="19" t="str">
        <x:v>Smooth_3/EXP131/results/seed1391820987_BBP.json</x:v>
      </x:c>
    </x:row>
    <x:row r="3612" ht="15" hidden="0" customHeight="1">
      <x:c r="A3612" s="3" t="str">
        <x:v>EXP131</x:v>
      </x:c>
      <x:c r="B3612" s="3" t="str">
        <x:v>Smooth 3</x:v>
      </x:c>
      <x:c r="C3612" s="18" t="n">
        <x:v>1391820987</x:v>
      </x:c>
      <x:c r="D3612" s="3" t="str">
        <x:v>Relative cutoff 1e-5</x:v>
      </x:c>
      <x:c r="E3612" s="18" t="n">
        <x:v>400</x:v>
      </x:c>
      <x:c r="F3612" s="21" t="n">
        <x:v>465.7715539963313</x:v>
      </x:c>
      <x:c r="G3612" s="21" t="n">
        <x:f>F3611</x:f>
        <x:v>473.1902440087733</x:v>
      </x:c>
      <x:c r="H3612" s="21" t="n">
        <x:f>F3616</x:f>
        <x:v>477.6550902880468</x:v>
      </x:c>
      <x:c r="I3612" s="27" t="n">
        <x:f>IF(AND(ISNUMBER(G3612),ISNUMBER(H3612),H3612&gt;0),G3612/H3612-1,"")</x:f>
        <x:v>-0.009347427401183994</x:v>
      </x:c>
      <x:c r="J3612" s="27" t="n">
        <x:f>IF(AND(ISNUMBER(G3612),F3612&gt;0),G3612/F3612-1,"")</x:f>
        <x:v>0.015927743866686273</x:v>
      </x:c>
      <x:c r="K3612" s="19" t="str">
        <x:v>Smooth_3/EXP131/results/seed1391820987_Relative_cutoff_1e-5.json</x:v>
      </x:c>
    </x:row>
    <x:row r="3613" ht="15" hidden="0" customHeight="1">
      <x:c r="A3613" s="3" t="str">
        <x:v>EXP131</x:v>
      </x:c>
      <x:c r="B3613" s="3" t="str">
        <x:v>Smooth 3</x:v>
      </x:c>
      <x:c r="C3613" s="18" t="n">
        <x:v>1391820987</x:v>
      </x:c>
      <x:c r="D3613" s="3" t="str">
        <x:v>Fixed rank 10</x:v>
      </x:c>
      <x:c r="E3613" s="18" t="n">
        <x:v>400</x:v>
      </x:c>
      <x:c r="F3613" s="21" t="n">
        <x:v>481.19819827982593</x:v>
      </x:c>
      <x:c r="G3613" s="21" t="n">
        <x:f>F3611</x:f>
        <x:v>473.1902440087733</x:v>
      </x:c>
      <x:c r="H3613" s="21" t="n">
        <x:f>F3616</x:f>
        <x:v>477.6550902880468</x:v>
      </x:c>
      <x:c r="I3613" s="27" t="n">
        <x:f>IF(AND(ISNUMBER(G3613),ISNUMBER(H3613),H3613&gt;0),G3613/H3613-1,"")</x:f>
        <x:v>-0.009347427401183994</x:v>
      </x:c>
      <x:c r="J3613" s="27" t="n">
        <x:f>IF(AND(ISNUMBER(G3613),F3613&gt;0),G3613/F3613-1,"")</x:f>
        <x:v>-0.016641696289967922</x:v>
      </x:c>
      <x:c r="K3613" s="19" t="str">
        <x:v>Smooth_3/EXP131/results/seed1391820987_Fixed_rank_10.json</x:v>
      </x:c>
    </x:row>
    <x:row r="3614" ht="15" hidden="0" customHeight="1">
      <x:c r="A3614" s="3" t="str">
        <x:v>EXP131</x:v>
      </x:c>
      <x:c r="B3614" s="3" t="str">
        <x:v>Smooth 3</x:v>
      </x:c>
      <x:c r="C3614" s="18" t="n">
        <x:v>1391820987</x:v>
      </x:c>
      <x:c r="D3614" s="3" t="str">
        <x:v>Fixed rank 25</x:v>
      </x:c>
      <x:c r="E3614" s="18" t="n">
        <x:v>400</x:v>
      </x:c>
      <x:c r="F3614" s="21" t="n">
        <x:v>459.14197739777387</x:v>
      </x:c>
      <x:c r="G3614" s="21" t="n">
        <x:f>F3611</x:f>
        <x:v>473.1902440087733</x:v>
      </x:c>
      <x:c r="H3614" s="21" t="n">
        <x:f>F3616</x:f>
        <x:v>477.6550902880468</x:v>
      </x:c>
      <x:c r="I3614" s="27" t="n">
        <x:f>IF(AND(ISNUMBER(G3614),ISNUMBER(H3614),H3614&gt;0),G3614/H3614-1,"")</x:f>
        <x:v>-0.009347427401183994</x:v>
      </x:c>
      <x:c r="J3614" s="27" t="n">
        <x:f>IF(AND(ISNUMBER(G3614),F3614&gt;0),G3614/F3614-1,"")</x:f>
        <x:v>0.030596781175659782</x:v>
      </x:c>
      <x:c r="K3614" s="19" t="str">
        <x:v>Smooth_3/EXP131/results/seed1391820987_Fixed_rank_25.json</x:v>
      </x:c>
    </x:row>
    <x:row r="3615" ht="15" hidden="0" customHeight="1">
      <x:c r="A3615" s="3" t="str">
        <x:v>EXP131</x:v>
      </x:c>
      <x:c r="B3615" s="3" t="str">
        <x:v>Smooth 3</x:v>
      </x:c>
      <x:c r="C3615" s="18" t="n">
        <x:v>1391820987</x:v>
      </x:c>
      <x:c r="D3615" s="3" t="str">
        <x:v>Relative cutoff 1e-6</x:v>
      </x:c>
      <x:c r="E3615" s="18" t="n">
        <x:v>400</x:v>
      </x:c>
      <x:c r="F3615" s="21" t="n">
        <x:v>477.6550902880468</x:v>
      </x:c>
      <x:c r="G3615" s="21" t="n">
        <x:f>F3611</x:f>
        <x:v>473.1902440087733</x:v>
      </x:c>
      <x:c r="H3615" s="21" t="n">
        <x:f>F3616</x:f>
        <x:v>477.6550902880468</x:v>
      </x:c>
      <x:c r="I3615" s="27" t="n">
        <x:f>IF(AND(ISNUMBER(G3615),ISNUMBER(H3615),H3615&gt;0),G3615/H3615-1,"")</x:f>
        <x:v>-0.009347427401183994</x:v>
      </x:c>
      <x:c r="J3615" s="27" t="n">
        <x:f>IF(AND(ISNUMBER(G3615),F3615&gt;0),G3615/F3615-1,"")</x:f>
        <x:v>-0.009347427401183994</x:v>
      </x:c>
      <x:c r="K3615" s="19" t="str">
        <x:v>Smooth_3/EXP131/results/seed1391820987_Relative_cutoff_1e-6.json</x:v>
      </x:c>
    </x:row>
    <x:row r="3616" ht="15" hidden="0" customHeight="1">
      <x:c r="A3616" s="3" t="str">
        <x:v>EXP131</x:v>
      </x:c>
      <x:c r="B3616" s="3" t="str">
        <x:v>Smooth 3</x:v>
      </x:c>
      <x:c r="C3616" s="18" t="n">
        <x:v>1391820987</x:v>
      </x:c>
      <x:c r="D3616" s="3" t="str">
        <x:v>Full</x:v>
      </x:c>
      <x:c r="E3616" s="18" t="n">
        <x:v>400</x:v>
      </x:c>
      <x:c r="F3616" s="21" t="n">
        <x:v>477.6550902880468</x:v>
      </x:c>
      <x:c r="G3616" s="21" t="n">
        <x:f>F3611</x:f>
        <x:v>473.1902440087733</x:v>
      </x:c>
      <x:c r="H3616" s="21" t="n">
        <x:f>F3616</x:f>
        <x:v>477.6550902880468</x:v>
      </x:c>
      <x:c r="I3616" s="27" t="n">
        <x:f>IF(AND(ISNUMBER(G3616),ISNUMBER(H3616),H3616&gt;0),G3616/H3616-1,"")</x:f>
        <x:v>-0.009347427401183994</x:v>
      </x:c>
      <x:c r="J3616" s="27" t="n">
        <x:f>IF(AND(ISNUMBER(G3616),F3616&gt;0),G3616/F3616-1,"")</x:f>
        <x:v>-0.009347427401183994</x:v>
      </x:c>
      <x:c r="K3616" s="19" t="str">
        <x:v>Smooth_3/EXP131/results/seed1391820987_Full.json</x:v>
      </x:c>
    </x:row>
    <x:row r="3617" ht="15" hidden="0" customHeight="1">
      <x:c r="A3617" s="3" t="str">
        <x:v>EXP131</x:v>
      </x:c>
      <x:c r="B3617" s="3" t="str">
        <x:v>Smooth 3</x:v>
      </x:c>
      <x:c r="C3617" s="18" t="n">
        <x:v>1391820987</x:v>
      </x:c>
      <x:c r="D3617" s="3" t="str">
        <x:v>Relative cutoff 1e-2</x:v>
      </x:c>
      <x:c r="E3617" s="18" t="n">
        <x:v>400</x:v>
      </x:c>
      <x:c r="F3617" s="21" t="n">
        <x:v>459.82613463084067</x:v>
      </x:c>
      <x:c r="G3617" s="21" t="n">
        <x:f>F3611</x:f>
        <x:v>473.1902440087733</x:v>
      </x:c>
      <x:c r="H3617" s="21" t="n">
        <x:f>F3616</x:f>
        <x:v>477.6550902880468</x:v>
      </x:c>
      <x:c r="I3617" s="27" t="n">
        <x:f>IF(AND(ISNUMBER(G3617),ISNUMBER(H3617),H3617&gt;0),G3617/H3617-1,"")</x:f>
        <x:v>-0.009347427401183994</x:v>
      </x:c>
      <x:c r="J3617" s="27" t="n">
        <x:f>IF(AND(ISNUMBER(G3617),F3617&gt;0),G3617/F3617-1,"")</x:f>
        <x:v>0.029063396730726554</x:v>
      </x:c>
      <x:c r="K3617" s="19" t="str">
        <x:v>Smooth_3/EXP131/results/seed1391820987_Relative_cutoff_1e-2.json</x:v>
      </x:c>
    </x:row>
    <x:row r="3618" ht="15" hidden="0" customHeight="1">
      <x:c r="A3618" s="3" t="str">
        <x:v>EXP131</x:v>
      </x:c>
      <x:c r="B3618" s="3" t="str">
        <x:v>Smooth 3</x:v>
      </x:c>
      <x:c r="C3618" s="18" t="n">
        <x:v>1391820987</x:v>
      </x:c>
      <x:c r="D3618" s="3" t="str">
        <x:v>Relative cutoff 1e-4</x:v>
      </x:c>
      <x:c r="E3618" s="18" t="n">
        <x:v>400</x:v>
      </x:c>
      <x:c r="F3618" s="21" t="n">
        <x:v>477.05589190323116</x:v>
      </x:c>
      <x:c r="G3618" s="21" t="n">
        <x:f>F3611</x:f>
        <x:v>473.1902440087733</x:v>
      </x:c>
      <x:c r="H3618" s="21" t="n">
        <x:f>F3616</x:f>
        <x:v>477.6550902880468</x:v>
      </x:c>
      <x:c r="I3618" s="27" t="n">
        <x:f>IF(AND(ISNUMBER(G3618),ISNUMBER(H3618),H3618&gt;0),G3618/H3618-1,"")</x:f>
        <x:v>-0.009347427401183994</x:v>
      </x:c>
      <x:c r="J3618" s="27" t="n">
        <x:f>IF(AND(ISNUMBER(G3618),F3618&gt;0),G3618/F3618-1,"")</x:f>
        <x:v>-0.008103134161147718</x:v>
      </x:c>
      <x:c r="K3618" s="19" t="str">
        <x:v>Smooth_3/EXP131/results/seed1391820987_Relative_cutoff_1e-4.json</x:v>
      </x:c>
    </x:row>
    <x:row r="3619" ht="15" hidden="0" customHeight="1">
      <x:c r="A3619" s="3" t="str">
        <x:v>EXP131</x:v>
      </x:c>
      <x:c r="B3619" s="3" t="str">
        <x:v>Smooth 3</x:v>
      </x:c>
      <x:c r="C3619" s="18" t="n">
        <x:v>1486942171</x:v>
      </x:c>
      <x:c r="D3619" s="3" t="str">
        <x:v>BBP</x:v>
      </x:c>
      <x:c r="E3619" s="18" t="n">
        <x:v>400</x:v>
      </x:c>
      <x:c r="F3619" s="21" t="n">
        <x:v>455.491291774209</x:v>
      </x:c>
      <x:c r="G3619" s="21" t="n">
        <x:f>F3619</x:f>
        <x:v>455.491291774209</x:v>
      </x:c>
      <x:c r="H3619" s="21" t="n">
        <x:f>F3624</x:f>
        <x:v>484.136509768545</x:v>
      </x:c>
      <x:c r="I3619" s="27" t="n">
        <x:f>IF(AND(ISNUMBER(G3619),ISNUMBER(H3619),H3619&gt;0),G3619/H3619-1,"")</x:f>
        <x:v>-0.05916764676151087</x:v>
      </x:c>
      <x:c r="J3619" s="27" t="n">
        <x:f>IF(AND(ISNUMBER(G3619),F3619&gt;0),G3619/F3619-1,"")</x:f>
        <x:v>0</x:v>
      </x:c>
      <x:c r="K3619" s="19" t="str">
        <x:v>Smooth_3/EXP131/results/seed1486942171_BBP.json</x:v>
      </x:c>
    </x:row>
    <x:row r="3620" ht="15" hidden="0" customHeight="1">
      <x:c r="A3620" s="3" t="str">
        <x:v>EXP131</x:v>
      </x:c>
      <x:c r="B3620" s="3" t="str">
        <x:v>Smooth 3</x:v>
      </x:c>
      <x:c r="C3620" s="18" t="n">
        <x:v>1486942171</x:v>
      </x:c>
      <x:c r="D3620" s="3" t="str">
        <x:v>Relative cutoff 1e-5</x:v>
      </x:c>
      <x:c r="E3620" s="18" t="n">
        <x:v>400</x:v>
      </x:c>
      <x:c r="F3620" s="21" t="n">
        <x:v>483.71521291445856</x:v>
      </x:c>
      <x:c r="G3620" s="21" t="n">
        <x:f>F3619</x:f>
        <x:v>455.491291774209</x:v>
      </x:c>
      <x:c r="H3620" s="21" t="n">
        <x:f>F3624</x:f>
        <x:v>484.136509768545</x:v>
      </x:c>
      <x:c r="I3620" s="27" t="n">
        <x:f>IF(AND(ISNUMBER(G3620),ISNUMBER(H3620),H3620&gt;0),G3620/H3620-1,"")</x:f>
        <x:v>-0.05916764676151087</x:v>
      </x:c>
      <x:c r="J3620" s="27" t="n">
        <x:f>IF(AND(ISNUMBER(G3620),F3620&gt;0),G3620/F3620-1,"")</x:f>
        <x:v>-0.058348218924511586</x:v>
      </x:c>
      <x:c r="K3620" s="19" t="str">
        <x:v>Smooth_3/EXP131/results/seed1486942171_Relative_cutoff_1e-5.json</x:v>
      </x:c>
    </x:row>
    <x:row r="3621" ht="15" hidden="0" customHeight="1">
      <x:c r="A3621" s="3" t="str">
        <x:v>EXP131</x:v>
      </x:c>
      <x:c r="B3621" s="3" t="str">
        <x:v>Smooth 3</x:v>
      </x:c>
      <x:c r="C3621" s="18" t="n">
        <x:v>1486942171</x:v>
      </x:c>
      <x:c r="D3621" s="3" t="str">
        <x:v>Fixed rank 10</x:v>
      </x:c>
      <x:c r="E3621" s="18" t="n">
        <x:v>400</x:v>
      </x:c>
      <x:c r="F3621" s="21" t="n">
        <x:v>502.513722522122</x:v>
      </x:c>
      <x:c r="G3621" s="21" t="n">
        <x:f>F3619</x:f>
        <x:v>455.491291774209</x:v>
      </x:c>
      <x:c r="H3621" s="21" t="n">
        <x:f>F3624</x:f>
        <x:v>484.136509768545</x:v>
      </x:c>
      <x:c r="I3621" s="27" t="n">
        <x:f>IF(AND(ISNUMBER(G3621),ISNUMBER(H3621),H3621&gt;0),G3621/H3621-1,"")</x:f>
        <x:v>-0.05916764676151087</x:v>
      </x:c>
      <x:c r="J3621" s="27" t="n">
        <x:f>IF(AND(ISNUMBER(G3621),F3621&gt;0),G3621/F3621-1,"")</x:f>
        <x:v>-0.09357442123551751</x:v>
      </x:c>
      <x:c r="K3621" s="19" t="str">
        <x:v>Smooth_3/EXP131/results/seed1486942171_Fixed_rank_10.json</x:v>
      </x:c>
    </x:row>
    <x:row r="3622" ht="15" hidden="0" customHeight="1">
      <x:c r="A3622" s="3" t="str">
        <x:v>EXP131</x:v>
      </x:c>
      <x:c r="B3622" s="3" t="str">
        <x:v>Smooth 3</x:v>
      </x:c>
      <x:c r="C3622" s="18" t="n">
        <x:v>1486942171</x:v>
      </x:c>
      <x:c r="D3622" s="3" t="str">
        <x:v>Fixed rank 25</x:v>
      </x:c>
      <x:c r="E3622" s="18" t="n">
        <x:v>400</x:v>
      </x:c>
      <x:c r="F3622" s="21" t="n">
        <x:v>455.491291774209</x:v>
      </x:c>
      <x:c r="G3622" s="21" t="n">
        <x:f>F3619</x:f>
        <x:v>455.491291774209</x:v>
      </x:c>
      <x:c r="H3622" s="21" t="n">
        <x:f>F3624</x:f>
        <x:v>484.136509768545</x:v>
      </x:c>
      <x:c r="I3622" s="27" t="n">
        <x:f>IF(AND(ISNUMBER(G3622),ISNUMBER(H3622),H3622&gt;0),G3622/H3622-1,"")</x:f>
        <x:v>-0.05916764676151087</x:v>
      </x:c>
      <x:c r="J3622" s="27" t="n">
        <x:f>IF(AND(ISNUMBER(G3622),F3622&gt;0),G3622/F3622-1,"")</x:f>
        <x:v>0</x:v>
      </x:c>
      <x:c r="K3622" s="19" t="str">
        <x:v>Smooth_3/EXP131/results/seed1486942171_Fixed_rank_25.json</x:v>
      </x:c>
    </x:row>
    <x:row r="3623" ht="15" hidden="0" customHeight="1">
      <x:c r="A3623" s="3" t="str">
        <x:v>EXP131</x:v>
      </x:c>
      <x:c r="B3623" s="3" t="str">
        <x:v>Smooth 3</x:v>
      </x:c>
      <x:c r="C3623" s="18" t="n">
        <x:v>1486942171</x:v>
      </x:c>
      <x:c r="D3623" s="3" t="str">
        <x:v>Relative cutoff 1e-6</x:v>
      </x:c>
      <x:c r="E3623" s="18" t="n">
        <x:v>400</x:v>
      </x:c>
      <x:c r="F3623" s="21" t="n">
        <x:v>483.71521291445856</x:v>
      </x:c>
      <x:c r="G3623" s="21" t="n">
        <x:f>F3619</x:f>
        <x:v>455.491291774209</x:v>
      </x:c>
      <x:c r="H3623" s="21" t="n">
        <x:f>F3624</x:f>
        <x:v>484.136509768545</x:v>
      </x:c>
      <x:c r="I3623" s="27" t="n">
        <x:f>IF(AND(ISNUMBER(G3623),ISNUMBER(H3623),H3623&gt;0),G3623/H3623-1,"")</x:f>
        <x:v>-0.05916764676151087</x:v>
      </x:c>
      <x:c r="J3623" s="27" t="n">
        <x:f>IF(AND(ISNUMBER(G3623),F3623&gt;0),G3623/F3623-1,"")</x:f>
        <x:v>-0.058348218924511586</x:v>
      </x:c>
      <x:c r="K3623" s="19" t="str">
        <x:v>Smooth_3/EXP131/results/seed1486942171_Relative_cutoff_1e-6.json</x:v>
      </x:c>
    </x:row>
    <x:row r="3624" ht="15" hidden="0" customHeight="1">
      <x:c r="A3624" s="3" t="str">
        <x:v>EXP131</x:v>
      </x:c>
      <x:c r="B3624" s="3" t="str">
        <x:v>Smooth 3</x:v>
      </x:c>
      <x:c r="C3624" s="18" t="n">
        <x:v>1486942171</x:v>
      </x:c>
      <x:c r="D3624" s="3" t="str">
        <x:v>Full</x:v>
      </x:c>
      <x:c r="E3624" s="18" t="n">
        <x:v>400</x:v>
      </x:c>
      <x:c r="F3624" s="21" t="n">
        <x:v>484.136509768545</x:v>
      </x:c>
      <x:c r="G3624" s="21" t="n">
        <x:f>F3619</x:f>
        <x:v>455.491291774209</x:v>
      </x:c>
      <x:c r="H3624" s="21" t="n">
        <x:f>F3624</x:f>
        <x:v>484.136509768545</x:v>
      </x:c>
      <x:c r="I3624" s="27" t="n">
        <x:f>IF(AND(ISNUMBER(G3624),ISNUMBER(H3624),H3624&gt;0),G3624/H3624-1,"")</x:f>
        <x:v>-0.05916764676151087</x:v>
      </x:c>
      <x:c r="J3624" s="27" t="n">
        <x:f>IF(AND(ISNUMBER(G3624),F3624&gt;0),G3624/F3624-1,"")</x:f>
        <x:v>-0.05916764676151087</x:v>
      </x:c>
      <x:c r="K3624" s="19" t="str">
        <x:v>Smooth_3/EXP131/results/seed1486942171_Full.json</x:v>
      </x:c>
    </x:row>
    <x:row r="3625" ht="15" hidden="0" customHeight="1">
      <x:c r="A3625" s="3" t="str">
        <x:v>EXP131</x:v>
      </x:c>
      <x:c r="B3625" s="3" t="str">
        <x:v>Smooth 3</x:v>
      </x:c>
      <x:c r="C3625" s="18" t="n">
        <x:v>1486942171</x:v>
      </x:c>
      <x:c r="D3625" s="3" t="str">
        <x:v>Relative cutoff 1e-2</x:v>
      </x:c>
      <x:c r="E3625" s="18" t="n">
        <x:v>400</x:v>
      </x:c>
      <x:c r="F3625" s="21" t="n">
        <x:v>478.97019897737465</x:v>
      </x:c>
      <x:c r="G3625" s="21" t="n">
        <x:f>F3619</x:f>
        <x:v>455.491291774209</x:v>
      </x:c>
      <x:c r="H3625" s="21" t="n">
        <x:f>F3624</x:f>
        <x:v>484.136509768545</x:v>
      </x:c>
      <x:c r="I3625" s="27" t="n">
        <x:f>IF(AND(ISNUMBER(G3625),ISNUMBER(H3625),H3625&gt;0),G3625/H3625-1,"")</x:f>
        <x:v>-0.05916764676151087</x:v>
      </x:c>
      <x:c r="J3625" s="27" t="n">
        <x:f>IF(AND(ISNUMBER(G3625),F3625&gt;0),G3625/F3625-1,"")</x:f>
        <x:v>-0.04901955748665421</x:v>
      </x:c>
      <x:c r="K3625" s="19" t="str">
        <x:v>Smooth_3/EXP131/results/seed1486942171_Relative_cutoff_1e-2.json</x:v>
      </x:c>
    </x:row>
    <x:row r="3626" ht="15" hidden="0" customHeight="1">
      <x:c r="A3626" s="3" t="str">
        <x:v>EXP131</x:v>
      </x:c>
      <x:c r="B3626" s="3" t="str">
        <x:v>Smooth 3</x:v>
      </x:c>
      <x:c r="C3626" s="18" t="n">
        <x:v>1486942171</x:v>
      </x:c>
      <x:c r="D3626" s="3" t="str">
        <x:v>Relative cutoff 1e-4</x:v>
      </x:c>
      <x:c r="E3626" s="18" t="n">
        <x:v>400</x:v>
      </x:c>
      <x:c r="F3626" s="21" t="n">
        <x:v>468.57351737378474</x:v>
      </x:c>
      <x:c r="G3626" s="21" t="n">
        <x:f>F3619</x:f>
        <x:v>455.491291774209</x:v>
      </x:c>
      <x:c r="H3626" s="21" t="n">
        <x:f>F3624</x:f>
        <x:v>484.136509768545</x:v>
      </x:c>
      <x:c r="I3626" s="27" t="n">
        <x:f>IF(AND(ISNUMBER(G3626),ISNUMBER(H3626),H3626&gt;0),G3626/H3626-1,"")</x:f>
        <x:v>-0.05916764676151087</x:v>
      </x:c>
      <x:c r="J3626" s="27" t="n">
        <x:f>IF(AND(ISNUMBER(G3626),F3626&gt;0),G3626/F3626-1,"")</x:f>
        <x:v>-0.027919259442782285</x:v>
      </x:c>
      <x:c r="K3626" s="19" t="str">
        <x:v>Smooth_3/EXP131/results/seed1486942171_Relative_cutoff_1e-4.json</x:v>
      </x:c>
    </x:row>
    <x:row r="3627" ht="15" hidden="0" customHeight="1">
      <x:c r="A3627" s="3" t="str">
        <x:v>EXP131</x:v>
      </x:c>
      <x:c r="B3627" s="3" t="str">
        <x:v>Smooth 3</x:v>
      </x:c>
      <x:c r="C3627" s="18" t="n">
        <x:v>1630556671</x:v>
      </x:c>
      <x:c r="D3627" s="3" t="str">
        <x:v>BBP</x:v>
      </x:c>
      <x:c r="E3627" s="18" t="n">
        <x:v>400</x:v>
      </x:c>
      <x:c r="F3627" s="21" t="n">
        <x:v>419.6948946981652</x:v>
      </x:c>
      <x:c r="G3627" s="21" t="n">
        <x:f>F3627</x:f>
        <x:v>419.6948946981652</x:v>
      </x:c>
      <x:c r="H3627" s="21" t="n">
        <x:f>F3632</x:f>
        <x:v>419.6948946981652</x:v>
      </x:c>
      <x:c r="I3627" s="27" t="n">
        <x:f>IF(AND(ISNUMBER(G3627),ISNUMBER(H3627),H3627&gt;0),G3627/H3627-1,"")</x:f>
        <x:v>0</x:v>
      </x:c>
      <x:c r="J3627" s="27" t="n">
        <x:f>IF(AND(ISNUMBER(G3627),F3627&gt;0),G3627/F3627-1,"")</x:f>
        <x:v>0</x:v>
      </x:c>
      <x:c r="K3627" s="19" t="str">
        <x:v>Smooth_3/EXP131/results/seed1630556671_BBP.json</x:v>
      </x:c>
    </x:row>
    <x:row r="3628" ht="15" hidden="0" customHeight="1">
      <x:c r="A3628" s="3" t="str">
        <x:v>EXP131</x:v>
      </x:c>
      <x:c r="B3628" s="3" t="str">
        <x:v>Smooth 3</x:v>
      </x:c>
      <x:c r="C3628" s="18" t="n">
        <x:v>1630556671</x:v>
      </x:c>
      <x:c r="D3628" s="3" t="str">
        <x:v>Relative cutoff 1e-5</x:v>
      </x:c>
      <x:c r="E3628" s="18" t="n">
        <x:v>400</x:v>
      </x:c>
      <x:c r="F3628" s="21" t="n">
        <x:v>414.56982691164353</x:v>
      </x:c>
      <x:c r="G3628" s="21" t="n">
        <x:f>F3627</x:f>
        <x:v>419.6948946981652</x:v>
      </x:c>
      <x:c r="H3628" s="21" t="n">
        <x:f>F3632</x:f>
        <x:v>419.6948946981652</x:v>
      </x:c>
      <x:c r="I3628" s="27" t="n">
        <x:f>IF(AND(ISNUMBER(G3628),ISNUMBER(H3628),H3628&gt;0),G3628/H3628-1,"")</x:f>
        <x:v>0</x:v>
      </x:c>
      <x:c r="J3628" s="27" t="n">
        <x:f>IF(AND(ISNUMBER(G3628),F3628&gt;0),G3628/F3628-1,"")</x:f>
        <x:v>0.012362375295619454</x:v>
      </x:c>
      <x:c r="K3628" s="19" t="str">
        <x:v>Smooth_3/EXP131/results/seed1630556671_Relative_cutoff_1e-5.json</x:v>
      </x:c>
    </x:row>
    <x:row r="3629" ht="15" hidden="0" customHeight="1">
      <x:c r="A3629" s="3" t="str">
        <x:v>EXP131</x:v>
      </x:c>
      <x:c r="B3629" s="3" t="str">
        <x:v>Smooth 3</x:v>
      </x:c>
      <x:c r="C3629" s="18" t="n">
        <x:v>1630556671</x:v>
      </x:c>
      <x:c r="D3629" s="3" t="str">
        <x:v>Fixed rank 10</x:v>
      </x:c>
      <x:c r="E3629" s="18" t="n">
        <x:v>400</x:v>
      </x:c>
      <x:c r="F3629" s="21" t="n">
        <x:v>386.7537304783465</x:v>
      </x:c>
      <x:c r="G3629" s="21" t="n">
        <x:f>F3627</x:f>
        <x:v>419.6948946981652</x:v>
      </x:c>
      <x:c r="H3629" s="21" t="n">
        <x:f>F3632</x:f>
        <x:v>419.6948946981652</x:v>
      </x:c>
      <x:c r="I3629" s="27" t="n">
        <x:f>IF(AND(ISNUMBER(G3629),ISNUMBER(H3629),H3629&gt;0),G3629/H3629-1,"")</x:f>
        <x:v>0</x:v>
      </x:c>
      <x:c r="J3629" s="27" t="n">
        <x:f>IF(AND(ISNUMBER(G3629),F3629&gt;0),G3629/F3629-1,"")</x:f>
        <x:v>0.085173487994741</x:v>
      </x:c>
      <x:c r="K3629" s="19" t="str">
        <x:v>Smooth_3/EXP131/results/seed1630556671_Fixed_rank_10.json</x:v>
      </x:c>
    </x:row>
    <x:row r="3630" ht="15" hidden="0" customHeight="1">
      <x:c r="A3630" s="3" t="str">
        <x:v>EXP131</x:v>
      </x:c>
      <x:c r="B3630" s="3" t="str">
        <x:v>Smooth 3</x:v>
      </x:c>
      <x:c r="C3630" s="18" t="n">
        <x:v>1630556671</x:v>
      </x:c>
      <x:c r="D3630" s="3" t="str">
        <x:v>Fixed rank 25</x:v>
      </x:c>
      <x:c r="E3630" s="18" t="n">
        <x:v>400</x:v>
      </x:c>
      <x:c r="F3630" s="21" t="n">
        <x:v>418.7712646699344</x:v>
      </x:c>
      <x:c r="G3630" s="21" t="n">
        <x:f>F3627</x:f>
        <x:v>419.6948946981652</x:v>
      </x:c>
      <x:c r="H3630" s="21" t="n">
        <x:f>F3632</x:f>
        <x:v>419.6948946981652</x:v>
      </x:c>
      <x:c r="I3630" s="27" t="n">
        <x:f>IF(AND(ISNUMBER(G3630),ISNUMBER(H3630),H3630&gt;0),G3630/H3630-1,"")</x:f>
        <x:v>0</x:v>
      </x:c>
      <x:c r="J3630" s="27" t="n">
        <x:f>IF(AND(ISNUMBER(G3630),F3630&gt;0),G3630/F3630-1,"")</x:f>
        <x:v>0.002205571647708071</x:v>
      </x:c>
      <x:c r="K3630" s="19" t="str">
        <x:v>Smooth_3/EXP131/results/seed1630556671_Fixed_rank_25.json</x:v>
      </x:c>
    </x:row>
    <x:row r="3631" ht="15" hidden="0" customHeight="1">
      <x:c r="A3631" s="3" t="str">
        <x:v>EXP131</x:v>
      </x:c>
      <x:c r="B3631" s="3" t="str">
        <x:v>Smooth 3</x:v>
      </x:c>
      <x:c r="C3631" s="18" t="n">
        <x:v>1630556671</x:v>
      </x:c>
      <x:c r="D3631" s="3" t="str">
        <x:v>Relative cutoff 1e-6</x:v>
      </x:c>
      <x:c r="E3631" s="18" t="n">
        <x:v>400</x:v>
      </x:c>
      <x:c r="F3631" s="21" t="n">
        <x:v>402.34287075122893</x:v>
      </x:c>
      <x:c r="G3631" s="21" t="n">
        <x:f>F3627</x:f>
        <x:v>419.6948946981652</x:v>
      </x:c>
      <x:c r="H3631" s="21" t="n">
        <x:f>F3632</x:f>
        <x:v>419.6948946981652</x:v>
      </x:c>
      <x:c r="I3631" s="27" t="n">
        <x:f>IF(AND(ISNUMBER(G3631),ISNUMBER(H3631),H3631&gt;0),G3631/H3631-1,"")</x:f>
        <x:v>0</x:v>
      </x:c>
      <x:c r="J3631" s="27" t="n">
        <x:f>IF(AND(ISNUMBER(G3631),F3631&gt;0),G3631/F3631-1,"")</x:f>
        <x:v>0.04312745473664714</x:v>
      </x:c>
      <x:c r="K3631" s="19" t="str">
        <x:v>Smooth_3/EXP131/results/seed1630556671_Relative_cutoff_1e-6.json</x:v>
      </x:c>
    </x:row>
    <x:row r="3632" ht="15" hidden="0" customHeight="1">
      <x:c r="A3632" s="3" t="str">
        <x:v>EXP131</x:v>
      </x:c>
      <x:c r="B3632" s="3" t="str">
        <x:v>Smooth 3</x:v>
      </x:c>
      <x:c r="C3632" s="18" t="n">
        <x:v>1630556671</x:v>
      </x:c>
      <x:c r="D3632" s="3" t="str">
        <x:v>Full</x:v>
      </x:c>
      <x:c r="E3632" s="18" t="n">
        <x:v>400</x:v>
      </x:c>
      <x:c r="F3632" s="21" t="n">
        <x:v>419.6948946981652</x:v>
      </x:c>
      <x:c r="G3632" s="21" t="n">
        <x:f>F3627</x:f>
        <x:v>419.6948946981652</x:v>
      </x:c>
      <x:c r="H3632" s="21" t="n">
        <x:f>F3632</x:f>
        <x:v>419.6948946981652</x:v>
      </x:c>
      <x:c r="I3632" s="27" t="n">
        <x:f>IF(AND(ISNUMBER(G3632),ISNUMBER(H3632),H3632&gt;0),G3632/H3632-1,"")</x:f>
        <x:v>0</x:v>
      </x:c>
      <x:c r="J3632" s="27" t="n">
        <x:f>IF(AND(ISNUMBER(G3632),F3632&gt;0),G3632/F3632-1,"")</x:f>
        <x:v>0</x:v>
      </x:c>
      <x:c r="K3632" s="19" t="str">
        <x:v>Smooth_3/EXP131/results/seed1630556671_Full.json</x:v>
      </x:c>
    </x:row>
    <x:row r="3633" ht="15" hidden="0" customHeight="1">
      <x:c r="A3633" s="3" t="str">
        <x:v>EXP131</x:v>
      </x:c>
      <x:c r="B3633" s="3" t="str">
        <x:v>Smooth 3</x:v>
      </x:c>
      <x:c r="C3633" s="18" t="n">
        <x:v>1630556671</x:v>
      </x:c>
      <x:c r="D3633" s="3" t="str">
        <x:v>Relative cutoff 1e-2</x:v>
      </x:c>
      <x:c r="E3633" s="18" t="n">
        <x:v>400</x:v>
      </x:c>
      <x:c r="F3633" s="21" t="n">
        <x:v>411.1100343833314</x:v>
      </x:c>
      <x:c r="G3633" s="21" t="n">
        <x:f>F3627</x:f>
        <x:v>419.6948946981652</x:v>
      </x:c>
      <x:c r="H3633" s="21" t="n">
        <x:f>F3632</x:f>
        <x:v>419.6948946981652</x:v>
      </x:c>
      <x:c r="I3633" s="27" t="n">
        <x:f>IF(AND(ISNUMBER(G3633),ISNUMBER(H3633),H3633&gt;0),G3633/H3633-1,"")</x:f>
        <x:v>0</x:v>
      </x:c>
      <x:c r="J3633" s="27" t="n">
        <x:f>IF(AND(ISNUMBER(G3633),F3633&gt;0),G3633/F3633-1,"")</x:f>
        <x:v>0.020882147349458702</x:v>
      </x:c>
      <x:c r="K3633" s="19" t="str">
        <x:v>Smooth_3/EXP131/results/seed1630556671_Relative_cutoff_1e-2.json</x:v>
      </x:c>
    </x:row>
    <x:row r="3634" ht="15" hidden="0" customHeight="1">
      <x:c r="A3634" s="3" t="str">
        <x:v>EXP131</x:v>
      </x:c>
      <x:c r="B3634" s="3" t="str">
        <x:v>Smooth 3</x:v>
      </x:c>
      <x:c r="C3634" s="18" t="n">
        <x:v>1630556671</x:v>
      </x:c>
      <x:c r="D3634" s="3" t="str">
        <x:v>Relative cutoff 1e-4</x:v>
      </x:c>
      <x:c r="E3634" s="18" t="n">
        <x:v>400</x:v>
      </x:c>
      <x:c r="F3634" s="21" t="n">
        <x:v>409.7387233246803</x:v>
      </x:c>
      <x:c r="G3634" s="21" t="n">
        <x:f>F3627</x:f>
        <x:v>419.6948946981652</x:v>
      </x:c>
      <x:c r="H3634" s="21" t="n">
        <x:f>F3632</x:f>
        <x:v>419.6948946981652</x:v>
      </x:c>
      <x:c r="I3634" s="27" t="n">
        <x:f>IF(AND(ISNUMBER(G3634),ISNUMBER(H3634),H3634&gt;0),G3634/H3634-1,"")</x:f>
        <x:v>0</x:v>
      </x:c>
      <x:c r="J3634" s="27" t="n">
        <x:f>IF(AND(ISNUMBER(G3634),F3634&gt;0),G3634/F3634-1,"")</x:f>
        <x:v>0.024298829489922458</x:v>
      </x:c>
      <x:c r="K3634" s="19" t="str">
        <x:v>Smooth_3/EXP131/results/seed1630556671_Relative_cutoff_1e-4.json</x:v>
      </x:c>
    </x:row>
    <x:row r="3635" ht="15" hidden="0" customHeight="1">
      <x:c r="A3635" s="3" t="str">
        <x:v>EXP131</x:v>
      </x:c>
      <x:c r="B3635" s="3" t="str">
        <x:v>Smooth 3</x:v>
      </x:c>
      <x:c r="C3635" s="18" t="n">
        <x:v>1717792751</x:v>
      </x:c>
      <x:c r="D3635" s="3" t="str">
        <x:v>BBP</x:v>
      </x:c>
      <x:c r="E3635" s="18" t="n">
        <x:v>400</x:v>
      </x:c>
      <x:c r="F3635" s="21" t="n">
        <x:v>392.2586630612279</x:v>
      </x:c>
      <x:c r="G3635" s="21" t="n">
        <x:f>F3635</x:f>
        <x:v>392.2586630612279</x:v>
      </x:c>
      <x:c r="H3635" s="21" t="n">
        <x:f>F3640</x:f>
        <x:v>381.3052406849985</x:v>
      </x:c>
      <x:c r="I3635" s="27" t="n">
        <x:f>IF(AND(ISNUMBER(G3635),ISNUMBER(H3635),H3635&gt;0),G3635/H3635-1,"")</x:f>
        <x:v>0.028726125968140392</x:v>
      </x:c>
      <x:c r="J3635" s="27" t="n">
        <x:f>IF(AND(ISNUMBER(G3635),F3635&gt;0),G3635/F3635-1,"")</x:f>
        <x:v>0</x:v>
      </x:c>
      <x:c r="K3635" s="19" t="str">
        <x:v>Smooth_3/EXP131/results/seed1717792751_BBP.json</x:v>
      </x:c>
    </x:row>
    <x:row r="3636" ht="15" hidden="0" customHeight="1">
      <x:c r="A3636" s="3" t="str">
        <x:v>EXP131</x:v>
      </x:c>
      <x:c r="B3636" s="3" t="str">
        <x:v>Smooth 3</x:v>
      </x:c>
      <x:c r="C3636" s="18" t="n">
        <x:v>1717792751</x:v>
      </x:c>
      <x:c r="D3636" s="3" t="str">
        <x:v>Relative cutoff 1e-5</x:v>
      </x:c>
      <x:c r="E3636" s="18" t="n">
        <x:v>400</x:v>
      </x:c>
      <x:c r="F3636" s="21" t="n">
        <x:v>408.3633857051182</x:v>
      </x:c>
      <x:c r="G3636" s="21" t="n">
        <x:f>F3635</x:f>
        <x:v>392.2586630612279</x:v>
      </x:c>
      <x:c r="H3636" s="21" t="n">
        <x:f>F3640</x:f>
        <x:v>381.3052406849985</x:v>
      </x:c>
      <x:c r="I3636" s="27" t="n">
        <x:f>IF(AND(ISNUMBER(G3636),ISNUMBER(H3636),H3636&gt;0),G3636/H3636-1,"")</x:f>
        <x:v>0.028726125968140392</x:v>
      </x:c>
      <x:c r="J3636" s="27" t="n">
        <x:f>IF(AND(ISNUMBER(G3636),F3636&gt;0),G3636/F3636-1,"")</x:f>
        <x:v>-0.03943723459947912</x:v>
      </x:c>
      <x:c r="K3636" s="19" t="str">
        <x:v>Smooth_3/EXP131/results/seed1717792751_Relative_cutoff_1e-5.json</x:v>
      </x:c>
    </x:row>
    <x:row r="3637" ht="15" hidden="0" customHeight="1">
      <x:c r="A3637" s="3" t="str">
        <x:v>EXP131</x:v>
      </x:c>
      <x:c r="B3637" s="3" t="str">
        <x:v>Smooth 3</x:v>
      </x:c>
      <x:c r="C3637" s="18" t="n">
        <x:v>1717792751</x:v>
      </x:c>
      <x:c r="D3637" s="3" t="str">
        <x:v>Fixed rank 10</x:v>
      </x:c>
      <x:c r="E3637" s="18" t="n">
        <x:v>400</x:v>
      </x:c>
      <x:c r="F3637" s="21" t="n">
        <x:v>380.5522815385625</x:v>
      </x:c>
      <x:c r="G3637" s="21" t="n">
        <x:f>F3635</x:f>
        <x:v>392.2586630612279</x:v>
      </x:c>
      <x:c r="H3637" s="21" t="n">
        <x:f>F3640</x:f>
        <x:v>381.3052406849985</x:v>
      </x:c>
      <x:c r="I3637" s="27" t="n">
        <x:f>IF(AND(ISNUMBER(G3637),ISNUMBER(H3637),H3637&gt;0),G3637/H3637-1,"")</x:f>
        <x:v>0.028726125968140392</x:v>
      </x:c>
      <x:c r="J3637" s="27" t="n">
        <x:f>IF(AND(ISNUMBER(G3637),F3637&gt;0),G3637/F3637-1,"")</x:f>
        <x:v>0.030761559161692098</x:v>
      </x:c>
      <x:c r="K3637" s="19" t="str">
        <x:v>Smooth_3/EXP131/results/seed1717792751_Fixed_rank_10.json</x:v>
      </x:c>
    </x:row>
    <x:row r="3638" ht="15" hidden="0" customHeight="1">
      <x:c r="A3638" s="3" t="str">
        <x:v>EXP131</x:v>
      </x:c>
      <x:c r="B3638" s="3" t="str">
        <x:v>Smooth 3</x:v>
      </x:c>
      <x:c r="C3638" s="18" t="n">
        <x:v>1717792751</x:v>
      </x:c>
      <x:c r="D3638" s="3" t="str">
        <x:v>Fixed rank 25</x:v>
      </x:c>
      <x:c r="E3638" s="18" t="n">
        <x:v>400</x:v>
      </x:c>
      <x:c r="F3638" s="21" t="n">
        <x:v>414.1935366760518</x:v>
      </x:c>
      <x:c r="G3638" s="21" t="n">
        <x:f>F3635</x:f>
        <x:v>392.2586630612279</x:v>
      </x:c>
      <x:c r="H3638" s="21" t="n">
        <x:f>F3640</x:f>
        <x:v>381.3052406849985</x:v>
      </x:c>
      <x:c r="I3638" s="27" t="n">
        <x:f>IF(AND(ISNUMBER(G3638),ISNUMBER(H3638),H3638&gt;0),G3638/H3638-1,"")</x:f>
        <x:v>0.028726125968140392</x:v>
      </x:c>
      <x:c r="J3638" s="27" t="n">
        <x:f>IF(AND(ISNUMBER(G3638),F3638&gt;0),G3638/F3638-1,"")</x:f>
        <x:v>-0.05295802969513641</x:v>
      </x:c>
      <x:c r="K3638" s="19" t="str">
        <x:v>Smooth_3/EXP131/results/seed1717792751_Fixed_rank_25.json</x:v>
      </x:c>
    </x:row>
    <x:row r="3639" ht="15" hidden="0" customHeight="1">
      <x:c r="A3639" s="3" t="str">
        <x:v>EXP131</x:v>
      </x:c>
      <x:c r="B3639" s="3" t="str">
        <x:v>Smooth 3</x:v>
      </x:c>
      <x:c r="C3639" s="18" t="n">
        <x:v>1717792751</x:v>
      </x:c>
      <x:c r="D3639" s="3" t="str">
        <x:v>Relative cutoff 1e-6</x:v>
      </x:c>
      <x:c r="E3639" s="18" t="n">
        <x:v>400</x:v>
      </x:c>
      <x:c r="F3639" s="21" t="n">
        <x:v>381.3052406849985</x:v>
      </x:c>
      <x:c r="G3639" s="21" t="n">
        <x:f>F3635</x:f>
        <x:v>392.2586630612279</x:v>
      </x:c>
      <x:c r="H3639" s="21" t="n">
        <x:f>F3640</x:f>
        <x:v>381.3052406849985</x:v>
      </x:c>
      <x:c r="I3639" s="27" t="n">
        <x:f>IF(AND(ISNUMBER(G3639),ISNUMBER(H3639),H3639&gt;0),G3639/H3639-1,"")</x:f>
        <x:v>0.028726125968140392</x:v>
      </x:c>
      <x:c r="J3639" s="27" t="n">
        <x:f>IF(AND(ISNUMBER(G3639),F3639&gt;0),G3639/F3639-1,"")</x:f>
        <x:v>0.028726125968140392</x:v>
      </x:c>
      <x:c r="K3639" s="19" t="str">
        <x:v>Smooth_3/EXP131/results/seed1717792751_Relative_cutoff_1e-6.json</x:v>
      </x:c>
    </x:row>
    <x:row r="3640" ht="15" hidden="0" customHeight="1">
      <x:c r="A3640" s="3" t="str">
        <x:v>EXP131</x:v>
      </x:c>
      <x:c r="B3640" s="3" t="str">
        <x:v>Smooth 3</x:v>
      </x:c>
      <x:c r="C3640" s="18" t="n">
        <x:v>1717792751</x:v>
      </x:c>
      <x:c r="D3640" s="3" t="str">
        <x:v>Full</x:v>
      </x:c>
      <x:c r="E3640" s="18" t="n">
        <x:v>400</x:v>
      </x:c>
      <x:c r="F3640" s="21" t="n">
        <x:v>381.3052406849985</x:v>
      </x:c>
      <x:c r="G3640" s="21" t="n">
        <x:f>F3635</x:f>
        <x:v>392.2586630612279</x:v>
      </x:c>
      <x:c r="H3640" s="21" t="n">
        <x:f>F3640</x:f>
        <x:v>381.3052406849985</x:v>
      </x:c>
      <x:c r="I3640" s="27" t="n">
        <x:f>IF(AND(ISNUMBER(G3640),ISNUMBER(H3640),H3640&gt;0),G3640/H3640-1,"")</x:f>
        <x:v>0.028726125968140392</x:v>
      </x:c>
      <x:c r="J3640" s="27" t="n">
        <x:f>IF(AND(ISNUMBER(G3640),F3640&gt;0),G3640/F3640-1,"")</x:f>
        <x:v>0.028726125968140392</x:v>
      </x:c>
      <x:c r="K3640" s="19" t="str">
        <x:v>Smooth_3/EXP131/results/seed1717792751_Full.json</x:v>
      </x:c>
    </x:row>
    <x:row r="3641" ht="15" hidden="0" customHeight="1">
      <x:c r="A3641" s="3" t="str">
        <x:v>EXP131</x:v>
      </x:c>
      <x:c r="B3641" s="3" t="str">
        <x:v>Smooth 3</x:v>
      </x:c>
      <x:c r="C3641" s="18" t="n">
        <x:v>1717792751</x:v>
      </x:c>
      <x:c r="D3641" s="3" t="str">
        <x:v>Relative cutoff 1e-2</x:v>
      </x:c>
      <x:c r="E3641" s="18" t="n">
        <x:v>400</x:v>
      </x:c>
      <x:c r="F3641" s="21" t="n">
        <x:v>370.9682656283838</x:v>
      </x:c>
      <x:c r="G3641" s="21" t="n">
        <x:f>F3635</x:f>
        <x:v>392.2586630612279</x:v>
      </x:c>
      <x:c r="H3641" s="21" t="n">
        <x:f>F3640</x:f>
        <x:v>381.3052406849985</x:v>
      </x:c>
      <x:c r="I3641" s="27" t="n">
        <x:f>IF(AND(ISNUMBER(G3641),ISNUMBER(H3641),H3641&gt;0),G3641/H3641-1,"")</x:f>
        <x:v>0.028726125968140392</x:v>
      </x:c>
      <x:c r="J3641" s="27" t="n">
        <x:f>IF(AND(ISNUMBER(G3641),F3641&gt;0),G3641/F3641-1,"")</x:f>
        <x:v>0.057391425104193816</x:v>
      </x:c>
      <x:c r="K3641" s="19" t="str">
        <x:v>Smooth_3/EXP131/results/seed1717792751_Relative_cutoff_1e-2.json</x:v>
      </x:c>
    </x:row>
    <x:row r="3642" ht="15" hidden="0" customHeight="1">
      <x:c r="A3642" s="3" t="str">
        <x:v>EXP131</x:v>
      </x:c>
      <x:c r="B3642" s="3" t="str">
        <x:v>Smooth 3</x:v>
      </x:c>
      <x:c r="C3642" s="18" t="n">
        <x:v>1717792751</x:v>
      </x:c>
      <x:c r="D3642" s="3" t="str">
        <x:v>Relative cutoff 1e-4</x:v>
      </x:c>
      <x:c r="E3642" s="18" t="n">
        <x:v>400</x:v>
      </x:c>
      <x:c r="F3642" s="21" t="n">
        <x:v>421.27408398239714</x:v>
      </x:c>
      <x:c r="G3642" s="21" t="n">
        <x:f>F3635</x:f>
        <x:v>392.2586630612279</x:v>
      </x:c>
      <x:c r="H3642" s="21" t="n">
        <x:f>F3640</x:f>
        <x:v>381.3052406849985</x:v>
      </x:c>
      <x:c r="I3642" s="27" t="n">
        <x:f>IF(AND(ISNUMBER(G3642),ISNUMBER(H3642),H3642&gt;0),G3642/H3642-1,"")</x:f>
        <x:v>0.028726125968140392</x:v>
      </x:c>
      <x:c r="J3642" s="27" t="n">
        <x:f>IF(AND(ISNUMBER(G3642),F3642&gt;0),G3642/F3642-1,"")</x:f>
        <x:v>-0.06887539970861745</x:v>
      </x:c>
      <x:c r="K3642" s="19" t="str">
        <x:v>Smooth_3/EXP131/results/seed1717792751_Relative_cutoff_1e-4.json</x:v>
      </x:c>
    </x:row>
    <x:row r="3643" ht="15" hidden="0" customHeight="1">
      <x:c r="A3643" s="3" t="str">
        <x:v>EXP131</x:v>
      </x:c>
      <x:c r="B3643" s="3" t="str">
        <x:v>Smooth 3</x:v>
      </x:c>
      <x:c r="C3643" s="18" t="n">
        <x:v>1723169116</x:v>
      </x:c>
      <x:c r="D3643" s="3" t="str">
        <x:v>BBP</x:v>
      </x:c>
      <x:c r="E3643" s="18" t="n">
        <x:v>400</x:v>
      </x:c>
      <x:c r="F3643" s="21" t="n">
        <x:v>330.2130505529687</x:v>
      </x:c>
      <x:c r="G3643" s="21" t="n">
        <x:f>F3643</x:f>
        <x:v>330.2130505529687</x:v>
      </x:c>
      <x:c r="H3643" s="21" t="n">
        <x:f>F3648</x:f>
        <x:v>342.4399673039857</x:v>
      </x:c>
      <x:c r="I3643" s="27" t="n">
        <x:f>IF(AND(ISNUMBER(G3643),ISNUMBER(H3643),H3643&gt;0),G3643/H3643-1,"")</x:f>
        <x:v>-0.035705285359296624</x:v>
      </x:c>
      <x:c r="J3643" s="27" t="n">
        <x:f>IF(AND(ISNUMBER(G3643),F3643&gt;0),G3643/F3643-1,"")</x:f>
        <x:v>0</x:v>
      </x:c>
      <x:c r="K3643" s="19" t="str">
        <x:v>Smooth_3/EXP131/results/seed1723169116_BBP.json</x:v>
      </x:c>
    </x:row>
    <x:row r="3644" ht="15" hidden="0" customHeight="1">
      <x:c r="A3644" s="3" t="str">
        <x:v>EXP131</x:v>
      </x:c>
      <x:c r="B3644" s="3" t="str">
        <x:v>Smooth 3</x:v>
      </x:c>
      <x:c r="C3644" s="18" t="n">
        <x:v>1723169116</x:v>
      </x:c>
      <x:c r="D3644" s="3" t="str">
        <x:v>Relative cutoff 1e-5</x:v>
      </x:c>
      <x:c r="E3644" s="18" t="n">
        <x:v>400</x:v>
      </x:c>
      <x:c r="F3644" s="21" t="n">
        <x:v>344.52445412049997</x:v>
      </x:c>
      <x:c r="G3644" s="21" t="n">
        <x:f>F3643</x:f>
        <x:v>330.2130505529687</x:v>
      </x:c>
      <x:c r="H3644" s="21" t="n">
        <x:f>F3648</x:f>
        <x:v>342.4399673039857</x:v>
      </x:c>
      <x:c r="I3644" s="27" t="n">
        <x:f>IF(AND(ISNUMBER(G3644),ISNUMBER(H3644),H3644&gt;0),G3644/H3644-1,"")</x:f>
        <x:v>-0.035705285359296624</x:v>
      </x:c>
      <x:c r="J3644" s="27" t="n">
        <x:f>IF(AND(ISNUMBER(G3644),F3644&gt;0),G3644/F3644-1,"")</x:f>
        <x:v>-0.04153958709278083</x:v>
      </x:c>
      <x:c r="K3644" s="19" t="str">
        <x:v>Smooth_3/EXP131/results/seed1723169116_Relative_cutoff_1e-5.json</x:v>
      </x:c>
    </x:row>
    <x:row r="3645" ht="15" hidden="0" customHeight="1">
      <x:c r="A3645" s="3" t="str">
        <x:v>EXP131</x:v>
      </x:c>
      <x:c r="B3645" s="3" t="str">
        <x:v>Smooth 3</x:v>
      </x:c>
      <x:c r="C3645" s="18" t="n">
        <x:v>1723169116</x:v>
      </x:c>
      <x:c r="D3645" s="3" t="str">
        <x:v>Fixed rank 10</x:v>
      </x:c>
      <x:c r="E3645" s="18" t="n">
        <x:v>400</x:v>
      </x:c>
      <x:c r="F3645" s="21" t="n">
        <x:v>377.90745025983426</x:v>
      </x:c>
      <x:c r="G3645" s="21" t="n">
        <x:f>F3643</x:f>
        <x:v>330.2130505529687</x:v>
      </x:c>
      <x:c r="H3645" s="21" t="n">
        <x:f>F3648</x:f>
        <x:v>342.4399673039857</x:v>
      </x:c>
      <x:c r="I3645" s="27" t="n">
        <x:f>IF(AND(ISNUMBER(G3645),ISNUMBER(H3645),H3645&gt;0),G3645/H3645-1,"")</x:f>
        <x:v>-0.035705285359296624</x:v>
      </x:c>
      <x:c r="J3645" s="27" t="n">
        <x:f>IF(AND(ISNUMBER(G3645),F3645&gt;0),G3645/F3645-1,"")</x:f>
        <x:v>-0.12620656108809913</x:v>
      </x:c>
      <x:c r="K3645" s="19" t="str">
        <x:v>Smooth_3/EXP131/results/seed1723169116_Fixed_rank_10.json</x:v>
      </x:c>
    </x:row>
    <x:row r="3646" ht="15" hidden="0" customHeight="1">
      <x:c r="A3646" s="3" t="str">
        <x:v>EXP131</x:v>
      </x:c>
      <x:c r="B3646" s="3" t="str">
        <x:v>Smooth 3</x:v>
      </x:c>
      <x:c r="C3646" s="18" t="n">
        <x:v>1723169116</x:v>
      </x:c>
      <x:c r="D3646" s="3" t="str">
        <x:v>Fixed rank 25</x:v>
      </x:c>
      <x:c r="E3646" s="18" t="n">
        <x:v>400</x:v>
      </x:c>
      <x:c r="F3646" s="21" t="n">
        <x:v>330.2130505529687</x:v>
      </x:c>
      <x:c r="G3646" s="21" t="n">
        <x:f>F3643</x:f>
        <x:v>330.2130505529687</x:v>
      </x:c>
      <x:c r="H3646" s="21" t="n">
        <x:f>F3648</x:f>
        <x:v>342.4399673039857</x:v>
      </x:c>
      <x:c r="I3646" s="27" t="n">
        <x:f>IF(AND(ISNUMBER(G3646),ISNUMBER(H3646),H3646&gt;0),G3646/H3646-1,"")</x:f>
        <x:v>-0.035705285359296624</x:v>
      </x:c>
      <x:c r="J3646" s="27" t="n">
        <x:f>IF(AND(ISNUMBER(G3646),F3646&gt;0),G3646/F3646-1,"")</x:f>
        <x:v>0</x:v>
      </x:c>
      <x:c r="K3646" s="19" t="str">
        <x:v>Smooth_3/EXP131/results/seed1723169116_Fixed_rank_25.json</x:v>
      </x:c>
    </x:row>
    <x:row r="3647" ht="15" hidden="0" customHeight="1">
      <x:c r="A3647" s="3" t="str">
        <x:v>EXP131</x:v>
      </x:c>
      <x:c r="B3647" s="3" t="str">
        <x:v>Smooth 3</x:v>
      </x:c>
      <x:c r="C3647" s="18" t="n">
        <x:v>1723169116</x:v>
      </x:c>
      <x:c r="D3647" s="3" t="str">
        <x:v>Relative cutoff 1e-6</x:v>
      </x:c>
      <x:c r="E3647" s="18" t="n">
        <x:v>400</x:v>
      </x:c>
      <x:c r="F3647" s="21" t="n">
        <x:v>344.52445412049997</x:v>
      </x:c>
      <x:c r="G3647" s="21" t="n">
        <x:f>F3643</x:f>
        <x:v>330.2130505529687</x:v>
      </x:c>
      <x:c r="H3647" s="21" t="n">
        <x:f>F3648</x:f>
        <x:v>342.4399673039857</x:v>
      </x:c>
      <x:c r="I3647" s="27" t="n">
        <x:f>IF(AND(ISNUMBER(G3647),ISNUMBER(H3647),H3647&gt;0),G3647/H3647-1,"")</x:f>
        <x:v>-0.035705285359296624</x:v>
      </x:c>
      <x:c r="J3647" s="27" t="n">
        <x:f>IF(AND(ISNUMBER(G3647),F3647&gt;0),G3647/F3647-1,"")</x:f>
        <x:v>-0.04153958709278083</x:v>
      </x:c>
      <x:c r="K3647" s="19" t="str">
        <x:v>Smooth_3/EXP131/results/seed1723169116_Relative_cutoff_1e-6.json</x:v>
      </x:c>
    </x:row>
    <x:row r="3648" ht="15" hidden="0" customHeight="1">
      <x:c r="A3648" s="3" t="str">
        <x:v>EXP131</x:v>
      </x:c>
      <x:c r="B3648" s="3" t="str">
        <x:v>Smooth 3</x:v>
      </x:c>
      <x:c r="C3648" s="18" t="n">
        <x:v>1723169116</x:v>
      </x:c>
      <x:c r="D3648" s="3" t="str">
        <x:v>Full</x:v>
      </x:c>
      <x:c r="E3648" s="18" t="n">
        <x:v>400</x:v>
      </x:c>
      <x:c r="F3648" s="21" t="n">
        <x:v>342.4399673039857</x:v>
      </x:c>
      <x:c r="G3648" s="21" t="n">
        <x:f>F3643</x:f>
        <x:v>330.2130505529687</x:v>
      </x:c>
      <x:c r="H3648" s="21" t="n">
        <x:f>F3648</x:f>
        <x:v>342.4399673039857</x:v>
      </x:c>
      <x:c r="I3648" s="27" t="n">
        <x:f>IF(AND(ISNUMBER(G3648),ISNUMBER(H3648),H3648&gt;0),G3648/H3648-1,"")</x:f>
        <x:v>-0.035705285359296624</x:v>
      </x:c>
      <x:c r="J3648" s="27" t="n">
        <x:f>IF(AND(ISNUMBER(G3648),F3648&gt;0),G3648/F3648-1,"")</x:f>
        <x:v>-0.035705285359296624</x:v>
      </x:c>
      <x:c r="K3648" s="19" t="str">
        <x:v>Smooth_3/EXP131/results/seed1723169116_Full.json</x:v>
      </x:c>
    </x:row>
    <x:row r="3649" ht="15" hidden="0" customHeight="1">
      <x:c r="A3649" s="3" t="str">
        <x:v>EXP131</x:v>
      </x:c>
      <x:c r="B3649" s="3" t="str">
        <x:v>Smooth 3</x:v>
      </x:c>
      <x:c r="C3649" s="18" t="n">
        <x:v>1723169116</x:v>
      </x:c>
      <x:c r="D3649" s="3" t="str">
        <x:v>Relative cutoff 1e-2</x:v>
      </x:c>
      <x:c r="E3649" s="18" t="n">
        <x:v>400</x:v>
      </x:c>
      <x:c r="F3649" s="21" t="n">
        <x:v>363.3618534066096</x:v>
      </x:c>
      <x:c r="G3649" s="21" t="n">
        <x:f>F3643</x:f>
        <x:v>330.2130505529687</x:v>
      </x:c>
      <x:c r="H3649" s="21" t="n">
        <x:f>F3648</x:f>
        <x:v>342.4399673039857</x:v>
      </x:c>
      <x:c r="I3649" s="27" t="n">
        <x:f>IF(AND(ISNUMBER(G3649),ISNUMBER(H3649),H3649&gt;0),G3649/H3649-1,"")</x:f>
        <x:v>-0.035705285359296624</x:v>
      </x:c>
      <x:c r="J3649" s="27" t="n">
        <x:f>IF(AND(ISNUMBER(G3649),F3649&gt;0),G3649/F3649-1,"")</x:f>
        <x:v>-0.09122807620795215</x:v>
      </x:c>
      <x:c r="K3649" s="19" t="str">
        <x:v>Smooth_3/EXP131/results/seed1723169116_Relative_cutoff_1e-2.json</x:v>
      </x:c>
    </x:row>
    <x:row r="3650" ht="15" hidden="0" customHeight="1">
      <x:c r="A3650" s="3" t="str">
        <x:v>EXP131</x:v>
      </x:c>
      <x:c r="B3650" s="3" t="str">
        <x:v>Smooth 3</x:v>
      </x:c>
      <x:c r="C3650" s="18" t="n">
        <x:v>1723169116</x:v>
      </x:c>
      <x:c r="D3650" s="3" t="str">
        <x:v>Relative cutoff 1e-4</x:v>
      </x:c>
      <x:c r="E3650" s="18" t="n">
        <x:v>400</x:v>
      </x:c>
      <x:c r="F3650" s="21" t="n">
        <x:v>332.3621479804919</x:v>
      </x:c>
      <x:c r="G3650" s="21" t="n">
        <x:f>F3643</x:f>
        <x:v>330.2130505529687</x:v>
      </x:c>
      <x:c r="H3650" s="21" t="n">
        <x:f>F3648</x:f>
        <x:v>342.4399673039857</x:v>
      </x:c>
      <x:c r="I3650" s="27" t="n">
        <x:f>IF(AND(ISNUMBER(G3650),ISNUMBER(H3650),H3650&gt;0),G3650/H3650-1,"")</x:f>
        <x:v>-0.035705285359296624</x:v>
      </x:c>
      <x:c r="J3650" s="27" t="n">
        <x:f>IF(AND(ISNUMBER(G3650),F3650&gt;0),G3650/F3650-1,"")</x:f>
        <x:v>-0.006466131719817136</x:v>
      </x:c>
      <x:c r="K3650" s="19" t="str">
        <x:v>Smooth_3/EXP131/results/seed1723169116_Relative_cutoff_1e-4.json</x:v>
      </x:c>
    </x:row>
    <x:row r="3651" ht="15" hidden="0" customHeight="1">
      <x:c r="A3651" s="3" t="str">
        <x:v>EXP131</x:v>
      </x:c>
      <x:c r="B3651" s="3" t="str">
        <x:v>Smooth 3</x:v>
      </x:c>
      <x:c r="C3651" s="18" t="n">
        <x:v>1914270772</x:v>
      </x:c>
      <x:c r="D3651" s="3" t="str">
        <x:v>BBP</x:v>
      </x:c>
      <x:c r="E3651" s="18" t="n">
        <x:v>400</x:v>
      </x:c>
      <x:c r="F3651" s="21" t="n">
        <x:v>390.296204608065</x:v>
      </x:c>
      <x:c r="G3651" s="21" t="n">
        <x:f>F3651</x:f>
        <x:v>390.296204608065</x:v>
      </x:c>
      <x:c r="H3651" s="21" t="n">
        <x:f>F3656</x:f>
        <x:v>390.44753430058677</x:v>
      </x:c>
      <x:c r="I3651" s="27" t="n">
        <x:f>IF(AND(ISNUMBER(G3651),ISNUMBER(H3651),H3651&gt;0),G3651/H3651-1,"")</x:f>
        <x:v>-0.0003875800952177766</x:v>
      </x:c>
      <x:c r="J3651" s="27" t="n">
        <x:f>IF(AND(ISNUMBER(G3651),F3651&gt;0),G3651/F3651-1,"")</x:f>
        <x:v>0</x:v>
      </x:c>
      <x:c r="K3651" s="19" t="str">
        <x:v>Smooth_3/EXP131/results/seed1914270772_BBP.json</x:v>
      </x:c>
    </x:row>
    <x:row r="3652" ht="15" hidden="0" customHeight="1">
      <x:c r="A3652" s="3" t="str">
        <x:v>EXP131</x:v>
      </x:c>
      <x:c r="B3652" s="3" t="str">
        <x:v>Smooth 3</x:v>
      </x:c>
      <x:c r="C3652" s="18" t="n">
        <x:v>1914270772</x:v>
      </x:c>
      <x:c r="D3652" s="3" t="str">
        <x:v>Relative cutoff 1e-5</x:v>
      </x:c>
      <x:c r="E3652" s="18" t="n">
        <x:v>400</x:v>
      </x:c>
      <x:c r="F3652" s="21" t="n">
        <x:v>384.5882619617884</x:v>
      </x:c>
      <x:c r="G3652" s="21" t="n">
        <x:f>F3651</x:f>
        <x:v>390.296204608065</x:v>
      </x:c>
      <x:c r="H3652" s="21" t="n">
        <x:f>F3656</x:f>
        <x:v>390.44753430058677</x:v>
      </x:c>
      <x:c r="I3652" s="27" t="n">
        <x:f>IF(AND(ISNUMBER(G3652),ISNUMBER(H3652),H3652&gt;0),G3652/H3652-1,"")</x:f>
        <x:v>-0.0003875800952177766</x:v>
      </x:c>
      <x:c r="J3652" s="27" t="n">
        <x:f>IF(AND(ISNUMBER(G3652),F3652&gt;0),G3652/F3652-1,"")</x:f>
        <x:v>0.014841697500491469</x:v>
      </x:c>
      <x:c r="K3652" s="19" t="str">
        <x:v>Smooth_3/EXP131/results/seed1914270772_Relative_cutoff_1e-5.json</x:v>
      </x:c>
    </x:row>
    <x:row r="3653" ht="15" hidden="0" customHeight="1">
      <x:c r="A3653" s="3" t="str">
        <x:v>EXP131</x:v>
      </x:c>
      <x:c r="B3653" s="3" t="str">
        <x:v>Smooth 3</x:v>
      </x:c>
      <x:c r="C3653" s="18" t="n">
        <x:v>1914270772</x:v>
      </x:c>
      <x:c r="D3653" s="3" t="str">
        <x:v>Fixed rank 10</x:v>
      </x:c>
      <x:c r="E3653" s="18" t="n">
        <x:v>400</x:v>
      </x:c>
      <x:c r="F3653" s="21" t="n">
        <x:v>380.17834986191605</x:v>
      </x:c>
      <x:c r="G3653" s="21" t="n">
        <x:f>F3651</x:f>
        <x:v>390.296204608065</x:v>
      </x:c>
      <x:c r="H3653" s="21" t="n">
        <x:f>F3656</x:f>
        <x:v>390.44753430058677</x:v>
      </x:c>
      <x:c r="I3653" s="27" t="n">
        <x:f>IF(AND(ISNUMBER(G3653),ISNUMBER(H3653),H3653&gt;0),G3653/H3653-1,"")</x:f>
        <x:v>-0.0003875800952177766</x:v>
      </x:c>
      <x:c r="J3653" s="27" t="n">
        <x:f>IF(AND(ISNUMBER(G3653),F3653&gt;0),G3653/F3653-1,"")</x:f>
        <x:v>0.026613442742922766</x:v>
      </x:c>
      <x:c r="K3653" s="19" t="str">
        <x:v>Smooth_3/EXP131/results/seed1914270772_Fixed_rank_10.json</x:v>
      </x:c>
    </x:row>
    <x:row r="3654" ht="15" hidden="0" customHeight="1">
      <x:c r="A3654" s="3" t="str">
        <x:v>EXP131</x:v>
      </x:c>
      <x:c r="B3654" s="3" t="str">
        <x:v>Smooth 3</x:v>
      </x:c>
      <x:c r="C3654" s="18" t="n">
        <x:v>1914270772</x:v>
      </x:c>
      <x:c r="D3654" s="3" t="str">
        <x:v>Fixed rank 25</x:v>
      </x:c>
      <x:c r="E3654" s="18" t="n">
        <x:v>400</x:v>
      </x:c>
      <x:c r="F3654" s="21" t="n">
        <x:v>390.296204608065</x:v>
      </x:c>
      <x:c r="G3654" s="21" t="n">
        <x:f>F3651</x:f>
        <x:v>390.296204608065</x:v>
      </x:c>
      <x:c r="H3654" s="21" t="n">
        <x:f>F3656</x:f>
        <x:v>390.44753430058677</x:v>
      </x:c>
      <x:c r="I3654" s="27" t="n">
        <x:f>IF(AND(ISNUMBER(G3654),ISNUMBER(H3654),H3654&gt;0),G3654/H3654-1,"")</x:f>
        <x:v>-0.0003875800952177766</x:v>
      </x:c>
      <x:c r="J3654" s="27" t="n">
        <x:f>IF(AND(ISNUMBER(G3654),F3654&gt;0),G3654/F3654-1,"")</x:f>
        <x:v>0</x:v>
      </x:c>
      <x:c r="K3654" s="19" t="str">
        <x:v>Smooth_3/EXP131/results/seed1914270772_Fixed_rank_25.json</x:v>
      </x:c>
    </x:row>
    <x:row r="3655" ht="15" hidden="0" customHeight="1">
      <x:c r="A3655" s="3" t="str">
        <x:v>EXP131</x:v>
      </x:c>
      <x:c r="B3655" s="3" t="str">
        <x:v>Smooth 3</x:v>
      </x:c>
      <x:c r="C3655" s="18" t="n">
        <x:v>1914270772</x:v>
      </x:c>
      <x:c r="D3655" s="3" t="str">
        <x:v>Relative cutoff 1e-6</x:v>
      </x:c>
      <x:c r="E3655" s="18" t="n">
        <x:v>400</x:v>
      </x:c>
      <x:c r="F3655" s="21" t="n">
        <x:v>390.296204608065</x:v>
      </x:c>
      <x:c r="G3655" s="21" t="n">
        <x:f>F3651</x:f>
        <x:v>390.296204608065</x:v>
      </x:c>
      <x:c r="H3655" s="21" t="n">
        <x:f>F3656</x:f>
        <x:v>390.44753430058677</x:v>
      </x:c>
      <x:c r="I3655" s="27" t="n">
        <x:f>IF(AND(ISNUMBER(G3655),ISNUMBER(H3655),H3655&gt;0),G3655/H3655-1,"")</x:f>
        <x:v>-0.0003875800952177766</x:v>
      </x:c>
      <x:c r="J3655" s="27" t="n">
        <x:f>IF(AND(ISNUMBER(G3655),F3655&gt;0),G3655/F3655-1,"")</x:f>
        <x:v>0</x:v>
      </x:c>
      <x:c r="K3655" s="19" t="str">
        <x:v>Smooth_3/EXP131/results/seed1914270772_Relative_cutoff_1e-6.json</x:v>
      </x:c>
    </x:row>
    <x:row r="3656" ht="15" hidden="0" customHeight="1">
      <x:c r="A3656" s="3" t="str">
        <x:v>EXP131</x:v>
      </x:c>
      <x:c r="B3656" s="3" t="str">
        <x:v>Smooth 3</x:v>
      </x:c>
      <x:c r="C3656" s="18" t="n">
        <x:v>1914270772</x:v>
      </x:c>
      <x:c r="D3656" s="3" t="str">
        <x:v>Full</x:v>
      </x:c>
      <x:c r="E3656" s="18" t="n">
        <x:v>400</x:v>
      </x:c>
      <x:c r="F3656" s="21" t="n">
        <x:v>390.44753430058677</x:v>
      </x:c>
      <x:c r="G3656" s="21" t="n">
        <x:f>F3651</x:f>
        <x:v>390.296204608065</x:v>
      </x:c>
      <x:c r="H3656" s="21" t="n">
        <x:f>F3656</x:f>
        <x:v>390.44753430058677</x:v>
      </x:c>
      <x:c r="I3656" s="27" t="n">
        <x:f>IF(AND(ISNUMBER(G3656),ISNUMBER(H3656),H3656&gt;0),G3656/H3656-1,"")</x:f>
        <x:v>-0.0003875800952177766</x:v>
      </x:c>
      <x:c r="J3656" s="27" t="n">
        <x:f>IF(AND(ISNUMBER(G3656),F3656&gt;0),G3656/F3656-1,"")</x:f>
        <x:v>-0.0003875800952177766</x:v>
      </x:c>
      <x:c r="K3656" s="19" t="str">
        <x:v>Smooth_3/EXP131/results/seed1914270772_Full.json</x:v>
      </x:c>
    </x:row>
    <x:row r="3657" ht="15" hidden="0" customHeight="1">
      <x:c r="A3657" s="3" t="str">
        <x:v>EXP131</x:v>
      </x:c>
      <x:c r="B3657" s="3" t="str">
        <x:v>Smooth 3</x:v>
      </x:c>
      <x:c r="C3657" s="18" t="n">
        <x:v>1914270772</x:v>
      </x:c>
      <x:c r="D3657" s="3" t="str">
        <x:v>Relative cutoff 1e-2</x:v>
      </x:c>
      <x:c r="E3657" s="18" t="n">
        <x:v>400</x:v>
      </x:c>
      <x:c r="F3657" s="21" t="n">
        <x:v>381.3951308985903</x:v>
      </x:c>
      <x:c r="G3657" s="21" t="n">
        <x:f>F3651</x:f>
        <x:v>390.296204608065</x:v>
      </x:c>
      <x:c r="H3657" s="21" t="n">
        <x:f>F3656</x:f>
        <x:v>390.44753430058677</x:v>
      </x:c>
      <x:c r="I3657" s="27" t="n">
        <x:f>IF(AND(ISNUMBER(G3657),ISNUMBER(H3657),H3657&gt;0),G3657/H3657-1,"")</x:f>
        <x:v>-0.0003875800952177766</x:v>
      </x:c>
      <x:c r="J3657" s="27" t="n">
        <x:f>IF(AND(ISNUMBER(G3657),F3657&gt;0),G3657/F3657-1,"")</x:f>
        <x:v>0.02333819440353957</x:v>
      </x:c>
      <x:c r="K3657" s="19" t="str">
        <x:v>Smooth_3/EXP131/results/seed1914270772_Relative_cutoff_1e-2.json</x:v>
      </x:c>
    </x:row>
    <x:row r="3658" ht="15" hidden="0" customHeight="1">
      <x:c r="A3658" s="3" t="str">
        <x:v>EXP131</x:v>
      </x:c>
      <x:c r="B3658" s="3" t="str">
        <x:v>Smooth 3</x:v>
      </x:c>
      <x:c r="C3658" s="18" t="n">
        <x:v>1914270772</x:v>
      </x:c>
      <x:c r="D3658" s="3" t="str">
        <x:v>Relative cutoff 1e-4</x:v>
      </x:c>
      <x:c r="E3658" s="18" t="n">
        <x:v>400</x:v>
      </x:c>
      <x:c r="F3658" s="21" t="n">
        <x:v>388.7889931326443</x:v>
      </x:c>
      <x:c r="G3658" s="21" t="n">
        <x:f>F3651</x:f>
        <x:v>390.296204608065</x:v>
      </x:c>
      <x:c r="H3658" s="21" t="n">
        <x:f>F3656</x:f>
        <x:v>390.44753430058677</x:v>
      </x:c>
      <x:c r="I3658" s="27" t="n">
        <x:f>IF(AND(ISNUMBER(G3658),ISNUMBER(H3658),H3658&gt;0),G3658/H3658-1,"")</x:f>
        <x:v>-0.0003875800952177766</x:v>
      </x:c>
      <x:c r="J3658" s="27" t="n">
        <x:f>IF(AND(ISNUMBER(G3658),F3658&gt;0),G3658/F3658-1,"")</x:f>
        <x:v>0.0038766824731235605</x:v>
      </x:c>
      <x:c r="K3658" s="19" t="str">
        <x:v>Smooth_3/EXP131/results/seed1914270772_Relative_cutoff_1e-4.json</x:v>
      </x:c>
    </x:row>
    <x:row r="3659" ht="15" hidden="0" customHeight="1">
      <x:c r="A3659" s="3" t="str">
        <x:v>EXP133</x:v>
      </x:c>
      <x:c r="B3659" s="3" t="str">
        <x:v>Smooth 3 (128 inputs)</x:v>
      </x:c>
      <x:c r="C3659" s="18" t="n">
        <x:v>7600</x:v>
      </x:c>
      <x:c r="D3659" s="3" t="str">
        <x:v>BBP</x:v>
      </x:c>
      <x:c r="E3659" s="18" t="n">
        <x:v>400</x:v>
      </x:c>
      <x:c r="F3659" s="21" t="n">
        <x:v>597.3268266965177</x:v>
      </x:c>
      <x:c r="G3659" s="21" t="n">
        <x:f>F3659</x:f>
        <x:v>597.3268266965177</x:v>
      </x:c>
      <x:c r="H3659" s="21" t="n">
        <x:f>F3664</x:f>
        <x:v>613.8088346426454</x:v>
      </x:c>
      <x:c r="I3659" s="27" t="n">
        <x:f>IF(AND(ISNUMBER(G3659),ISNUMBER(H3659),H3659&gt;0),G3659/H3659-1,"")</x:f>
        <x:v>-0.02685202137196885</x:v>
      </x:c>
      <x:c r="J3659" s="27" t="n">
        <x:f>IF(AND(ISNUMBER(G3659),F3659&gt;0),G3659/F3659-1,"")</x:f>
        <x:v>0</x:v>
      </x:c>
      <x:c r="K3659" s="19" t="str">
        <x:v>Smooth_3_128_inputs/EXP133/results/seed7600_BBP.json</x:v>
      </x:c>
    </x:row>
    <x:row r="3660" ht="15" hidden="0" customHeight="1">
      <x:c r="A3660" s="3" t="str">
        <x:v>EXP133</x:v>
      </x:c>
      <x:c r="B3660" s="3" t="str">
        <x:v>Smooth 3 (128 inputs)</x:v>
      </x:c>
      <x:c r="C3660" s="18" t="n">
        <x:v>7600</x:v>
      </x:c>
      <x:c r="D3660" s="3" t="str">
        <x:v>Relative cutoff 1e-5</x:v>
      </x:c>
      <x:c r="E3660" s="18" t="n">
        <x:v>400</x:v>
      </x:c>
      <x:c r="F3660" s="21" t="n">
        <x:v>613.9972271544999</x:v>
      </x:c>
      <x:c r="G3660" s="21" t="n">
        <x:f>F3659</x:f>
        <x:v>597.3268266965177</x:v>
      </x:c>
      <x:c r="H3660" s="21" t="n">
        <x:f>F3664</x:f>
        <x:v>613.8088346426454</x:v>
      </x:c>
      <x:c r="I3660" s="27" t="n">
        <x:f>IF(AND(ISNUMBER(G3660),ISNUMBER(H3660),H3660&gt;0),G3660/H3660-1,"")</x:f>
        <x:v>-0.02685202137196885</x:v>
      </x:c>
      <x:c r="J3660" s="27" t="n">
        <x:f>IF(AND(ISNUMBER(G3660),F3660&gt;0),G3660/F3660-1,"")</x:f>
        <x:v>-0.027150611958362103</x:v>
      </x:c>
      <x:c r="K3660" s="19" t="str">
        <x:v>Smooth_3_128_inputs/EXP133/results/seed7600_Relative_cutoff_1e-5.json</x:v>
      </x:c>
    </x:row>
    <x:row r="3661" ht="15" hidden="0" customHeight="1">
      <x:c r="A3661" s="3" t="str">
        <x:v>EXP133</x:v>
      </x:c>
      <x:c r="B3661" s="3" t="str">
        <x:v>Smooth 3 (128 inputs)</x:v>
      </x:c>
      <x:c r="C3661" s="18" t="n">
        <x:v>7600</x:v>
      </x:c>
      <x:c r="D3661" s="3" t="str">
        <x:v>Fixed rank 10</x:v>
      </x:c>
      <x:c r="E3661" s="18" t="n">
        <x:v>400</x:v>
      </x:c>
      <x:c r="F3661" s="21" t="n">
        <x:v>602.2379499332707</x:v>
      </x:c>
      <x:c r="G3661" s="21" t="n">
        <x:f>F3659</x:f>
        <x:v>597.3268266965177</x:v>
      </x:c>
      <x:c r="H3661" s="21" t="n">
        <x:f>F3664</x:f>
        <x:v>613.8088346426454</x:v>
      </x:c>
      <x:c r="I3661" s="27" t="n">
        <x:f>IF(AND(ISNUMBER(G3661),ISNUMBER(H3661),H3661&gt;0),G3661/H3661-1,"")</x:f>
        <x:v>-0.02685202137196885</x:v>
      </x:c>
      <x:c r="J3661" s="27" t="n">
        <x:f>IF(AND(ISNUMBER(G3661),F3661&gt;0),G3661/F3661-1,"")</x:f>
        <x:v>-0.008154788713160777</x:v>
      </x:c>
      <x:c r="K3661" s="19" t="str">
        <x:v>Smooth_3_128_inputs/EXP133/results/seed7600_Fixed_rank_10.json</x:v>
      </x:c>
    </x:row>
    <x:row r="3662" ht="15" hidden="0" customHeight="1">
      <x:c r="A3662" s="3" t="str">
        <x:v>EXP133</x:v>
      </x:c>
      <x:c r="B3662" s="3" t="str">
        <x:v>Smooth 3 (128 inputs)</x:v>
      </x:c>
      <x:c r="C3662" s="18" t="n">
        <x:v>7600</x:v>
      </x:c>
      <x:c r="D3662" s="3" t="str">
        <x:v>Fixed rank 25</x:v>
      </x:c>
      <x:c r="E3662" s="18" t="n">
        <x:v>400</x:v>
      </x:c>
      <x:c r="F3662" s="21" t="n">
        <x:v>598.6702902980346</x:v>
      </x:c>
      <x:c r="G3662" s="21" t="n">
        <x:f>F3659</x:f>
        <x:v>597.3268266965177</x:v>
      </x:c>
      <x:c r="H3662" s="21" t="n">
        <x:f>F3664</x:f>
        <x:v>613.8088346426454</x:v>
      </x:c>
      <x:c r="I3662" s="27" t="n">
        <x:f>IF(AND(ISNUMBER(G3662),ISNUMBER(H3662),H3662&gt;0),G3662/H3662-1,"")</x:f>
        <x:v>-0.02685202137196885</x:v>
      </x:c>
      <x:c r="J3662" s="27" t="n">
        <x:f>IF(AND(ISNUMBER(G3662),F3662&gt;0),G3662/F3662-1,"")</x:f>
        <x:v>-0.002244079292540224</x:v>
      </x:c>
      <x:c r="K3662" s="19" t="str">
        <x:v>Smooth_3_128_inputs/EXP133/results/seed7600_Fixed_rank_25.json</x:v>
      </x:c>
    </x:row>
    <x:row r="3663" ht="15" hidden="0" customHeight="1">
      <x:c r="A3663" s="3" t="str">
        <x:v>EXP133</x:v>
      </x:c>
      <x:c r="B3663" s="3" t="str">
        <x:v>Smooth 3 (128 inputs)</x:v>
      </x:c>
      <x:c r="C3663" s="18" t="n">
        <x:v>7600</x:v>
      </x:c>
      <x:c r="D3663" s="3" t="str">
        <x:v>Relative cutoff 1e-6</x:v>
      </x:c>
      <x:c r="E3663" s="18" t="n">
        <x:v>400</x:v>
      </x:c>
      <x:c r="F3663" s="21" t="n">
        <x:v>604.369157013617</x:v>
      </x:c>
      <x:c r="G3663" s="21" t="n">
        <x:f>F3659</x:f>
        <x:v>597.3268266965177</x:v>
      </x:c>
      <x:c r="H3663" s="21" t="n">
        <x:f>F3664</x:f>
        <x:v>613.8088346426454</x:v>
      </x:c>
      <x:c r="I3663" s="27" t="n">
        <x:f>IF(AND(ISNUMBER(G3663),ISNUMBER(H3663),H3663&gt;0),G3663/H3663-1,"")</x:f>
        <x:v>-0.02685202137196885</x:v>
      </x:c>
      <x:c r="J3663" s="27" t="n">
        <x:f>IF(AND(ISNUMBER(G3663),F3663&gt;0),G3663/F3663-1,"")</x:f>
        <x:v>-0.01165236550438431</x:v>
      </x:c>
      <x:c r="K3663" s="19" t="str">
        <x:v>Smooth_3_128_inputs/EXP133/results/seed7600_Relative_cutoff_1e-6.json</x:v>
      </x:c>
    </x:row>
    <x:row r="3664" ht="15" hidden="0" customHeight="1">
      <x:c r="A3664" s="3" t="str">
        <x:v>EXP133</x:v>
      </x:c>
      <x:c r="B3664" s="3" t="str">
        <x:v>Smooth 3 (128 inputs)</x:v>
      </x:c>
      <x:c r="C3664" s="18" t="n">
        <x:v>7600</x:v>
      </x:c>
      <x:c r="D3664" s="3" t="str">
        <x:v>Full</x:v>
      </x:c>
      <x:c r="E3664" s="18" t="n">
        <x:v>400</x:v>
      </x:c>
      <x:c r="F3664" s="21" t="n">
        <x:v>613.8088346426454</x:v>
      </x:c>
      <x:c r="G3664" s="21" t="n">
        <x:f>F3659</x:f>
        <x:v>597.3268266965177</x:v>
      </x:c>
      <x:c r="H3664" s="21" t="n">
        <x:f>F3664</x:f>
        <x:v>613.8088346426454</x:v>
      </x:c>
      <x:c r="I3664" s="27" t="n">
        <x:f>IF(AND(ISNUMBER(G3664),ISNUMBER(H3664),H3664&gt;0),G3664/H3664-1,"")</x:f>
        <x:v>-0.02685202137196885</x:v>
      </x:c>
      <x:c r="J3664" s="27" t="n">
        <x:f>IF(AND(ISNUMBER(G3664),F3664&gt;0),G3664/F3664-1,"")</x:f>
        <x:v>-0.02685202137196885</x:v>
      </x:c>
      <x:c r="K3664" s="19" t="str">
        <x:v>Smooth_3_128_inputs/EXP133/results/seed7600_Full.json</x:v>
      </x:c>
    </x:row>
    <x:row r="3665" ht="15" hidden="0" customHeight="1">
      <x:c r="A3665" s="3" t="str">
        <x:v>EXP133</x:v>
      </x:c>
      <x:c r="B3665" s="3" t="str">
        <x:v>Smooth 3 (128 inputs)</x:v>
      </x:c>
      <x:c r="C3665" s="18" t="n">
        <x:v>7600</x:v>
      </x:c>
      <x:c r="D3665" s="3" t="str">
        <x:v>Relative cutoff 1e-2</x:v>
      </x:c>
      <x:c r="E3665" s="18" t="n">
        <x:v>400</x:v>
      </x:c>
      <x:c r="F3665" s="21" t="n">
        <x:v>617.7349855507657</x:v>
      </x:c>
      <x:c r="G3665" s="21" t="n">
        <x:f>F3659</x:f>
        <x:v>597.3268266965177</x:v>
      </x:c>
      <x:c r="H3665" s="21" t="n">
        <x:f>F3664</x:f>
        <x:v>613.8088346426454</x:v>
      </x:c>
      <x:c r="I3665" s="27" t="n">
        <x:f>IF(AND(ISNUMBER(G3665),ISNUMBER(H3665),H3665&gt;0),G3665/H3665-1,"")</x:f>
        <x:v>-0.02685202137196885</x:v>
      </x:c>
      <x:c r="J3665" s="27" t="n">
        <x:f>IF(AND(ISNUMBER(G3665),F3665&gt;0),G3665/F3665-1,"")</x:f>
        <x:v>-0.03303707792436639</x:v>
      </x:c>
      <x:c r="K3665" s="19" t="str">
        <x:v>Smooth_3_128_inputs/EXP133/results/seed7600_Relative_cutoff_1e-2.json</x:v>
      </x:c>
    </x:row>
    <x:row r="3666" ht="15" hidden="0" customHeight="1">
      <x:c r="A3666" s="3" t="str">
        <x:v>EXP133</x:v>
      </x:c>
      <x:c r="B3666" s="3" t="str">
        <x:v>Smooth 3 (128 inputs)</x:v>
      </x:c>
      <x:c r="C3666" s="18" t="n">
        <x:v>7600</x:v>
      </x:c>
      <x:c r="D3666" s="3" t="str">
        <x:v>Relative cutoff 1e-4</x:v>
      </x:c>
      <x:c r="E3666" s="18" t="n">
        <x:v>400</x:v>
      </x:c>
      <x:c r="F3666" s="21" t="n">
        <x:v>579.2574458304553</x:v>
      </x:c>
      <x:c r="G3666" s="21" t="n">
        <x:f>F3659</x:f>
        <x:v>597.3268266965177</x:v>
      </x:c>
      <x:c r="H3666" s="21" t="n">
        <x:f>F3664</x:f>
        <x:v>613.8088346426454</x:v>
      </x:c>
      <x:c r="I3666" s="27" t="n">
        <x:f>IF(AND(ISNUMBER(G3666),ISNUMBER(H3666),H3666&gt;0),G3666/H3666-1,"")</x:f>
        <x:v>-0.02685202137196885</x:v>
      </x:c>
      <x:c r="J3666" s="27" t="n">
        <x:f>IF(AND(ISNUMBER(G3666),F3666&gt;0),G3666/F3666-1,"")</x:f>
        <x:v>0.03119404160641781</x:v>
      </x:c>
      <x:c r="K3666" s="19" t="str">
        <x:v>Smooth_3_128_inputs/EXP133/results/seed7600_Relative_cutoff_1e-4.json</x:v>
      </x:c>
    </x:row>
    <x:row r="3667" ht="15" hidden="0" customHeight="1">
      <x:c r="A3667" s="3" t="str">
        <x:v>EXP133</x:v>
      </x:c>
      <x:c r="B3667" s="3" t="str">
        <x:v>Smooth 3 (128 inputs)</x:v>
      </x:c>
      <x:c r="C3667" s="18" t="n">
        <x:v>7601</x:v>
      </x:c>
      <x:c r="D3667" s="3" t="str">
        <x:v>BBP</x:v>
      </x:c>
      <x:c r="E3667" s="18" t="n">
        <x:v>400</x:v>
      </x:c>
      <x:c r="F3667" s="21" t="n">
        <x:v>650.4605780582888</x:v>
      </x:c>
      <x:c r="G3667" s="21" t="n">
        <x:f>F3667</x:f>
        <x:v>650.4605780582888</x:v>
      </x:c>
      <x:c r="H3667" s="21" t="n">
        <x:f>F3672</x:f>
        <x:v>663.5520576195199</x:v>
      </x:c>
      <x:c r="I3667" s="27" t="n">
        <x:f>IF(AND(ISNUMBER(G3667),ISNUMBER(H3667),H3667&gt;0),G3667/H3667-1,"")</x:f>
        <x:v>-0.01972939336243873</x:v>
      </x:c>
      <x:c r="J3667" s="27" t="n">
        <x:f>IF(AND(ISNUMBER(G3667),F3667&gt;0),G3667/F3667-1,"")</x:f>
        <x:v>0</x:v>
      </x:c>
      <x:c r="K3667" s="19" t="str">
        <x:v>Smooth_3_128_inputs/EXP133/results/seed7601_BBP.json</x:v>
      </x:c>
    </x:row>
    <x:row r="3668" ht="15" hidden="0" customHeight="1">
      <x:c r="A3668" s="3" t="str">
        <x:v>EXP133</x:v>
      </x:c>
      <x:c r="B3668" s="3" t="str">
        <x:v>Smooth 3 (128 inputs)</x:v>
      </x:c>
      <x:c r="C3668" s="18" t="n">
        <x:v>7601</x:v>
      </x:c>
      <x:c r="D3668" s="3" t="str">
        <x:v>Relative cutoff 1e-5</x:v>
      </x:c>
      <x:c r="E3668" s="18" t="n">
        <x:v>400</x:v>
      </x:c>
      <x:c r="F3668" s="21" t="n">
        <x:v>642.508142699781</x:v>
      </x:c>
      <x:c r="G3668" s="21" t="n">
        <x:f>F3667</x:f>
        <x:v>650.4605780582888</x:v>
      </x:c>
      <x:c r="H3668" s="21" t="n">
        <x:f>F3672</x:f>
        <x:v>663.5520576195199</x:v>
      </x:c>
      <x:c r="I3668" s="27" t="n">
        <x:f>IF(AND(ISNUMBER(G3668),ISNUMBER(H3668),H3668&gt;0),G3668/H3668-1,"")</x:f>
        <x:v>-0.01972939336243873</x:v>
      </x:c>
      <x:c r="J3668" s="27" t="n">
        <x:f>IF(AND(ISNUMBER(G3668),F3668&gt;0),G3668/F3668-1,"")</x:f>
        <x:v>0.0123771744356298</x:v>
      </x:c>
      <x:c r="K3668" s="19" t="str">
        <x:v>Smooth_3_128_inputs/EXP133/results/seed7601_Relative_cutoff_1e-5.json</x:v>
      </x:c>
    </x:row>
    <x:row r="3669" ht="15" hidden="0" customHeight="1">
      <x:c r="A3669" s="3" t="str">
        <x:v>EXP133</x:v>
      </x:c>
      <x:c r="B3669" s="3" t="str">
        <x:v>Smooth 3 (128 inputs)</x:v>
      </x:c>
      <x:c r="C3669" s="18" t="n">
        <x:v>7601</x:v>
      </x:c>
      <x:c r="D3669" s="3" t="str">
        <x:v>Fixed rank 10</x:v>
      </x:c>
      <x:c r="E3669" s="18" t="n">
        <x:v>400</x:v>
      </x:c>
      <x:c r="F3669" s="21" t="n">
        <x:v>648.6747958732108</x:v>
      </x:c>
      <x:c r="G3669" s="21" t="n">
        <x:f>F3667</x:f>
        <x:v>650.4605780582888</x:v>
      </x:c>
      <x:c r="H3669" s="21" t="n">
        <x:f>F3672</x:f>
        <x:v>663.5520576195199</x:v>
      </x:c>
      <x:c r="I3669" s="27" t="n">
        <x:f>IF(AND(ISNUMBER(G3669),ISNUMBER(H3669),H3669&gt;0),G3669/H3669-1,"")</x:f>
        <x:v>-0.01972939336243873</x:v>
      </x:c>
      <x:c r="J3669" s="27" t="n">
        <x:f>IF(AND(ISNUMBER(G3669),F3669&gt;0),G3669/F3669-1,"")</x:f>
        <x:v>0.002752969895607027</x:v>
      </x:c>
      <x:c r="K3669" s="19" t="str">
        <x:v>Smooth_3_128_inputs/EXP133/results/seed7601_Fixed_rank_10.json</x:v>
      </x:c>
    </x:row>
    <x:row r="3670" ht="15" hidden="0" customHeight="1">
      <x:c r="A3670" s="3" t="str">
        <x:v>EXP133</x:v>
      </x:c>
      <x:c r="B3670" s="3" t="str">
        <x:v>Smooth 3 (128 inputs)</x:v>
      </x:c>
      <x:c r="C3670" s="18" t="n">
        <x:v>7601</x:v>
      </x:c>
      <x:c r="D3670" s="3" t="str">
        <x:v>Fixed rank 25</x:v>
      </x:c>
      <x:c r="E3670" s="18" t="n">
        <x:v>400</x:v>
      </x:c>
      <x:c r="F3670" s="21" t="n">
        <x:v>663.1932410169977</x:v>
      </x:c>
      <x:c r="G3670" s="21" t="n">
        <x:f>F3667</x:f>
        <x:v>650.4605780582888</x:v>
      </x:c>
      <x:c r="H3670" s="21" t="n">
        <x:f>F3672</x:f>
        <x:v>663.5520576195199</x:v>
      </x:c>
      <x:c r="I3670" s="27" t="n">
        <x:f>IF(AND(ISNUMBER(G3670),ISNUMBER(H3670),H3670&gt;0),G3670/H3670-1,"")</x:f>
        <x:v>-0.01972939336243873</x:v>
      </x:c>
      <x:c r="J3670" s="27" t="n">
        <x:f>IF(AND(ISNUMBER(G3670),F3670&gt;0),G3670/F3670-1,"")</x:f>
        <x:v>-0.019199024011739896</x:v>
      </x:c>
      <x:c r="K3670" s="19" t="str">
        <x:v>Smooth_3_128_inputs/EXP133/results/seed7601_Fixed_rank_25.json</x:v>
      </x:c>
    </x:row>
    <x:row r="3671" ht="15" hidden="0" customHeight="1">
      <x:c r="A3671" s="3" t="str">
        <x:v>EXP133</x:v>
      </x:c>
      <x:c r="B3671" s="3" t="str">
        <x:v>Smooth 3 (128 inputs)</x:v>
      </x:c>
      <x:c r="C3671" s="18" t="n">
        <x:v>7601</x:v>
      </x:c>
      <x:c r="D3671" s="3" t="str">
        <x:v>Relative cutoff 1e-6</x:v>
      </x:c>
      <x:c r="E3671" s="18" t="n">
        <x:v>400</x:v>
      </x:c>
      <x:c r="F3671" s="21" t="n">
        <x:v>663.4760743799945</x:v>
      </x:c>
      <x:c r="G3671" s="21" t="n">
        <x:f>F3667</x:f>
        <x:v>650.4605780582888</x:v>
      </x:c>
      <x:c r="H3671" s="21" t="n">
        <x:f>F3672</x:f>
        <x:v>663.5520576195199</x:v>
      </x:c>
      <x:c r="I3671" s="27" t="n">
        <x:f>IF(AND(ISNUMBER(G3671),ISNUMBER(H3671),H3671&gt;0),G3671/H3671-1,"")</x:f>
        <x:v>-0.01972939336243873</x:v>
      </x:c>
      <x:c r="J3671" s="27" t="n">
        <x:f>IF(AND(ISNUMBER(G3671),F3671&gt;0),G3671/F3671-1,"")</x:f>
        <x:v>-0.01961712987746922</x:v>
      </x:c>
      <x:c r="K3671" s="19" t="str">
        <x:v>Smooth_3_128_inputs/EXP133/results/seed7601_Relative_cutoff_1e-6.json</x:v>
      </x:c>
    </x:row>
    <x:row r="3672" ht="15" hidden="0" customHeight="1">
      <x:c r="A3672" s="3" t="str">
        <x:v>EXP133</x:v>
      </x:c>
      <x:c r="B3672" s="3" t="str">
        <x:v>Smooth 3 (128 inputs)</x:v>
      </x:c>
      <x:c r="C3672" s="18" t="n">
        <x:v>7601</x:v>
      </x:c>
      <x:c r="D3672" s="3" t="str">
        <x:v>Full</x:v>
      </x:c>
      <x:c r="E3672" s="18" t="n">
        <x:v>400</x:v>
      </x:c>
      <x:c r="F3672" s="21" t="n">
        <x:v>663.5520576195199</x:v>
      </x:c>
      <x:c r="G3672" s="21" t="n">
        <x:f>F3667</x:f>
        <x:v>650.4605780582888</x:v>
      </x:c>
      <x:c r="H3672" s="21" t="n">
        <x:f>F3672</x:f>
        <x:v>663.5520576195199</x:v>
      </x:c>
      <x:c r="I3672" s="27" t="n">
        <x:f>IF(AND(ISNUMBER(G3672),ISNUMBER(H3672),H3672&gt;0),G3672/H3672-1,"")</x:f>
        <x:v>-0.01972939336243873</x:v>
      </x:c>
      <x:c r="J3672" s="27" t="n">
        <x:f>IF(AND(ISNUMBER(G3672),F3672&gt;0),G3672/F3672-1,"")</x:f>
        <x:v>-0.01972939336243873</x:v>
      </x:c>
      <x:c r="K3672" s="19" t="str">
        <x:v>Smooth_3_128_inputs/EXP133/results/seed7601_Full.json</x:v>
      </x:c>
    </x:row>
    <x:row r="3673" ht="15" hidden="0" customHeight="1">
      <x:c r="A3673" s="3" t="str">
        <x:v>EXP133</x:v>
      </x:c>
      <x:c r="B3673" s="3" t="str">
        <x:v>Smooth 3 (128 inputs)</x:v>
      </x:c>
      <x:c r="C3673" s="18" t="n">
        <x:v>7601</x:v>
      </x:c>
      <x:c r="D3673" s="3" t="str">
        <x:v>Relative cutoff 1e-2</x:v>
      </x:c>
      <x:c r="E3673" s="18" t="n">
        <x:v>400</x:v>
      </x:c>
      <x:c r="F3673" s="21" t="n">
        <x:v>646.2229989776997</x:v>
      </x:c>
      <x:c r="G3673" s="21" t="n">
        <x:f>F3667</x:f>
        <x:v>650.4605780582888</x:v>
      </x:c>
      <x:c r="H3673" s="21" t="n">
        <x:f>F3672</x:f>
        <x:v>663.5520576195199</x:v>
      </x:c>
      <x:c r="I3673" s="27" t="n">
        <x:f>IF(AND(ISNUMBER(G3673),ISNUMBER(H3673),H3673&gt;0),G3673/H3673-1,"")</x:f>
        <x:v>-0.01972939336243873</x:v>
      </x:c>
      <x:c r="J3673" s="27" t="n">
        <x:f>IF(AND(ISNUMBER(G3673),F3673&gt;0),G3673/F3673-1,"")</x:f>
        <x:v>0.006557456307331622</x:v>
      </x:c>
      <x:c r="K3673" s="19" t="str">
        <x:v>Smooth_3_128_inputs/EXP133/results/seed7601_Relative_cutoff_1e-2.json</x:v>
      </x:c>
    </x:row>
    <x:row r="3674" ht="15" hidden="0" customHeight="1">
      <x:c r="A3674" s="3" t="str">
        <x:v>EXP133</x:v>
      </x:c>
      <x:c r="B3674" s="3" t="str">
        <x:v>Smooth 3 (128 inputs)</x:v>
      </x:c>
      <x:c r="C3674" s="18" t="n">
        <x:v>7601</x:v>
      </x:c>
      <x:c r="D3674" s="3" t="str">
        <x:v>Relative cutoff 1e-4</x:v>
      </x:c>
      <x:c r="E3674" s="18" t="n">
        <x:v>400</x:v>
      </x:c>
      <x:c r="F3674" s="21" t="n">
        <x:v>657.0838051000312</x:v>
      </x:c>
      <x:c r="G3674" s="21" t="n">
        <x:f>F3667</x:f>
        <x:v>650.4605780582888</x:v>
      </x:c>
      <x:c r="H3674" s="21" t="n">
        <x:f>F3672</x:f>
        <x:v>663.5520576195199</x:v>
      </x:c>
      <x:c r="I3674" s="27" t="n">
        <x:f>IF(AND(ISNUMBER(G3674),ISNUMBER(H3674),H3674&gt;0),G3674/H3674-1,"")</x:f>
        <x:v>-0.01972939336243873</x:v>
      </x:c>
      <x:c r="J3674" s="27" t="n">
        <x:f>IF(AND(ISNUMBER(G3674),F3674&gt;0),G3674/F3674-1,"")</x:f>
        <x:v>-0.010079729541856763</x:v>
      </x:c>
      <x:c r="K3674" s="19" t="str">
        <x:v>Smooth_3_128_inputs/EXP133/results/seed7601_Relative_cutoff_1e-4.json</x:v>
      </x:c>
    </x:row>
    <x:row r="3675" ht="15" hidden="0" customHeight="1">
      <x:c r="A3675" s="3" t="str">
        <x:v>EXP133</x:v>
      </x:c>
      <x:c r="B3675" s="3" t="str">
        <x:v>Smooth 3 (128 inputs)</x:v>
      </x:c>
      <x:c r="C3675" s="18" t="n">
        <x:v>7602</x:v>
      </x:c>
      <x:c r="D3675" s="3" t="str">
        <x:v>BBP</x:v>
      </x:c>
      <x:c r="E3675" s="18" t="n">
        <x:v>400</x:v>
      </x:c>
      <x:c r="F3675" s="21" t="n">
        <x:v>632.2121321741032</x:v>
      </x:c>
      <x:c r="G3675" s="21" t="n">
        <x:f>F3675</x:f>
        <x:v>632.2121321741032</x:v>
      </x:c>
      <x:c r="H3675" s="21" t="n">
        <x:f>F3680</x:f>
        <x:v>646.4130507414159</x:v>
      </x:c>
      <x:c r="I3675" s="27" t="n">
        <x:f>IF(AND(ISNUMBER(G3675),ISNUMBER(H3675),H3675&gt;0),G3675/H3675-1,"")</x:f>
        <x:v>-0.021968799285572382</x:v>
      </x:c>
      <x:c r="J3675" s="27" t="n">
        <x:f>IF(AND(ISNUMBER(G3675),F3675&gt;0),G3675/F3675-1,"")</x:f>
        <x:v>0</x:v>
      </x:c>
      <x:c r="K3675" s="19" t="str">
        <x:v>Smooth_3_128_inputs/EXP133/results/seed7602_BBP.json</x:v>
      </x:c>
    </x:row>
    <x:row r="3676" ht="15" hidden="0" customHeight="1">
      <x:c r="A3676" s="3" t="str">
        <x:v>EXP133</x:v>
      </x:c>
      <x:c r="B3676" s="3" t="str">
        <x:v>Smooth 3 (128 inputs)</x:v>
      </x:c>
      <x:c r="C3676" s="18" t="n">
        <x:v>7602</x:v>
      </x:c>
      <x:c r="D3676" s="3" t="str">
        <x:v>Relative cutoff 1e-5</x:v>
      </x:c>
      <x:c r="E3676" s="18" t="n">
        <x:v>400</x:v>
      </x:c>
      <x:c r="F3676" s="21" t="n">
        <x:v>641.9178414558943</x:v>
      </x:c>
      <x:c r="G3676" s="21" t="n">
        <x:f>F3675</x:f>
        <x:v>632.2121321741032</x:v>
      </x:c>
      <x:c r="H3676" s="21" t="n">
        <x:f>F3680</x:f>
        <x:v>646.4130507414159</x:v>
      </x:c>
      <x:c r="I3676" s="27" t="n">
        <x:f>IF(AND(ISNUMBER(G3676),ISNUMBER(H3676),H3676&gt;0),G3676/H3676-1,"")</x:f>
        <x:v>-0.021968799285572382</x:v>
      </x:c>
      <x:c r="J3676" s="27" t="n">
        <x:f>IF(AND(ISNUMBER(G3676),F3676&gt;0),G3676/F3676-1,"")</x:f>
        <x:v>-0.015119862161453779</x:v>
      </x:c>
      <x:c r="K3676" s="19" t="str">
        <x:v>Smooth_3_128_inputs/EXP133/results/seed7602_Relative_cutoff_1e-5.json</x:v>
      </x:c>
    </x:row>
    <x:row r="3677" ht="15" hidden="0" customHeight="1">
      <x:c r="A3677" s="3" t="str">
        <x:v>EXP133</x:v>
      </x:c>
      <x:c r="B3677" s="3" t="str">
        <x:v>Smooth 3 (128 inputs)</x:v>
      </x:c>
      <x:c r="C3677" s="18" t="n">
        <x:v>7602</x:v>
      </x:c>
      <x:c r="D3677" s="3" t="str">
        <x:v>Fixed rank 10</x:v>
      </x:c>
      <x:c r="E3677" s="18" t="n">
        <x:v>400</x:v>
      </x:c>
      <x:c r="F3677" s="21" t="n">
        <x:v>627.08287807697</x:v>
      </x:c>
      <x:c r="G3677" s="21" t="n">
        <x:f>F3675</x:f>
        <x:v>632.2121321741032</x:v>
      </x:c>
      <x:c r="H3677" s="21" t="n">
        <x:f>F3680</x:f>
        <x:v>646.4130507414159</x:v>
      </x:c>
      <x:c r="I3677" s="27" t="n">
        <x:f>IF(AND(ISNUMBER(G3677),ISNUMBER(H3677),H3677&gt;0),G3677/H3677-1,"")</x:f>
        <x:v>-0.021968799285572382</x:v>
      </x:c>
      <x:c r="J3677" s="27" t="n">
        <x:f>IF(AND(ISNUMBER(G3677),F3677&gt;0),G3677/F3677-1,"")</x:f>
        <x:v>0.008179547355626537</x:v>
      </x:c>
      <x:c r="K3677" s="19" t="str">
        <x:v>Smooth_3_128_inputs/EXP133/results/seed7602_Fixed_rank_10.json</x:v>
      </x:c>
    </x:row>
    <x:row r="3678" ht="15" hidden="0" customHeight="1">
      <x:c r="A3678" s="3" t="str">
        <x:v>EXP133</x:v>
      </x:c>
      <x:c r="B3678" s="3" t="str">
        <x:v>Smooth 3 (128 inputs)</x:v>
      </x:c>
      <x:c r="C3678" s="18" t="n">
        <x:v>7602</x:v>
      </x:c>
      <x:c r="D3678" s="3" t="str">
        <x:v>Fixed rank 25</x:v>
      </x:c>
      <x:c r="E3678" s="18" t="n">
        <x:v>400</x:v>
      </x:c>
      <x:c r="F3678" s="21" t="n">
        <x:v>638.9514187183191</x:v>
      </x:c>
      <x:c r="G3678" s="21" t="n">
        <x:f>F3675</x:f>
        <x:v>632.2121321741032</x:v>
      </x:c>
      <x:c r="H3678" s="21" t="n">
        <x:f>F3680</x:f>
        <x:v>646.4130507414159</x:v>
      </x:c>
      <x:c r="I3678" s="27" t="n">
        <x:f>IF(AND(ISNUMBER(G3678),ISNUMBER(H3678),H3678&gt;0),G3678/H3678-1,"")</x:f>
        <x:v>-0.021968799285572382</x:v>
      </x:c>
      <x:c r="J3678" s="27" t="n">
        <x:f>IF(AND(ISNUMBER(G3678),F3678&gt;0),G3678/F3678-1,"")</x:f>
        <x:v>-0.010547416199081838</x:v>
      </x:c>
      <x:c r="K3678" s="19" t="str">
        <x:v>Smooth_3_128_inputs/EXP133/results/seed7602_Fixed_rank_25.json</x:v>
      </x:c>
    </x:row>
    <x:row r="3679" ht="15" hidden="0" customHeight="1">
      <x:c r="A3679" s="3" t="str">
        <x:v>EXP133</x:v>
      </x:c>
      <x:c r="B3679" s="3" t="str">
        <x:v>Smooth 3 (128 inputs)</x:v>
      </x:c>
      <x:c r="C3679" s="18" t="n">
        <x:v>7602</x:v>
      </x:c>
      <x:c r="D3679" s="3" t="str">
        <x:v>Relative cutoff 1e-6</x:v>
      </x:c>
      <x:c r="E3679" s="18" t="n">
        <x:v>400</x:v>
      </x:c>
      <x:c r="F3679" s="21" t="n">
        <x:v>656.0979809664515</x:v>
      </x:c>
      <x:c r="G3679" s="21" t="n">
        <x:f>F3675</x:f>
        <x:v>632.2121321741032</x:v>
      </x:c>
      <x:c r="H3679" s="21" t="n">
        <x:f>F3680</x:f>
        <x:v>646.4130507414159</x:v>
      </x:c>
      <x:c r="I3679" s="27" t="n">
        <x:f>IF(AND(ISNUMBER(G3679),ISNUMBER(H3679),H3679&gt;0),G3679/H3679-1,"")</x:f>
        <x:v>-0.021968799285572382</x:v>
      </x:c>
      <x:c r="J3679" s="27" t="n">
        <x:f>IF(AND(ISNUMBER(G3679),F3679&gt;0),G3679/F3679-1,"")</x:f>
        <x:v>-0.03640591723383102</x:v>
      </x:c>
      <x:c r="K3679" s="19" t="str">
        <x:v>Smooth_3_128_inputs/EXP133/results/seed7602_Relative_cutoff_1e-6.json</x:v>
      </x:c>
    </x:row>
    <x:row r="3680" ht="15" hidden="0" customHeight="1">
      <x:c r="A3680" s="3" t="str">
        <x:v>EXP133</x:v>
      </x:c>
      <x:c r="B3680" s="3" t="str">
        <x:v>Smooth 3 (128 inputs)</x:v>
      </x:c>
      <x:c r="C3680" s="18" t="n">
        <x:v>7602</x:v>
      </x:c>
      <x:c r="D3680" s="3" t="str">
        <x:v>Full</x:v>
      </x:c>
      <x:c r="E3680" s="18" t="n">
        <x:v>400</x:v>
      </x:c>
      <x:c r="F3680" s="21" t="n">
        <x:v>646.4130507414159</x:v>
      </x:c>
      <x:c r="G3680" s="21" t="n">
        <x:f>F3675</x:f>
        <x:v>632.2121321741032</x:v>
      </x:c>
      <x:c r="H3680" s="21" t="n">
        <x:f>F3680</x:f>
        <x:v>646.4130507414159</x:v>
      </x:c>
      <x:c r="I3680" s="27" t="n">
        <x:f>IF(AND(ISNUMBER(G3680),ISNUMBER(H3680),H3680&gt;0),G3680/H3680-1,"")</x:f>
        <x:v>-0.021968799285572382</x:v>
      </x:c>
      <x:c r="J3680" s="27" t="n">
        <x:f>IF(AND(ISNUMBER(G3680),F3680&gt;0),G3680/F3680-1,"")</x:f>
        <x:v>-0.021968799285572382</x:v>
      </x:c>
      <x:c r="K3680" s="19" t="str">
        <x:v>Smooth_3_128_inputs/EXP133/results/seed7602_Full.json</x:v>
      </x:c>
    </x:row>
    <x:row r="3681" ht="15" hidden="0" customHeight="1">
      <x:c r="A3681" s="3" t="str">
        <x:v>EXP133</x:v>
      </x:c>
      <x:c r="B3681" s="3" t="str">
        <x:v>Smooth 3 (128 inputs)</x:v>
      </x:c>
      <x:c r="C3681" s="18" t="n">
        <x:v>7602</x:v>
      </x:c>
      <x:c r="D3681" s="3" t="str">
        <x:v>Relative cutoff 1e-2</x:v>
      </x:c>
      <x:c r="E3681" s="18" t="n">
        <x:v>400</x:v>
      </x:c>
      <x:c r="F3681" s="21" t="n">
        <x:v>638.2239941994058</x:v>
      </x:c>
      <x:c r="G3681" s="21" t="n">
        <x:f>F3675</x:f>
        <x:v>632.2121321741032</x:v>
      </x:c>
      <x:c r="H3681" s="21" t="n">
        <x:f>F3680</x:f>
        <x:v>646.4130507414159</x:v>
      </x:c>
      <x:c r="I3681" s="27" t="n">
        <x:f>IF(AND(ISNUMBER(G3681),ISNUMBER(H3681),H3681&gt;0),G3681/H3681-1,"")</x:f>
        <x:v>-0.021968799285572382</x:v>
      </x:c>
      <x:c r="J3681" s="27" t="n">
        <x:f>IF(AND(ISNUMBER(G3681),F3681&gt;0),G3681/F3681-1,"")</x:f>
        <x:v>-0.00941967409552491</x:v>
      </x:c>
      <x:c r="K3681" s="19" t="str">
        <x:v>Smooth_3_128_inputs/EXP133/results/seed7602_Relative_cutoff_1e-2.json</x:v>
      </x:c>
    </x:row>
    <x:row r="3682" ht="15" hidden="0" customHeight="1">
      <x:c r="A3682" s="3" t="str">
        <x:v>EXP133</x:v>
      </x:c>
      <x:c r="B3682" s="3" t="str">
        <x:v>Smooth 3 (128 inputs)</x:v>
      </x:c>
      <x:c r="C3682" s="18" t="n">
        <x:v>7602</x:v>
      </x:c>
      <x:c r="D3682" s="3" t="str">
        <x:v>Relative cutoff 1e-4</x:v>
      </x:c>
      <x:c r="E3682" s="18" t="n">
        <x:v>400</x:v>
      </x:c>
      <x:c r="F3682" s="21" t="n">
        <x:v>644.7100533362133</x:v>
      </x:c>
      <x:c r="G3682" s="21" t="n">
        <x:f>F3675</x:f>
        <x:v>632.2121321741032</x:v>
      </x:c>
      <x:c r="H3682" s="21" t="n">
        <x:f>F3680</x:f>
        <x:v>646.4130507414159</x:v>
      </x:c>
      <x:c r="I3682" s="27" t="n">
        <x:f>IF(AND(ISNUMBER(G3682),ISNUMBER(H3682),H3682&gt;0),G3682/H3682-1,"")</x:f>
        <x:v>-0.021968799285572382</x:v>
      </x:c>
      <x:c r="J3682" s="27" t="n">
        <x:f>IF(AND(ISNUMBER(G3682),F3682&gt;0),G3682/F3682-1,"")</x:f>
        <x:v>-0.019385336241363738</x:v>
      </x:c>
      <x:c r="K3682" s="19" t="str">
        <x:v>Smooth_3_128_inputs/EXP133/results/seed7602_Relative_cutoff_1e-4.json</x:v>
      </x:c>
    </x:row>
    <x:row r="3683" ht="15" hidden="0" customHeight="1">
      <x:c r="A3683" s="3" t="str">
        <x:v>EXP133</x:v>
      </x:c>
      <x:c r="B3683" s="3" t="str">
        <x:v>Smooth 3 (128 inputs)</x:v>
      </x:c>
      <x:c r="C3683" s="18" t="n">
        <x:v>7603</x:v>
      </x:c>
      <x:c r="D3683" s="3" t="str">
        <x:v>BBP</x:v>
      </x:c>
      <x:c r="E3683" s="18" t="n">
        <x:v>400</x:v>
      </x:c>
      <x:c r="F3683" s="21" t="n">
        <x:v>819.1529479030802</x:v>
      </x:c>
      <x:c r="G3683" s="21" t="n">
        <x:f>F3683</x:f>
        <x:v>819.1529479030802</x:v>
      </x:c>
      <x:c r="H3683" s="21" t="n">
        <x:f>F3688</x:f>
        <x:v>765.2649798996795</x:v>
      </x:c>
      <x:c r="I3683" s="27" t="n">
        <x:f>IF(AND(ISNUMBER(G3683),ISNUMBER(H3683),H3683&gt;0),G3683/H3683-1,"")</x:f>
        <x:v>0.0704173971353883</x:v>
      </x:c>
      <x:c r="J3683" s="27" t="n">
        <x:f>IF(AND(ISNUMBER(G3683),F3683&gt;0),G3683/F3683-1,"")</x:f>
        <x:v>0</x:v>
      </x:c>
      <x:c r="K3683" s="19" t="str">
        <x:v>Smooth_3_128_inputs/EXP133/results/seed7603_BBP.json</x:v>
      </x:c>
    </x:row>
    <x:row r="3684" ht="15" hidden="0" customHeight="1">
      <x:c r="A3684" s="3" t="str">
        <x:v>EXP133</x:v>
      </x:c>
      <x:c r="B3684" s="3" t="str">
        <x:v>Smooth 3 (128 inputs)</x:v>
      </x:c>
      <x:c r="C3684" s="18" t="n">
        <x:v>7603</x:v>
      </x:c>
      <x:c r="D3684" s="3" t="str">
        <x:v>Relative cutoff 1e-5</x:v>
      </x:c>
      <x:c r="E3684" s="18" t="n">
        <x:v>400</x:v>
      </x:c>
      <x:c r="F3684" s="21" t="n">
        <x:v>795.4090400125153</x:v>
      </x:c>
      <x:c r="G3684" s="21" t="n">
        <x:f>F3683</x:f>
        <x:v>819.1529479030802</x:v>
      </x:c>
      <x:c r="H3684" s="21" t="n">
        <x:f>F3688</x:f>
        <x:v>765.2649798996795</x:v>
      </x:c>
      <x:c r="I3684" s="27" t="n">
        <x:f>IF(AND(ISNUMBER(G3684),ISNUMBER(H3684),H3684&gt;0),G3684/H3684-1,"")</x:f>
        <x:v>0.0704173971353883</x:v>
      </x:c>
      <x:c r="J3684" s="27" t="n">
        <x:f>IF(AND(ISNUMBER(G3684),F3684&gt;0),G3684/F3684-1,"")</x:f>
        <x:v>0.02985119189768226</x:v>
      </x:c>
      <x:c r="K3684" s="19" t="str">
        <x:v>Smooth_3_128_inputs/EXP133/results/seed7603_Relative_cutoff_1e-5.json</x:v>
      </x:c>
    </x:row>
    <x:row r="3685" ht="15" hidden="0" customHeight="1">
      <x:c r="A3685" s="3" t="str">
        <x:v>EXP133</x:v>
      </x:c>
      <x:c r="B3685" s="3" t="str">
        <x:v>Smooth 3 (128 inputs)</x:v>
      </x:c>
      <x:c r="C3685" s="18" t="n">
        <x:v>7603</x:v>
      </x:c>
      <x:c r="D3685" s="3" t="str">
        <x:v>Fixed rank 10</x:v>
      </x:c>
      <x:c r="E3685" s="18" t="n">
        <x:v>400</x:v>
      </x:c>
      <x:c r="F3685" s="21" t="n">
        <x:v>791.4063579475829</x:v>
      </x:c>
      <x:c r="G3685" s="21" t="n">
        <x:f>F3683</x:f>
        <x:v>819.1529479030802</x:v>
      </x:c>
      <x:c r="H3685" s="21" t="n">
        <x:f>F3688</x:f>
        <x:v>765.2649798996795</x:v>
      </x:c>
      <x:c r="I3685" s="27" t="n">
        <x:f>IF(AND(ISNUMBER(G3685),ISNUMBER(H3685),H3685&gt;0),G3685/H3685-1,"")</x:f>
        <x:v>0.0704173971353883</x:v>
      </x:c>
      <x:c r="J3685" s="27" t="n">
        <x:f>IF(AND(ISNUMBER(G3685),F3685&gt;0),G3685/F3685-1,"")</x:f>
        <x:v>0.035059852219856635</x:v>
      </x:c>
      <x:c r="K3685" s="19" t="str">
        <x:v>Smooth_3_128_inputs/EXP133/results/seed7603_Fixed_rank_10.json</x:v>
      </x:c>
    </x:row>
    <x:row r="3686" ht="15" hidden="0" customHeight="1">
      <x:c r="A3686" s="3" t="str">
        <x:v>EXP133</x:v>
      </x:c>
      <x:c r="B3686" s="3" t="str">
        <x:v>Smooth 3 (128 inputs)</x:v>
      </x:c>
      <x:c r="C3686" s="18" t="n">
        <x:v>7603</x:v>
      </x:c>
      <x:c r="D3686" s="3" t="str">
        <x:v>Fixed rank 25</x:v>
      </x:c>
      <x:c r="E3686" s="18" t="n">
        <x:v>400</x:v>
      </x:c>
      <x:c r="F3686" s="21" t="n">
        <x:v>802.4900212433922</x:v>
      </x:c>
      <x:c r="G3686" s="21" t="n">
        <x:f>F3683</x:f>
        <x:v>819.1529479030802</x:v>
      </x:c>
      <x:c r="H3686" s="21" t="n">
        <x:f>F3688</x:f>
        <x:v>765.2649798996795</x:v>
      </x:c>
      <x:c r="I3686" s="27" t="n">
        <x:f>IF(AND(ISNUMBER(G3686),ISNUMBER(H3686),H3686&gt;0),G3686/H3686-1,"")</x:f>
        <x:v>0.0704173971353883</x:v>
      </x:c>
      <x:c r="J3686" s="27" t="n">
        <x:f>IF(AND(ISNUMBER(G3686),F3686&gt;0),G3686/F3686-1,"")</x:f>
        <x:v>0.02076402973070013</x:v>
      </x:c>
      <x:c r="K3686" s="19" t="str">
        <x:v>Smooth_3_128_inputs/EXP133/results/seed7603_Fixed_rank_25.json</x:v>
      </x:c>
    </x:row>
    <x:row r="3687" ht="15" hidden="0" customHeight="1">
      <x:c r="A3687" s="3" t="str">
        <x:v>EXP133</x:v>
      </x:c>
      <x:c r="B3687" s="3" t="str">
        <x:v>Smooth 3 (128 inputs)</x:v>
      </x:c>
      <x:c r="C3687" s="18" t="n">
        <x:v>7603</x:v>
      </x:c>
      <x:c r="D3687" s="3" t="str">
        <x:v>Relative cutoff 1e-6</x:v>
      </x:c>
      <x:c r="E3687" s="18" t="n">
        <x:v>400</x:v>
      </x:c>
      <x:c r="F3687" s="21" t="n">
        <x:v>791.9465196411795</x:v>
      </x:c>
      <x:c r="G3687" s="21" t="n">
        <x:f>F3683</x:f>
        <x:v>819.1529479030802</x:v>
      </x:c>
      <x:c r="H3687" s="21" t="n">
        <x:f>F3688</x:f>
        <x:v>765.2649798996795</x:v>
      </x:c>
      <x:c r="I3687" s="27" t="n">
        <x:f>IF(AND(ISNUMBER(G3687),ISNUMBER(H3687),H3687&gt;0),G3687/H3687-1,"")</x:f>
        <x:v>0.0704173971353883</x:v>
      </x:c>
      <x:c r="J3687" s="27" t="n">
        <x:f>IF(AND(ISNUMBER(G3687),F3687&gt;0),G3687/F3687-1,"")</x:f>
        <x:v>0.03435387060508521</x:v>
      </x:c>
      <x:c r="K3687" s="19" t="str">
        <x:v>Smooth_3_128_inputs/EXP133/results/seed7603_Relative_cutoff_1e-6.json</x:v>
      </x:c>
    </x:row>
    <x:row r="3688" ht="15" hidden="0" customHeight="1">
      <x:c r="A3688" s="3" t="str">
        <x:v>EXP133</x:v>
      </x:c>
      <x:c r="B3688" s="3" t="str">
        <x:v>Smooth 3 (128 inputs)</x:v>
      </x:c>
      <x:c r="C3688" s="18" t="n">
        <x:v>7603</x:v>
      </x:c>
      <x:c r="D3688" s="3" t="str">
        <x:v>Full</x:v>
      </x:c>
      <x:c r="E3688" s="18" t="n">
        <x:v>400</x:v>
      </x:c>
      <x:c r="F3688" s="21" t="n">
        <x:v>765.2649798996795</x:v>
      </x:c>
      <x:c r="G3688" s="21" t="n">
        <x:f>F3683</x:f>
        <x:v>819.1529479030802</x:v>
      </x:c>
      <x:c r="H3688" s="21" t="n">
        <x:f>F3688</x:f>
        <x:v>765.2649798996795</x:v>
      </x:c>
      <x:c r="I3688" s="27" t="n">
        <x:f>IF(AND(ISNUMBER(G3688),ISNUMBER(H3688),H3688&gt;0),G3688/H3688-1,"")</x:f>
        <x:v>0.0704173971353883</x:v>
      </x:c>
      <x:c r="J3688" s="27" t="n">
        <x:f>IF(AND(ISNUMBER(G3688),F3688&gt;0),G3688/F3688-1,"")</x:f>
        <x:v>0.0704173971353883</x:v>
      </x:c>
      <x:c r="K3688" s="19" t="str">
        <x:v>Smooth_3_128_inputs/EXP133/results/seed7603_Full.json</x:v>
      </x:c>
    </x:row>
    <x:row r="3689" ht="15" hidden="0" customHeight="1">
      <x:c r="A3689" s="3" t="str">
        <x:v>EXP133</x:v>
      </x:c>
      <x:c r="B3689" s="3" t="str">
        <x:v>Smooth 3 (128 inputs)</x:v>
      </x:c>
      <x:c r="C3689" s="18" t="n">
        <x:v>7603</x:v>
      </x:c>
      <x:c r="D3689" s="3" t="str">
        <x:v>Relative cutoff 1e-2</x:v>
      </x:c>
      <x:c r="E3689" s="18" t="n">
        <x:v>400</x:v>
      </x:c>
      <x:c r="F3689" s="21" t="n">
        <x:v>800.984017198604</x:v>
      </x:c>
      <x:c r="G3689" s="21" t="n">
        <x:f>F3683</x:f>
        <x:v>819.1529479030802</x:v>
      </x:c>
      <x:c r="H3689" s="21" t="n">
        <x:f>F3688</x:f>
        <x:v>765.2649798996795</x:v>
      </x:c>
      <x:c r="I3689" s="27" t="n">
        <x:f>IF(AND(ISNUMBER(G3689),ISNUMBER(H3689),H3689&gt;0),G3689/H3689-1,"")</x:f>
        <x:v>0.0704173971353883</x:v>
      </x:c>
      <x:c r="J3689" s="27" t="n">
        <x:f>IF(AND(ISNUMBER(G3689),F3689&gt;0),G3689/F3689-1,"")</x:f>
        <x:v>0.022683262480094113</x:v>
      </x:c>
      <x:c r="K3689" s="19" t="str">
        <x:v>Smooth_3_128_inputs/EXP133/results/seed7603_Relative_cutoff_1e-2.json</x:v>
      </x:c>
    </x:row>
    <x:row r="3690" ht="15" hidden="0" customHeight="1">
      <x:c r="A3690" s="3" t="str">
        <x:v>EXP133</x:v>
      </x:c>
      <x:c r="B3690" s="3" t="str">
        <x:v>Smooth 3 (128 inputs)</x:v>
      </x:c>
      <x:c r="C3690" s="18" t="n">
        <x:v>7603</x:v>
      </x:c>
      <x:c r="D3690" s="3" t="str">
        <x:v>Relative cutoff 1e-4</x:v>
      </x:c>
      <x:c r="E3690" s="18" t="n">
        <x:v>400</x:v>
      </x:c>
      <x:c r="F3690" s="21" t="n">
        <x:v>790.7689475515988</x:v>
      </x:c>
      <x:c r="G3690" s="21" t="n">
        <x:f>F3683</x:f>
        <x:v>819.1529479030802</x:v>
      </x:c>
      <x:c r="H3690" s="21" t="n">
        <x:f>F3688</x:f>
        <x:v>765.2649798996795</x:v>
      </x:c>
      <x:c r="I3690" s="27" t="n">
        <x:f>IF(AND(ISNUMBER(G3690),ISNUMBER(H3690),H3690&gt;0),G3690/H3690-1,"")</x:f>
        <x:v>0.0704173971353883</x:v>
      </x:c>
      <x:c r="J3690" s="27" t="n">
        <x:f>IF(AND(ISNUMBER(G3690),F3690&gt;0),G3690/F3690-1,"")</x:f>
        <x:v>0.03589417672426909</x:v>
      </x:c>
      <x:c r="K3690" s="19" t="str">
        <x:v>Smooth_3_128_inputs/EXP133/results/seed7603_Relative_cutoff_1e-4.json</x:v>
      </x:c>
    </x:row>
    <x:row r="3691" ht="15" hidden="0" customHeight="1">
      <x:c r="A3691" s="3" t="str">
        <x:v>EXP133</x:v>
      </x:c>
      <x:c r="B3691" s="3" t="str">
        <x:v>Smooth 3 (128 inputs)</x:v>
      </x:c>
      <x:c r="C3691" s="18" t="n">
        <x:v>7604</x:v>
      </x:c>
      <x:c r="D3691" s="3" t="str">
        <x:v>BBP</x:v>
      </x:c>
      <x:c r="E3691" s="18" t="n">
        <x:v>400</x:v>
      </x:c>
      <x:c r="F3691" s="21" t="n">
        <x:v>837.3678239926827</x:v>
      </x:c>
      <x:c r="G3691" s="21" t="n">
        <x:f>F3691</x:f>
        <x:v>837.3678239926827</x:v>
      </x:c>
      <x:c r="H3691" s="21" t="n">
        <x:f>F3696</x:f>
        <x:v>837.4183947466669</x:v>
      </x:c>
      <x:c r="I3691" s="27" t="n">
        <x:f>IF(AND(ISNUMBER(G3691),ISNUMBER(H3691),H3691&gt;0),G3691/H3691-1,"")</x:f>
        <x:v>-0.00006038887406989435</x:v>
      </x:c>
      <x:c r="J3691" s="27" t="n">
        <x:f>IF(AND(ISNUMBER(G3691),F3691&gt;0),G3691/F3691-1,"")</x:f>
        <x:v>0</x:v>
      </x:c>
      <x:c r="K3691" s="19" t="str">
        <x:v>Smooth_3_128_inputs/EXP133/results/seed7604_BBP.json</x:v>
      </x:c>
    </x:row>
    <x:row r="3692" ht="15" hidden="0" customHeight="1">
      <x:c r="A3692" s="3" t="str">
        <x:v>EXP133</x:v>
      </x:c>
      <x:c r="B3692" s="3" t="str">
        <x:v>Smooth 3 (128 inputs)</x:v>
      </x:c>
      <x:c r="C3692" s="18" t="n">
        <x:v>7604</x:v>
      </x:c>
      <x:c r="D3692" s="3" t="str">
        <x:v>Relative cutoff 1e-5</x:v>
      </x:c>
      <x:c r="E3692" s="18" t="n">
        <x:v>400</x:v>
      </x:c>
      <x:c r="F3692" s="21" t="n">
        <x:v>806.7203811300299</x:v>
      </x:c>
      <x:c r="G3692" s="21" t="n">
        <x:f>F3691</x:f>
        <x:v>837.3678239926827</x:v>
      </x:c>
      <x:c r="H3692" s="21" t="n">
        <x:f>F3696</x:f>
        <x:v>837.4183947466669</x:v>
      </x:c>
      <x:c r="I3692" s="27" t="n">
        <x:f>IF(AND(ISNUMBER(G3692),ISNUMBER(H3692),H3692&gt;0),G3692/H3692-1,"")</x:f>
        <x:v>-0.00006038887406989435</x:v>
      </x:c>
      <x:c r="J3692" s="27" t="n">
        <x:f>IF(AND(ISNUMBER(G3692),F3692&gt;0),G3692/F3692-1,"")</x:f>
        <x:v>0.037990168067556285</x:v>
      </x:c>
      <x:c r="K3692" s="19" t="str">
        <x:v>Smooth_3_128_inputs/EXP133/results/seed7604_Relative_cutoff_1e-5.json</x:v>
      </x:c>
    </x:row>
    <x:row r="3693" ht="15" hidden="0" customHeight="1">
      <x:c r="A3693" s="3" t="str">
        <x:v>EXP133</x:v>
      </x:c>
      <x:c r="B3693" s="3" t="str">
        <x:v>Smooth 3 (128 inputs)</x:v>
      </x:c>
      <x:c r="C3693" s="18" t="n">
        <x:v>7604</x:v>
      </x:c>
      <x:c r="D3693" s="3" t="str">
        <x:v>Fixed rank 10</x:v>
      </x:c>
      <x:c r="E3693" s="18" t="n">
        <x:v>400</x:v>
      </x:c>
      <x:c r="F3693" s="21" t="n">
        <x:v>781.3956116969156</x:v>
      </x:c>
      <x:c r="G3693" s="21" t="n">
        <x:f>F3691</x:f>
        <x:v>837.3678239926827</x:v>
      </x:c>
      <x:c r="H3693" s="21" t="n">
        <x:f>F3696</x:f>
        <x:v>837.4183947466669</x:v>
      </x:c>
      <x:c r="I3693" s="27" t="n">
        <x:f>IF(AND(ISNUMBER(G3693),ISNUMBER(H3693),H3693&gt;0),G3693/H3693-1,"")</x:f>
        <x:v>-0.00006038887406989435</x:v>
      </x:c>
      <x:c r="J3693" s="27" t="n">
        <x:f>IF(AND(ISNUMBER(G3693),F3693&gt;0),G3693/F3693-1,"")</x:f>
        <x:v>0.07163108092482795</x:v>
      </x:c>
      <x:c r="K3693" s="19" t="str">
        <x:v>Smooth_3_128_inputs/EXP133/results/seed7604_Fixed_rank_10.json</x:v>
      </x:c>
    </x:row>
    <x:row r="3694" ht="15" hidden="0" customHeight="1">
      <x:c r="A3694" s="3" t="str">
        <x:v>EXP133</x:v>
      </x:c>
      <x:c r="B3694" s="3" t="str">
        <x:v>Smooth 3 (128 inputs)</x:v>
      </x:c>
      <x:c r="C3694" s="18" t="n">
        <x:v>7604</x:v>
      </x:c>
      <x:c r="D3694" s="3" t="str">
        <x:v>Fixed rank 25</x:v>
      </x:c>
      <x:c r="E3694" s="18" t="n">
        <x:v>400</x:v>
      </x:c>
      <x:c r="F3694" s="21" t="n">
        <x:v>823.5733116865382</x:v>
      </x:c>
      <x:c r="G3694" s="21" t="n">
        <x:f>F3691</x:f>
        <x:v>837.3678239926827</x:v>
      </x:c>
      <x:c r="H3694" s="21" t="n">
        <x:f>F3696</x:f>
        <x:v>837.4183947466669</x:v>
      </x:c>
      <x:c r="I3694" s="27" t="n">
        <x:f>IF(AND(ISNUMBER(G3694),ISNUMBER(H3694),H3694&gt;0),G3694/H3694-1,"")</x:f>
        <x:v>-0.00006038887406989435</x:v>
      </x:c>
      <x:c r="J3694" s="27" t="n">
        <x:f>IF(AND(ISNUMBER(G3694),F3694&gt;0),G3694/F3694-1,"")</x:f>
        <x:v>0.016749586357886814</x:v>
      </x:c>
      <x:c r="K3694" s="19" t="str">
        <x:v>Smooth_3_128_inputs/EXP133/results/seed7604_Fixed_rank_25.json</x:v>
      </x:c>
    </x:row>
    <x:row r="3695" ht="15" hidden="0" customHeight="1">
      <x:c r="A3695" s="3" t="str">
        <x:v>EXP133</x:v>
      </x:c>
      <x:c r="B3695" s="3" t="str">
        <x:v>Smooth 3 (128 inputs)</x:v>
      </x:c>
      <x:c r="C3695" s="18" t="n">
        <x:v>7604</x:v>
      </x:c>
      <x:c r="D3695" s="3" t="str">
        <x:v>Relative cutoff 1e-6</x:v>
      </x:c>
      <x:c r="E3695" s="18" t="n">
        <x:v>400</x:v>
      </x:c>
      <x:c r="F3695" s="21" t="n">
        <x:v>841.4831871203742</x:v>
      </x:c>
      <x:c r="G3695" s="21" t="n">
        <x:f>F3691</x:f>
        <x:v>837.3678239926827</x:v>
      </x:c>
      <x:c r="H3695" s="21" t="n">
        <x:f>F3696</x:f>
        <x:v>837.4183947466669</x:v>
      </x:c>
      <x:c r="I3695" s="27" t="n">
        <x:f>IF(AND(ISNUMBER(G3695),ISNUMBER(H3695),H3695&gt;0),G3695/H3695-1,"")</x:f>
        <x:v>-0.00006038887406989435</x:v>
      </x:c>
      <x:c r="J3695" s="27" t="n">
        <x:f>IF(AND(ISNUMBER(G3695),F3695&gt;0),G3695/F3695-1,"")</x:f>
        <x:v>-0.004890606479939996</x:v>
      </x:c>
      <x:c r="K3695" s="19" t="str">
        <x:v>Smooth_3_128_inputs/EXP133/results/seed7604_Relative_cutoff_1e-6.json</x:v>
      </x:c>
    </x:row>
    <x:row r="3696" ht="15" hidden="0" customHeight="1">
      <x:c r="A3696" s="3" t="str">
        <x:v>EXP133</x:v>
      </x:c>
      <x:c r="B3696" s="3" t="str">
        <x:v>Smooth 3 (128 inputs)</x:v>
      </x:c>
      <x:c r="C3696" s="18" t="n">
        <x:v>7604</x:v>
      </x:c>
      <x:c r="D3696" s="3" t="str">
        <x:v>Full</x:v>
      </x:c>
      <x:c r="E3696" s="18" t="n">
        <x:v>400</x:v>
      </x:c>
      <x:c r="F3696" s="21" t="n">
        <x:v>837.4183947466669</x:v>
      </x:c>
      <x:c r="G3696" s="21" t="n">
        <x:f>F3691</x:f>
        <x:v>837.3678239926827</x:v>
      </x:c>
      <x:c r="H3696" s="21" t="n">
        <x:f>F3696</x:f>
        <x:v>837.4183947466669</x:v>
      </x:c>
      <x:c r="I3696" s="27" t="n">
        <x:f>IF(AND(ISNUMBER(G3696),ISNUMBER(H3696),H3696&gt;0),G3696/H3696-1,"")</x:f>
        <x:v>-0.00006038887406989435</x:v>
      </x:c>
      <x:c r="J3696" s="27" t="n">
        <x:f>IF(AND(ISNUMBER(G3696),F3696&gt;0),G3696/F3696-1,"")</x:f>
        <x:v>-0.00006038887406989435</x:v>
      </x:c>
      <x:c r="K3696" s="19" t="str">
        <x:v>Smooth_3_128_inputs/EXP133/results/seed7604_Full.json</x:v>
      </x:c>
    </x:row>
    <x:row r="3697" ht="15" hidden="0" customHeight="1">
      <x:c r="A3697" s="3" t="str">
        <x:v>EXP133</x:v>
      </x:c>
      <x:c r="B3697" s="3" t="str">
        <x:v>Smooth 3 (128 inputs)</x:v>
      </x:c>
      <x:c r="C3697" s="18" t="n">
        <x:v>7604</x:v>
      </x:c>
      <x:c r="D3697" s="3" t="str">
        <x:v>Relative cutoff 1e-2</x:v>
      </x:c>
      <x:c r="E3697" s="18" t="n">
        <x:v>400</x:v>
      </x:c>
      <x:c r="F3697" s="21" t="n">
        <x:v>829.4685473839527</x:v>
      </x:c>
      <x:c r="G3697" s="21" t="n">
        <x:f>F3691</x:f>
        <x:v>837.3678239926827</x:v>
      </x:c>
      <x:c r="H3697" s="21" t="n">
        <x:f>F3696</x:f>
        <x:v>837.4183947466669</x:v>
      </x:c>
      <x:c r="I3697" s="27" t="n">
        <x:f>IF(AND(ISNUMBER(G3697),ISNUMBER(H3697),H3697&gt;0),G3697/H3697-1,"")</x:f>
        <x:v>-0.00006038887406989435</x:v>
      </x:c>
      <x:c r="J3697" s="27" t="n">
        <x:f>IF(AND(ISNUMBER(G3697),F3697&gt;0),G3697/F3697-1,"")</x:f>
        <x:v>0.009523298542956748</x:v>
      </x:c>
      <x:c r="K3697" s="19" t="str">
        <x:v>Smooth_3_128_inputs/EXP133/results/seed7604_Relative_cutoff_1e-2.json</x:v>
      </x:c>
    </x:row>
    <x:row r="3698" ht="15" hidden="0" customHeight="1">
      <x:c r="A3698" s="3" t="str">
        <x:v>EXP133</x:v>
      </x:c>
      <x:c r="B3698" s="3" t="str">
        <x:v>Smooth 3 (128 inputs)</x:v>
      </x:c>
      <x:c r="C3698" s="18" t="n">
        <x:v>7604</x:v>
      </x:c>
      <x:c r="D3698" s="3" t="str">
        <x:v>Relative cutoff 1e-4</x:v>
      </x:c>
      <x:c r="E3698" s="18" t="n">
        <x:v>400</x:v>
      </x:c>
      <x:c r="F3698" s="21" t="n">
        <x:v>822.7243927582543</x:v>
      </x:c>
      <x:c r="G3698" s="21" t="n">
        <x:f>F3691</x:f>
        <x:v>837.3678239926827</x:v>
      </x:c>
      <x:c r="H3698" s="21" t="n">
        <x:f>F3696</x:f>
        <x:v>837.4183947466669</x:v>
      </x:c>
      <x:c r="I3698" s="27" t="n">
        <x:f>IF(AND(ISNUMBER(G3698),ISNUMBER(H3698),H3698&gt;0),G3698/H3698-1,"")</x:f>
        <x:v>-0.00006038887406989435</x:v>
      </x:c>
      <x:c r="J3698" s="27" t="n">
        <x:f>IF(AND(ISNUMBER(G3698),F3698&gt;0),G3698/F3698-1,"")</x:f>
        <x:v>0.01779870800394656</x:v>
      </x:c>
      <x:c r="K3698" s="19" t="str">
        <x:v>Smooth_3_128_inputs/EXP133/results/seed7604_Relative_cutoff_1e-4.json</x:v>
      </x:c>
    </x:row>
    <x:row r="3699" ht="15" hidden="0" customHeight="1">
      <x:c r="A3699" s="3" t="str">
        <x:v>EXP133</x:v>
      </x:c>
      <x:c r="B3699" s="3" t="str">
        <x:v>Smooth 3 (128 inputs)</x:v>
      </x:c>
      <x:c r="C3699" s="18" t="n">
        <x:v>174934167</x:v>
      </x:c>
      <x:c r="D3699" s="3" t="str">
        <x:v>BBP</x:v>
      </x:c>
      <x:c r="E3699" s="18" t="n">
        <x:v>400</x:v>
      </x:c>
      <x:c r="F3699" s="21" t="n">
        <x:v>857.693023040765</x:v>
      </x:c>
      <x:c r="G3699" s="21" t="n">
        <x:f>F3699</x:f>
        <x:v>857.693023040765</x:v>
      </x:c>
      <x:c r="H3699" s="21" t="n">
        <x:f>F3704</x:f>
        <x:v>907.8654527231816</x:v>
      </x:c>
      <x:c r="I3699" s="27" t="n">
        <x:f>IF(AND(ISNUMBER(G3699),ISNUMBER(H3699),H3699&gt;0),G3699/H3699-1,"")</x:f>
        <x:v>-0.055264168861060115</x:v>
      </x:c>
      <x:c r="J3699" s="27" t="n">
        <x:f>IF(AND(ISNUMBER(G3699),F3699&gt;0),G3699/F3699-1,"")</x:f>
        <x:v>0</x:v>
      </x:c>
      <x:c r="K3699" s="19" t="str">
        <x:v>Smooth_3_128_inputs/EXP133/results/seed174934167_BBP.json</x:v>
      </x:c>
    </x:row>
    <x:row r="3700" ht="15" hidden="0" customHeight="1">
      <x:c r="A3700" s="3" t="str">
        <x:v>EXP133</x:v>
      </x:c>
      <x:c r="B3700" s="3" t="str">
        <x:v>Smooth 3 (128 inputs)</x:v>
      </x:c>
      <x:c r="C3700" s="18" t="n">
        <x:v>174934167</x:v>
      </x:c>
      <x:c r="D3700" s="3" t="str">
        <x:v>Relative cutoff 1e-5</x:v>
      </x:c>
      <x:c r="E3700" s="18" t="n">
        <x:v>400</x:v>
      </x:c>
      <x:c r="F3700" s="21" t="n">
        <x:v>897.064652318081</x:v>
      </x:c>
      <x:c r="G3700" s="21" t="n">
        <x:f>F3699</x:f>
        <x:v>857.693023040765</x:v>
      </x:c>
      <x:c r="H3700" s="21" t="n">
        <x:f>F3704</x:f>
        <x:v>907.8654527231816</x:v>
      </x:c>
      <x:c r="I3700" s="27" t="n">
        <x:f>IF(AND(ISNUMBER(G3700),ISNUMBER(H3700),H3700&gt;0),G3700/H3700-1,"")</x:f>
        <x:v>-0.055264168861060115</x:v>
      </x:c>
      <x:c r="J3700" s="27" t="n">
        <x:f>IF(AND(ISNUMBER(G3700),F3700&gt;0),G3700/F3700-1,"")</x:f>
        <x:v>-0.043889399917360294</x:v>
      </x:c>
      <x:c r="K3700" s="19" t="str">
        <x:v>Smooth_3_128_inputs/EXP133/results/seed174934167_Relative_cutoff_1e-5.json</x:v>
      </x:c>
    </x:row>
    <x:row r="3701" ht="15" hidden="0" customHeight="1">
      <x:c r="A3701" s="3" t="str">
        <x:v>EXP133</x:v>
      </x:c>
      <x:c r="B3701" s="3" t="str">
        <x:v>Smooth 3 (128 inputs)</x:v>
      </x:c>
      <x:c r="C3701" s="18" t="n">
        <x:v>174934167</x:v>
      </x:c>
      <x:c r="D3701" s="3" t="str">
        <x:v>Fixed rank 10</x:v>
      </x:c>
      <x:c r="E3701" s="18" t="n">
        <x:v>400</x:v>
      </x:c>
      <x:c r="F3701" s="21" t="n">
        <x:v>906.5043632775205</x:v>
      </x:c>
      <x:c r="G3701" s="21" t="n">
        <x:f>F3699</x:f>
        <x:v>857.693023040765</x:v>
      </x:c>
      <x:c r="H3701" s="21" t="n">
        <x:f>F3704</x:f>
        <x:v>907.8654527231816</x:v>
      </x:c>
      <x:c r="I3701" s="27" t="n">
        <x:f>IF(AND(ISNUMBER(G3701),ISNUMBER(H3701),H3701&gt;0),G3701/H3701-1,"")</x:f>
        <x:v>-0.055264168861060115</x:v>
      </x:c>
      <x:c r="J3701" s="27" t="n">
        <x:f>IF(AND(ISNUMBER(G3701),F3701&gt;0),G3701/F3701-1,"")</x:f>
        <x:v>-0.05384567599903789</x:v>
      </x:c>
      <x:c r="K3701" s="19" t="str">
        <x:v>Smooth_3_128_inputs/EXP133/results/seed174934167_Fixed_rank_10.json</x:v>
      </x:c>
    </x:row>
    <x:row r="3702" ht="15" hidden="0" customHeight="1">
      <x:c r="A3702" s="3" t="str">
        <x:v>EXP133</x:v>
      </x:c>
      <x:c r="B3702" s="3" t="str">
        <x:v>Smooth 3 (128 inputs)</x:v>
      </x:c>
      <x:c r="C3702" s="18" t="n">
        <x:v>174934167</x:v>
      </x:c>
      <x:c r="D3702" s="3" t="str">
        <x:v>Fixed rank 25</x:v>
      </x:c>
      <x:c r="E3702" s="18" t="n">
        <x:v>400</x:v>
      </x:c>
      <x:c r="F3702" s="21" t="n">
        <x:v>857.693023040765</x:v>
      </x:c>
      <x:c r="G3702" s="21" t="n">
        <x:f>F3699</x:f>
        <x:v>857.693023040765</x:v>
      </x:c>
      <x:c r="H3702" s="21" t="n">
        <x:f>F3704</x:f>
        <x:v>907.8654527231816</x:v>
      </x:c>
      <x:c r="I3702" s="27" t="n">
        <x:f>IF(AND(ISNUMBER(G3702),ISNUMBER(H3702),H3702&gt;0),G3702/H3702-1,"")</x:f>
        <x:v>-0.055264168861060115</x:v>
      </x:c>
      <x:c r="J3702" s="27" t="n">
        <x:f>IF(AND(ISNUMBER(G3702),F3702&gt;0),G3702/F3702-1,"")</x:f>
        <x:v>0</x:v>
      </x:c>
      <x:c r="K3702" s="19" t="str">
        <x:v>Smooth_3_128_inputs/EXP133/results/seed174934167_Fixed_rank_25.json</x:v>
      </x:c>
    </x:row>
    <x:row r="3703" ht="15" hidden="0" customHeight="1">
      <x:c r="A3703" s="3" t="str">
        <x:v>EXP133</x:v>
      </x:c>
      <x:c r="B3703" s="3" t="str">
        <x:v>Smooth 3 (128 inputs)</x:v>
      </x:c>
      <x:c r="C3703" s="18" t="n">
        <x:v>174934167</x:v>
      </x:c>
      <x:c r="D3703" s="3" t="str">
        <x:v>Relative cutoff 1e-6</x:v>
      </x:c>
      <x:c r="E3703" s="18" t="n">
        <x:v>400</x:v>
      </x:c>
      <x:c r="F3703" s="21" t="n">
        <x:v>897.9444781137847</x:v>
      </x:c>
      <x:c r="G3703" s="21" t="n">
        <x:f>F3699</x:f>
        <x:v>857.693023040765</x:v>
      </x:c>
      <x:c r="H3703" s="21" t="n">
        <x:f>F3704</x:f>
        <x:v>907.8654527231816</x:v>
      </x:c>
      <x:c r="I3703" s="27" t="n">
        <x:f>IF(AND(ISNUMBER(G3703),ISNUMBER(H3703),H3703&gt;0),G3703/H3703-1,"")</x:f>
        <x:v>-0.055264168861060115</x:v>
      </x:c>
      <x:c r="J3703" s="27" t="n">
        <x:f>IF(AND(ISNUMBER(G3703),F3703&gt;0),G3703/F3703-1,"")</x:f>
        <x:v>-0.04482621816169707</x:v>
      </x:c>
      <x:c r="K3703" s="19" t="str">
        <x:v>Smooth_3_128_inputs/EXP133/results/seed174934167_Relative_cutoff_1e-6.json</x:v>
      </x:c>
    </x:row>
    <x:row r="3704" ht="15" hidden="0" customHeight="1">
      <x:c r="A3704" s="3" t="str">
        <x:v>EXP133</x:v>
      </x:c>
      <x:c r="B3704" s="3" t="str">
        <x:v>Smooth 3 (128 inputs)</x:v>
      </x:c>
      <x:c r="C3704" s="18" t="n">
        <x:v>174934167</x:v>
      </x:c>
      <x:c r="D3704" s="3" t="str">
        <x:v>Full</x:v>
      </x:c>
      <x:c r="E3704" s="18" t="n">
        <x:v>400</x:v>
      </x:c>
      <x:c r="F3704" s="21" t="n">
        <x:v>907.8654527231816</x:v>
      </x:c>
      <x:c r="G3704" s="21" t="n">
        <x:f>F3699</x:f>
        <x:v>857.693023040765</x:v>
      </x:c>
      <x:c r="H3704" s="21" t="n">
        <x:f>F3704</x:f>
        <x:v>907.8654527231816</x:v>
      </x:c>
      <x:c r="I3704" s="27" t="n">
        <x:f>IF(AND(ISNUMBER(G3704),ISNUMBER(H3704),H3704&gt;0),G3704/H3704-1,"")</x:f>
        <x:v>-0.055264168861060115</x:v>
      </x:c>
      <x:c r="J3704" s="27" t="n">
        <x:f>IF(AND(ISNUMBER(G3704),F3704&gt;0),G3704/F3704-1,"")</x:f>
        <x:v>-0.055264168861060115</x:v>
      </x:c>
      <x:c r="K3704" s="19" t="str">
        <x:v>Smooth_3_128_inputs/EXP133/results/seed174934167_Full.json</x:v>
      </x:c>
    </x:row>
    <x:row r="3705" ht="15" hidden="0" customHeight="1">
      <x:c r="A3705" s="3" t="str">
        <x:v>EXP133</x:v>
      </x:c>
      <x:c r="B3705" s="3" t="str">
        <x:v>Smooth 3 (128 inputs)</x:v>
      </x:c>
      <x:c r="C3705" s="18" t="n">
        <x:v>174934167</x:v>
      </x:c>
      <x:c r="D3705" s="3" t="str">
        <x:v>Relative cutoff 1e-2</x:v>
      </x:c>
      <x:c r="E3705" s="18" t="n">
        <x:v>400</x:v>
      </x:c>
      <x:c r="F3705" s="21" t="n">
        <x:v>902.7806511108355</x:v>
      </x:c>
      <x:c r="G3705" s="21" t="n">
        <x:f>F3699</x:f>
        <x:v>857.693023040765</x:v>
      </x:c>
      <x:c r="H3705" s="21" t="n">
        <x:f>F3704</x:f>
        <x:v>907.8654527231816</x:v>
      </x:c>
      <x:c r="I3705" s="27" t="n">
        <x:f>IF(AND(ISNUMBER(G3705),ISNUMBER(H3705),H3705&gt;0),G3705/H3705-1,"")</x:f>
        <x:v>-0.055264168861060115</x:v>
      </x:c>
      <x:c r="J3705" s="27" t="n">
        <x:f>IF(AND(ISNUMBER(G3705),F3705&gt;0),G3705/F3705-1,"")</x:f>
        <x:v>-0.04994305982809</x:v>
      </x:c>
      <x:c r="K3705" s="19" t="str">
        <x:v>Smooth_3_128_inputs/EXP133/results/seed174934167_Relative_cutoff_1e-2.json</x:v>
      </x:c>
    </x:row>
    <x:row r="3706" ht="15" hidden="0" customHeight="1">
      <x:c r="A3706" s="3" t="str">
        <x:v>EXP133</x:v>
      </x:c>
      <x:c r="B3706" s="3" t="str">
        <x:v>Smooth 3 (128 inputs)</x:v>
      </x:c>
      <x:c r="C3706" s="18" t="n">
        <x:v>174934167</x:v>
      </x:c>
      <x:c r="D3706" s="3" t="str">
        <x:v>Relative cutoff 1e-4</x:v>
      </x:c>
      <x:c r="E3706" s="18" t="n">
        <x:v>400</x:v>
      </x:c>
      <x:c r="F3706" s="21" t="n">
        <x:v>892.920208818425</x:v>
      </x:c>
      <x:c r="G3706" s="21" t="n">
        <x:f>F3699</x:f>
        <x:v>857.693023040765</x:v>
      </x:c>
      <x:c r="H3706" s="21" t="n">
        <x:f>F3704</x:f>
        <x:v>907.8654527231816</x:v>
      </x:c>
      <x:c r="I3706" s="27" t="n">
        <x:f>IF(AND(ISNUMBER(G3706),ISNUMBER(H3706),H3706&gt;0),G3706/H3706-1,"")</x:f>
        <x:v>-0.055264168861060115</x:v>
      </x:c>
      <x:c r="J3706" s="27" t="n">
        <x:f>IF(AND(ISNUMBER(G3706),F3706&gt;0),G3706/F3706-1,"")</x:f>
        <x:v>-0.03945166144719148</x:v>
      </x:c>
      <x:c r="K3706" s="19" t="str">
        <x:v>Smooth_3_128_inputs/EXP133/results/seed174934167_Relative_cutoff_1e-4.json</x:v>
      </x:c>
    </x:row>
    <x:row r="3707" ht="15" hidden="0" customHeight="1">
      <x:c r="A3707" s="3" t="str">
        <x:v>EXP133</x:v>
      </x:c>
      <x:c r="B3707" s="3" t="str">
        <x:v>Smooth 3 (128 inputs)</x:v>
      </x:c>
      <x:c r="C3707" s="18" t="n">
        <x:v>372273586</x:v>
      </x:c>
      <x:c r="D3707" s="3" t="str">
        <x:v>BBP</x:v>
      </x:c>
      <x:c r="E3707" s="18" t="n">
        <x:v>400</x:v>
      </x:c>
      <x:c r="F3707" s="21" t="n">
        <x:v>555.6856499155173</x:v>
      </x:c>
      <x:c r="G3707" s="21" t="n">
        <x:f>F3707</x:f>
        <x:v>555.6856499155173</x:v>
      </x:c>
      <x:c r="H3707" s="21" t="n">
        <x:f>F3712</x:f>
        <x:v>566.7889509577737</x:v>
      </x:c>
      <x:c r="I3707" s="27" t="n">
        <x:f>IF(AND(ISNUMBER(G3707),ISNUMBER(H3707),H3707&gt;0),G3707/H3707-1,"")</x:f>
        <x:v>-0.01958983325891206</x:v>
      </x:c>
      <x:c r="J3707" s="27" t="n">
        <x:f>IF(AND(ISNUMBER(G3707),F3707&gt;0),G3707/F3707-1,"")</x:f>
        <x:v>0</x:v>
      </x:c>
      <x:c r="K3707" s="19" t="str">
        <x:v>Smooth_3_128_inputs/EXP133/results/seed372273586_BBP.json</x:v>
      </x:c>
    </x:row>
    <x:row r="3708" ht="15" hidden="0" customHeight="1">
      <x:c r="A3708" s="3" t="str">
        <x:v>EXP133</x:v>
      </x:c>
      <x:c r="B3708" s="3" t="str">
        <x:v>Smooth 3 (128 inputs)</x:v>
      </x:c>
      <x:c r="C3708" s="18" t="n">
        <x:v>372273586</x:v>
      </x:c>
      <x:c r="D3708" s="3" t="str">
        <x:v>Relative cutoff 1e-5</x:v>
      </x:c>
      <x:c r="E3708" s="18" t="n">
        <x:v>400</x:v>
      </x:c>
      <x:c r="F3708" s="21" t="n">
        <x:v>557.7117616243083</x:v>
      </x:c>
      <x:c r="G3708" s="21" t="n">
        <x:f>F3707</x:f>
        <x:v>555.6856499155173</x:v>
      </x:c>
      <x:c r="H3708" s="21" t="n">
        <x:f>F3712</x:f>
        <x:v>566.7889509577737</x:v>
      </x:c>
      <x:c r="I3708" s="27" t="n">
        <x:f>IF(AND(ISNUMBER(G3708),ISNUMBER(H3708),H3708&gt;0),G3708/H3708-1,"")</x:f>
        <x:v>-0.01958983325891206</x:v>
      </x:c>
      <x:c r="J3708" s="27" t="n">
        <x:f>IF(AND(ISNUMBER(G3708),F3708&gt;0),G3708/F3708-1,"")</x:f>
        <x:v>-0.003632901165451674</x:v>
      </x:c>
      <x:c r="K3708" s="19" t="str">
        <x:v>Smooth_3_128_inputs/EXP133/results/seed372273586_Relative_cutoff_1e-5.json</x:v>
      </x:c>
    </x:row>
    <x:row r="3709" ht="15" hidden="0" customHeight="1">
      <x:c r="A3709" s="3" t="str">
        <x:v>EXP133</x:v>
      </x:c>
      <x:c r="B3709" s="3" t="str">
        <x:v>Smooth 3 (128 inputs)</x:v>
      </x:c>
      <x:c r="C3709" s="18" t="n">
        <x:v>372273586</x:v>
      </x:c>
      <x:c r="D3709" s="3" t="str">
        <x:v>Fixed rank 10</x:v>
      </x:c>
      <x:c r="E3709" s="18" t="n">
        <x:v>400</x:v>
      </x:c>
      <x:c r="F3709" s="21" t="n">
        <x:v>583.3881750318895</x:v>
      </x:c>
      <x:c r="G3709" s="21" t="n">
        <x:f>F3707</x:f>
        <x:v>555.6856499155173</x:v>
      </x:c>
      <x:c r="H3709" s="21" t="n">
        <x:f>F3712</x:f>
        <x:v>566.7889509577737</x:v>
      </x:c>
      <x:c r="I3709" s="27" t="n">
        <x:f>IF(AND(ISNUMBER(G3709),ISNUMBER(H3709),H3709&gt;0),G3709/H3709-1,"")</x:f>
        <x:v>-0.01958983325891206</x:v>
      </x:c>
      <x:c r="J3709" s="27" t="n">
        <x:f>IF(AND(ISNUMBER(G3709),F3709&gt;0),G3709/F3709-1,"")</x:f>
        <x:v>-0.047485578731276123</x:v>
      </x:c>
      <x:c r="K3709" s="19" t="str">
        <x:v>Smooth_3_128_inputs/EXP133/results/seed372273586_Fixed_rank_10.json</x:v>
      </x:c>
    </x:row>
    <x:row r="3710" ht="15" hidden="0" customHeight="1">
      <x:c r="A3710" s="3" t="str">
        <x:v>EXP133</x:v>
      </x:c>
      <x:c r="B3710" s="3" t="str">
        <x:v>Smooth 3 (128 inputs)</x:v>
      </x:c>
      <x:c r="C3710" s="18" t="n">
        <x:v>372273586</x:v>
      </x:c>
      <x:c r="D3710" s="3" t="str">
        <x:v>Fixed rank 25</x:v>
      </x:c>
      <x:c r="E3710" s="18" t="n">
        <x:v>400</x:v>
      </x:c>
      <x:c r="F3710" s="21" t="n">
        <x:v>574.0646800265605</x:v>
      </x:c>
      <x:c r="G3710" s="21" t="n">
        <x:f>F3707</x:f>
        <x:v>555.6856499155173</x:v>
      </x:c>
      <x:c r="H3710" s="21" t="n">
        <x:f>F3712</x:f>
        <x:v>566.7889509577737</x:v>
      </x:c>
      <x:c r="I3710" s="27" t="n">
        <x:f>IF(AND(ISNUMBER(G3710),ISNUMBER(H3710),H3710&gt;0),G3710/H3710-1,"")</x:f>
        <x:v>-0.01958983325891206</x:v>
      </x:c>
      <x:c r="J3710" s="27" t="n">
        <x:f>IF(AND(ISNUMBER(G3710),F3710&gt;0),G3710/F3710-1,"")</x:f>
        <x:v>-0.032015608607366075</x:v>
      </x:c>
      <x:c r="K3710" s="19" t="str">
        <x:v>Smooth_3_128_inputs/EXP133/results/seed372273586_Fixed_rank_25.json</x:v>
      </x:c>
    </x:row>
    <x:row r="3711" ht="15" hidden="0" customHeight="1">
      <x:c r="A3711" s="3" t="str">
        <x:v>EXP133</x:v>
      </x:c>
      <x:c r="B3711" s="3" t="str">
        <x:v>Smooth 3 (128 inputs)</x:v>
      </x:c>
      <x:c r="C3711" s="18" t="n">
        <x:v>372273586</x:v>
      </x:c>
      <x:c r="D3711" s="3" t="str">
        <x:v>Relative cutoff 1e-6</x:v>
      </x:c>
      <x:c r="E3711" s="18" t="n">
        <x:v>400</x:v>
      </x:c>
      <x:c r="F3711" s="21" t="n">
        <x:v>564.4158924816963</x:v>
      </x:c>
      <x:c r="G3711" s="21" t="n">
        <x:f>F3707</x:f>
        <x:v>555.6856499155173</x:v>
      </x:c>
      <x:c r="H3711" s="21" t="n">
        <x:f>F3712</x:f>
        <x:v>566.7889509577737</x:v>
      </x:c>
      <x:c r="I3711" s="27" t="n">
        <x:f>IF(AND(ISNUMBER(G3711),ISNUMBER(H3711),H3711&gt;0),G3711/H3711-1,"")</x:f>
        <x:v>-0.01958983325891206</x:v>
      </x:c>
      <x:c r="J3711" s="27" t="n">
        <x:f>IF(AND(ISNUMBER(G3711),F3711&gt;0),G3711/F3711-1,"")</x:f>
        <x:v>-0.015467747599722692</x:v>
      </x:c>
      <x:c r="K3711" s="19" t="str">
        <x:v>Smooth_3_128_inputs/EXP133/results/seed372273586_Relative_cutoff_1e-6.json</x:v>
      </x:c>
    </x:row>
    <x:row r="3712" ht="15" hidden="0" customHeight="1">
      <x:c r="A3712" s="3" t="str">
        <x:v>EXP133</x:v>
      </x:c>
      <x:c r="B3712" s="3" t="str">
        <x:v>Smooth 3 (128 inputs)</x:v>
      </x:c>
      <x:c r="C3712" s="18" t="n">
        <x:v>372273586</x:v>
      </x:c>
      <x:c r="D3712" s="3" t="str">
        <x:v>Full</x:v>
      </x:c>
      <x:c r="E3712" s="18" t="n">
        <x:v>400</x:v>
      </x:c>
      <x:c r="F3712" s="21" t="n">
        <x:v>566.7889509577737</x:v>
      </x:c>
      <x:c r="G3712" s="21" t="n">
        <x:f>F3707</x:f>
        <x:v>555.6856499155173</x:v>
      </x:c>
      <x:c r="H3712" s="21" t="n">
        <x:f>F3712</x:f>
        <x:v>566.7889509577737</x:v>
      </x:c>
      <x:c r="I3712" s="27" t="n">
        <x:f>IF(AND(ISNUMBER(G3712),ISNUMBER(H3712),H3712&gt;0),G3712/H3712-1,"")</x:f>
        <x:v>-0.01958983325891206</x:v>
      </x:c>
      <x:c r="J3712" s="27" t="n">
        <x:f>IF(AND(ISNUMBER(G3712),F3712&gt;0),G3712/F3712-1,"")</x:f>
        <x:v>-0.01958983325891206</x:v>
      </x:c>
      <x:c r="K3712" s="19" t="str">
        <x:v>Smooth_3_128_inputs/EXP133/results/seed372273586_Full.json</x:v>
      </x:c>
    </x:row>
    <x:row r="3713" ht="15" hidden="0" customHeight="1">
      <x:c r="A3713" s="3" t="str">
        <x:v>EXP133</x:v>
      </x:c>
      <x:c r="B3713" s="3" t="str">
        <x:v>Smooth 3 (128 inputs)</x:v>
      </x:c>
      <x:c r="C3713" s="18" t="n">
        <x:v>372273586</x:v>
      </x:c>
      <x:c r="D3713" s="3" t="str">
        <x:v>Relative cutoff 1e-2</x:v>
      </x:c>
      <x:c r="E3713" s="18" t="n">
        <x:v>400</x:v>
      </x:c>
      <x:c r="F3713" s="21" t="n">
        <x:v>581.1832852194774</x:v>
      </x:c>
      <x:c r="G3713" s="21" t="n">
        <x:f>F3707</x:f>
        <x:v>555.6856499155173</x:v>
      </x:c>
      <x:c r="H3713" s="21" t="n">
        <x:f>F3712</x:f>
        <x:v>566.7889509577737</x:v>
      </x:c>
      <x:c r="I3713" s="27" t="n">
        <x:f>IF(AND(ISNUMBER(G3713),ISNUMBER(H3713),H3713&gt;0),G3713/H3713-1,"")</x:f>
        <x:v>-0.01958983325891206</x:v>
      </x:c>
      <x:c r="J3713" s="27" t="n">
        <x:f>IF(AND(ISNUMBER(G3713),F3713&gt;0),G3713/F3713-1,"")</x:f>
        <x:v>-0.04387193498576136</x:v>
      </x:c>
      <x:c r="K3713" s="19" t="str">
        <x:v>Smooth_3_128_inputs/EXP133/results/seed372273586_Relative_cutoff_1e-2.json</x:v>
      </x:c>
    </x:row>
    <x:row r="3714" ht="15" hidden="0" customHeight="1">
      <x:c r="A3714" s="3" t="str">
        <x:v>EXP133</x:v>
      </x:c>
      <x:c r="B3714" s="3" t="str">
        <x:v>Smooth 3 (128 inputs)</x:v>
      </x:c>
      <x:c r="C3714" s="18" t="n">
        <x:v>372273586</x:v>
      </x:c>
      <x:c r="D3714" s="3" t="str">
        <x:v>Relative cutoff 1e-4</x:v>
      </x:c>
      <x:c r="E3714" s="18" t="n">
        <x:v>400</x:v>
      </x:c>
      <x:c r="F3714" s="21" t="n">
        <x:v>593.8276272587232</x:v>
      </x:c>
      <x:c r="G3714" s="21" t="n">
        <x:f>F3707</x:f>
        <x:v>555.6856499155173</x:v>
      </x:c>
      <x:c r="H3714" s="21" t="n">
        <x:f>F3712</x:f>
        <x:v>566.7889509577737</x:v>
      </x:c>
      <x:c r="I3714" s="27" t="n">
        <x:f>IF(AND(ISNUMBER(G3714),ISNUMBER(H3714),H3714&gt;0),G3714/H3714-1,"")</x:f>
        <x:v>-0.01958983325891206</x:v>
      </x:c>
      <x:c r="J3714" s="27" t="n">
        <x:f>IF(AND(ISNUMBER(G3714),F3714&gt;0),G3714/F3714-1,"")</x:f>
        <x:v>-0.06423072216979886</x:v>
      </x:c>
      <x:c r="K3714" s="19" t="str">
        <x:v>Smooth_3_128_inputs/EXP133/results/seed372273586_Relative_cutoff_1e-4.json</x:v>
      </x:c>
    </x:row>
    <x:row r="3715" ht="15" hidden="0" customHeight="1">
      <x:c r="A3715" s="3" t="str">
        <x:v>EXP133</x:v>
      </x:c>
      <x:c r="B3715" s="3" t="str">
        <x:v>Smooth 3 (128 inputs)</x:v>
      </x:c>
      <x:c r="C3715" s="18" t="n">
        <x:v>688652385</x:v>
      </x:c>
      <x:c r="D3715" s="3" t="str">
        <x:v>BBP</x:v>
      </x:c>
      <x:c r="E3715" s="18" t="n">
        <x:v>400</x:v>
      </x:c>
      <x:c r="F3715" s="21" t="n">
        <x:v>462.1339803007636</x:v>
      </x:c>
      <x:c r="G3715" s="21" t="n">
        <x:f>F3715</x:f>
        <x:v>462.1339803007636</x:v>
      </x:c>
      <x:c r="H3715" s="21" t="n">
        <x:f>F3720</x:f>
        <x:v>478.069777207561</x:v>
      </x:c>
      <x:c r="I3715" s="27" t="n">
        <x:f>IF(AND(ISNUMBER(G3715),ISNUMBER(H3715),H3715&gt;0),G3715/H3715-1,"")</x:f>
        <x:v>-0.03333362129662221</x:v>
      </x:c>
      <x:c r="J3715" s="27" t="n">
        <x:f>IF(AND(ISNUMBER(G3715),F3715&gt;0),G3715/F3715-1,"")</x:f>
        <x:v>0</x:v>
      </x:c>
      <x:c r="K3715" s="19" t="str">
        <x:v>Smooth_3_128_inputs/EXP133/results/seed688652385_BBP.json</x:v>
      </x:c>
    </x:row>
    <x:row r="3716" ht="15" hidden="0" customHeight="1">
      <x:c r="A3716" s="3" t="str">
        <x:v>EXP133</x:v>
      </x:c>
      <x:c r="B3716" s="3" t="str">
        <x:v>Smooth 3 (128 inputs)</x:v>
      </x:c>
      <x:c r="C3716" s="18" t="n">
        <x:v>688652385</x:v>
      </x:c>
      <x:c r="D3716" s="3" t="str">
        <x:v>Relative cutoff 1e-5</x:v>
      </x:c>
      <x:c r="E3716" s="18" t="n">
        <x:v>400</x:v>
      </x:c>
      <x:c r="F3716" s="21" t="n">
        <x:v>456.70737324100423</x:v>
      </x:c>
      <x:c r="G3716" s="21" t="n">
        <x:f>F3715</x:f>
        <x:v>462.1339803007636</x:v>
      </x:c>
      <x:c r="H3716" s="21" t="n">
        <x:f>F3720</x:f>
        <x:v>478.069777207561</x:v>
      </x:c>
      <x:c r="I3716" s="27" t="n">
        <x:f>IF(AND(ISNUMBER(G3716),ISNUMBER(H3716),H3716&gt;0),G3716/H3716-1,"")</x:f>
        <x:v>-0.03333362129662221</x:v>
      </x:c>
      <x:c r="J3716" s="27" t="n">
        <x:f>IF(AND(ISNUMBER(G3716),F3716&gt;0),G3716/F3716-1,"")</x:f>
        <x:v>0.011882022007329684</x:v>
      </x:c>
      <x:c r="K3716" s="19" t="str">
        <x:v>Smooth_3_128_inputs/EXP133/results/seed688652385_Relative_cutoff_1e-5.json</x:v>
      </x:c>
    </x:row>
    <x:row r="3717" ht="15" hidden="0" customHeight="1">
      <x:c r="A3717" s="3" t="str">
        <x:v>EXP133</x:v>
      </x:c>
      <x:c r="B3717" s="3" t="str">
        <x:v>Smooth 3 (128 inputs)</x:v>
      </x:c>
      <x:c r="C3717" s="18" t="n">
        <x:v>688652385</x:v>
      </x:c>
      <x:c r="D3717" s="3" t="str">
        <x:v>Fixed rank 10</x:v>
      </x:c>
      <x:c r="E3717" s="18" t="n">
        <x:v>400</x:v>
      </x:c>
      <x:c r="F3717" s="21" t="n">
        <x:v>488.6236799564234</x:v>
      </x:c>
      <x:c r="G3717" s="21" t="n">
        <x:f>F3715</x:f>
        <x:v>462.1339803007636</x:v>
      </x:c>
      <x:c r="H3717" s="21" t="n">
        <x:f>F3720</x:f>
        <x:v>478.069777207561</x:v>
      </x:c>
      <x:c r="I3717" s="27" t="n">
        <x:f>IF(AND(ISNUMBER(G3717),ISNUMBER(H3717),H3717&gt;0),G3717/H3717-1,"")</x:f>
        <x:v>-0.03333362129662221</x:v>
      </x:c>
      <x:c r="J3717" s="27" t="n">
        <x:f>IF(AND(ISNUMBER(G3717),F3717&gt;0),G3717/F3717-1,"")</x:f>
        <x:v>-0.05421288558512394</x:v>
      </x:c>
      <x:c r="K3717" s="19" t="str">
        <x:v>Smooth_3_128_inputs/EXP133/results/seed688652385_Fixed_rank_10.json</x:v>
      </x:c>
    </x:row>
    <x:row r="3718" ht="15" hidden="0" customHeight="1">
      <x:c r="A3718" s="3" t="str">
        <x:v>EXP133</x:v>
      </x:c>
      <x:c r="B3718" s="3" t="str">
        <x:v>Smooth 3 (128 inputs)</x:v>
      </x:c>
      <x:c r="C3718" s="18" t="n">
        <x:v>688652385</x:v>
      </x:c>
      <x:c r="D3718" s="3" t="str">
        <x:v>Fixed rank 25</x:v>
      </x:c>
      <x:c r="E3718" s="18" t="n">
        <x:v>400</x:v>
      </x:c>
      <x:c r="F3718" s="21" t="n">
        <x:v>480.7891218391857</x:v>
      </x:c>
      <x:c r="G3718" s="21" t="n">
        <x:f>F3715</x:f>
        <x:v>462.1339803007636</x:v>
      </x:c>
      <x:c r="H3718" s="21" t="n">
        <x:f>F3720</x:f>
        <x:v>478.069777207561</x:v>
      </x:c>
      <x:c r="I3718" s="27" t="n">
        <x:f>IF(AND(ISNUMBER(G3718),ISNUMBER(H3718),H3718&gt;0),G3718/H3718-1,"")</x:f>
        <x:v>-0.03333362129662221</x:v>
      </x:c>
      <x:c r="J3718" s="27" t="n">
        <x:f>IF(AND(ISNUMBER(G3718),F3718&gt;0),G3718/F3718-1,"")</x:f>
        <x:v>-0.038801089065950034</x:v>
      </x:c>
      <x:c r="K3718" s="19" t="str">
        <x:v>Smooth_3_128_inputs/EXP133/results/seed688652385_Fixed_rank_25.json</x:v>
      </x:c>
    </x:row>
    <x:row r="3719" ht="15" hidden="0" customHeight="1">
      <x:c r="A3719" s="3" t="str">
        <x:v>EXP133</x:v>
      </x:c>
      <x:c r="B3719" s="3" t="str">
        <x:v>Smooth 3 (128 inputs)</x:v>
      </x:c>
      <x:c r="C3719" s="18" t="n">
        <x:v>688652385</x:v>
      </x:c>
      <x:c r="D3719" s="3" t="str">
        <x:v>Relative cutoff 1e-6</x:v>
      </x:c>
      <x:c r="E3719" s="18" t="n">
        <x:v>400</x:v>
      </x:c>
      <x:c r="F3719" s="21" t="n">
        <x:v>477.43121475438033</x:v>
      </x:c>
      <x:c r="G3719" s="21" t="n">
        <x:f>F3715</x:f>
        <x:v>462.1339803007636</x:v>
      </x:c>
      <x:c r="H3719" s="21" t="n">
        <x:f>F3720</x:f>
        <x:v>478.069777207561</x:v>
      </x:c>
      <x:c r="I3719" s="27" t="n">
        <x:f>IF(AND(ISNUMBER(G3719),ISNUMBER(H3719),H3719&gt;0),G3719/H3719-1,"")</x:f>
        <x:v>-0.03333362129662221</x:v>
      </x:c>
      <x:c r="J3719" s="27" t="n">
        <x:f>IF(AND(ISNUMBER(G3719),F3719&gt;0),G3719/F3719-1,"")</x:f>
        <x:v>-0.03204070865263087</x:v>
      </x:c>
      <x:c r="K3719" s="19" t="str">
        <x:v>Smooth_3_128_inputs/EXP133/results/seed688652385_Relative_cutoff_1e-6.json</x:v>
      </x:c>
    </x:row>
    <x:row r="3720" ht="15" hidden="0" customHeight="1">
      <x:c r="A3720" s="3" t="str">
        <x:v>EXP133</x:v>
      </x:c>
      <x:c r="B3720" s="3" t="str">
        <x:v>Smooth 3 (128 inputs)</x:v>
      </x:c>
      <x:c r="C3720" s="18" t="n">
        <x:v>688652385</x:v>
      </x:c>
      <x:c r="D3720" s="3" t="str">
        <x:v>Full</x:v>
      </x:c>
      <x:c r="E3720" s="18" t="n">
        <x:v>400</x:v>
      </x:c>
      <x:c r="F3720" s="21" t="n">
        <x:v>478.069777207561</x:v>
      </x:c>
      <x:c r="G3720" s="21" t="n">
        <x:f>F3715</x:f>
        <x:v>462.1339803007636</x:v>
      </x:c>
      <x:c r="H3720" s="21" t="n">
        <x:f>F3720</x:f>
        <x:v>478.069777207561</x:v>
      </x:c>
      <x:c r="I3720" s="27" t="n">
        <x:f>IF(AND(ISNUMBER(G3720),ISNUMBER(H3720),H3720&gt;0),G3720/H3720-1,"")</x:f>
        <x:v>-0.03333362129662221</x:v>
      </x:c>
      <x:c r="J3720" s="27" t="n">
        <x:f>IF(AND(ISNUMBER(G3720),F3720&gt;0),G3720/F3720-1,"")</x:f>
        <x:v>-0.03333362129662221</x:v>
      </x:c>
      <x:c r="K3720" s="19" t="str">
        <x:v>Smooth_3_128_inputs/EXP133/results/seed688652385_Full.json</x:v>
      </x:c>
    </x:row>
    <x:row r="3721" ht="15" hidden="0" customHeight="1">
      <x:c r="A3721" s="3" t="str">
        <x:v>EXP133</x:v>
      </x:c>
      <x:c r="B3721" s="3" t="str">
        <x:v>Smooth 3 (128 inputs)</x:v>
      </x:c>
      <x:c r="C3721" s="18" t="n">
        <x:v>688652385</x:v>
      </x:c>
      <x:c r="D3721" s="3" t="str">
        <x:v>Relative cutoff 1e-2</x:v>
      </x:c>
      <x:c r="E3721" s="18" t="n">
        <x:v>400</x:v>
      </x:c>
      <x:c r="F3721" s="21" t="n">
        <x:v>497.6866189888474</x:v>
      </x:c>
      <x:c r="G3721" s="21" t="n">
        <x:f>F3715</x:f>
        <x:v>462.1339803007636</x:v>
      </x:c>
      <x:c r="H3721" s="21" t="n">
        <x:f>F3720</x:f>
        <x:v>478.069777207561</x:v>
      </x:c>
      <x:c r="I3721" s="27" t="n">
        <x:f>IF(AND(ISNUMBER(G3721),ISNUMBER(H3721),H3721&gt;0),G3721/H3721-1,"")</x:f>
        <x:v>-0.03333362129662221</x:v>
      </x:c>
      <x:c r="J3721" s="27" t="n">
        <x:f>IF(AND(ISNUMBER(G3721),F3721&gt;0),G3721/F3721-1,"")</x:f>
        <x:v>-0.0714357937939265</x:v>
      </x:c>
      <x:c r="K3721" s="19" t="str">
        <x:v>Smooth_3_128_inputs/EXP133/results/seed688652385_Relative_cutoff_1e-2.json</x:v>
      </x:c>
    </x:row>
    <x:row r="3722" ht="15" hidden="0" customHeight="1">
      <x:c r="A3722" s="3" t="str">
        <x:v>EXP133</x:v>
      </x:c>
      <x:c r="B3722" s="3" t="str">
        <x:v>Smooth 3 (128 inputs)</x:v>
      </x:c>
      <x:c r="C3722" s="18" t="n">
        <x:v>688652385</x:v>
      </x:c>
      <x:c r="D3722" s="3" t="str">
        <x:v>Relative cutoff 1e-4</x:v>
      </x:c>
      <x:c r="E3722" s="18" t="n">
        <x:v>400</x:v>
      </x:c>
      <x:c r="F3722" s="21" t="n">
        <x:v>484.05797342666057</x:v>
      </x:c>
      <x:c r="G3722" s="21" t="n">
        <x:f>F3715</x:f>
        <x:v>462.1339803007636</x:v>
      </x:c>
      <x:c r="H3722" s="21" t="n">
        <x:f>F3720</x:f>
        <x:v>478.069777207561</x:v>
      </x:c>
      <x:c r="I3722" s="27" t="n">
        <x:f>IF(AND(ISNUMBER(G3722),ISNUMBER(H3722),H3722&gt;0),G3722/H3722-1,"")</x:f>
        <x:v>-0.03333362129662221</x:v>
      </x:c>
      <x:c r="J3722" s="27" t="n">
        <x:f>IF(AND(ISNUMBER(G3722),F3722&gt;0),G3722/F3722-1,"")</x:f>
        <x:v>-0.045292081381691496</x:v>
      </x:c>
      <x:c r="K3722" s="19" t="str">
        <x:v>Smooth_3_128_inputs/EXP133/results/seed688652385_Relative_cutoff_1e-4.json</x:v>
      </x:c>
    </x:row>
    <x:row r="3723" ht="15" hidden="0" customHeight="1">
      <x:c r="A3723" s="3" t="str">
        <x:v>EXP133</x:v>
      </x:c>
      <x:c r="B3723" s="3" t="str">
        <x:v>Smooth 3 (128 inputs)</x:v>
      </x:c>
      <x:c r="C3723" s="18" t="n">
        <x:v>1115116357</x:v>
      </x:c>
      <x:c r="D3723" s="3" t="str">
        <x:v>BBP</x:v>
      </x:c>
      <x:c r="E3723" s="18" t="n">
        <x:v>400</x:v>
      </x:c>
      <x:c r="F3723" s="21" t="n">
        <x:v>643.3577187797423</x:v>
      </x:c>
      <x:c r="G3723" s="21" t="n">
        <x:f>F3723</x:f>
        <x:v>643.3577187797423</x:v>
      </x:c>
      <x:c r="H3723" s="21" t="n">
        <x:f>F3728</x:f>
        <x:v>629.4988487561153</x:v>
      </x:c>
      <x:c r="I3723" s="27" t="n">
        <x:f>IF(AND(ISNUMBER(G3723),ISNUMBER(H3723),H3723&gt;0),G3723/H3723-1,"")</x:f>
        <x:v>0.022015719410785284</x:v>
      </x:c>
      <x:c r="J3723" s="27" t="n">
        <x:f>IF(AND(ISNUMBER(G3723),F3723&gt;0),G3723/F3723-1,"")</x:f>
        <x:v>0</x:v>
      </x:c>
      <x:c r="K3723" s="19" t="str">
        <x:v>Smooth_3_128_inputs/EXP133/results/seed1115116357_BBP.json</x:v>
      </x:c>
    </x:row>
    <x:row r="3724" ht="15" hidden="0" customHeight="1">
      <x:c r="A3724" s="3" t="str">
        <x:v>EXP133</x:v>
      </x:c>
      <x:c r="B3724" s="3" t="str">
        <x:v>Smooth 3 (128 inputs)</x:v>
      </x:c>
      <x:c r="C3724" s="18" t="n">
        <x:v>1115116357</x:v>
      </x:c>
      <x:c r="D3724" s="3" t="str">
        <x:v>Relative cutoff 1e-5</x:v>
      </x:c>
      <x:c r="E3724" s="18" t="n">
        <x:v>400</x:v>
      </x:c>
      <x:c r="F3724" s="21" t="n">
        <x:v>635.2418819571778</x:v>
      </x:c>
      <x:c r="G3724" s="21" t="n">
        <x:f>F3723</x:f>
        <x:v>643.3577187797423</x:v>
      </x:c>
      <x:c r="H3724" s="21" t="n">
        <x:f>F3728</x:f>
        <x:v>629.4988487561153</x:v>
      </x:c>
      <x:c r="I3724" s="27" t="n">
        <x:f>IF(AND(ISNUMBER(G3724),ISNUMBER(H3724),H3724&gt;0),G3724/H3724-1,"")</x:f>
        <x:v>0.022015719410785284</x:v>
      </x:c>
      <x:c r="J3724" s="27" t="n">
        <x:f>IF(AND(ISNUMBER(G3724),F3724&gt;0),G3724/F3724-1,"")</x:f>
        <x:v>0.012775978809142163</x:v>
      </x:c>
      <x:c r="K3724" s="19" t="str">
        <x:v>Smooth_3_128_inputs/EXP133/results/seed1115116357_Relative_cutoff_1e-5.json</x:v>
      </x:c>
    </x:row>
    <x:row r="3725" ht="15" hidden="0" customHeight="1">
      <x:c r="A3725" s="3" t="str">
        <x:v>EXP133</x:v>
      </x:c>
      <x:c r="B3725" s="3" t="str">
        <x:v>Smooth 3 (128 inputs)</x:v>
      </x:c>
      <x:c r="C3725" s="18" t="n">
        <x:v>1115116357</x:v>
      </x:c>
      <x:c r="D3725" s="3" t="str">
        <x:v>Fixed rank 10</x:v>
      </x:c>
      <x:c r="E3725" s="18" t="n">
        <x:v>400</x:v>
      </x:c>
      <x:c r="F3725" s="21" t="n">
        <x:v>630.0782350912474</x:v>
      </x:c>
      <x:c r="G3725" s="21" t="n">
        <x:f>F3723</x:f>
        <x:v>643.3577187797423</x:v>
      </x:c>
      <x:c r="H3725" s="21" t="n">
        <x:f>F3728</x:f>
        <x:v>629.4988487561153</x:v>
      </x:c>
      <x:c r="I3725" s="27" t="n">
        <x:f>IF(AND(ISNUMBER(G3725),ISNUMBER(H3725),H3725&gt;0),G3725/H3725-1,"")</x:f>
        <x:v>0.022015719410785284</x:v>
      </x:c>
      <x:c r="J3725" s="27" t="n">
        <x:f>IF(AND(ISNUMBER(G3725),F3725&gt;0),G3725/F3725-1,"")</x:f>
        <x:v>0.021075928271941935</x:v>
      </x:c>
      <x:c r="K3725" s="19" t="str">
        <x:v>Smooth_3_128_inputs/EXP133/results/seed1115116357_Fixed_rank_10.json</x:v>
      </x:c>
    </x:row>
    <x:row r="3726" ht="15" hidden="0" customHeight="1">
      <x:c r="A3726" s="3" t="str">
        <x:v>EXP133</x:v>
      </x:c>
      <x:c r="B3726" s="3" t="str">
        <x:v>Smooth 3 (128 inputs)</x:v>
      </x:c>
      <x:c r="C3726" s="18" t="n">
        <x:v>1115116357</x:v>
      </x:c>
      <x:c r="D3726" s="3" t="str">
        <x:v>Fixed rank 25</x:v>
      </x:c>
      <x:c r="E3726" s="18" t="n">
        <x:v>400</x:v>
      </x:c>
      <x:c r="F3726" s="21" t="n">
        <x:v>648.5500933643483</x:v>
      </x:c>
      <x:c r="G3726" s="21" t="n">
        <x:f>F3723</x:f>
        <x:v>643.3577187797423</x:v>
      </x:c>
      <x:c r="H3726" s="21" t="n">
        <x:f>F3728</x:f>
        <x:v>629.4988487561153</x:v>
      </x:c>
      <x:c r="I3726" s="27" t="n">
        <x:f>IF(AND(ISNUMBER(G3726),ISNUMBER(H3726),H3726&gt;0),G3726/H3726-1,"")</x:f>
        <x:v>0.022015719410785284</x:v>
      </x:c>
      <x:c r="J3726" s="27" t="n">
        <x:f>IF(AND(ISNUMBER(G3726),F3726&gt;0),G3726/F3726-1,"")</x:f>
        <x:v>-0.00800612726408012</x:v>
      </x:c>
      <x:c r="K3726" s="19" t="str">
        <x:v>Smooth_3_128_inputs/EXP133/results/seed1115116357_Fixed_rank_25.json</x:v>
      </x:c>
    </x:row>
    <x:row r="3727" ht="15" hidden="0" customHeight="1">
      <x:c r="A3727" s="3" t="str">
        <x:v>EXP133</x:v>
      </x:c>
      <x:c r="B3727" s="3" t="str">
        <x:v>Smooth 3 (128 inputs)</x:v>
      </x:c>
      <x:c r="C3727" s="18" t="n">
        <x:v>1115116357</x:v>
      </x:c>
      <x:c r="D3727" s="3" t="str">
        <x:v>Relative cutoff 1e-6</x:v>
      </x:c>
      <x:c r="E3727" s="18" t="n">
        <x:v>400</x:v>
      </x:c>
      <x:c r="F3727" s="21" t="n">
        <x:v>636.5819483590285</x:v>
      </x:c>
      <x:c r="G3727" s="21" t="n">
        <x:f>F3723</x:f>
        <x:v>643.3577187797423</x:v>
      </x:c>
      <x:c r="H3727" s="21" t="n">
        <x:f>F3728</x:f>
        <x:v>629.4988487561153</x:v>
      </x:c>
      <x:c r="I3727" s="27" t="n">
        <x:f>IF(AND(ISNUMBER(G3727),ISNUMBER(H3727),H3727&gt;0),G3727/H3727-1,"")</x:f>
        <x:v>0.022015719410785284</x:v>
      </x:c>
      <x:c r="J3727" s="27" t="n">
        <x:f>IF(AND(ISNUMBER(G3727),F3727&gt;0),G3727/F3727-1,"")</x:f>
        <x:v>0.010643987687964263</x:v>
      </x:c>
      <x:c r="K3727" s="19" t="str">
        <x:v>Smooth_3_128_inputs/EXP133/results/seed1115116357_Relative_cutoff_1e-6.json</x:v>
      </x:c>
    </x:row>
    <x:row r="3728" ht="15" hidden="0" customHeight="1">
      <x:c r="A3728" s="3" t="str">
        <x:v>EXP133</x:v>
      </x:c>
      <x:c r="B3728" s="3" t="str">
        <x:v>Smooth 3 (128 inputs)</x:v>
      </x:c>
      <x:c r="C3728" s="18" t="n">
        <x:v>1115116357</x:v>
      </x:c>
      <x:c r="D3728" s="3" t="str">
        <x:v>Full</x:v>
      </x:c>
      <x:c r="E3728" s="18" t="n">
        <x:v>400</x:v>
      </x:c>
      <x:c r="F3728" s="21" t="n">
        <x:v>629.4988487561153</x:v>
      </x:c>
      <x:c r="G3728" s="21" t="n">
        <x:f>F3723</x:f>
        <x:v>643.3577187797423</x:v>
      </x:c>
      <x:c r="H3728" s="21" t="n">
        <x:f>F3728</x:f>
        <x:v>629.4988487561153</x:v>
      </x:c>
      <x:c r="I3728" s="27" t="n">
        <x:f>IF(AND(ISNUMBER(G3728),ISNUMBER(H3728),H3728&gt;0),G3728/H3728-1,"")</x:f>
        <x:v>0.022015719410785284</x:v>
      </x:c>
      <x:c r="J3728" s="27" t="n">
        <x:f>IF(AND(ISNUMBER(G3728),F3728&gt;0),G3728/F3728-1,"")</x:f>
        <x:v>0.022015719410785284</x:v>
      </x:c>
      <x:c r="K3728" s="19" t="str">
        <x:v>Smooth_3_128_inputs/EXP133/results/seed1115116357_Full.json</x:v>
      </x:c>
    </x:row>
    <x:row r="3729" ht="15" hidden="0" customHeight="1">
      <x:c r="A3729" s="3" t="str">
        <x:v>EXP133</x:v>
      </x:c>
      <x:c r="B3729" s="3" t="str">
        <x:v>Smooth 3 (128 inputs)</x:v>
      </x:c>
      <x:c r="C3729" s="18" t="n">
        <x:v>1115116357</x:v>
      </x:c>
      <x:c r="D3729" s="3" t="str">
        <x:v>Relative cutoff 1e-2</x:v>
      </x:c>
      <x:c r="E3729" s="18" t="n">
        <x:v>400</x:v>
      </x:c>
      <x:c r="F3729" s="21" t="n">
        <x:v>664.8758535340238</x:v>
      </x:c>
      <x:c r="G3729" s="21" t="n">
        <x:f>F3723</x:f>
        <x:v>643.3577187797423</x:v>
      </x:c>
      <x:c r="H3729" s="21" t="n">
        <x:f>F3728</x:f>
        <x:v>629.4988487561153</x:v>
      </x:c>
      <x:c r="I3729" s="27" t="n">
        <x:f>IF(AND(ISNUMBER(G3729),ISNUMBER(H3729),H3729&gt;0),G3729/H3729-1,"")</x:f>
        <x:v>0.022015719410785284</x:v>
      </x:c>
      <x:c r="J3729" s="27" t="n">
        <x:f>IF(AND(ISNUMBER(G3729),F3729&gt;0),G3729/F3729-1,"")</x:f>
        <x:v>-0.032364139320003704</x:v>
      </x:c>
      <x:c r="K3729" s="19" t="str">
        <x:v>Smooth_3_128_inputs/EXP133/results/seed1115116357_Relative_cutoff_1e-2.json</x:v>
      </x:c>
    </x:row>
    <x:row r="3730" ht="15" hidden="0" customHeight="1">
      <x:c r="A3730" s="3" t="str">
        <x:v>EXP133</x:v>
      </x:c>
      <x:c r="B3730" s="3" t="str">
        <x:v>Smooth 3 (128 inputs)</x:v>
      </x:c>
      <x:c r="C3730" s="18" t="n">
        <x:v>1115116357</x:v>
      </x:c>
      <x:c r="D3730" s="3" t="str">
        <x:v>Relative cutoff 1e-4</x:v>
      </x:c>
      <x:c r="E3730" s="18" t="n">
        <x:v>400</x:v>
      </x:c>
      <x:c r="F3730" s="21" t="n">
        <x:v>672.9004731984592</x:v>
      </x:c>
      <x:c r="G3730" s="21" t="n">
        <x:f>F3723</x:f>
        <x:v>643.3577187797423</x:v>
      </x:c>
      <x:c r="H3730" s="21" t="n">
        <x:f>F3728</x:f>
        <x:v>629.4988487561153</x:v>
      </x:c>
      <x:c r="I3730" s="27" t="n">
        <x:f>IF(AND(ISNUMBER(G3730),ISNUMBER(H3730),H3730&gt;0),G3730/H3730-1,"")</x:f>
        <x:v>0.022015719410785284</x:v>
      </x:c>
      <x:c r="J3730" s="27" t="n">
        <x:f>IF(AND(ISNUMBER(G3730),F3730&gt;0),G3730/F3730-1,"")</x:f>
        <x:v>-0.04390360178867614</x:v>
      </x:c>
      <x:c r="K3730" s="19" t="str">
        <x:v>Smooth_3_128_inputs/EXP133/results/seed1115116357_Relative_cutoff_1e-4.json</x:v>
      </x:c>
    </x:row>
    <x:row r="3731" ht="15" hidden="0" customHeight="1">
      <x:c r="A3731" s="3" t="str">
        <x:v>EXP133</x:v>
      </x:c>
      <x:c r="B3731" s="3" t="str">
        <x:v>Smooth 3 (128 inputs)</x:v>
      </x:c>
      <x:c r="C3731" s="18" t="n">
        <x:v>1277917277</x:v>
      </x:c>
      <x:c r="D3731" s="3" t="str">
        <x:v>BBP</x:v>
      </x:c>
      <x:c r="E3731" s="18" t="n">
        <x:v>400</x:v>
      </x:c>
      <x:c r="F3731" s="21" t="n">
        <x:v>851.392458216197</x:v>
      </x:c>
      <x:c r="G3731" s="21" t="n">
        <x:f>F3731</x:f>
        <x:v>851.392458216197</x:v>
      </x:c>
      <x:c r="H3731" s="21" t="n">
        <x:f>F3736</x:f>
        <x:v>872.0318657357008</x:v>
      </x:c>
      <x:c r="I3731" s="27" t="n">
        <x:f>IF(AND(ISNUMBER(G3731),ISNUMBER(H3731),H3731&gt;0),G3731/H3731-1,"")</x:f>
        <x:v>-0.023668180407709127</x:v>
      </x:c>
      <x:c r="J3731" s="27" t="n">
        <x:f>IF(AND(ISNUMBER(G3731),F3731&gt;0),G3731/F3731-1,"")</x:f>
        <x:v>0</x:v>
      </x:c>
      <x:c r="K3731" s="19" t="str">
        <x:v>Smooth_3_128_inputs/EXP133/results/seed1277917277_BBP.json</x:v>
      </x:c>
    </x:row>
    <x:row r="3732" ht="15" hidden="0" customHeight="1">
      <x:c r="A3732" s="3" t="str">
        <x:v>EXP133</x:v>
      </x:c>
      <x:c r="B3732" s="3" t="str">
        <x:v>Smooth 3 (128 inputs)</x:v>
      </x:c>
      <x:c r="C3732" s="18" t="n">
        <x:v>1277917277</x:v>
      </x:c>
      <x:c r="D3732" s="3" t="str">
        <x:v>Relative cutoff 1e-5</x:v>
      </x:c>
      <x:c r="E3732" s="18" t="n">
        <x:v>400</x:v>
      </x:c>
      <x:c r="F3732" s="21" t="n">
        <x:v>856.2189772679708</x:v>
      </x:c>
      <x:c r="G3732" s="21" t="n">
        <x:f>F3731</x:f>
        <x:v>851.392458216197</x:v>
      </x:c>
      <x:c r="H3732" s="21" t="n">
        <x:f>F3736</x:f>
        <x:v>872.0318657357008</x:v>
      </x:c>
      <x:c r="I3732" s="27" t="n">
        <x:f>IF(AND(ISNUMBER(G3732),ISNUMBER(H3732),H3732&gt;0),G3732/H3732-1,"")</x:f>
        <x:v>-0.023668180407709127</x:v>
      </x:c>
      <x:c r="J3732" s="27" t="n">
        <x:f>IF(AND(ISNUMBER(G3732),F3732&gt;0),G3732/F3732-1,"")</x:f>
        <x:v>-0.005637014805691676</x:v>
      </x:c>
      <x:c r="K3732" s="19" t="str">
        <x:v>Smooth_3_128_inputs/EXP133/results/seed1277917277_Relative_cutoff_1e-5.json</x:v>
      </x:c>
    </x:row>
    <x:row r="3733" ht="15" hidden="0" customHeight="1">
      <x:c r="A3733" s="3" t="str">
        <x:v>EXP133</x:v>
      </x:c>
      <x:c r="B3733" s="3" t="str">
        <x:v>Smooth 3 (128 inputs)</x:v>
      </x:c>
      <x:c r="C3733" s="18" t="n">
        <x:v>1277917277</x:v>
      </x:c>
      <x:c r="D3733" s="3" t="str">
        <x:v>Fixed rank 10</x:v>
      </x:c>
      <x:c r="E3733" s="18" t="n">
        <x:v>400</x:v>
      </x:c>
      <x:c r="F3733" s="21" t="n">
        <x:v>855.6809481495733</x:v>
      </x:c>
      <x:c r="G3733" s="21" t="n">
        <x:f>F3731</x:f>
        <x:v>851.392458216197</x:v>
      </x:c>
      <x:c r="H3733" s="21" t="n">
        <x:f>F3736</x:f>
        <x:v>872.0318657357008</x:v>
      </x:c>
      <x:c r="I3733" s="27" t="n">
        <x:f>IF(AND(ISNUMBER(G3733),ISNUMBER(H3733),H3733&gt;0),G3733/H3733-1,"")</x:f>
        <x:v>-0.023668180407709127</x:v>
      </x:c>
      <x:c r="J3733" s="27" t="n">
        <x:f>IF(AND(ISNUMBER(G3733),F3733&gt;0),G3733/F3733-1,"")</x:f>
        <x:v>-0.00501178616007536</x:v>
      </x:c>
      <x:c r="K3733" s="19" t="str">
        <x:v>Smooth_3_128_inputs/EXP133/results/seed1277917277_Fixed_rank_10.json</x:v>
      </x:c>
    </x:row>
    <x:row r="3734" ht="15" hidden="0" customHeight="1">
      <x:c r="A3734" s="3" t="str">
        <x:v>EXP133</x:v>
      </x:c>
      <x:c r="B3734" s="3" t="str">
        <x:v>Smooth 3 (128 inputs)</x:v>
      </x:c>
      <x:c r="C3734" s="18" t="n">
        <x:v>1277917277</x:v>
      </x:c>
      <x:c r="D3734" s="3" t="str">
        <x:v>Fixed rank 25</x:v>
      </x:c>
      <x:c r="E3734" s="18" t="n">
        <x:v>400</x:v>
      </x:c>
      <x:c r="F3734" s="21" t="n">
        <x:v>867.8361194484912</x:v>
      </x:c>
      <x:c r="G3734" s="21" t="n">
        <x:f>F3731</x:f>
        <x:v>851.392458216197</x:v>
      </x:c>
      <x:c r="H3734" s="21" t="n">
        <x:f>F3736</x:f>
        <x:v>872.0318657357008</x:v>
      </x:c>
      <x:c r="I3734" s="27" t="n">
        <x:f>IF(AND(ISNUMBER(G3734),ISNUMBER(H3734),H3734&gt;0),G3734/H3734-1,"")</x:f>
        <x:v>-0.023668180407709127</x:v>
      </x:c>
      <x:c r="J3734" s="27" t="n">
        <x:f>IF(AND(ISNUMBER(G3734),F3734&gt;0),G3734/F3734-1,"")</x:f>
        <x:v>-0.018947887583596</x:v>
      </x:c>
      <x:c r="K3734" s="19" t="str">
        <x:v>Smooth_3_128_inputs/EXP133/results/seed1277917277_Fixed_rank_25.json</x:v>
      </x:c>
    </x:row>
    <x:row r="3735" ht="15" hidden="0" customHeight="1">
      <x:c r="A3735" s="3" t="str">
        <x:v>EXP133</x:v>
      </x:c>
      <x:c r="B3735" s="3" t="str">
        <x:v>Smooth 3 (128 inputs)</x:v>
      </x:c>
      <x:c r="C3735" s="18" t="n">
        <x:v>1277917277</x:v>
      </x:c>
      <x:c r="D3735" s="3" t="str">
        <x:v>Relative cutoff 1e-6</x:v>
      </x:c>
      <x:c r="E3735" s="18" t="n">
        <x:v>400</x:v>
      </x:c>
      <x:c r="F3735" s="21" t="n">
        <x:v>840.9965476634458</x:v>
      </x:c>
      <x:c r="G3735" s="21" t="n">
        <x:f>F3731</x:f>
        <x:v>851.392458216197</x:v>
      </x:c>
      <x:c r="H3735" s="21" t="n">
        <x:f>F3736</x:f>
        <x:v>872.0318657357008</x:v>
      </x:c>
      <x:c r="I3735" s="27" t="n">
        <x:f>IF(AND(ISNUMBER(G3735),ISNUMBER(H3735),H3735&gt;0),G3735/H3735-1,"")</x:f>
        <x:v>-0.023668180407709127</x:v>
      </x:c>
      <x:c r="J3735" s="27" t="n">
        <x:f>IF(AND(ISNUMBER(G3735),F3735&gt;0),G3735/F3735-1,"")</x:f>
        <x:v>0.012361418821081216</x:v>
      </x:c>
      <x:c r="K3735" s="19" t="str">
        <x:v>Smooth_3_128_inputs/EXP133/results/seed1277917277_Relative_cutoff_1e-6.json</x:v>
      </x:c>
    </x:row>
    <x:row r="3736" ht="15" hidden="0" customHeight="1">
      <x:c r="A3736" s="3" t="str">
        <x:v>EXP133</x:v>
      </x:c>
      <x:c r="B3736" s="3" t="str">
        <x:v>Smooth 3 (128 inputs)</x:v>
      </x:c>
      <x:c r="C3736" s="18" t="n">
        <x:v>1277917277</x:v>
      </x:c>
      <x:c r="D3736" s="3" t="str">
        <x:v>Full</x:v>
      </x:c>
      <x:c r="E3736" s="18" t="n">
        <x:v>400</x:v>
      </x:c>
      <x:c r="F3736" s="21" t="n">
        <x:v>872.0318657357008</x:v>
      </x:c>
      <x:c r="G3736" s="21" t="n">
        <x:f>F3731</x:f>
        <x:v>851.392458216197</x:v>
      </x:c>
      <x:c r="H3736" s="21" t="n">
        <x:f>F3736</x:f>
        <x:v>872.0318657357008</x:v>
      </x:c>
      <x:c r="I3736" s="27" t="n">
        <x:f>IF(AND(ISNUMBER(G3736),ISNUMBER(H3736),H3736&gt;0),G3736/H3736-1,"")</x:f>
        <x:v>-0.023668180407709127</x:v>
      </x:c>
      <x:c r="J3736" s="27" t="n">
        <x:f>IF(AND(ISNUMBER(G3736),F3736&gt;0),G3736/F3736-1,"")</x:f>
        <x:v>-0.023668180407709127</x:v>
      </x:c>
      <x:c r="K3736" s="19" t="str">
        <x:v>Smooth_3_128_inputs/EXP133/results/seed1277917277_Full.json</x:v>
      </x:c>
    </x:row>
    <x:row r="3737" ht="15" hidden="0" customHeight="1">
      <x:c r="A3737" s="3" t="str">
        <x:v>EXP133</x:v>
      </x:c>
      <x:c r="B3737" s="3" t="str">
        <x:v>Smooth 3 (128 inputs)</x:v>
      </x:c>
      <x:c r="C3737" s="18" t="n">
        <x:v>1277917277</x:v>
      </x:c>
      <x:c r="D3737" s="3" t="str">
        <x:v>Relative cutoff 1e-2</x:v>
      </x:c>
      <x:c r="E3737" s="18" t="n">
        <x:v>400</x:v>
      </x:c>
      <x:c r="F3737" s="21" t="n">
        <x:v>859.4360441916185</x:v>
      </x:c>
      <x:c r="G3737" s="21" t="n">
        <x:f>F3731</x:f>
        <x:v>851.392458216197</x:v>
      </x:c>
      <x:c r="H3737" s="21" t="n">
        <x:f>F3736</x:f>
        <x:v>872.0318657357008</x:v>
      </x:c>
      <x:c r="I3737" s="27" t="n">
        <x:f>IF(AND(ISNUMBER(G3737),ISNUMBER(H3737),H3737&gt;0),G3737/H3737-1,"")</x:f>
        <x:v>-0.023668180407709127</x:v>
      </x:c>
      <x:c r="J3737" s="27" t="n">
        <x:f>IF(AND(ISNUMBER(G3737),F3737&gt;0),G3737/F3737-1,"")</x:f>
        <x:v>-0.009359144324680102</x:v>
      </x:c>
      <x:c r="K3737" s="19" t="str">
        <x:v>Smooth_3_128_inputs/EXP133/results/seed1277917277_Relative_cutoff_1e-2.json</x:v>
      </x:c>
    </x:row>
    <x:row r="3738" ht="15" hidden="0" customHeight="1">
      <x:c r="A3738" s="3" t="str">
        <x:v>EXP133</x:v>
      </x:c>
      <x:c r="B3738" s="3" t="str">
        <x:v>Smooth 3 (128 inputs)</x:v>
      </x:c>
      <x:c r="C3738" s="18" t="n">
        <x:v>1277917277</x:v>
      </x:c>
      <x:c r="D3738" s="3" t="str">
        <x:v>Relative cutoff 1e-4</x:v>
      </x:c>
      <x:c r="E3738" s="18" t="n">
        <x:v>400</x:v>
      </x:c>
      <x:c r="F3738" s="21" t="n">
        <x:v>868.4146201118734</x:v>
      </x:c>
      <x:c r="G3738" s="21" t="n">
        <x:f>F3731</x:f>
        <x:v>851.392458216197</x:v>
      </x:c>
      <x:c r="H3738" s="21" t="n">
        <x:f>F3736</x:f>
        <x:v>872.0318657357008</x:v>
      </x:c>
      <x:c r="I3738" s="27" t="n">
        <x:f>IF(AND(ISNUMBER(G3738),ISNUMBER(H3738),H3738&gt;0),G3738/H3738-1,"")</x:f>
        <x:v>-0.023668180407709127</x:v>
      </x:c>
      <x:c r="J3738" s="27" t="n">
        <x:f>IF(AND(ISNUMBER(G3738),F3738&gt;0),G3738/F3738-1,"")</x:f>
        <x:v>-0.019601422524972545</x:v>
      </x:c>
      <x:c r="K3738" s="19" t="str">
        <x:v>Smooth_3_128_inputs/EXP133/results/seed1277917277_Relative_cutoff_1e-4.json</x:v>
      </x:c>
    </x:row>
    <x:row r="3739" ht="15" hidden="0" customHeight="1">
      <x:c r="A3739" s="3" t="str">
        <x:v>EXP133</x:v>
      </x:c>
      <x:c r="B3739" s="3" t="str">
        <x:v>Smooth 3 (128 inputs)</x:v>
      </x:c>
      <x:c r="C3739" s="18" t="n">
        <x:v>1288985921</x:v>
      </x:c>
      <x:c r="D3739" s="3" t="str">
        <x:v>BBP</x:v>
      </x:c>
      <x:c r="E3739" s="18" t="n">
        <x:v>400</x:v>
      </x:c>
      <x:c r="F3739" s="21" t="n">
        <x:v>667.1930637056918</x:v>
      </x:c>
      <x:c r="G3739" s="21" t="n">
        <x:f>F3739</x:f>
        <x:v>667.1930637056918</x:v>
      </x:c>
      <x:c r="H3739" s="21" t="n">
        <x:f>F3744</x:f>
        <x:v>697.3016897714417</x:v>
      </x:c>
      <x:c r="I3739" s="27" t="n">
        <x:f>IF(AND(ISNUMBER(G3739),ISNUMBER(H3739),H3739&gt;0),G3739/H3739-1,"")</x:f>
        <x:v>-0.04317876538578136</x:v>
      </x:c>
      <x:c r="J3739" s="27" t="n">
        <x:f>IF(AND(ISNUMBER(G3739),F3739&gt;0),G3739/F3739-1,"")</x:f>
        <x:v>0</x:v>
      </x:c>
      <x:c r="K3739" s="19" t="str">
        <x:v>Smooth_3_128_inputs/EXP133/results/seed1288985921_BBP.json</x:v>
      </x:c>
    </x:row>
    <x:row r="3740" ht="15" hidden="0" customHeight="1">
      <x:c r="A3740" s="3" t="str">
        <x:v>EXP133</x:v>
      </x:c>
      <x:c r="B3740" s="3" t="str">
        <x:v>Smooth 3 (128 inputs)</x:v>
      </x:c>
      <x:c r="C3740" s="18" t="n">
        <x:v>1288985921</x:v>
      </x:c>
      <x:c r="D3740" s="3" t="str">
        <x:v>Relative cutoff 1e-5</x:v>
      </x:c>
      <x:c r="E3740" s="18" t="n">
        <x:v>400</x:v>
      </x:c>
      <x:c r="F3740" s="21" t="n">
        <x:v>678.5796197443069</x:v>
      </x:c>
      <x:c r="G3740" s="21" t="n">
        <x:f>F3739</x:f>
        <x:v>667.1930637056918</x:v>
      </x:c>
      <x:c r="H3740" s="21" t="n">
        <x:f>F3744</x:f>
        <x:v>697.3016897714417</x:v>
      </x:c>
      <x:c r="I3740" s="27" t="n">
        <x:f>IF(AND(ISNUMBER(G3740),ISNUMBER(H3740),H3740&gt;0),G3740/H3740-1,"")</x:f>
        <x:v>-0.04317876538578136</x:v>
      </x:c>
      <x:c r="J3740" s="27" t="n">
        <x:f>IF(AND(ISNUMBER(G3740),F3740&gt;0),G3740/F3740-1,"")</x:f>
        <x:v>-0.016779985291785926</x:v>
      </x:c>
      <x:c r="K3740" s="19" t="str">
        <x:v>Smooth_3_128_inputs/EXP133/results/seed1288985921_Relative_cutoff_1e-5.json</x:v>
      </x:c>
    </x:row>
    <x:row r="3741" ht="15" hidden="0" customHeight="1">
      <x:c r="A3741" s="3" t="str">
        <x:v>EXP133</x:v>
      </x:c>
      <x:c r="B3741" s="3" t="str">
        <x:v>Smooth 3 (128 inputs)</x:v>
      </x:c>
      <x:c r="C3741" s="18" t="n">
        <x:v>1288985921</x:v>
      </x:c>
      <x:c r="D3741" s="3" t="str">
        <x:v>Fixed rank 10</x:v>
      </x:c>
      <x:c r="E3741" s="18" t="n">
        <x:v>400</x:v>
      </x:c>
      <x:c r="F3741" s="21" t="n">
        <x:v>696.3643898091028</x:v>
      </x:c>
      <x:c r="G3741" s="21" t="n">
        <x:f>F3739</x:f>
        <x:v>667.1930637056918</x:v>
      </x:c>
      <x:c r="H3741" s="21" t="n">
        <x:f>F3744</x:f>
        <x:v>697.3016897714417</x:v>
      </x:c>
      <x:c r="I3741" s="27" t="n">
        <x:f>IF(AND(ISNUMBER(G3741),ISNUMBER(H3741),H3741&gt;0),G3741/H3741-1,"")</x:f>
        <x:v>-0.04317876538578136</x:v>
      </x:c>
      <x:c r="J3741" s="27" t="n">
        <x:f>IF(AND(ISNUMBER(G3741),F3741&gt;0),G3741/F3741-1,"")</x:f>
        <x:v>-0.04189089294386217</x:v>
      </x:c>
      <x:c r="K3741" s="19" t="str">
        <x:v>Smooth_3_128_inputs/EXP133/results/seed1288985921_Fixed_rank_10.json</x:v>
      </x:c>
    </x:row>
    <x:row r="3742" ht="15" hidden="0" customHeight="1">
      <x:c r="A3742" s="3" t="str">
        <x:v>EXP133</x:v>
      </x:c>
      <x:c r="B3742" s="3" t="str">
        <x:v>Smooth 3 (128 inputs)</x:v>
      </x:c>
      <x:c r="C3742" s="18" t="n">
        <x:v>1288985921</x:v>
      </x:c>
      <x:c r="D3742" s="3" t="str">
        <x:v>Fixed rank 25</x:v>
      </x:c>
      <x:c r="E3742" s="18" t="n">
        <x:v>400</x:v>
      </x:c>
      <x:c r="F3742" s="21" t="n">
        <x:v>668.9563899485842</x:v>
      </x:c>
      <x:c r="G3742" s="21" t="n">
        <x:f>F3739</x:f>
        <x:v>667.1930637056918</x:v>
      </x:c>
      <x:c r="H3742" s="21" t="n">
        <x:f>F3744</x:f>
        <x:v>697.3016897714417</x:v>
      </x:c>
      <x:c r="I3742" s="27" t="n">
        <x:f>IF(AND(ISNUMBER(G3742),ISNUMBER(H3742),H3742&gt;0),G3742/H3742-1,"")</x:f>
        <x:v>-0.04317876538578136</x:v>
      </x:c>
      <x:c r="J3742" s="27" t="n">
        <x:f>IF(AND(ISNUMBER(G3742),F3742&gt;0),G3742/F3742-1,"")</x:f>
        <x:v>-0.002635936018232643</x:v>
      </x:c>
      <x:c r="K3742" s="19" t="str">
        <x:v>Smooth_3_128_inputs/EXP133/results/seed1288985921_Fixed_rank_25.json</x:v>
      </x:c>
    </x:row>
    <x:row r="3743" ht="15" hidden="0" customHeight="1">
      <x:c r="A3743" s="3" t="str">
        <x:v>EXP133</x:v>
      </x:c>
      <x:c r="B3743" s="3" t="str">
        <x:v>Smooth 3 (128 inputs)</x:v>
      </x:c>
      <x:c r="C3743" s="18" t="n">
        <x:v>1288985921</x:v>
      </x:c>
      <x:c r="D3743" s="3" t="str">
        <x:v>Relative cutoff 1e-6</x:v>
      </x:c>
      <x:c r="E3743" s="18" t="n">
        <x:v>400</x:v>
      </x:c>
      <x:c r="F3743" s="21" t="n">
        <x:v>695.0433213994042</x:v>
      </x:c>
      <x:c r="G3743" s="21" t="n">
        <x:f>F3739</x:f>
        <x:v>667.1930637056918</x:v>
      </x:c>
      <x:c r="H3743" s="21" t="n">
        <x:f>F3744</x:f>
        <x:v>697.3016897714417</x:v>
      </x:c>
      <x:c r="I3743" s="27" t="n">
        <x:f>IF(AND(ISNUMBER(G3743),ISNUMBER(H3743),H3743&gt;0),G3743/H3743-1,"")</x:f>
        <x:v>-0.04317876538578136</x:v>
      </x:c>
      <x:c r="J3743" s="27" t="n">
        <x:f>IF(AND(ISNUMBER(G3743),F3743&gt;0),G3743/F3743-1,"")</x:f>
        <x:v>-0.04006981555860234</x:v>
      </x:c>
      <x:c r="K3743" s="19" t="str">
        <x:v>Smooth_3_128_inputs/EXP133/results/seed1288985921_Relative_cutoff_1e-6.json</x:v>
      </x:c>
    </x:row>
    <x:row r="3744" ht="15" hidden="0" customHeight="1">
      <x:c r="A3744" s="3" t="str">
        <x:v>EXP133</x:v>
      </x:c>
      <x:c r="B3744" s="3" t="str">
        <x:v>Smooth 3 (128 inputs)</x:v>
      </x:c>
      <x:c r="C3744" s="18" t="n">
        <x:v>1288985921</x:v>
      </x:c>
      <x:c r="D3744" s="3" t="str">
        <x:v>Full</x:v>
      </x:c>
      <x:c r="E3744" s="18" t="n">
        <x:v>400</x:v>
      </x:c>
      <x:c r="F3744" s="21" t="n">
        <x:v>697.3016897714417</x:v>
      </x:c>
      <x:c r="G3744" s="21" t="n">
        <x:f>F3739</x:f>
        <x:v>667.1930637056918</x:v>
      </x:c>
      <x:c r="H3744" s="21" t="n">
        <x:f>F3744</x:f>
        <x:v>697.3016897714417</x:v>
      </x:c>
      <x:c r="I3744" s="27" t="n">
        <x:f>IF(AND(ISNUMBER(G3744),ISNUMBER(H3744),H3744&gt;0),G3744/H3744-1,"")</x:f>
        <x:v>-0.04317876538578136</x:v>
      </x:c>
      <x:c r="J3744" s="27" t="n">
        <x:f>IF(AND(ISNUMBER(G3744),F3744&gt;0),G3744/F3744-1,"")</x:f>
        <x:v>-0.04317876538578136</x:v>
      </x:c>
      <x:c r="K3744" s="19" t="str">
        <x:v>Smooth_3_128_inputs/EXP133/results/seed1288985921_Full.json</x:v>
      </x:c>
    </x:row>
    <x:row r="3745" ht="15" hidden="0" customHeight="1">
      <x:c r="A3745" s="3" t="str">
        <x:v>EXP133</x:v>
      </x:c>
      <x:c r="B3745" s="3" t="str">
        <x:v>Smooth 3 (128 inputs)</x:v>
      </x:c>
      <x:c r="C3745" s="18" t="n">
        <x:v>1288985921</x:v>
      </x:c>
      <x:c r="D3745" s="3" t="str">
        <x:v>Relative cutoff 1e-2</x:v>
      </x:c>
      <x:c r="E3745" s="18" t="n">
        <x:v>400</x:v>
      </x:c>
      <x:c r="F3745" s="21" t="n">
        <x:v>685.0416863890985</x:v>
      </x:c>
      <x:c r="G3745" s="21" t="n">
        <x:f>F3739</x:f>
        <x:v>667.1930637056918</x:v>
      </x:c>
      <x:c r="H3745" s="21" t="n">
        <x:f>F3744</x:f>
        <x:v>697.3016897714417</x:v>
      </x:c>
      <x:c r="I3745" s="27" t="n">
        <x:f>IF(AND(ISNUMBER(G3745),ISNUMBER(H3745),H3745&gt;0),G3745/H3745-1,"")</x:f>
        <x:v>-0.04317876538578136</x:v>
      </x:c>
      <x:c r="J3745" s="27" t="n">
        <x:f>IF(AND(ISNUMBER(G3745),F3745&gt;0),G3745/F3745-1,"")</x:f>
        <x:v>-0.02605479788753884</x:v>
      </x:c>
      <x:c r="K3745" s="19" t="str">
        <x:v>Smooth_3_128_inputs/EXP133/results/seed1288985921_Relative_cutoff_1e-2.json</x:v>
      </x:c>
    </x:row>
    <x:row r="3746" ht="15" hidden="0" customHeight="1">
      <x:c r="A3746" s="3" t="str">
        <x:v>EXP133</x:v>
      </x:c>
      <x:c r="B3746" s="3" t="str">
        <x:v>Smooth 3 (128 inputs)</x:v>
      </x:c>
      <x:c r="C3746" s="18" t="n">
        <x:v>1288985921</x:v>
      </x:c>
      <x:c r="D3746" s="3" t="str">
        <x:v>Relative cutoff 1e-4</x:v>
      </x:c>
      <x:c r="E3746" s="18" t="n">
        <x:v>400</x:v>
      </x:c>
      <x:c r="F3746" s="21" t="n">
        <x:v>675.6536447869097</x:v>
      </x:c>
      <x:c r="G3746" s="21" t="n">
        <x:f>F3739</x:f>
        <x:v>667.1930637056918</x:v>
      </x:c>
      <x:c r="H3746" s="21" t="n">
        <x:f>F3744</x:f>
        <x:v>697.3016897714417</x:v>
      </x:c>
      <x:c r="I3746" s="27" t="n">
        <x:f>IF(AND(ISNUMBER(G3746),ISNUMBER(H3746),H3746&gt;0),G3746/H3746-1,"")</x:f>
        <x:v>-0.04317876538578136</x:v>
      </x:c>
      <x:c r="J3746" s="27" t="n">
        <x:f>IF(AND(ISNUMBER(G3746),F3746&gt;0),G3746/F3746-1,"")</x:f>
        <x:v>-0.012522068291197175</x:v>
      </x:c>
      <x:c r="K3746" s="19" t="str">
        <x:v>Smooth_3_128_inputs/EXP133/results/seed1288985921_Relative_cutoff_1e-4.json</x:v>
      </x:c>
    </x:row>
    <x:row r="3747" ht="15" hidden="0" customHeight="1">
      <x:c r="A3747" s="3" t="str">
        <x:v>EXP133</x:v>
      </x:c>
      <x:c r="B3747" s="3" t="str">
        <x:v>Smooth 3 (128 inputs)</x:v>
      </x:c>
      <x:c r="C3747" s="18" t="n">
        <x:v>1316987326</x:v>
      </x:c>
      <x:c r="D3747" s="3" t="str">
        <x:v>BBP</x:v>
      </x:c>
      <x:c r="E3747" s="18" t="n">
        <x:v>400</x:v>
      </x:c>
      <x:c r="F3747" s="21" t="n">
        <x:v>638.9970895718415</x:v>
      </x:c>
      <x:c r="G3747" s="21" t="n">
        <x:f>F3747</x:f>
        <x:v>638.9970895718415</x:v>
      </x:c>
      <x:c r="H3747" s="21" t="n">
        <x:f>F3752</x:f>
        <x:v>659.1677331458186</x:v>
      </x:c>
      <x:c r="I3747" s="27" t="n">
        <x:f>IF(AND(ISNUMBER(G3747),ISNUMBER(H3747),H3747&gt;0),G3747/H3747-1,"")</x:f>
        <x:v>-0.03060016830270884</x:v>
      </x:c>
      <x:c r="J3747" s="27" t="n">
        <x:f>IF(AND(ISNUMBER(G3747),F3747&gt;0),G3747/F3747-1,"")</x:f>
        <x:v>0</x:v>
      </x:c>
      <x:c r="K3747" s="19" t="str">
        <x:v>Smooth_3_128_inputs/EXP133/results/seed1316987326_BBP.json</x:v>
      </x:c>
    </x:row>
    <x:row r="3748" ht="15" hidden="0" customHeight="1">
      <x:c r="A3748" s="3" t="str">
        <x:v>EXP133</x:v>
      </x:c>
      <x:c r="B3748" s="3" t="str">
        <x:v>Smooth 3 (128 inputs)</x:v>
      </x:c>
      <x:c r="C3748" s="18" t="n">
        <x:v>1316987326</x:v>
      </x:c>
      <x:c r="D3748" s="3" t="str">
        <x:v>Relative cutoff 1e-5</x:v>
      </x:c>
      <x:c r="E3748" s="18" t="n">
        <x:v>400</x:v>
      </x:c>
      <x:c r="F3748" s="21" t="n">
        <x:v>651.7626389314041</x:v>
      </x:c>
      <x:c r="G3748" s="21" t="n">
        <x:f>F3747</x:f>
        <x:v>638.9970895718415</x:v>
      </x:c>
      <x:c r="H3748" s="21" t="n">
        <x:f>F3752</x:f>
        <x:v>659.1677331458186</x:v>
      </x:c>
      <x:c r="I3748" s="27" t="n">
        <x:f>IF(AND(ISNUMBER(G3748),ISNUMBER(H3748),H3748&gt;0),G3748/H3748-1,"")</x:f>
        <x:v>-0.03060016830270884</x:v>
      </x:c>
      <x:c r="J3748" s="27" t="n">
        <x:f>IF(AND(ISNUMBER(G3748),F3748&gt;0),G3748/F3748-1,"")</x:f>
        <x:v>-0.019586193802842655</x:v>
      </x:c>
      <x:c r="K3748" s="19" t="str">
        <x:v>Smooth_3_128_inputs/EXP133/results/seed1316987326_Relative_cutoff_1e-5.json</x:v>
      </x:c>
    </x:row>
    <x:row r="3749" ht="15" hidden="0" customHeight="1">
      <x:c r="A3749" s="3" t="str">
        <x:v>EXP133</x:v>
      </x:c>
      <x:c r="B3749" s="3" t="str">
        <x:v>Smooth 3 (128 inputs)</x:v>
      </x:c>
      <x:c r="C3749" s="18" t="n">
        <x:v>1316987326</x:v>
      </x:c>
      <x:c r="D3749" s="3" t="str">
        <x:v>Fixed rank 10</x:v>
      </x:c>
      <x:c r="E3749" s="18" t="n">
        <x:v>400</x:v>
      </x:c>
      <x:c r="F3749" s="21" t="n">
        <x:v>644.4186412864972</x:v>
      </x:c>
      <x:c r="G3749" s="21" t="n">
        <x:f>F3747</x:f>
        <x:v>638.9970895718415</x:v>
      </x:c>
      <x:c r="H3749" s="21" t="n">
        <x:f>F3752</x:f>
        <x:v>659.1677331458186</x:v>
      </x:c>
      <x:c r="I3749" s="27" t="n">
        <x:f>IF(AND(ISNUMBER(G3749),ISNUMBER(H3749),H3749&gt;0),G3749/H3749-1,"")</x:f>
        <x:v>-0.03060016830270884</x:v>
      </x:c>
      <x:c r="J3749" s="27" t="n">
        <x:f>IF(AND(ISNUMBER(G3749),F3749&gt;0),G3749/F3749-1,"")</x:f>
        <x:v>-0.00841308951558617</x:v>
      </x:c>
      <x:c r="K3749" s="19" t="str">
        <x:v>Smooth_3_128_inputs/EXP133/results/seed1316987326_Fixed_rank_10.json</x:v>
      </x:c>
    </x:row>
    <x:row r="3750" ht="15" hidden="0" customHeight="1">
      <x:c r="A3750" s="3" t="str">
        <x:v>EXP133</x:v>
      </x:c>
      <x:c r="B3750" s="3" t="str">
        <x:v>Smooth 3 (128 inputs)</x:v>
      </x:c>
      <x:c r="C3750" s="18" t="n">
        <x:v>1316987326</x:v>
      </x:c>
      <x:c r="D3750" s="3" t="str">
        <x:v>Fixed rank 25</x:v>
      </x:c>
      <x:c r="E3750" s="18" t="n">
        <x:v>400</x:v>
      </x:c>
      <x:c r="F3750" s="21" t="n">
        <x:v>625.4618706389958</x:v>
      </x:c>
      <x:c r="G3750" s="21" t="n">
        <x:f>F3747</x:f>
        <x:v>638.9970895718415</x:v>
      </x:c>
      <x:c r="H3750" s="21" t="n">
        <x:f>F3752</x:f>
        <x:v>659.1677331458186</x:v>
      </x:c>
      <x:c r="I3750" s="27" t="n">
        <x:f>IF(AND(ISNUMBER(G3750),ISNUMBER(H3750),H3750&gt;0),G3750/H3750-1,"")</x:f>
        <x:v>-0.03060016830270884</x:v>
      </x:c>
      <x:c r="J3750" s="27" t="n">
        <x:f>IF(AND(ISNUMBER(G3750),F3750&gt;0),G3750/F3750-1,"")</x:f>
        <x:v>0.02164035821882715</x:v>
      </x:c>
      <x:c r="K3750" s="19" t="str">
        <x:v>Smooth_3_128_inputs/EXP133/results/seed1316987326_Fixed_rank_25.json</x:v>
      </x:c>
    </x:row>
    <x:row r="3751" ht="15" hidden="0" customHeight="1">
      <x:c r="A3751" s="3" t="str">
        <x:v>EXP133</x:v>
      </x:c>
      <x:c r="B3751" s="3" t="str">
        <x:v>Smooth 3 (128 inputs)</x:v>
      </x:c>
      <x:c r="C3751" s="18" t="n">
        <x:v>1316987326</x:v>
      </x:c>
      <x:c r="D3751" s="3" t="str">
        <x:v>Relative cutoff 1e-6</x:v>
      </x:c>
      <x:c r="E3751" s="18" t="n">
        <x:v>400</x:v>
      </x:c>
      <x:c r="F3751" s="21" t="n">
        <x:v>664.06999533337</x:v>
      </x:c>
      <x:c r="G3751" s="21" t="n">
        <x:f>F3747</x:f>
        <x:v>638.9970895718415</x:v>
      </x:c>
      <x:c r="H3751" s="21" t="n">
        <x:f>F3752</x:f>
        <x:v>659.1677331458186</x:v>
      </x:c>
      <x:c r="I3751" s="27" t="n">
        <x:f>IF(AND(ISNUMBER(G3751),ISNUMBER(H3751),H3751&gt;0),G3751/H3751-1,"")</x:f>
        <x:v>-0.03060016830270884</x:v>
      </x:c>
      <x:c r="J3751" s="27" t="n">
        <x:f>IF(AND(ISNUMBER(G3751),F3751&gt;0),G3751/F3751-1,"")</x:f>
        <x:v>-0.037756420163121085</x:v>
      </x:c>
      <x:c r="K3751" s="19" t="str">
        <x:v>Smooth_3_128_inputs/EXP133/results/seed1316987326_Relative_cutoff_1e-6.json</x:v>
      </x:c>
    </x:row>
    <x:row r="3752" ht="15" hidden="0" customHeight="1">
      <x:c r="A3752" s="3" t="str">
        <x:v>EXP133</x:v>
      </x:c>
      <x:c r="B3752" s="3" t="str">
        <x:v>Smooth 3 (128 inputs)</x:v>
      </x:c>
      <x:c r="C3752" s="18" t="n">
        <x:v>1316987326</x:v>
      </x:c>
      <x:c r="D3752" s="3" t="str">
        <x:v>Full</x:v>
      </x:c>
      <x:c r="E3752" s="18" t="n">
        <x:v>400</x:v>
      </x:c>
      <x:c r="F3752" s="21" t="n">
        <x:v>659.1677331458186</x:v>
      </x:c>
      <x:c r="G3752" s="21" t="n">
        <x:f>F3747</x:f>
        <x:v>638.9970895718415</x:v>
      </x:c>
      <x:c r="H3752" s="21" t="n">
        <x:f>F3752</x:f>
        <x:v>659.1677331458186</x:v>
      </x:c>
      <x:c r="I3752" s="27" t="n">
        <x:f>IF(AND(ISNUMBER(G3752),ISNUMBER(H3752),H3752&gt;0),G3752/H3752-1,"")</x:f>
        <x:v>-0.03060016830270884</x:v>
      </x:c>
      <x:c r="J3752" s="27" t="n">
        <x:f>IF(AND(ISNUMBER(G3752),F3752&gt;0),G3752/F3752-1,"")</x:f>
        <x:v>-0.03060016830270884</x:v>
      </x:c>
      <x:c r="K3752" s="19" t="str">
        <x:v>Smooth_3_128_inputs/EXP133/results/seed1316987326_Full.json</x:v>
      </x:c>
    </x:row>
    <x:row r="3753" ht="15" hidden="0" customHeight="1">
      <x:c r="A3753" s="3" t="str">
        <x:v>EXP133</x:v>
      </x:c>
      <x:c r="B3753" s="3" t="str">
        <x:v>Smooth 3 (128 inputs)</x:v>
      </x:c>
      <x:c r="C3753" s="18" t="n">
        <x:v>1316987326</x:v>
      </x:c>
      <x:c r="D3753" s="3" t="str">
        <x:v>Relative cutoff 1e-2</x:v>
      </x:c>
      <x:c r="E3753" s="18" t="n">
        <x:v>400</x:v>
      </x:c>
      <x:c r="F3753" s="21" t="n">
        <x:v>658.1865339850469</x:v>
      </x:c>
      <x:c r="G3753" s="21" t="n">
        <x:f>F3747</x:f>
        <x:v>638.9970895718415</x:v>
      </x:c>
      <x:c r="H3753" s="21" t="n">
        <x:f>F3752</x:f>
        <x:v>659.1677331458186</x:v>
      </x:c>
      <x:c r="I3753" s="27" t="n">
        <x:f>IF(AND(ISNUMBER(G3753),ISNUMBER(H3753),H3753&gt;0),G3753/H3753-1,"")</x:f>
        <x:v>-0.03060016830270884</x:v>
      </x:c>
      <x:c r="J3753" s="27" t="n">
        <x:f>IF(AND(ISNUMBER(G3753),F3753&gt;0),G3753/F3753-1,"")</x:f>
        <x:v>-0.029155024331812607</x:v>
      </x:c>
      <x:c r="K3753" s="19" t="str">
        <x:v>Smooth_3_128_inputs/EXP133/results/seed1316987326_Relative_cutoff_1e-2.json</x:v>
      </x:c>
    </x:row>
    <x:row r="3754" ht="15" hidden="0" customHeight="1">
      <x:c r="A3754" s="3" t="str">
        <x:v>EXP133</x:v>
      </x:c>
      <x:c r="B3754" s="3" t="str">
        <x:v>Smooth 3 (128 inputs)</x:v>
      </x:c>
      <x:c r="C3754" s="18" t="n">
        <x:v>1316987326</x:v>
      </x:c>
      <x:c r="D3754" s="3" t="str">
        <x:v>Relative cutoff 1e-4</x:v>
      </x:c>
      <x:c r="E3754" s="18" t="n">
        <x:v>400</x:v>
      </x:c>
      <x:c r="F3754" s="21" t="n">
        <x:v>635.5872074654035</x:v>
      </x:c>
      <x:c r="G3754" s="21" t="n">
        <x:f>F3747</x:f>
        <x:v>638.9970895718415</x:v>
      </x:c>
      <x:c r="H3754" s="21" t="n">
        <x:f>F3752</x:f>
        <x:v>659.1677331458186</x:v>
      </x:c>
      <x:c r="I3754" s="27" t="n">
        <x:f>IF(AND(ISNUMBER(G3754),ISNUMBER(H3754),H3754&gt;0),G3754/H3754-1,"")</x:f>
        <x:v>-0.03060016830270884</x:v>
      </x:c>
      <x:c r="J3754" s="27" t="n">
        <x:f>IF(AND(ISNUMBER(G3754),F3754&gt;0),G3754/F3754-1,"")</x:f>
        <x:v>0.005364931934416894</x:v>
      </x:c>
      <x:c r="K3754" s="19" t="str">
        <x:v>Smooth_3_128_inputs/EXP133/results/seed1316987326_Relative_cutoff_1e-4.json</x:v>
      </x:c>
    </x:row>
    <x:row r="3755" ht="15" hidden="0" customHeight="1">
      <x:c r="A3755" s="3" t="str">
        <x:v>EXP133</x:v>
      </x:c>
      <x:c r="B3755" s="3" t="str">
        <x:v>Smooth 3 (128 inputs)</x:v>
      </x:c>
      <x:c r="C3755" s="18" t="n">
        <x:v>1391820987</x:v>
      </x:c>
      <x:c r="D3755" s="3" t="str">
        <x:v>BBP</x:v>
      </x:c>
      <x:c r="E3755" s="18" t="n">
        <x:v>400</x:v>
      </x:c>
      <x:c r="F3755" s="21" t="n">
        <x:v>673.5576753046191</x:v>
      </x:c>
      <x:c r="G3755" s="21" t="n">
        <x:f>F3755</x:f>
        <x:v>673.5576753046191</x:v>
      </x:c>
      <x:c r="H3755" s="21" t="n">
        <x:f>F3760</x:f>
        <x:v>676.3936959763085</x:v>
      </x:c>
      <x:c r="I3755" s="27" t="n">
        <x:f>IF(AND(ISNUMBER(G3755),ISNUMBER(H3755),H3755&gt;0),G3755/H3755-1,"")</x:f>
        <x:v>-0.004192854972718041</x:v>
      </x:c>
      <x:c r="J3755" s="27" t="n">
        <x:f>IF(AND(ISNUMBER(G3755),F3755&gt;0),G3755/F3755-1,"")</x:f>
        <x:v>0</x:v>
      </x:c>
      <x:c r="K3755" s="19" t="str">
        <x:v>Smooth_3_128_inputs/EXP133/results/seed1391820987_BBP.json</x:v>
      </x:c>
    </x:row>
    <x:row r="3756" ht="15" hidden="0" customHeight="1">
      <x:c r="A3756" s="3" t="str">
        <x:v>EXP133</x:v>
      </x:c>
      <x:c r="B3756" s="3" t="str">
        <x:v>Smooth 3 (128 inputs)</x:v>
      </x:c>
      <x:c r="C3756" s="18" t="n">
        <x:v>1391820987</x:v>
      </x:c>
      <x:c r="D3756" s="3" t="str">
        <x:v>Relative cutoff 1e-5</x:v>
      </x:c>
      <x:c r="E3756" s="18" t="n">
        <x:v>400</x:v>
      </x:c>
      <x:c r="F3756" s="21" t="n">
        <x:v>677.2494154313898</x:v>
      </x:c>
      <x:c r="G3756" s="21" t="n">
        <x:f>F3755</x:f>
        <x:v>673.5576753046191</x:v>
      </x:c>
      <x:c r="H3756" s="21" t="n">
        <x:f>F3760</x:f>
        <x:v>676.3936959763085</x:v>
      </x:c>
      <x:c r="I3756" s="27" t="n">
        <x:f>IF(AND(ISNUMBER(G3756),ISNUMBER(H3756),H3756&gt;0),G3756/H3756-1,"")</x:f>
        <x:v>-0.004192854972718041</x:v>
      </x:c>
      <x:c r="J3756" s="27" t="n">
        <x:f>IF(AND(ISNUMBER(G3756),F3756&gt;0),G3756/F3756-1,"")</x:f>
        <x:v>-0.005451079089406341</x:v>
      </x:c>
      <x:c r="K3756" s="19" t="str">
        <x:v>Smooth_3_128_inputs/EXP133/results/seed1391820987_Relative_cutoff_1e-5.json</x:v>
      </x:c>
    </x:row>
    <x:row r="3757" ht="15" hidden="0" customHeight="1">
      <x:c r="A3757" s="3" t="str">
        <x:v>EXP133</x:v>
      </x:c>
      <x:c r="B3757" s="3" t="str">
        <x:v>Smooth 3 (128 inputs)</x:v>
      </x:c>
      <x:c r="C3757" s="18" t="n">
        <x:v>1391820987</x:v>
      </x:c>
      <x:c r="D3757" s="3" t="str">
        <x:v>Fixed rank 10</x:v>
      </x:c>
      <x:c r="E3757" s="18" t="n">
        <x:v>400</x:v>
      </x:c>
      <x:c r="F3757" s="21" t="n">
        <x:v>665.0709572247652</x:v>
      </x:c>
      <x:c r="G3757" s="21" t="n">
        <x:f>F3755</x:f>
        <x:v>673.5576753046191</x:v>
      </x:c>
      <x:c r="H3757" s="21" t="n">
        <x:f>F3760</x:f>
        <x:v>676.3936959763085</x:v>
      </x:c>
      <x:c r="I3757" s="27" t="n">
        <x:f>IF(AND(ISNUMBER(G3757),ISNUMBER(H3757),H3757&gt;0),G3757/H3757-1,"")</x:f>
        <x:v>-0.004192854972718041</x:v>
      </x:c>
      <x:c r="J3757" s="27" t="n">
        <x:f>IF(AND(ISNUMBER(G3757),F3757&gt;0),G3757/F3757-1,"")</x:f>
        <x:v>0.01276062048366633</x:v>
      </x:c>
      <x:c r="K3757" s="19" t="str">
        <x:v>Smooth_3_128_inputs/EXP133/results/seed1391820987_Fixed_rank_10.json</x:v>
      </x:c>
    </x:row>
    <x:row r="3758" ht="15" hidden="0" customHeight="1">
      <x:c r="A3758" s="3" t="str">
        <x:v>EXP133</x:v>
      </x:c>
      <x:c r="B3758" s="3" t="str">
        <x:v>Smooth 3 (128 inputs)</x:v>
      </x:c>
      <x:c r="C3758" s="18" t="n">
        <x:v>1391820987</x:v>
      </x:c>
      <x:c r="D3758" s="3" t="str">
        <x:v>Fixed rank 25</x:v>
      </x:c>
      <x:c r="E3758" s="18" t="n">
        <x:v>400</x:v>
      </x:c>
      <x:c r="F3758" s="21" t="n">
        <x:v>663.1293864868595</x:v>
      </x:c>
      <x:c r="G3758" s="21" t="n">
        <x:f>F3755</x:f>
        <x:v>673.5576753046191</x:v>
      </x:c>
      <x:c r="H3758" s="21" t="n">
        <x:f>F3760</x:f>
        <x:v>676.3936959763085</x:v>
      </x:c>
      <x:c r="I3758" s="27" t="n">
        <x:f>IF(AND(ISNUMBER(G3758),ISNUMBER(H3758),H3758&gt;0),G3758/H3758-1,"")</x:f>
        <x:v>-0.004192854972718041</x:v>
      </x:c>
      <x:c r="J3758" s="27" t="n">
        <x:f>IF(AND(ISNUMBER(G3758),F3758&gt;0),G3758/F3758-1,"")</x:f>
        <x:v>0.01572587345737575</x:v>
      </x:c>
      <x:c r="K3758" s="19" t="str">
        <x:v>Smooth_3_128_inputs/EXP133/results/seed1391820987_Fixed_rank_25.json</x:v>
      </x:c>
    </x:row>
    <x:row r="3759" ht="15" hidden="0" customHeight="1">
      <x:c r="A3759" s="3" t="str">
        <x:v>EXP133</x:v>
      </x:c>
      <x:c r="B3759" s="3" t="str">
        <x:v>Smooth 3 (128 inputs)</x:v>
      </x:c>
      <x:c r="C3759" s="18" t="n">
        <x:v>1391820987</x:v>
      </x:c>
      <x:c r="D3759" s="3" t="str">
        <x:v>Relative cutoff 1e-6</x:v>
      </x:c>
      <x:c r="E3759" s="18" t="n">
        <x:v>400</x:v>
      </x:c>
      <x:c r="F3759" s="21" t="n">
        <x:v>661.2574163645513</x:v>
      </x:c>
      <x:c r="G3759" s="21" t="n">
        <x:f>F3755</x:f>
        <x:v>673.5576753046191</x:v>
      </x:c>
      <x:c r="H3759" s="21" t="n">
        <x:f>F3760</x:f>
        <x:v>676.3936959763085</x:v>
      </x:c>
      <x:c r="I3759" s="27" t="n">
        <x:f>IF(AND(ISNUMBER(G3759),ISNUMBER(H3759),H3759&gt;0),G3759/H3759-1,"")</x:f>
        <x:v>-0.004192854972718041</x:v>
      </x:c>
      <x:c r="J3759" s="27" t="n">
        <x:f>IF(AND(ISNUMBER(G3759),F3759&gt;0),G3759/F3759-1,"")</x:f>
        <x:v>0.01860131718097313</x:v>
      </x:c>
      <x:c r="K3759" s="19" t="str">
        <x:v>Smooth_3_128_inputs/EXP133/results/seed1391820987_Relative_cutoff_1e-6.json</x:v>
      </x:c>
    </x:row>
    <x:row r="3760" ht="15" hidden="0" customHeight="1">
      <x:c r="A3760" s="3" t="str">
        <x:v>EXP133</x:v>
      </x:c>
      <x:c r="B3760" s="3" t="str">
        <x:v>Smooth 3 (128 inputs)</x:v>
      </x:c>
      <x:c r="C3760" s="18" t="n">
        <x:v>1391820987</x:v>
      </x:c>
      <x:c r="D3760" s="3" t="str">
        <x:v>Full</x:v>
      </x:c>
      <x:c r="E3760" s="18" t="n">
        <x:v>400</x:v>
      </x:c>
      <x:c r="F3760" s="21" t="n">
        <x:v>676.3936959763085</x:v>
      </x:c>
      <x:c r="G3760" s="21" t="n">
        <x:f>F3755</x:f>
        <x:v>673.5576753046191</x:v>
      </x:c>
      <x:c r="H3760" s="21" t="n">
        <x:f>F3760</x:f>
        <x:v>676.3936959763085</x:v>
      </x:c>
      <x:c r="I3760" s="27" t="n">
        <x:f>IF(AND(ISNUMBER(G3760),ISNUMBER(H3760),H3760&gt;0),G3760/H3760-1,"")</x:f>
        <x:v>-0.004192854972718041</x:v>
      </x:c>
      <x:c r="J3760" s="27" t="n">
        <x:f>IF(AND(ISNUMBER(G3760),F3760&gt;0),G3760/F3760-1,"")</x:f>
        <x:v>-0.004192854972718041</x:v>
      </x:c>
      <x:c r="K3760" s="19" t="str">
        <x:v>Smooth_3_128_inputs/EXP133/results/seed1391820987_Full.json</x:v>
      </x:c>
    </x:row>
    <x:row r="3761" ht="15" hidden="0" customHeight="1">
      <x:c r="A3761" s="3" t="str">
        <x:v>EXP133</x:v>
      </x:c>
      <x:c r="B3761" s="3" t="str">
        <x:v>Smooth 3 (128 inputs)</x:v>
      </x:c>
      <x:c r="C3761" s="18" t="n">
        <x:v>1391820987</x:v>
      </x:c>
      <x:c r="D3761" s="3" t="str">
        <x:v>Relative cutoff 1e-2</x:v>
      </x:c>
      <x:c r="E3761" s="18" t="n">
        <x:v>400</x:v>
      </x:c>
      <x:c r="F3761" s="21" t="n">
        <x:v>706.00563336155</x:v>
      </x:c>
      <x:c r="G3761" s="21" t="n">
        <x:f>F3755</x:f>
        <x:v>673.5576753046191</x:v>
      </x:c>
      <x:c r="H3761" s="21" t="n">
        <x:f>F3760</x:f>
        <x:v>676.3936959763085</x:v>
      </x:c>
      <x:c r="I3761" s="27" t="n">
        <x:f>IF(AND(ISNUMBER(G3761),ISNUMBER(H3761),H3761&gt;0),G3761/H3761-1,"")</x:f>
        <x:v>-0.004192854972718041</x:v>
      </x:c>
      <x:c r="J3761" s="27" t="n">
        <x:f>IF(AND(ISNUMBER(G3761),F3761&gt;0),G3761/F3761-1,"")</x:f>
        <x:v>-0.04595991380753495</x:v>
      </x:c>
      <x:c r="K3761" s="19" t="str">
        <x:v>Smooth_3_128_inputs/EXP133/results/seed1391820987_Relative_cutoff_1e-2.json</x:v>
      </x:c>
    </x:row>
    <x:row r="3762" ht="15" hidden="0" customHeight="1">
      <x:c r="A3762" s="3" t="str">
        <x:v>EXP133</x:v>
      </x:c>
      <x:c r="B3762" s="3" t="str">
        <x:v>Smooth 3 (128 inputs)</x:v>
      </x:c>
      <x:c r="C3762" s="18" t="n">
        <x:v>1391820987</x:v>
      </x:c>
      <x:c r="D3762" s="3" t="str">
        <x:v>Relative cutoff 1e-4</x:v>
      </x:c>
      <x:c r="E3762" s="18" t="n">
        <x:v>400</x:v>
      </x:c>
      <x:c r="F3762" s="21" t="n">
        <x:v>699.062233757079</x:v>
      </x:c>
      <x:c r="G3762" s="21" t="n">
        <x:f>F3755</x:f>
        <x:v>673.5576753046191</x:v>
      </x:c>
      <x:c r="H3762" s="21" t="n">
        <x:f>F3760</x:f>
        <x:v>676.3936959763085</x:v>
      </x:c>
      <x:c r="I3762" s="27" t="n">
        <x:f>IF(AND(ISNUMBER(G3762),ISNUMBER(H3762),H3762&gt;0),G3762/H3762-1,"")</x:f>
        <x:v>-0.004192854972718041</x:v>
      </x:c>
      <x:c r="J3762" s="27" t="n">
        <x:f>IF(AND(ISNUMBER(G3762),F3762&gt;0),G3762/F3762-1,"")</x:f>
        <x:v>-0.036483959826275725</x:v>
      </x:c>
      <x:c r="K3762" s="19" t="str">
        <x:v>Smooth_3_128_inputs/EXP133/results/seed1391820987_Relative_cutoff_1e-4.json</x:v>
      </x:c>
    </x:row>
    <x:row r="3763" ht="15" hidden="0" customHeight="1">
      <x:c r="A3763" s="3" t="str">
        <x:v>EXP133</x:v>
      </x:c>
      <x:c r="B3763" s="3" t="str">
        <x:v>Smooth 3 (128 inputs)</x:v>
      </x:c>
      <x:c r="C3763" s="18" t="n">
        <x:v>1486942171</x:v>
      </x:c>
      <x:c r="D3763" s="3" t="str">
        <x:v>BBP</x:v>
      </x:c>
      <x:c r="E3763" s="18" t="n">
        <x:v>400</x:v>
      </x:c>
      <x:c r="F3763" s="21" t="n">
        <x:v>631.2336460723188</x:v>
      </x:c>
      <x:c r="G3763" s="21" t="n">
        <x:f>F3763</x:f>
        <x:v>631.2336460723188</x:v>
      </x:c>
      <x:c r="H3763" s="21" t="n">
        <x:f>F3768</x:f>
        <x:v>630.3116397525207</x:v>
      </x:c>
      <x:c r="I3763" s="27" t="n">
        <x:f>IF(AND(ISNUMBER(G3763),ISNUMBER(H3763),H3763&gt;0),G3763/H3763-1,"")</x:f>
        <x:v>0.0014627785077236943</x:v>
      </x:c>
      <x:c r="J3763" s="27" t="n">
        <x:f>IF(AND(ISNUMBER(G3763),F3763&gt;0),G3763/F3763-1,"")</x:f>
        <x:v>0</x:v>
      </x:c>
      <x:c r="K3763" s="19" t="str">
        <x:v>Smooth_3_128_inputs/EXP133/results/seed1486942171_BBP.json</x:v>
      </x:c>
    </x:row>
    <x:row r="3764" ht="15" hidden="0" customHeight="1">
      <x:c r="A3764" s="3" t="str">
        <x:v>EXP133</x:v>
      </x:c>
      <x:c r="B3764" s="3" t="str">
        <x:v>Smooth 3 (128 inputs)</x:v>
      </x:c>
      <x:c r="C3764" s="18" t="n">
        <x:v>1486942171</x:v>
      </x:c>
      <x:c r="D3764" s="3" t="str">
        <x:v>Relative cutoff 1e-5</x:v>
      </x:c>
      <x:c r="E3764" s="18" t="n">
        <x:v>400</x:v>
      </x:c>
      <x:c r="F3764" s="21" t="n">
        <x:v>602.0688639657495</x:v>
      </x:c>
      <x:c r="G3764" s="21" t="n">
        <x:f>F3763</x:f>
        <x:v>631.2336460723188</x:v>
      </x:c>
      <x:c r="H3764" s="21" t="n">
        <x:f>F3768</x:f>
        <x:v>630.3116397525207</x:v>
      </x:c>
      <x:c r="I3764" s="27" t="n">
        <x:f>IF(AND(ISNUMBER(G3764),ISNUMBER(H3764),H3764&gt;0),G3764/H3764-1,"")</x:f>
        <x:v>0.0014627785077236943</x:v>
      </x:c>
      <x:c r="J3764" s="27" t="n">
        <x:f>IF(AND(ISNUMBER(G3764),F3764&gt;0),G3764/F3764-1,"")</x:f>
        <x:v>0.04844094064998594</x:v>
      </x:c>
      <x:c r="K3764" s="19" t="str">
        <x:v>Smooth_3_128_inputs/EXP133/results/seed1486942171_Relative_cutoff_1e-5.json</x:v>
      </x:c>
    </x:row>
    <x:row r="3765" ht="15" hidden="0" customHeight="1">
      <x:c r="A3765" s="3" t="str">
        <x:v>EXP133</x:v>
      </x:c>
      <x:c r="B3765" s="3" t="str">
        <x:v>Smooth 3 (128 inputs)</x:v>
      </x:c>
      <x:c r="C3765" s="18" t="n">
        <x:v>1486942171</x:v>
      </x:c>
      <x:c r="D3765" s="3" t="str">
        <x:v>Fixed rank 10</x:v>
      </x:c>
      <x:c r="E3765" s="18" t="n">
        <x:v>400</x:v>
      </x:c>
      <x:c r="F3765" s="21" t="n">
        <x:v>609.8371097332423</x:v>
      </x:c>
      <x:c r="G3765" s="21" t="n">
        <x:f>F3763</x:f>
        <x:v>631.2336460723188</x:v>
      </x:c>
      <x:c r="H3765" s="21" t="n">
        <x:f>F3768</x:f>
        <x:v>630.3116397525207</x:v>
      </x:c>
      <x:c r="I3765" s="27" t="n">
        <x:f>IF(AND(ISNUMBER(G3765),ISNUMBER(H3765),H3765&gt;0),G3765/H3765-1,"")</x:f>
        <x:v>0.0014627785077236943</x:v>
      </x:c>
      <x:c r="J3765" s="27" t="n">
        <x:f>IF(AND(ISNUMBER(G3765),F3765&gt;0),G3765/F3765-1,"")</x:f>
        <x:v>0.03508565811686326</x:v>
      </x:c>
      <x:c r="K3765" s="19" t="str">
        <x:v>Smooth_3_128_inputs/EXP133/results/seed1486942171_Fixed_rank_10.json</x:v>
      </x:c>
    </x:row>
    <x:row r="3766" ht="15" hidden="0" customHeight="1">
      <x:c r="A3766" s="3" t="str">
        <x:v>EXP133</x:v>
      </x:c>
      <x:c r="B3766" s="3" t="str">
        <x:v>Smooth 3 (128 inputs)</x:v>
      </x:c>
      <x:c r="C3766" s="18" t="n">
        <x:v>1486942171</x:v>
      </x:c>
      <x:c r="D3766" s="3" t="str">
        <x:v>Fixed rank 25</x:v>
      </x:c>
      <x:c r="E3766" s="18" t="n">
        <x:v>400</x:v>
      </x:c>
      <x:c r="F3766" s="21" t="n">
        <x:v>625.2353779373876</x:v>
      </x:c>
      <x:c r="G3766" s="21" t="n">
        <x:f>F3763</x:f>
        <x:v>631.2336460723188</x:v>
      </x:c>
      <x:c r="H3766" s="21" t="n">
        <x:f>F3768</x:f>
        <x:v>630.3116397525207</x:v>
      </x:c>
      <x:c r="I3766" s="27" t="n">
        <x:f>IF(AND(ISNUMBER(G3766),ISNUMBER(H3766),H3766&gt;0),G3766/H3766-1,"")</x:f>
        <x:v>0.0014627785077236943</x:v>
      </x:c>
      <x:c r="J3766" s="27" t="n">
        <x:f>IF(AND(ISNUMBER(G3766),F3766&gt;0),G3766/F3766-1,"")</x:f>
        <x:v>0.00959361601501052</x:v>
      </x:c>
      <x:c r="K3766" s="19" t="str">
        <x:v>Smooth_3_128_inputs/EXP133/results/seed1486942171_Fixed_rank_25.json</x:v>
      </x:c>
    </x:row>
    <x:row r="3767" ht="15" hidden="0" customHeight="1">
      <x:c r="A3767" s="3" t="str">
        <x:v>EXP133</x:v>
      </x:c>
      <x:c r="B3767" s="3" t="str">
        <x:v>Smooth 3 (128 inputs)</x:v>
      </x:c>
      <x:c r="C3767" s="18" t="n">
        <x:v>1486942171</x:v>
      </x:c>
      <x:c r="D3767" s="3" t="str">
        <x:v>Relative cutoff 1e-6</x:v>
      </x:c>
      <x:c r="E3767" s="18" t="n">
        <x:v>400</x:v>
      </x:c>
      <x:c r="F3767" s="21" t="n">
        <x:v>630.199526313005</x:v>
      </x:c>
      <x:c r="G3767" s="21" t="n">
        <x:f>F3763</x:f>
        <x:v>631.2336460723188</x:v>
      </x:c>
      <x:c r="H3767" s="21" t="n">
        <x:f>F3768</x:f>
        <x:v>630.3116397525207</x:v>
      </x:c>
      <x:c r="I3767" s="27" t="n">
        <x:f>IF(AND(ISNUMBER(G3767),ISNUMBER(H3767),H3767&gt;0),G3767/H3767-1,"")</x:f>
        <x:v>0.0014627785077236943</x:v>
      </x:c>
      <x:c r="J3767" s="27" t="n">
        <x:f>IF(AND(ISNUMBER(G3767),F3767&gt;0),G3767/F3767-1,"")</x:f>
        <x:v>0.0016409402358075198</x:v>
      </x:c>
      <x:c r="K3767" s="19" t="str">
        <x:v>Smooth_3_128_inputs/EXP133/results/seed1486942171_Relative_cutoff_1e-6.json</x:v>
      </x:c>
    </x:row>
    <x:row r="3768" ht="15" hidden="0" customHeight="1">
      <x:c r="A3768" s="3" t="str">
        <x:v>EXP133</x:v>
      </x:c>
      <x:c r="B3768" s="3" t="str">
        <x:v>Smooth 3 (128 inputs)</x:v>
      </x:c>
      <x:c r="C3768" s="18" t="n">
        <x:v>1486942171</x:v>
      </x:c>
      <x:c r="D3768" s="3" t="str">
        <x:v>Full</x:v>
      </x:c>
      <x:c r="E3768" s="18" t="n">
        <x:v>400</x:v>
      </x:c>
      <x:c r="F3768" s="21" t="n">
        <x:v>630.3116397525207</x:v>
      </x:c>
      <x:c r="G3768" s="21" t="n">
        <x:f>F3763</x:f>
        <x:v>631.2336460723188</x:v>
      </x:c>
      <x:c r="H3768" s="21" t="n">
        <x:f>F3768</x:f>
        <x:v>630.3116397525207</x:v>
      </x:c>
      <x:c r="I3768" s="27" t="n">
        <x:f>IF(AND(ISNUMBER(G3768),ISNUMBER(H3768),H3768&gt;0),G3768/H3768-1,"")</x:f>
        <x:v>0.0014627785077236943</x:v>
      </x:c>
      <x:c r="J3768" s="27" t="n">
        <x:f>IF(AND(ISNUMBER(G3768),F3768&gt;0),G3768/F3768-1,"")</x:f>
        <x:v>0.0014627785077236943</x:v>
      </x:c>
      <x:c r="K3768" s="19" t="str">
        <x:v>Smooth_3_128_inputs/EXP133/results/seed1486942171_Full.json</x:v>
      </x:c>
    </x:row>
    <x:row r="3769" ht="15" hidden="0" customHeight="1">
      <x:c r="A3769" s="3" t="str">
        <x:v>EXP133</x:v>
      </x:c>
      <x:c r="B3769" s="3" t="str">
        <x:v>Smooth 3 (128 inputs)</x:v>
      </x:c>
      <x:c r="C3769" s="18" t="n">
        <x:v>1486942171</x:v>
      </x:c>
      <x:c r="D3769" s="3" t="str">
        <x:v>Relative cutoff 1e-2</x:v>
      </x:c>
      <x:c r="E3769" s="18" t="n">
        <x:v>400</x:v>
      </x:c>
      <x:c r="F3769" s="21" t="n">
        <x:v>616.9488720350174</x:v>
      </x:c>
      <x:c r="G3769" s="21" t="n">
        <x:f>F3763</x:f>
        <x:v>631.2336460723188</x:v>
      </x:c>
      <x:c r="H3769" s="21" t="n">
        <x:f>F3768</x:f>
        <x:v>630.3116397525207</x:v>
      </x:c>
      <x:c r="I3769" s="27" t="n">
        <x:f>IF(AND(ISNUMBER(G3769),ISNUMBER(H3769),H3769&gt;0),G3769/H3769-1,"")</x:f>
        <x:v>0.0014627785077236943</x:v>
      </x:c>
      <x:c r="J3769" s="27" t="n">
        <x:f>IF(AND(ISNUMBER(G3769),F3769&gt;0),G3769/F3769-1,"")</x:f>
        <x:v>0.023153902510888447</x:v>
      </x:c>
      <x:c r="K3769" s="19" t="str">
        <x:v>Smooth_3_128_inputs/EXP133/results/seed1486942171_Relative_cutoff_1e-2.json</x:v>
      </x:c>
    </x:row>
    <x:row r="3770" ht="15" hidden="0" customHeight="1">
      <x:c r="A3770" s="3" t="str">
        <x:v>EXP133</x:v>
      </x:c>
      <x:c r="B3770" s="3" t="str">
        <x:v>Smooth 3 (128 inputs)</x:v>
      </x:c>
      <x:c r="C3770" s="18" t="n">
        <x:v>1486942171</x:v>
      </x:c>
      <x:c r="D3770" s="3" t="str">
        <x:v>Relative cutoff 1e-4</x:v>
      </x:c>
      <x:c r="E3770" s="18" t="n">
        <x:v>400</x:v>
      </x:c>
      <x:c r="F3770" s="21" t="n">
        <x:v>623.2643356619822</x:v>
      </x:c>
      <x:c r="G3770" s="21" t="n">
        <x:f>F3763</x:f>
        <x:v>631.2336460723188</x:v>
      </x:c>
      <x:c r="H3770" s="21" t="n">
        <x:f>F3768</x:f>
        <x:v>630.3116397525207</x:v>
      </x:c>
      <x:c r="I3770" s="27" t="n">
        <x:f>IF(AND(ISNUMBER(G3770),ISNUMBER(H3770),H3770&gt;0),G3770/H3770-1,"")</x:f>
        <x:v>0.0014627785077236943</x:v>
      </x:c>
      <x:c r="J3770" s="27" t="n">
        <x:f>IF(AND(ISNUMBER(G3770),F3770&gt;0),G3770/F3770-1,"")</x:f>
        <x:v>0.012786405308868432</x:v>
      </x:c>
      <x:c r="K3770" s="19" t="str">
        <x:v>Smooth_3_128_inputs/EXP133/results/seed1486942171_Relative_cutoff_1e-4.json</x:v>
      </x:c>
    </x:row>
    <x:row r="3771" ht="15" hidden="0" customHeight="1">
      <x:c r="A3771" s="3" t="str">
        <x:v>EXP133</x:v>
      </x:c>
      <x:c r="B3771" s="3" t="str">
        <x:v>Smooth 3 (128 inputs)</x:v>
      </x:c>
      <x:c r="C3771" s="18" t="n">
        <x:v>1630556671</x:v>
      </x:c>
      <x:c r="D3771" s="3" t="str">
        <x:v>BBP</x:v>
      </x:c>
      <x:c r="E3771" s="18" t="n">
        <x:v>400</x:v>
      </x:c>
      <x:c r="F3771" s="21" t="n">
        <x:v>589.7693627613638</x:v>
      </x:c>
      <x:c r="G3771" s="21" t="n">
        <x:f>F3771</x:f>
        <x:v>589.7693627613638</x:v>
      </x:c>
      <x:c r="H3771" s="21" t="n">
        <x:f>F3776</x:f>
        <x:v>621.1294552023354</x:v>
      </x:c>
      <x:c r="I3771" s="27" t="n">
        <x:f>IF(AND(ISNUMBER(G3771),ISNUMBER(H3771),H3771&gt;0),G3771/H3771-1,"")</x:f>
        <x:v>-0.05048881868073041</x:v>
      </x:c>
      <x:c r="J3771" s="27" t="n">
        <x:f>IF(AND(ISNUMBER(G3771),F3771&gt;0),G3771/F3771-1,"")</x:f>
        <x:v>0</x:v>
      </x:c>
      <x:c r="K3771" s="19" t="str">
        <x:v>Smooth_3_128_inputs/EXP133/results/seed1630556671_BBP.json</x:v>
      </x:c>
    </x:row>
    <x:row r="3772" ht="15" hidden="0" customHeight="1">
      <x:c r="A3772" s="3" t="str">
        <x:v>EXP133</x:v>
      </x:c>
      <x:c r="B3772" s="3" t="str">
        <x:v>Smooth 3 (128 inputs)</x:v>
      </x:c>
      <x:c r="C3772" s="18" t="n">
        <x:v>1630556671</x:v>
      </x:c>
      <x:c r="D3772" s="3" t="str">
        <x:v>Relative cutoff 1e-5</x:v>
      </x:c>
      <x:c r="E3772" s="18" t="n">
        <x:v>400</x:v>
      </x:c>
      <x:c r="F3772" s="21" t="n">
        <x:v>613.0741157844293</x:v>
      </x:c>
      <x:c r="G3772" s="21" t="n">
        <x:f>F3771</x:f>
        <x:v>589.7693627613638</x:v>
      </x:c>
      <x:c r="H3772" s="21" t="n">
        <x:f>F3776</x:f>
        <x:v>621.1294552023354</x:v>
      </x:c>
      <x:c r="I3772" s="27" t="n">
        <x:f>IF(AND(ISNUMBER(G3772),ISNUMBER(H3772),H3772&gt;0),G3772/H3772-1,"")</x:f>
        <x:v>-0.05048881868073041</x:v>
      </x:c>
      <x:c r="J3772" s="27" t="n">
        <x:f>IF(AND(ISNUMBER(G3772),F3772&gt;0),G3772/F3772-1,"")</x:f>
        <x:v>-0.038012945617916016</x:v>
      </x:c>
      <x:c r="K3772" s="19" t="str">
        <x:v>Smooth_3_128_inputs/EXP133/results/seed1630556671_Relative_cutoff_1e-5.json</x:v>
      </x:c>
    </x:row>
    <x:row r="3773" ht="15" hidden="0" customHeight="1">
      <x:c r="A3773" s="3" t="str">
        <x:v>EXP133</x:v>
      </x:c>
      <x:c r="B3773" s="3" t="str">
        <x:v>Smooth 3 (128 inputs)</x:v>
      </x:c>
      <x:c r="C3773" s="18" t="n">
        <x:v>1630556671</x:v>
      </x:c>
      <x:c r="D3773" s="3" t="str">
        <x:v>Fixed rank 10</x:v>
      </x:c>
      <x:c r="E3773" s="18" t="n">
        <x:v>400</x:v>
      </x:c>
      <x:c r="F3773" s="21" t="n">
        <x:v>601.2142494610945</x:v>
      </x:c>
      <x:c r="G3773" s="21" t="n">
        <x:f>F3771</x:f>
        <x:v>589.7693627613638</x:v>
      </x:c>
      <x:c r="H3773" s="21" t="n">
        <x:f>F3776</x:f>
        <x:v>621.1294552023354</x:v>
      </x:c>
      <x:c r="I3773" s="27" t="n">
        <x:f>IF(AND(ISNUMBER(G3773),ISNUMBER(H3773),H3773&gt;0),G3773/H3773-1,"")</x:f>
        <x:v>-0.05048881868073041</x:v>
      </x:c>
      <x:c r="J3773" s="27" t="n">
        <x:f>IF(AND(ISNUMBER(G3773),F3773&gt;0),G3773/F3773-1,"")</x:f>
        <x:v>-0.0190362864985143</x:v>
      </x:c>
      <x:c r="K3773" s="19" t="str">
        <x:v>Smooth_3_128_inputs/EXP133/results/seed1630556671_Fixed_rank_10.json</x:v>
      </x:c>
    </x:row>
    <x:row r="3774" ht="15" hidden="0" customHeight="1">
      <x:c r="A3774" s="3" t="str">
        <x:v>EXP133</x:v>
      </x:c>
      <x:c r="B3774" s="3" t="str">
        <x:v>Smooth 3 (128 inputs)</x:v>
      </x:c>
      <x:c r="C3774" s="18" t="n">
        <x:v>1630556671</x:v>
      </x:c>
      <x:c r="D3774" s="3" t="str">
        <x:v>Fixed rank 25</x:v>
      </x:c>
      <x:c r="E3774" s="18" t="n">
        <x:v>400</x:v>
      </x:c>
      <x:c r="F3774" s="21" t="n">
        <x:v>586.0082216988611</x:v>
      </x:c>
      <x:c r="G3774" s="21" t="n">
        <x:f>F3771</x:f>
        <x:v>589.7693627613638</x:v>
      </x:c>
      <x:c r="H3774" s="21" t="n">
        <x:f>F3776</x:f>
        <x:v>621.1294552023354</x:v>
      </x:c>
      <x:c r="I3774" s="27" t="n">
        <x:f>IF(AND(ISNUMBER(G3774),ISNUMBER(H3774),H3774&gt;0),G3774/H3774-1,"")</x:f>
        <x:v>-0.05048881868073041</x:v>
      </x:c>
      <x:c r="J3774" s="27" t="n">
        <x:f>IF(AND(ISNUMBER(G3774),F3774&gt;0),G3774/F3774-1,"")</x:f>
        <x:v>0.006418239408994886</x:v>
      </x:c>
      <x:c r="K3774" s="19" t="str">
        <x:v>Smooth_3_128_inputs/EXP133/results/seed1630556671_Fixed_rank_25.json</x:v>
      </x:c>
    </x:row>
    <x:row r="3775" ht="15" hidden="0" customHeight="1">
      <x:c r="A3775" s="3" t="str">
        <x:v>EXP133</x:v>
      </x:c>
      <x:c r="B3775" s="3" t="str">
        <x:v>Smooth 3 (128 inputs)</x:v>
      </x:c>
      <x:c r="C3775" s="18" t="n">
        <x:v>1630556671</x:v>
      </x:c>
      <x:c r="D3775" s="3" t="str">
        <x:v>Relative cutoff 1e-6</x:v>
      </x:c>
      <x:c r="E3775" s="18" t="n">
        <x:v>400</x:v>
      </x:c>
      <x:c r="F3775" s="21" t="n">
        <x:v>593.6720043761052</x:v>
      </x:c>
      <x:c r="G3775" s="21" t="n">
        <x:f>F3771</x:f>
        <x:v>589.7693627613638</x:v>
      </x:c>
      <x:c r="H3775" s="21" t="n">
        <x:f>F3776</x:f>
        <x:v>621.1294552023354</x:v>
      </x:c>
      <x:c r="I3775" s="27" t="n">
        <x:f>IF(AND(ISNUMBER(G3775),ISNUMBER(H3775),H3775&gt;0),G3775/H3775-1,"")</x:f>
        <x:v>-0.05048881868073041</x:v>
      </x:c>
      <x:c r="J3775" s="27" t="n">
        <x:f>IF(AND(ISNUMBER(G3775),F3775&gt;0),G3775/F3775-1,"")</x:f>
        <x:v>-0.0065737336205413666</x:v>
      </x:c>
      <x:c r="K3775" s="19" t="str">
        <x:v>Smooth_3_128_inputs/EXP133/results/seed1630556671_Relative_cutoff_1e-6.json</x:v>
      </x:c>
    </x:row>
    <x:row r="3776" ht="15" hidden="0" customHeight="1">
      <x:c r="A3776" s="3" t="str">
        <x:v>EXP133</x:v>
      </x:c>
      <x:c r="B3776" s="3" t="str">
        <x:v>Smooth 3 (128 inputs)</x:v>
      </x:c>
      <x:c r="C3776" s="18" t="n">
        <x:v>1630556671</x:v>
      </x:c>
      <x:c r="D3776" s="3" t="str">
        <x:v>Full</x:v>
      </x:c>
      <x:c r="E3776" s="18" t="n">
        <x:v>400</x:v>
      </x:c>
      <x:c r="F3776" s="21" t="n">
        <x:v>621.1294552023354</x:v>
      </x:c>
      <x:c r="G3776" s="21" t="n">
        <x:f>F3771</x:f>
        <x:v>589.7693627613638</x:v>
      </x:c>
      <x:c r="H3776" s="21" t="n">
        <x:f>F3776</x:f>
        <x:v>621.1294552023354</x:v>
      </x:c>
      <x:c r="I3776" s="27" t="n">
        <x:f>IF(AND(ISNUMBER(G3776),ISNUMBER(H3776),H3776&gt;0),G3776/H3776-1,"")</x:f>
        <x:v>-0.05048881868073041</x:v>
      </x:c>
      <x:c r="J3776" s="27" t="n">
        <x:f>IF(AND(ISNUMBER(G3776),F3776&gt;0),G3776/F3776-1,"")</x:f>
        <x:v>-0.05048881868073041</x:v>
      </x:c>
      <x:c r="K3776" s="19" t="str">
        <x:v>Smooth_3_128_inputs/EXP133/results/seed1630556671_Full.json</x:v>
      </x:c>
    </x:row>
    <x:row r="3777" ht="15" hidden="0" customHeight="1">
      <x:c r="A3777" s="3" t="str">
        <x:v>EXP133</x:v>
      </x:c>
      <x:c r="B3777" s="3" t="str">
        <x:v>Smooth 3 (128 inputs)</x:v>
      </x:c>
      <x:c r="C3777" s="18" t="n">
        <x:v>1630556671</x:v>
      </x:c>
      <x:c r="D3777" s="3" t="str">
        <x:v>Relative cutoff 1e-2</x:v>
      </x:c>
      <x:c r="E3777" s="18" t="n">
        <x:v>400</x:v>
      </x:c>
      <x:c r="F3777" s="21" t="n">
        <x:v>593.6469030985774</x:v>
      </x:c>
      <x:c r="G3777" s="21" t="n">
        <x:f>F3771</x:f>
        <x:v>589.7693627613638</x:v>
      </x:c>
      <x:c r="H3777" s="21" t="n">
        <x:f>F3776</x:f>
        <x:v>621.1294552023354</x:v>
      </x:c>
      <x:c r="I3777" s="27" t="n">
        <x:f>IF(AND(ISNUMBER(G3777),ISNUMBER(H3777),H3777&gt;0),G3777/H3777-1,"")</x:f>
        <x:v>-0.05048881868073041</x:v>
      </x:c>
      <x:c r="J3777" s="27" t="n">
        <x:f>IF(AND(ISNUMBER(G3777),F3777&gt;0),G3777/F3777-1,"")</x:f>
        <x:v>-0.006531728401132808</x:v>
      </x:c>
      <x:c r="K3777" s="19" t="str">
        <x:v>Smooth_3_128_inputs/EXP133/results/seed1630556671_Relative_cutoff_1e-2.json</x:v>
      </x:c>
    </x:row>
    <x:row r="3778" ht="15" hidden="0" customHeight="1">
      <x:c r="A3778" s="3" t="str">
        <x:v>EXP133</x:v>
      </x:c>
      <x:c r="B3778" s="3" t="str">
        <x:v>Smooth 3 (128 inputs)</x:v>
      </x:c>
      <x:c r="C3778" s="18" t="n">
        <x:v>1630556671</x:v>
      </x:c>
      <x:c r="D3778" s="3" t="str">
        <x:v>Relative cutoff 1e-4</x:v>
      </x:c>
      <x:c r="E3778" s="18" t="n">
        <x:v>400</x:v>
      </x:c>
      <x:c r="F3778" s="21" t="n">
        <x:v>590.9221772407105</x:v>
      </x:c>
      <x:c r="G3778" s="21" t="n">
        <x:f>F3771</x:f>
        <x:v>589.7693627613638</x:v>
      </x:c>
      <x:c r="H3778" s="21" t="n">
        <x:f>F3776</x:f>
        <x:v>621.1294552023354</x:v>
      </x:c>
      <x:c r="I3778" s="27" t="n">
        <x:f>IF(AND(ISNUMBER(G3778),ISNUMBER(H3778),H3778&gt;0),G3778/H3778-1,"")</x:f>
        <x:v>-0.05048881868073041</x:v>
      </x:c>
      <x:c r="J3778" s="27" t="n">
        <x:f>IF(AND(ISNUMBER(G3778),F3778&gt;0),G3778/F3778-1,"")</x:f>
        <x:v>-0.001950873606960779</x:v>
      </x:c>
      <x:c r="K3778" s="19" t="str">
        <x:v>Smooth_3_128_inputs/EXP133/results/seed1630556671_Relative_cutoff_1e-4.json</x:v>
      </x:c>
    </x:row>
    <x:row r="3779" ht="15" hidden="0" customHeight="1">
      <x:c r="A3779" s="3" t="str">
        <x:v>EXP133</x:v>
      </x:c>
      <x:c r="B3779" s="3" t="str">
        <x:v>Smooth 3 (128 inputs)</x:v>
      </x:c>
      <x:c r="C3779" s="18" t="n">
        <x:v>1646183259</x:v>
      </x:c>
      <x:c r="D3779" s="3" t="str">
        <x:v>BBP</x:v>
      </x:c>
      <x:c r="E3779" s="18" t="n">
        <x:v>400</x:v>
      </x:c>
      <x:c r="F3779" s="21" t="n">
        <x:v>703.413890189046</x:v>
      </x:c>
      <x:c r="G3779" s="21" t="n">
        <x:f>F3779</x:f>
        <x:v>703.413890189046</x:v>
      </x:c>
      <x:c r="H3779" s="21" t="n">
        <x:f>F3784</x:f>
        <x:v>699.9944194210327</x:v>
      </x:c>
      <x:c r="I3779" s="27" t="n">
        <x:f>IF(AND(ISNUMBER(G3779),ISNUMBER(H3779),H3779&gt;0),G3779/H3779-1,"")</x:f>
        <x:v>0.004884997184465556</x:v>
      </x:c>
      <x:c r="J3779" s="27" t="n">
        <x:f>IF(AND(ISNUMBER(G3779),F3779&gt;0),G3779/F3779-1,"")</x:f>
        <x:v>0</x:v>
      </x:c>
      <x:c r="K3779" s="19" t="str">
        <x:v>Smooth_3_128_inputs/EXP133/results/seed1646183259_BBP.json</x:v>
      </x:c>
    </x:row>
    <x:row r="3780" ht="15" hidden="0" customHeight="1">
      <x:c r="A3780" s="3" t="str">
        <x:v>EXP133</x:v>
      </x:c>
      <x:c r="B3780" s="3" t="str">
        <x:v>Smooth 3 (128 inputs)</x:v>
      </x:c>
      <x:c r="C3780" s="18" t="n">
        <x:v>1646183259</x:v>
      </x:c>
      <x:c r="D3780" s="3" t="str">
        <x:v>Relative cutoff 1e-5</x:v>
      </x:c>
      <x:c r="E3780" s="18" t="n">
        <x:v>400</x:v>
      </x:c>
      <x:c r="F3780" s="21" t="n">
        <x:v>689.0944980047786</x:v>
      </x:c>
      <x:c r="G3780" s="21" t="n">
        <x:f>F3779</x:f>
        <x:v>703.413890189046</x:v>
      </x:c>
      <x:c r="H3780" s="21" t="n">
        <x:f>F3784</x:f>
        <x:v>699.9944194210327</x:v>
      </x:c>
      <x:c r="I3780" s="27" t="n">
        <x:f>IF(AND(ISNUMBER(G3780),ISNUMBER(H3780),H3780&gt;0),G3780/H3780-1,"")</x:f>
        <x:v>0.004884997184465556</x:v>
      </x:c>
      <x:c r="J3780" s="27" t="n">
        <x:f>IF(AND(ISNUMBER(G3780),F3780&gt;0),G3780/F3780-1,"")</x:f>
        <x:v>0.020780012357852318</x:v>
      </x:c>
      <x:c r="K3780" s="19" t="str">
        <x:v>Smooth_3_128_inputs/EXP133/results/seed1646183259_Relative_cutoff_1e-5.json</x:v>
      </x:c>
    </x:row>
    <x:row r="3781" ht="15" hidden="0" customHeight="1">
      <x:c r="A3781" s="3" t="str">
        <x:v>EXP133</x:v>
      </x:c>
      <x:c r="B3781" s="3" t="str">
        <x:v>Smooth 3 (128 inputs)</x:v>
      </x:c>
      <x:c r="C3781" s="18" t="n">
        <x:v>1646183259</x:v>
      </x:c>
      <x:c r="D3781" s="3" t="str">
        <x:v>Fixed rank 10</x:v>
      </x:c>
      <x:c r="E3781" s="18" t="n">
        <x:v>400</x:v>
      </x:c>
      <x:c r="F3781" s="21" t="n">
        <x:v>682.1118420353073</x:v>
      </x:c>
      <x:c r="G3781" s="21" t="n">
        <x:f>F3779</x:f>
        <x:v>703.413890189046</x:v>
      </x:c>
      <x:c r="H3781" s="21" t="n">
        <x:f>F3784</x:f>
        <x:v>699.9944194210327</x:v>
      </x:c>
      <x:c r="I3781" s="27" t="n">
        <x:f>IF(AND(ISNUMBER(G3781),ISNUMBER(H3781),H3781&gt;0),G3781/H3781-1,"")</x:f>
        <x:v>0.004884997184465556</x:v>
      </x:c>
      <x:c r="J3781" s="27" t="n">
        <x:f>IF(AND(ISNUMBER(G3781),F3781&gt;0),G3781/F3781-1,"")</x:f>
        <x:v>0.031229553338609328</x:v>
      </x:c>
      <x:c r="K3781" s="19" t="str">
        <x:v>Smooth_3_128_inputs/EXP133/results/seed1646183259_Fixed_rank_10.json</x:v>
      </x:c>
    </x:row>
    <x:row r="3782" ht="15" hidden="0" customHeight="1">
      <x:c r="A3782" s="3" t="str">
        <x:v>EXP133</x:v>
      </x:c>
      <x:c r="B3782" s="3" t="str">
        <x:v>Smooth 3 (128 inputs)</x:v>
      </x:c>
      <x:c r="C3782" s="18" t="n">
        <x:v>1646183259</x:v>
      </x:c>
      <x:c r="D3782" s="3" t="str">
        <x:v>Fixed rank 25</x:v>
      </x:c>
      <x:c r="E3782" s="18" t="n">
        <x:v>400</x:v>
      </x:c>
      <x:c r="F3782" s="21" t="n">
        <x:v>703.413890189046</x:v>
      </x:c>
      <x:c r="G3782" s="21" t="n">
        <x:f>F3779</x:f>
        <x:v>703.413890189046</x:v>
      </x:c>
      <x:c r="H3782" s="21" t="n">
        <x:f>F3784</x:f>
        <x:v>699.9944194210327</x:v>
      </x:c>
      <x:c r="I3782" s="27" t="n">
        <x:f>IF(AND(ISNUMBER(G3782),ISNUMBER(H3782),H3782&gt;0),G3782/H3782-1,"")</x:f>
        <x:v>0.004884997184465556</x:v>
      </x:c>
      <x:c r="J3782" s="27" t="n">
        <x:f>IF(AND(ISNUMBER(G3782),F3782&gt;0),G3782/F3782-1,"")</x:f>
        <x:v>0</x:v>
      </x:c>
      <x:c r="K3782" s="19" t="str">
        <x:v>Smooth_3_128_inputs/EXP133/results/seed1646183259_Fixed_rank_25.json</x:v>
      </x:c>
    </x:row>
    <x:row r="3783" ht="15" hidden="0" customHeight="1">
      <x:c r="A3783" s="3" t="str">
        <x:v>EXP133</x:v>
      </x:c>
      <x:c r="B3783" s="3" t="str">
        <x:v>Smooth 3 (128 inputs)</x:v>
      </x:c>
      <x:c r="C3783" s="18" t="n">
        <x:v>1646183259</x:v>
      </x:c>
      <x:c r="D3783" s="3" t="str">
        <x:v>Relative cutoff 1e-6</x:v>
      </x:c>
      <x:c r="E3783" s="18" t="n">
        <x:v>400</x:v>
      </x:c>
      <x:c r="F3783" s="21" t="n">
        <x:v>692.3916230610655</x:v>
      </x:c>
      <x:c r="G3783" s="21" t="n">
        <x:f>F3779</x:f>
        <x:v>703.413890189046</x:v>
      </x:c>
      <x:c r="H3783" s="21" t="n">
        <x:f>F3784</x:f>
        <x:v>699.9944194210327</x:v>
      </x:c>
      <x:c r="I3783" s="27" t="n">
        <x:f>IF(AND(ISNUMBER(G3783),ISNUMBER(H3783),H3783&gt;0),G3783/H3783-1,"")</x:f>
        <x:v>0.004884997184465556</x:v>
      </x:c>
      <x:c r="J3783" s="27" t="n">
        <x:f>IF(AND(ISNUMBER(G3783),F3783&gt;0),G3783/F3783-1,"")</x:f>
        <x:v>0.01591912259026329</x:v>
      </x:c>
      <x:c r="K3783" s="19" t="str">
        <x:v>Smooth_3_128_inputs/EXP133/results/seed1646183259_Relative_cutoff_1e-6.json</x:v>
      </x:c>
    </x:row>
    <x:row r="3784" ht="15" hidden="0" customHeight="1">
      <x:c r="A3784" s="3" t="str">
        <x:v>EXP133</x:v>
      </x:c>
      <x:c r="B3784" s="3" t="str">
        <x:v>Smooth 3 (128 inputs)</x:v>
      </x:c>
      <x:c r="C3784" s="18" t="n">
        <x:v>1646183259</x:v>
      </x:c>
      <x:c r="D3784" s="3" t="str">
        <x:v>Full</x:v>
      </x:c>
      <x:c r="E3784" s="18" t="n">
        <x:v>400</x:v>
      </x:c>
      <x:c r="F3784" s="21" t="n">
        <x:v>699.9944194210327</x:v>
      </x:c>
      <x:c r="G3784" s="21" t="n">
        <x:f>F3779</x:f>
        <x:v>703.413890189046</x:v>
      </x:c>
      <x:c r="H3784" s="21" t="n">
        <x:f>F3784</x:f>
        <x:v>699.9944194210327</x:v>
      </x:c>
      <x:c r="I3784" s="27" t="n">
        <x:f>IF(AND(ISNUMBER(G3784),ISNUMBER(H3784),H3784&gt;0),G3784/H3784-1,"")</x:f>
        <x:v>0.004884997184465556</x:v>
      </x:c>
      <x:c r="J3784" s="27" t="n">
        <x:f>IF(AND(ISNUMBER(G3784),F3784&gt;0),G3784/F3784-1,"")</x:f>
        <x:v>0.004884997184465556</x:v>
      </x:c>
      <x:c r="K3784" s="19" t="str">
        <x:v>Smooth_3_128_inputs/EXP133/results/seed1646183259_Full.json</x:v>
      </x:c>
    </x:row>
    <x:row r="3785" ht="15" hidden="0" customHeight="1">
      <x:c r="A3785" s="3" t="str">
        <x:v>EXP133</x:v>
      </x:c>
      <x:c r="B3785" s="3" t="str">
        <x:v>Smooth 3 (128 inputs)</x:v>
      </x:c>
      <x:c r="C3785" s="18" t="n">
        <x:v>1646183259</x:v>
      </x:c>
      <x:c r="D3785" s="3" t="str">
        <x:v>Relative cutoff 1e-2</x:v>
      </x:c>
      <x:c r="E3785" s="18" t="n">
        <x:v>400</x:v>
      </x:c>
      <x:c r="F3785" s="21" t="n">
        <x:v>708.6486405726483</x:v>
      </x:c>
      <x:c r="G3785" s="21" t="n">
        <x:f>F3779</x:f>
        <x:v>703.413890189046</x:v>
      </x:c>
      <x:c r="H3785" s="21" t="n">
        <x:f>F3784</x:f>
        <x:v>699.9944194210327</x:v>
      </x:c>
      <x:c r="I3785" s="27" t="n">
        <x:f>IF(AND(ISNUMBER(G3785),ISNUMBER(H3785),H3785&gt;0),G3785/H3785-1,"")</x:f>
        <x:v>0.004884997184465556</x:v>
      </x:c>
      <x:c r="J3785" s="27" t="n">
        <x:f>IF(AND(ISNUMBER(G3785),F3785&gt;0),G3785/F3785-1,"")</x:f>
        <x:v>-0.007386947612532224</x:v>
      </x:c>
      <x:c r="K3785" s="19" t="str">
        <x:v>Smooth_3_128_inputs/EXP133/results/seed1646183259_Relative_cutoff_1e-2.json</x:v>
      </x:c>
    </x:row>
    <x:row r="3786" ht="15" hidden="0" customHeight="1">
      <x:c r="A3786" s="3" t="str">
        <x:v>EXP133</x:v>
      </x:c>
      <x:c r="B3786" s="3" t="str">
        <x:v>Smooth 3 (128 inputs)</x:v>
      </x:c>
      <x:c r="C3786" s="18" t="n">
        <x:v>1646183259</x:v>
      </x:c>
      <x:c r="D3786" s="3" t="str">
        <x:v>Relative cutoff 1e-4</x:v>
      </x:c>
      <x:c r="E3786" s="18" t="n">
        <x:v>400</x:v>
      </x:c>
      <x:c r="F3786" s="21" t="n">
        <x:v>713.38687135359</x:v>
      </x:c>
      <x:c r="G3786" s="21" t="n">
        <x:f>F3779</x:f>
        <x:v>703.413890189046</x:v>
      </x:c>
      <x:c r="H3786" s="21" t="n">
        <x:f>F3784</x:f>
        <x:v>699.9944194210327</x:v>
      </x:c>
      <x:c r="I3786" s="27" t="n">
        <x:f>IF(AND(ISNUMBER(G3786),ISNUMBER(H3786),H3786&gt;0),G3786/H3786-1,"")</x:f>
        <x:v>0.004884997184465556</x:v>
      </x:c>
      <x:c r="J3786" s="27" t="n">
        <x:f>IF(AND(ISNUMBER(G3786),F3786&gt;0),G3786/F3786-1,"")</x:f>
        <x:v>-0.013979765489125273</x:v>
      </x:c>
      <x:c r="K3786" s="19" t="str">
        <x:v>Smooth_3_128_inputs/EXP133/results/seed1646183259_Relative_cutoff_1e-4.json</x:v>
      </x:c>
    </x:row>
    <x:row r="3787" ht="15" hidden="0" customHeight="1">
      <x:c r="A3787" s="3" t="str">
        <x:v>EXP133</x:v>
      </x:c>
      <x:c r="B3787" s="3" t="str">
        <x:v>Smooth 3 (128 inputs)</x:v>
      </x:c>
      <x:c r="C3787" s="18" t="n">
        <x:v>1723169116</x:v>
      </x:c>
      <x:c r="D3787" s="3" t="str">
        <x:v>BBP</x:v>
      </x:c>
      <x:c r="E3787" s="18" t="n">
        <x:v>400</x:v>
      </x:c>
      <x:c r="F3787" s="21" t="n">
        <x:v>680.5862478752905</x:v>
      </x:c>
      <x:c r="G3787" s="21" t="n">
        <x:f>F3787</x:f>
        <x:v>680.5862478752905</x:v>
      </x:c>
      <x:c r="H3787" s="21" t="n">
        <x:f>F3792</x:f>
        <x:v>675.3441615915011</x:v>
      </x:c>
      <x:c r="I3787" s="27" t="n">
        <x:f>IF(AND(ISNUMBER(G3787),ISNUMBER(H3787),H3787&gt;0),G3787/H3787-1,"")</x:f>
        <x:v>0.007762096101395111</x:v>
      </x:c>
      <x:c r="J3787" s="27" t="n">
        <x:f>IF(AND(ISNUMBER(G3787),F3787&gt;0),G3787/F3787-1,"")</x:f>
        <x:v>0</x:v>
      </x:c>
      <x:c r="K3787" s="19" t="str">
        <x:v>Smooth_3_128_inputs/EXP133/results/seed1723169116_BBP.json</x:v>
      </x:c>
    </x:row>
    <x:row r="3788" ht="15" hidden="0" customHeight="1">
      <x:c r="A3788" s="3" t="str">
        <x:v>EXP133</x:v>
      </x:c>
      <x:c r="B3788" s="3" t="str">
        <x:v>Smooth 3 (128 inputs)</x:v>
      </x:c>
      <x:c r="C3788" s="18" t="n">
        <x:v>1723169116</x:v>
      </x:c>
      <x:c r="D3788" s="3" t="str">
        <x:v>Relative cutoff 1e-5</x:v>
      </x:c>
      <x:c r="E3788" s="18" t="n">
        <x:v>400</x:v>
      </x:c>
      <x:c r="F3788" s="21" t="n">
        <x:v>666.7283468860578</x:v>
      </x:c>
      <x:c r="G3788" s="21" t="n">
        <x:f>F3787</x:f>
        <x:v>680.5862478752905</x:v>
      </x:c>
      <x:c r="H3788" s="21" t="n">
        <x:f>F3792</x:f>
        <x:v>675.3441615915011</x:v>
      </x:c>
      <x:c r="I3788" s="27" t="n">
        <x:f>IF(AND(ISNUMBER(G3788),ISNUMBER(H3788),H3788&gt;0),G3788/H3788-1,"")</x:f>
        <x:v>0.007762096101395111</x:v>
      </x:c>
      <x:c r="J3788" s="27" t="n">
        <x:f>IF(AND(ISNUMBER(G3788),F3788&gt;0),G3788/F3788-1,"")</x:f>
        <x:v>0.02078492845542823</x:v>
      </x:c>
      <x:c r="K3788" s="19" t="str">
        <x:v>Smooth_3_128_inputs/EXP133/results/seed1723169116_Relative_cutoff_1e-5.json</x:v>
      </x:c>
    </x:row>
    <x:row r="3789" ht="15" hidden="0" customHeight="1">
      <x:c r="A3789" s="3" t="str">
        <x:v>EXP133</x:v>
      </x:c>
      <x:c r="B3789" s="3" t="str">
        <x:v>Smooth 3 (128 inputs)</x:v>
      </x:c>
      <x:c r="C3789" s="18" t="n">
        <x:v>1723169116</x:v>
      </x:c>
      <x:c r="D3789" s="3" t="str">
        <x:v>Fixed rank 10</x:v>
      </x:c>
      <x:c r="E3789" s="18" t="n">
        <x:v>400</x:v>
      </x:c>
      <x:c r="F3789" s="21" t="n">
        <x:v>676.4164014129317</x:v>
      </x:c>
      <x:c r="G3789" s="21" t="n">
        <x:f>F3787</x:f>
        <x:v>680.5862478752905</x:v>
      </x:c>
      <x:c r="H3789" s="21" t="n">
        <x:f>F3792</x:f>
        <x:v>675.3441615915011</x:v>
      </x:c>
      <x:c r="I3789" s="27" t="n">
        <x:f>IF(AND(ISNUMBER(G3789),ISNUMBER(H3789),H3789&gt;0),G3789/H3789-1,"")</x:f>
        <x:v>0.007762096101395111</x:v>
      </x:c>
      <x:c r="J3789" s="27" t="n">
        <x:f>IF(AND(ISNUMBER(G3789),F3789&gt;0),G3789/F3789-1,"")</x:f>
        <x:v>0.006164614656960721</x:v>
      </x:c>
      <x:c r="K3789" s="19" t="str">
        <x:v>Smooth_3_128_inputs/EXP133/results/seed1723169116_Fixed_rank_10.json</x:v>
      </x:c>
    </x:row>
    <x:row r="3790" ht="15" hidden="0" customHeight="1">
      <x:c r="A3790" s="3" t="str">
        <x:v>EXP133</x:v>
      </x:c>
      <x:c r="B3790" s="3" t="str">
        <x:v>Smooth 3 (128 inputs)</x:v>
      </x:c>
      <x:c r="C3790" s="18" t="n">
        <x:v>1723169116</x:v>
      </x:c>
      <x:c r="D3790" s="3" t="str">
        <x:v>Fixed rank 25</x:v>
      </x:c>
      <x:c r="E3790" s="18" t="n">
        <x:v>400</x:v>
      </x:c>
      <x:c r="F3790" s="21" t="n">
        <x:v>663.7554009593255</x:v>
      </x:c>
      <x:c r="G3790" s="21" t="n">
        <x:f>F3787</x:f>
        <x:v>680.5862478752905</x:v>
      </x:c>
      <x:c r="H3790" s="21" t="n">
        <x:f>F3792</x:f>
        <x:v>675.3441615915011</x:v>
      </x:c>
      <x:c r="I3790" s="27" t="n">
        <x:f>IF(AND(ISNUMBER(G3790),ISNUMBER(H3790),H3790&gt;0),G3790/H3790-1,"")</x:f>
        <x:v>0.007762096101395111</x:v>
      </x:c>
      <x:c r="J3790" s="27" t="n">
        <x:f>IF(AND(ISNUMBER(G3790),F3790&gt;0),G3790/F3790-1,"")</x:f>
        <x:v>0.025357001828745007</x:v>
      </x:c>
      <x:c r="K3790" s="19" t="str">
        <x:v>Smooth_3_128_inputs/EXP133/results/seed1723169116_Fixed_rank_25.json</x:v>
      </x:c>
    </x:row>
    <x:row r="3791" ht="15" hidden="0" customHeight="1">
      <x:c r="A3791" s="3" t="str">
        <x:v>EXP133</x:v>
      </x:c>
      <x:c r="B3791" s="3" t="str">
        <x:v>Smooth 3 (128 inputs)</x:v>
      </x:c>
      <x:c r="C3791" s="18" t="n">
        <x:v>1723169116</x:v>
      </x:c>
      <x:c r="D3791" s="3" t="str">
        <x:v>Relative cutoff 1e-6</x:v>
      </x:c>
      <x:c r="E3791" s="18" t="n">
        <x:v>400</x:v>
      </x:c>
      <x:c r="F3791" s="21" t="n">
        <x:v>662.8909622740696</x:v>
      </x:c>
      <x:c r="G3791" s="21" t="n">
        <x:f>F3787</x:f>
        <x:v>680.5862478752905</x:v>
      </x:c>
      <x:c r="H3791" s="21" t="n">
        <x:f>F3792</x:f>
        <x:v>675.3441615915011</x:v>
      </x:c>
      <x:c r="I3791" s="27" t="n">
        <x:f>IF(AND(ISNUMBER(G3791),ISNUMBER(H3791),H3791&gt;0),G3791/H3791-1,"")</x:f>
        <x:v>0.007762096101395111</x:v>
      </x:c>
      <x:c r="J3791" s="27" t="n">
        <x:f>IF(AND(ISNUMBER(G3791),F3791&gt;0),G3791/F3791-1,"")</x:f>
        <x:v>0.02669411201582328</x:v>
      </x:c>
      <x:c r="K3791" s="19" t="str">
        <x:v>Smooth_3_128_inputs/EXP133/results/seed1723169116_Relative_cutoff_1e-6.json</x:v>
      </x:c>
    </x:row>
    <x:row r="3792" ht="15" hidden="0" customHeight="1">
      <x:c r="A3792" s="3" t="str">
        <x:v>EXP133</x:v>
      </x:c>
      <x:c r="B3792" s="3" t="str">
        <x:v>Smooth 3 (128 inputs)</x:v>
      </x:c>
      <x:c r="C3792" s="18" t="n">
        <x:v>1723169116</x:v>
      </x:c>
      <x:c r="D3792" s="3" t="str">
        <x:v>Full</x:v>
      </x:c>
      <x:c r="E3792" s="18" t="n">
        <x:v>400</x:v>
      </x:c>
      <x:c r="F3792" s="21" t="n">
        <x:v>675.3441615915011</x:v>
      </x:c>
      <x:c r="G3792" s="21" t="n">
        <x:f>F3787</x:f>
        <x:v>680.5862478752905</x:v>
      </x:c>
      <x:c r="H3792" s="21" t="n">
        <x:f>F3792</x:f>
        <x:v>675.3441615915011</x:v>
      </x:c>
      <x:c r="I3792" s="27" t="n">
        <x:f>IF(AND(ISNUMBER(G3792),ISNUMBER(H3792),H3792&gt;0),G3792/H3792-1,"")</x:f>
        <x:v>0.007762096101395111</x:v>
      </x:c>
      <x:c r="J3792" s="27" t="n">
        <x:f>IF(AND(ISNUMBER(G3792),F3792&gt;0),G3792/F3792-1,"")</x:f>
        <x:v>0.007762096101395111</x:v>
      </x:c>
      <x:c r="K3792" s="19" t="str">
        <x:v>Smooth_3_128_inputs/EXP133/results/seed1723169116_Full.json</x:v>
      </x:c>
    </x:row>
    <x:row r="3793" ht="15" hidden="0" customHeight="1">
      <x:c r="A3793" s="3" t="str">
        <x:v>EXP133</x:v>
      </x:c>
      <x:c r="B3793" s="3" t="str">
        <x:v>Smooth 3 (128 inputs)</x:v>
      </x:c>
      <x:c r="C3793" s="18" t="n">
        <x:v>1723169116</x:v>
      </x:c>
      <x:c r="D3793" s="3" t="str">
        <x:v>Relative cutoff 1e-2</x:v>
      </x:c>
      <x:c r="E3793" s="18" t="n">
        <x:v>400</x:v>
      </x:c>
      <x:c r="F3793" s="21" t="n">
        <x:v>636.8409560072035</x:v>
      </x:c>
      <x:c r="G3793" s="21" t="n">
        <x:f>F3787</x:f>
        <x:v>680.5862478752905</x:v>
      </x:c>
      <x:c r="H3793" s="21" t="n">
        <x:f>F3792</x:f>
        <x:v>675.3441615915011</x:v>
      </x:c>
      <x:c r="I3793" s="27" t="n">
        <x:f>IF(AND(ISNUMBER(G3793),ISNUMBER(H3793),H3793&gt;0),G3793/H3793-1,"")</x:f>
        <x:v>0.007762096101395111</x:v>
      </x:c>
      <x:c r="J3793" s="27" t="n">
        <x:f>IF(AND(ISNUMBER(G3793),F3793&gt;0),G3793/F3793-1,"")</x:f>
        <x:v>0.06869107813410191</x:v>
      </x:c>
      <x:c r="K3793" s="19" t="str">
        <x:v>Smooth_3_128_inputs/EXP133/results/seed1723169116_Relative_cutoff_1e-2.json</x:v>
      </x:c>
    </x:row>
    <x:row r="3794" ht="15" hidden="0" customHeight="1">
      <x:c r="A3794" s="3" t="str">
        <x:v>EXP133</x:v>
      </x:c>
      <x:c r="B3794" s="3" t="str">
        <x:v>Smooth 3 (128 inputs)</x:v>
      </x:c>
      <x:c r="C3794" s="18" t="n">
        <x:v>1723169116</x:v>
      </x:c>
      <x:c r="D3794" s="3" t="str">
        <x:v>Relative cutoff 1e-4</x:v>
      </x:c>
      <x:c r="E3794" s="18" t="n">
        <x:v>400</x:v>
      </x:c>
      <x:c r="F3794" s="21" t="n">
        <x:v>670.9113584751913</x:v>
      </x:c>
      <x:c r="G3794" s="21" t="n">
        <x:f>F3787</x:f>
        <x:v>680.5862478752905</x:v>
      </x:c>
      <x:c r="H3794" s="21" t="n">
        <x:f>F3792</x:f>
        <x:v>675.3441615915011</x:v>
      </x:c>
      <x:c r="I3794" s="27" t="n">
        <x:f>IF(AND(ISNUMBER(G3794),ISNUMBER(H3794),H3794&gt;0),G3794/H3794-1,"")</x:f>
        <x:v>0.007762096101395111</x:v>
      </x:c>
      <x:c r="J3794" s="27" t="n">
        <x:f>IF(AND(ISNUMBER(G3794),F3794&gt;0),G3794/F3794-1,"")</x:f>
        <x:v>0.014420518117457037</x:v>
      </x:c>
      <x:c r="K3794" s="19" t="str">
        <x:v>Smooth_3_128_inputs/EXP133/results/seed1723169116_Relative_cutoff_1e-4.json</x:v>
      </x:c>
    </x:row>
    <x:row r="3795" ht="15" hidden="0" customHeight="1">
      <x:c r="A3795" s="3" t="str">
        <x:v>EXP133</x:v>
      </x:c>
      <x:c r="B3795" s="3" t="str">
        <x:v>Smooth 3 (128 inputs)</x:v>
      </x:c>
      <x:c r="C3795" s="18" t="n">
        <x:v>1914270772</x:v>
      </x:c>
      <x:c r="D3795" s="3" t="str">
        <x:v>BBP</x:v>
      </x:c>
      <x:c r="E3795" s="18" t="n">
        <x:v>400</x:v>
      </x:c>
      <x:c r="F3795" s="21" t="n">
        <x:v>569.6255893073841</x:v>
      </x:c>
      <x:c r="G3795" s="21" t="n">
        <x:f>F3795</x:f>
        <x:v>569.6255893073841</x:v>
      </x:c>
      <x:c r="H3795" s="21" t="n">
        <x:f>F3800</x:f>
        <x:v>594.131429329855</x:v>
      </x:c>
      <x:c r="I3795" s="27" t="n">
        <x:f>IF(AND(ISNUMBER(G3795),ISNUMBER(H3795),H3795&gt;0),G3795/H3795-1,"")</x:f>
        <x:v>-0.04124649667180891</x:v>
      </x:c>
      <x:c r="J3795" s="27" t="n">
        <x:f>IF(AND(ISNUMBER(G3795),F3795&gt;0),G3795/F3795-1,"")</x:f>
        <x:v>0</x:v>
      </x:c>
      <x:c r="K3795" s="19" t="str">
        <x:v>Smooth_3_128_inputs/EXP133/results/seed1914270772_BBP.json</x:v>
      </x:c>
    </x:row>
    <x:row r="3796" ht="15" hidden="0" customHeight="1">
      <x:c r="A3796" s="3" t="str">
        <x:v>EXP133</x:v>
      </x:c>
      <x:c r="B3796" s="3" t="str">
        <x:v>Smooth 3 (128 inputs)</x:v>
      </x:c>
      <x:c r="C3796" s="18" t="n">
        <x:v>1914270772</x:v>
      </x:c>
      <x:c r="D3796" s="3" t="str">
        <x:v>Relative cutoff 1e-5</x:v>
      </x:c>
      <x:c r="E3796" s="18" t="n">
        <x:v>400</x:v>
      </x:c>
      <x:c r="F3796" s="21" t="n">
        <x:v>573.830165674483</x:v>
      </x:c>
      <x:c r="G3796" s="21" t="n">
        <x:f>F3795</x:f>
        <x:v>569.6255893073841</x:v>
      </x:c>
      <x:c r="H3796" s="21" t="n">
        <x:f>F3800</x:f>
        <x:v>594.131429329855</x:v>
      </x:c>
      <x:c r="I3796" s="27" t="n">
        <x:f>IF(AND(ISNUMBER(G3796),ISNUMBER(H3796),H3796&gt;0),G3796/H3796-1,"")</x:f>
        <x:v>-0.04124649667180891</x:v>
      </x:c>
      <x:c r="J3796" s="27" t="n">
        <x:f>IF(AND(ISNUMBER(G3796),F3796&gt;0),G3796/F3796-1,"")</x:f>
        <x:v>-0.0073272139016200555</x:v>
      </x:c>
      <x:c r="K3796" s="19" t="str">
        <x:v>Smooth_3_128_inputs/EXP133/results/seed1914270772_Relative_cutoff_1e-5.json</x:v>
      </x:c>
    </x:row>
    <x:row r="3797" ht="15" hidden="0" customHeight="1">
      <x:c r="A3797" s="3" t="str">
        <x:v>EXP133</x:v>
      </x:c>
      <x:c r="B3797" s="3" t="str">
        <x:v>Smooth 3 (128 inputs)</x:v>
      </x:c>
      <x:c r="C3797" s="18" t="n">
        <x:v>1914270772</x:v>
      </x:c>
      <x:c r="D3797" s="3" t="str">
        <x:v>Fixed rank 10</x:v>
      </x:c>
      <x:c r="E3797" s="18" t="n">
        <x:v>400</x:v>
      </x:c>
      <x:c r="F3797" s="21" t="n">
        <x:v>563.0742810993631</x:v>
      </x:c>
      <x:c r="G3797" s="21" t="n">
        <x:f>F3795</x:f>
        <x:v>569.6255893073841</x:v>
      </x:c>
      <x:c r="H3797" s="21" t="n">
        <x:f>F3800</x:f>
        <x:v>594.131429329855</x:v>
      </x:c>
      <x:c r="I3797" s="27" t="n">
        <x:f>IF(AND(ISNUMBER(G3797),ISNUMBER(H3797),H3797&gt;0),G3797/H3797-1,"")</x:f>
        <x:v>-0.04124649667180891</x:v>
      </x:c>
      <x:c r="J3797" s="27" t="n">
        <x:f>IF(AND(ISNUMBER(G3797),F3797&gt;0),G3797/F3797-1,"")</x:f>
        <x:v>0.011634891572795736</x:v>
      </x:c>
      <x:c r="K3797" s="19" t="str">
        <x:v>Smooth_3_128_inputs/EXP133/results/seed1914270772_Fixed_rank_10.json</x:v>
      </x:c>
    </x:row>
    <x:row r="3798" ht="15" hidden="0" customHeight="1">
      <x:c r="A3798" s="3" t="str">
        <x:v>EXP133</x:v>
      </x:c>
      <x:c r="B3798" s="3" t="str">
        <x:v>Smooth 3 (128 inputs)</x:v>
      </x:c>
      <x:c r="C3798" s="18" t="n">
        <x:v>1914270772</x:v>
      </x:c>
      <x:c r="D3798" s="3" t="str">
        <x:v>Fixed rank 25</x:v>
      </x:c>
      <x:c r="E3798" s="18" t="n">
        <x:v>400</x:v>
      </x:c>
      <x:c r="F3798" s="21" t="n">
        <x:v>596.7378893296475</x:v>
      </x:c>
      <x:c r="G3798" s="21" t="n">
        <x:f>F3795</x:f>
        <x:v>569.6255893073841</x:v>
      </x:c>
      <x:c r="H3798" s="21" t="n">
        <x:f>F3800</x:f>
        <x:v>594.131429329855</x:v>
      </x:c>
      <x:c r="I3798" s="27" t="n">
        <x:f>IF(AND(ISNUMBER(G3798),ISNUMBER(H3798),H3798&gt;0),G3798/H3798-1,"")</x:f>
        <x:v>-0.04124649667180891</x:v>
      </x:c>
      <x:c r="J3798" s="27" t="n">
        <x:f>IF(AND(ISNUMBER(G3798),F3798&gt;0),G3798/F3798-1,"")</x:f>
        <x:v>-0.04543418560654888</x:v>
      </x:c>
      <x:c r="K3798" s="19" t="str">
        <x:v>Smooth_3_128_inputs/EXP133/results/seed1914270772_Fixed_rank_25.json</x:v>
      </x:c>
    </x:row>
    <x:row r="3799" ht="15" hidden="0" customHeight="1">
      <x:c r="A3799" s="3" t="str">
        <x:v>EXP133</x:v>
      </x:c>
      <x:c r="B3799" s="3" t="str">
        <x:v>Smooth 3 (128 inputs)</x:v>
      </x:c>
      <x:c r="C3799" s="18" t="n">
        <x:v>1914270772</x:v>
      </x:c>
      <x:c r="D3799" s="3" t="str">
        <x:v>Relative cutoff 1e-6</x:v>
      </x:c>
      <x:c r="E3799" s="18" t="n">
        <x:v>400</x:v>
      </x:c>
      <x:c r="F3799" s="21" t="n">
        <x:v>567.0543728642327</x:v>
      </x:c>
      <x:c r="G3799" s="21" t="n">
        <x:f>F3795</x:f>
        <x:v>569.6255893073841</x:v>
      </x:c>
      <x:c r="H3799" s="21" t="n">
        <x:f>F3800</x:f>
        <x:v>594.131429329855</x:v>
      </x:c>
      <x:c r="I3799" s="27" t="n">
        <x:f>IF(AND(ISNUMBER(G3799),ISNUMBER(H3799),H3799&gt;0),G3799/H3799-1,"")</x:f>
        <x:v>-0.04124649667180891</x:v>
      </x:c>
      <x:c r="J3799" s="27" t="n">
        <x:f>IF(AND(ISNUMBER(G3799),F3799&gt;0),G3799/F3799-1,"")</x:f>
        <x:v>0.0045343384447666946</x:v>
      </x:c>
      <x:c r="K3799" s="19" t="str">
        <x:v>Smooth_3_128_inputs/EXP133/results/seed1914270772_Relative_cutoff_1e-6.json</x:v>
      </x:c>
    </x:row>
    <x:row r="3800" ht="15" hidden="0" customHeight="1">
      <x:c r="A3800" s="3" t="str">
        <x:v>EXP133</x:v>
      </x:c>
      <x:c r="B3800" s="3" t="str">
        <x:v>Smooth 3 (128 inputs)</x:v>
      </x:c>
      <x:c r="C3800" s="18" t="n">
        <x:v>1914270772</x:v>
      </x:c>
      <x:c r="D3800" s="3" t="str">
        <x:v>Full</x:v>
      </x:c>
      <x:c r="E3800" s="18" t="n">
        <x:v>400</x:v>
      </x:c>
      <x:c r="F3800" s="21" t="n">
        <x:v>594.131429329855</x:v>
      </x:c>
      <x:c r="G3800" s="21" t="n">
        <x:f>F3795</x:f>
        <x:v>569.6255893073841</x:v>
      </x:c>
      <x:c r="H3800" s="21" t="n">
        <x:f>F3800</x:f>
        <x:v>594.131429329855</x:v>
      </x:c>
      <x:c r="I3800" s="27" t="n">
        <x:f>IF(AND(ISNUMBER(G3800),ISNUMBER(H3800),H3800&gt;0),G3800/H3800-1,"")</x:f>
        <x:v>-0.04124649667180891</x:v>
      </x:c>
      <x:c r="J3800" s="27" t="n">
        <x:f>IF(AND(ISNUMBER(G3800),F3800&gt;0),G3800/F3800-1,"")</x:f>
        <x:v>-0.04124649667180891</x:v>
      </x:c>
      <x:c r="K3800" s="19" t="str">
        <x:v>Smooth_3_128_inputs/EXP133/results/seed1914270772_Full.json</x:v>
      </x:c>
    </x:row>
    <x:row r="3801" ht="15" hidden="0" customHeight="1">
      <x:c r="A3801" s="3" t="str">
        <x:v>EXP133</x:v>
      </x:c>
      <x:c r="B3801" s="3" t="str">
        <x:v>Smooth 3 (128 inputs)</x:v>
      </x:c>
      <x:c r="C3801" s="18" t="n">
        <x:v>1914270772</x:v>
      </x:c>
      <x:c r="D3801" s="3" t="str">
        <x:v>Relative cutoff 1e-2</x:v>
      </x:c>
      <x:c r="E3801" s="18" t="n">
        <x:v>400</x:v>
      </x:c>
      <x:c r="F3801" s="21" t="n">
        <x:v>599.707895723122</x:v>
      </x:c>
      <x:c r="G3801" s="21" t="n">
        <x:f>F3795</x:f>
        <x:v>569.6255893073841</x:v>
      </x:c>
      <x:c r="H3801" s="21" t="n">
        <x:f>F3800</x:f>
        <x:v>594.131429329855</x:v>
      </x:c>
      <x:c r="I3801" s="27" t="n">
        <x:f>IF(AND(ISNUMBER(G3801),ISNUMBER(H3801),H3801&gt;0),G3801/H3801-1,"")</x:f>
        <x:v>-0.04124649667180891</x:v>
      </x:c>
      <x:c r="J3801" s="27" t="n">
        <x:f>IF(AND(ISNUMBER(G3801),F3801&gt;0),G3801/F3801-1,"")</x:f>
        <x:v>-0.050161598055108</x:v>
      </x:c>
      <x:c r="K3801" s="19" t="str">
        <x:v>Smooth_3_128_inputs/EXP133/results/seed1914270772_Relative_cutoff_1e-2.json</x:v>
      </x:c>
    </x:row>
    <x:row r="3802" ht="15" hidden="0" customHeight="1">
      <x:c r="A3802" s="3" t="str">
        <x:v>EXP133</x:v>
      </x:c>
      <x:c r="B3802" s="3" t="str">
        <x:v>Smooth 3 (128 inputs)</x:v>
      </x:c>
      <x:c r="C3802" s="18" t="n">
        <x:v>1914270772</x:v>
      </x:c>
      <x:c r="D3802" s="3" t="str">
        <x:v>Relative cutoff 1e-4</x:v>
      </x:c>
      <x:c r="E3802" s="18" t="n">
        <x:v>400</x:v>
      </x:c>
      <x:c r="F3802" s="21" t="n">
        <x:v>558.5019509062257</x:v>
      </x:c>
      <x:c r="G3802" s="21" t="n">
        <x:f>F3795</x:f>
        <x:v>569.6255893073841</x:v>
      </x:c>
      <x:c r="H3802" s="21" t="n">
        <x:f>F3800</x:f>
        <x:v>594.131429329855</x:v>
      </x:c>
      <x:c r="I3802" s="27" t="n">
        <x:f>IF(AND(ISNUMBER(G3802),ISNUMBER(H3802),H3802&gt;0),G3802/H3802-1,"")</x:f>
        <x:v>-0.04124649667180891</x:v>
      </x:c>
      <x:c r="J3802" s="27" t="n">
        <x:f>IF(AND(ISNUMBER(G3802),F3802&gt;0),G3802/F3802-1,"")</x:f>
        <x:v>0.019916919507817488</x:v>
      </x:c>
      <x:c r="K3802" s="19" t="str">
        <x:v>Smooth_3_128_inputs/EXP133/results/seed1914270772_Relative_cutoff_1e-4.json</x:v>
      </x:c>
    </x:row>
    <x:row r="3803" ht="15" hidden="0" customHeight="1">
      <x:c r="A3803" s="3" t="str">
        <x:v>EXP248</x:v>
      </x:c>
      <x:c r="B3803" s="3" t="str">
        <x:v>Weak</x:v>
      </x:c>
      <x:c r="C3803" s="18" t="n">
        <x:v>6100</x:v>
      </x:c>
      <x:c r="D3803" s="3" t="str">
        <x:v>BBP</x:v>
      </x:c>
      <x:c r="E3803" s="18" t="n">
        <x:v>800</x:v>
      </x:c>
      <x:c r="F3803" s="21" t="n">
        <x:v>315.9856119134063</x:v>
      </x:c>
      <x:c r="G3803" s="21" t="n">
        <x:f>F3803</x:f>
        <x:v>315.9856119134063</x:v>
      </x:c>
      <x:c r="H3803" s="21" t="n">
        <x:f>F3808</x:f>
        <x:v>303.73544058412773</x:v>
      </x:c>
      <x:c r="I3803" s="27" t="n">
        <x:f>IF(AND(ISNUMBER(G3803),ISNUMBER(H3803),H3803&gt;0),G3803/H3803-1,"")</x:f>
        <x:v>0.040331715343193686</x:v>
      </x:c>
      <x:c r="J3803" s="27" t="n">
        <x:f>IF(AND(ISNUMBER(G3803),F3803&gt;0),G3803/F3803-1,"")</x:f>
        <x:v>0</x:v>
      </x:c>
      <x:c r="K3803" s="19" t="str">
        <x:v>Weak/EXP248/results/seed6100_BBP.json</x:v>
      </x:c>
    </x:row>
    <x:row r="3804" ht="15" hidden="0" customHeight="1">
      <x:c r="A3804" s="3" t="str">
        <x:v>EXP248</x:v>
      </x:c>
      <x:c r="B3804" s="3" t="str">
        <x:v>Weak</x:v>
      </x:c>
      <x:c r="C3804" s="18" t="n">
        <x:v>6100</x:v>
      </x:c>
      <x:c r="D3804" s="3" t="str">
        <x:v>Relative cutoff 1e-5</x:v>
      </x:c>
      <x:c r="E3804" s="18" t="n">
        <x:v>800</x:v>
      </x:c>
      <x:c r="F3804" s="21" t="n">
        <x:v>312.8948235407996</x:v>
      </x:c>
      <x:c r="G3804" s="21" t="n">
        <x:f>F3803</x:f>
        <x:v>315.9856119134063</x:v>
      </x:c>
      <x:c r="H3804" s="21" t="n">
        <x:f>F3808</x:f>
        <x:v>303.73544058412773</x:v>
      </x:c>
      <x:c r="I3804" s="27" t="n">
        <x:f>IF(AND(ISNUMBER(G3804),ISNUMBER(H3804),H3804&gt;0),G3804/H3804-1,"")</x:f>
        <x:v>0.040331715343193686</x:v>
      </x:c>
      <x:c r="J3804" s="27" t="n">
        <x:f>IF(AND(ISNUMBER(G3804),F3804&gt;0),G3804/F3804-1,"")</x:f>
        <x:v>0.00987804252441915</x:v>
      </x:c>
      <x:c r="K3804" s="19" t="str">
        <x:v>Weak/EXP248/results/seed6100_Relative_cutoff_1e-5.json</x:v>
      </x:c>
    </x:row>
    <x:row r="3805" ht="15" hidden="0" customHeight="1">
      <x:c r="A3805" s="3" t="str">
        <x:v>EXP248</x:v>
      </x:c>
      <x:c r="B3805" s="3" t="str">
        <x:v>Weak</x:v>
      </x:c>
      <x:c r="C3805" s="18" t="n">
        <x:v>6100</x:v>
      </x:c>
      <x:c r="D3805" s="3" t="str">
        <x:v>Fixed rank 10</x:v>
      </x:c>
      <x:c r="E3805" s="18" t="n">
        <x:v>800</x:v>
      </x:c>
      <x:c r="F3805" s="21" t="n">
        <x:v>295.03602587986984</x:v>
      </x:c>
      <x:c r="G3805" s="21" t="n">
        <x:f>F3803</x:f>
        <x:v>315.9856119134063</x:v>
      </x:c>
      <x:c r="H3805" s="21" t="n">
        <x:f>F3808</x:f>
        <x:v>303.73544058412773</x:v>
      </x:c>
      <x:c r="I3805" s="27" t="n">
        <x:f>IF(AND(ISNUMBER(G3805),ISNUMBER(H3805),H3805&gt;0),G3805/H3805-1,"")</x:f>
        <x:v>0.040331715343193686</x:v>
      </x:c>
      <x:c r="J3805" s="27" t="n">
        <x:f>IF(AND(ISNUMBER(G3805),F3805&gt;0),G3805/F3805-1,"")</x:f>
        <x:v>0.07100687440138742</x:v>
      </x:c>
      <x:c r="K3805" s="19" t="str">
        <x:v>Weak/EXP248/results/seed6100_Fixed_rank_10.json</x:v>
      </x:c>
    </x:row>
    <x:row r="3806" ht="15" hidden="0" customHeight="1">
      <x:c r="A3806" s="3" t="str">
        <x:v>EXP248</x:v>
      </x:c>
      <x:c r="B3806" s="3" t="str">
        <x:v>Weak</x:v>
      </x:c>
      <x:c r="C3806" s="18" t="n">
        <x:v>6100</x:v>
      </x:c>
      <x:c r="D3806" s="3" t="str">
        <x:v>Fixed rank 25</x:v>
      </x:c>
      <x:c r="E3806" s="18" t="n">
        <x:v>800</x:v>
      </x:c>
      <x:c r="F3806" s="21" t="n">
        <x:v>307.09316921096143</x:v>
      </x:c>
      <x:c r="G3806" s="21" t="n">
        <x:f>F3803</x:f>
        <x:v>315.9856119134063</x:v>
      </x:c>
      <x:c r="H3806" s="21" t="n">
        <x:f>F3808</x:f>
        <x:v>303.73544058412773</x:v>
      </x:c>
      <x:c r="I3806" s="27" t="n">
        <x:f>IF(AND(ISNUMBER(G3806),ISNUMBER(H3806),H3806&gt;0),G3806/H3806-1,"")</x:f>
        <x:v>0.040331715343193686</x:v>
      </x:c>
      <x:c r="J3806" s="27" t="n">
        <x:f>IF(AND(ISNUMBER(G3806),F3806&gt;0),G3806/F3806-1,"")</x:f>
        <x:v>0.0289568235115516</x:v>
      </x:c>
      <x:c r="K3806" s="19" t="str">
        <x:v>Weak/EXP248/results/seed6100_Fixed_rank_25.json</x:v>
      </x:c>
    </x:row>
    <x:row r="3807" ht="15" hidden="0" customHeight="1">
      <x:c r="A3807" s="3" t="str">
        <x:v>EXP248</x:v>
      </x:c>
      <x:c r="B3807" s="3" t="str">
        <x:v>Weak</x:v>
      </x:c>
      <x:c r="C3807" s="18" t="n">
        <x:v>6100</x:v>
      </x:c>
      <x:c r="D3807" s="3" t="str">
        <x:v>Relative cutoff 1e-6</x:v>
      </x:c>
      <x:c r="E3807" s="18" t="n">
        <x:v>800</x:v>
      </x:c>
      <x:c r="F3807" s="21" t="n">
        <x:v>316.1147007805758</x:v>
      </x:c>
      <x:c r="G3807" s="21" t="n">
        <x:f>F3803</x:f>
        <x:v>315.9856119134063</x:v>
      </x:c>
      <x:c r="H3807" s="21" t="n">
        <x:f>F3808</x:f>
        <x:v>303.73544058412773</x:v>
      </x:c>
      <x:c r="I3807" s="27" t="n">
        <x:f>IF(AND(ISNUMBER(G3807),ISNUMBER(H3807),H3807&gt;0),G3807/H3807-1,"")</x:f>
        <x:v>0.040331715343193686</x:v>
      </x:c>
      <x:c r="J3807" s="27" t="n">
        <x:f>IF(AND(ISNUMBER(G3807),F3807&gt;0),G3807/F3807-1,"")</x:f>
        <x:v>-0.00040836084766304737</x:v>
      </x:c>
      <x:c r="K3807" s="19" t="str">
        <x:v>Weak/EXP248/results/seed6100_Relative_cutoff_1e-6.json</x:v>
      </x:c>
    </x:row>
    <x:row r="3808" ht="15" hidden="0" customHeight="1">
      <x:c r="A3808" s="3" t="str">
        <x:v>EXP248</x:v>
      </x:c>
      <x:c r="B3808" s="3" t="str">
        <x:v>Weak</x:v>
      </x:c>
      <x:c r="C3808" s="18" t="n">
        <x:v>6100</x:v>
      </x:c>
      <x:c r="D3808" s="3" t="str">
        <x:v>Full</x:v>
      </x:c>
      <x:c r="E3808" s="18" t="n">
        <x:v>800</x:v>
      </x:c>
      <x:c r="F3808" s="21" t="n">
        <x:v>303.73544058412773</x:v>
      </x:c>
      <x:c r="G3808" s="21" t="n">
        <x:f>F3803</x:f>
        <x:v>315.9856119134063</x:v>
      </x:c>
      <x:c r="H3808" s="21" t="n">
        <x:f>F3808</x:f>
        <x:v>303.73544058412773</x:v>
      </x:c>
      <x:c r="I3808" s="27" t="n">
        <x:f>IF(AND(ISNUMBER(G3808),ISNUMBER(H3808),H3808&gt;0),G3808/H3808-1,"")</x:f>
        <x:v>0.040331715343193686</x:v>
      </x:c>
      <x:c r="J3808" s="27" t="n">
        <x:f>IF(AND(ISNUMBER(G3808),F3808&gt;0),G3808/F3808-1,"")</x:f>
        <x:v>0.040331715343193686</x:v>
      </x:c>
      <x:c r="K3808" s="19" t="str">
        <x:v>Weak/EXP248/results/seed6100_Full.json</x:v>
      </x:c>
    </x:row>
    <x:row r="3809" ht="15" hidden="0" customHeight="1">
      <x:c r="A3809" s="3" t="str">
        <x:v>EXP248</x:v>
      </x:c>
      <x:c r="B3809" s="3" t="str">
        <x:v>Weak</x:v>
      </x:c>
      <x:c r="C3809" s="18" t="n">
        <x:v>6100</x:v>
      </x:c>
      <x:c r="D3809" s="3" t="str">
        <x:v>Relative cutoff 1e-2</x:v>
      </x:c>
      <x:c r="E3809" s="18" t="n">
        <x:v>800</x:v>
      </x:c>
      <x:c r="F3809" s="21" t="n">
        <x:v>350.50330716351397</x:v>
      </x:c>
      <x:c r="G3809" s="21" t="n">
        <x:f>F3803</x:f>
        <x:v>315.9856119134063</x:v>
      </x:c>
      <x:c r="H3809" s="21" t="n">
        <x:f>F3808</x:f>
        <x:v>303.73544058412773</x:v>
      </x:c>
      <x:c r="I3809" s="27" t="n">
        <x:f>IF(AND(ISNUMBER(G3809),ISNUMBER(H3809),H3809&gt;0),G3809/H3809-1,"")</x:f>
        <x:v>0.040331715343193686</x:v>
      </x:c>
      <x:c r="J3809" s="27" t="n">
        <x:f>IF(AND(ISNUMBER(G3809),F3809&gt;0),G3809/F3809-1,"")</x:f>
        <x:v>-0.09848036964171858</x:v>
      </x:c>
      <x:c r="K3809" s="19" t="str">
        <x:v>Weak/EXP248/results/seed6100_Relative_cutoff_1e-2.json</x:v>
      </x:c>
    </x:row>
    <x:row r="3810" ht="15" hidden="0" customHeight="1">
      <x:c r="A3810" s="3" t="str">
        <x:v>EXP248</x:v>
      </x:c>
      <x:c r="B3810" s="3" t="str">
        <x:v>Weak</x:v>
      </x:c>
      <x:c r="C3810" s="18" t="n">
        <x:v>6100</x:v>
      </x:c>
      <x:c r="D3810" s="3" t="str">
        <x:v>Relative cutoff 1e-4</x:v>
      </x:c>
      <x:c r="E3810" s="18" t="n">
        <x:v>800</x:v>
      </x:c>
      <x:c r="F3810" s="21" t="n">
        <x:v>329.67000276405264</x:v>
      </x:c>
      <x:c r="G3810" s="21" t="n">
        <x:f>F3803</x:f>
        <x:v>315.9856119134063</x:v>
      </x:c>
      <x:c r="H3810" s="21" t="n">
        <x:f>F3808</x:f>
        <x:v>303.73544058412773</x:v>
      </x:c>
      <x:c r="I3810" s="27" t="n">
        <x:f>IF(AND(ISNUMBER(G3810),ISNUMBER(H3810),H3810&gt;0),G3810/H3810-1,"")</x:f>
        <x:v>0.040331715343193686</x:v>
      </x:c>
      <x:c r="J3810" s="27" t="n">
        <x:f>IF(AND(ISNUMBER(G3810),F3810&gt;0),G3810/F3810-1,"")</x:f>
        <x:v>-0.041509360074960755</x:v>
      </x:c>
      <x:c r="K3810" s="19" t="str">
        <x:v>Weak/EXP248/results/seed6100_Relative_cutoff_1e-4.json</x:v>
      </x:c>
    </x:row>
    <x:row r="3811" ht="15" hidden="0" customHeight="1">
      <x:c r="A3811" s="3" t="str">
        <x:v>EXP248</x:v>
      </x:c>
      <x:c r="B3811" s="3" t="str">
        <x:v>Weak</x:v>
      </x:c>
      <x:c r="C3811" s="18" t="n">
        <x:v>6101</x:v>
      </x:c>
      <x:c r="D3811" s="3" t="str">
        <x:v>BBP</x:v>
      </x:c>
      <x:c r="E3811" s="18" t="n">
        <x:v>800</x:v>
      </x:c>
      <x:c r="F3811" s="21" t="n">
        <x:v>824.0173184921683</x:v>
      </x:c>
      <x:c r="G3811" s="21" t="n">
        <x:f>F3811</x:f>
        <x:v>824.0173184921683</x:v>
      </x:c>
      <x:c r="H3811" s="21" t="n">
        <x:f>F3816</x:f>
        <x:v>815.8551565373001</x:v>
      </x:c>
      <x:c r="I3811" s="27" t="n">
        <x:f>IF(AND(ISNUMBER(G3811),ISNUMBER(H3811),H3811&gt;0),G3811/H3811-1,"")</x:f>
        <x:v>0.010004425282436724</x:v>
      </x:c>
      <x:c r="J3811" s="27" t="n">
        <x:f>IF(AND(ISNUMBER(G3811),F3811&gt;0),G3811/F3811-1,"")</x:f>
        <x:v>0</x:v>
      </x:c>
      <x:c r="K3811" s="19" t="str">
        <x:v>Weak/EXP248/results/seed6101_BBP.json</x:v>
      </x:c>
    </x:row>
    <x:row r="3812" ht="15" hidden="0" customHeight="1">
      <x:c r="A3812" s="3" t="str">
        <x:v>EXP248</x:v>
      </x:c>
      <x:c r="B3812" s="3" t="str">
        <x:v>Weak</x:v>
      </x:c>
      <x:c r="C3812" s="18" t="n">
        <x:v>6101</x:v>
      </x:c>
      <x:c r="D3812" s="3" t="str">
        <x:v>Relative cutoff 1e-5</x:v>
      </x:c>
      <x:c r="E3812" s="18" t="n">
        <x:v>800</x:v>
      </x:c>
      <x:c r="F3812" s="21" t="n">
        <x:v>790.248941134557</x:v>
      </x:c>
      <x:c r="G3812" s="21" t="n">
        <x:f>F3811</x:f>
        <x:v>824.0173184921683</x:v>
      </x:c>
      <x:c r="H3812" s="21" t="n">
        <x:f>F3816</x:f>
        <x:v>815.8551565373001</x:v>
      </x:c>
      <x:c r="I3812" s="27" t="n">
        <x:f>IF(AND(ISNUMBER(G3812),ISNUMBER(H3812),H3812&gt;0),G3812/H3812-1,"")</x:f>
        <x:v>0.010004425282436724</x:v>
      </x:c>
      <x:c r="J3812" s="27" t="n">
        <x:f>IF(AND(ISNUMBER(G3812),F3812&gt;0),G3812/F3812-1,"")</x:f>
        <x:v>0.042731316171243705</x:v>
      </x:c>
      <x:c r="K3812" s="19" t="str">
        <x:v>Weak/EXP248/results/seed6101_Relative_cutoff_1e-5.json</x:v>
      </x:c>
    </x:row>
    <x:row r="3813" ht="15" hidden="0" customHeight="1">
      <x:c r="A3813" s="3" t="str">
        <x:v>EXP248</x:v>
      </x:c>
      <x:c r="B3813" s="3" t="str">
        <x:v>Weak</x:v>
      </x:c>
      <x:c r="C3813" s="18" t="n">
        <x:v>6101</x:v>
      </x:c>
      <x:c r="D3813" s="3" t="str">
        <x:v>Fixed rank 10</x:v>
      </x:c>
      <x:c r="E3813" s="18" t="n">
        <x:v>800</x:v>
      </x:c>
      <x:c r="F3813" s="21" t="n">
        <x:v>797.2019493609287</x:v>
      </x:c>
      <x:c r="G3813" s="21" t="n">
        <x:f>F3811</x:f>
        <x:v>824.0173184921683</x:v>
      </x:c>
      <x:c r="H3813" s="21" t="n">
        <x:f>F3816</x:f>
        <x:v>815.8551565373001</x:v>
      </x:c>
      <x:c r="I3813" s="27" t="n">
        <x:f>IF(AND(ISNUMBER(G3813),ISNUMBER(H3813),H3813&gt;0),G3813/H3813-1,"")</x:f>
        <x:v>0.010004425282436724</x:v>
      </x:c>
      <x:c r="J3813" s="27" t="n">
        <x:f>IF(AND(ISNUMBER(G3813),F3813&gt;0),G3813/F3813-1,"")</x:f>
        <x:v>0.033636858455672325</x:v>
      </x:c>
      <x:c r="K3813" s="19" t="str">
        <x:v>Weak/EXP248/results/seed6101_Fixed_rank_10.json</x:v>
      </x:c>
    </x:row>
    <x:row r="3814" ht="15" hidden="0" customHeight="1">
      <x:c r="A3814" s="3" t="str">
        <x:v>EXP248</x:v>
      </x:c>
      <x:c r="B3814" s="3" t="str">
        <x:v>Weak</x:v>
      </x:c>
      <x:c r="C3814" s="18" t="n">
        <x:v>6101</x:v>
      </x:c>
      <x:c r="D3814" s="3" t="str">
        <x:v>Fixed rank 25</x:v>
      </x:c>
      <x:c r="E3814" s="18" t="n">
        <x:v>800</x:v>
      </x:c>
      <x:c r="F3814" s="21" t="n">
        <x:v>731.8889226036989</x:v>
      </x:c>
      <x:c r="G3814" s="21" t="n">
        <x:f>F3811</x:f>
        <x:v>824.0173184921683</x:v>
      </x:c>
      <x:c r="H3814" s="21" t="n">
        <x:f>F3816</x:f>
        <x:v>815.8551565373001</x:v>
      </x:c>
      <x:c r="I3814" s="27" t="n">
        <x:f>IF(AND(ISNUMBER(G3814),ISNUMBER(H3814),H3814&gt;0),G3814/H3814-1,"")</x:f>
        <x:v>0.010004425282436724</x:v>
      </x:c>
      <x:c r="J3814" s="27" t="n">
        <x:f>IF(AND(ISNUMBER(G3814),F3814&gt;0),G3814/F3814-1,"")</x:f>
        <x:v>0.12587756562938823</x:v>
      </x:c>
      <x:c r="K3814" s="19" t="str">
        <x:v>Weak/EXP248/results/seed6101_Fixed_rank_25.json</x:v>
      </x:c>
    </x:row>
    <x:row r="3815" ht="15" hidden="0" customHeight="1">
      <x:c r="A3815" s="3" t="str">
        <x:v>EXP248</x:v>
      </x:c>
      <x:c r="B3815" s="3" t="str">
        <x:v>Weak</x:v>
      </x:c>
      <x:c r="C3815" s="18" t="n">
        <x:v>6101</x:v>
      </x:c>
      <x:c r="D3815" s="3" t="str">
        <x:v>Relative cutoff 1e-6</x:v>
      </x:c>
      <x:c r="E3815" s="18" t="n">
        <x:v>800</x:v>
      </x:c>
      <x:c r="F3815" s="21" t="n">
        <x:v>758.2735321514909</x:v>
      </x:c>
      <x:c r="G3815" s="21" t="n">
        <x:f>F3811</x:f>
        <x:v>824.0173184921683</x:v>
      </x:c>
      <x:c r="H3815" s="21" t="n">
        <x:f>F3816</x:f>
        <x:v>815.8551565373001</x:v>
      </x:c>
      <x:c r="I3815" s="27" t="n">
        <x:f>IF(AND(ISNUMBER(G3815),ISNUMBER(H3815),H3815&gt;0),G3815/H3815-1,"")</x:f>
        <x:v>0.010004425282436724</x:v>
      </x:c>
      <x:c r="J3815" s="27" t="n">
        <x:f>IF(AND(ISNUMBER(G3815),F3815&gt;0),G3815/F3815-1,"")</x:f>
        <x:v>0.08670194006922394</x:v>
      </x:c>
      <x:c r="K3815" s="19" t="str">
        <x:v>Weak/EXP248/results/seed6101_Relative_cutoff_1e-6.json</x:v>
      </x:c>
    </x:row>
    <x:row r="3816" ht="15" hidden="0" customHeight="1">
      <x:c r="A3816" s="3" t="str">
        <x:v>EXP248</x:v>
      </x:c>
      <x:c r="B3816" s="3" t="str">
        <x:v>Weak</x:v>
      </x:c>
      <x:c r="C3816" s="18" t="n">
        <x:v>6101</x:v>
      </x:c>
      <x:c r="D3816" s="3" t="str">
        <x:v>Full</x:v>
      </x:c>
      <x:c r="E3816" s="18" t="n">
        <x:v>800</x:v>
      </x:c>
      <x:c r="F3816" s="21" t="n">
        <x:v>815.8551565373001</x:v>
      </x:c>
      <x:c r="G3816" s="21" t="n">
        <x:f>F3811</x:f>
        <x:v>824.0173184921683</x:v>
      </x:c>
      <x:c r="H3816" s="21" t="n">
        <x:f>F3816</x:f>
        <x:v>815.8551565373001</x:v>
      </x:c>
      <x:c r="I3816" s="27" t="n">
        <x:f>IF(AND(ISNUMBER(G3816),ISNUMBER(H3816),H3816&gt;0),G3816/H3816-1,"")</x:f>
        <x:v>0.010004425282436724</x:v>
      </x:c>
      <x:c r="J3816" s="27" t="n">
        <x:f>IF(AND(ISNUMBER(G3816),F3816&gt;0),G3816/F3816-1,"")</x:f>
        <x:v>0.010004425282436724</x:v>
      </x:c>
      <x:c r="K3816" s="19" t="str">
        <x:v>Weak/EXP248/results/seed6101_Full.json</x:v>
      </x:c>
    </x:row>
    <x:row r="3817" ht="15" hidden="0" customHeight="1">
      <x:c r="A3817" s="3" t="str">
        <x:v>EXP248</x:v>
      </x:c>
      <x:c r="B3817" s="3" t="str">
        <x:v>Weak</x:v>
      </x:c>
      <x:c r="C3817" s="18" t="n">
        <x:v>6101</x:v>
      </x:c>
      <x:c r="D3817" s="3" t="str">
        <x:v>Relative cutoff 1e-2</x:v>
      </x:c>
      <x:c r="E3817" s="18" t="n">
        <x:v>800</x:v>
      </x:c>
      <x:c r="F3817" s="21" t="n">
        <x:v>937.2788649484258</x:v>
      </x:c>
      <x:c r="G3817" s="21" t="n">
        <x:f>F3811</x:f>
        <x:v>824.0173184921683</x:v>
      </x:c>
      <x:c r="H3817" s="21" t="n">
        <x:f>F3816</x:f>
        <x:v>815.8551565373001</x:v>
      </x:c>
      <x:c r="I3817" s="27" t="n">
        <x:f>IF(AND(ISNUMBER(G3817),ISNUMBER(H3817),H3817&gt;0),G3817/H3817-1,"")</x:f>
        <x:v>0.010004425282436724</x:v>
      </x:c>
      <x:c r="J3817" s="27" t="n">
        <x:f>IF(AND(ISNUMBER(G3817),F3817&gt;0),G3817/F3817-1,"")</x:f>
        <x:v>-0.12084081983699668</x:v>
      </x:c>
      <x:c r="K3817" s="19" t="str">
        <x:v>Weak/EXP248/results/seed6101_Relative_cutoff_1e-2.json</x:v>
      </x:c>
    </x:row>
    <x:row r="3818" ht="15" hidden="0" customHeight="1">
      <x:c r="A3818" s="3" t="str">
        <x:v>EXP248</x:v>
      </x:c>
      <x:c r="B3818" s="3" t="str">
        <x:v>Weak</x:v>
      </x:c>
      <x:c r="C3818" s="18" t="n">
        <x:v>6101</x:v>
      </x:c>
      <x:c r="D3818" s="3" t="str">
        <x:v>Relative cutoff 1e-4</x:v>
      </x:c>
      <x:c r="E3818" s="18" t="n">
        <x:v>800</x:v>
      </x:c>
      <x:c r="F3818" s="21" t="n">
        <x:v>857.3189658362065</x:v>
      </x:c>
      <x:c r="G3818" s="21" t="n">
        <x:f>F3811</x:f>
        <x:v>824.0173184921683</x:v>
      </x:c>
      <x:c r="H3818" s="21" t="n">
        <x:f>F3816</x:f>
        <x:v>815.8551565373001</x:v>
      </x:c>
      <x:c r="I3818" s="27" t="n">
        <x:f>IF(AND(ISNUMBER(G3818),ISNUMBER(H3818),H3818&gt;0),G3818/H3818-1,"")</x:f>
        <x:v>0.010004425282436724</x:v>
      </x:c>
      <x:c r="J3818" s="27" t="n">
        <x:f>IF(AND(ISNUMBER(G3818),F3818&gt;0),G3818/F3818-1,"")</x:f>
        <x:v>-0.038843941019730766</x:v>
      </x:c>
      <x:c r="K3818" s="19" t="str">
        <x:v>Weak/EXP248/results/seed6101_Relative_cutoff_1e-4.json</x:v>
      </x:c>
    </x:row>
    <x:row r="3819" ht="15" hidden="0" customHeight="1">
      <x:c r="A3819" s="3" t="str">
        <x:v>EXP248</x:v>
      </x:c>
      <x:c r="B3819" s="3" t="str">
        <x:v>Weak</x:v>
      </x:c>
      <x:c r="C3819" s="18" t="n">
        <x:v>6102</x:v>
      </x:c>
      <x:c r="D3819" s="3" t="str">
        <x:v>BBP</x:v>
      </x:c>
      <x:c r="E3819" s="18" t="n">
        <x:v>800</x:v>
      </x:c>
      <x:c r="F3819" s="21" t="n">
        <x:v>249.93523065410403</x:v>
      </x:c>
      <x:c r="G3819" s="21" t="n">
        <x:f>F3819</x:f>
        <x:v>249.93523065410403</x:v>
      </x:c>
      <x:c r="H3819" s="21" t="n">
        <x:f>F3824</x:f>
        <x:v>258.6750022306013</x:v>
      </x:c>
      <x:c r="I3819" s="27" t="n">
        <x:f>IF(AND(ISNUMBER(G3819),ISNUMBER(H3819),H3819&gt;0),G3819/H3819-1,"")</x:f>
        <x:v>-0.033786687933246906</x:v>
      </x:c>
      <x:c r="J3819" s="27" t="n">
        <x:f>IF(AND(ISNUMBER(G3819),F3819&gt;0),G3819/F3819-1,"")</x:f>
        <x:v>0</x:v>
      </x:c>
      <x:c r="K3819" s="19" t="str">
        <x:v>Weak/EXP248/results/seed6102_BBP.json</x:v>
      </x:c>
    </x:row>
    <x:row r="3820" ht="15" hidden="0" customHeight="1">
      <x:c r="A3820" s="3" t="str">
        <x:v>EXP248</x:v>
      </x:c>
      <x:c r="B3820" s="3" t="str">
        <x:v>Weak</x:v>
      </x:c>
      <x:c r="C3820" s="18" t="n">
        <x:v>6102</x:v>
      </x:c>
      <x:c r="D3820" s="3" t="str">
        <x:v>Relative cutoff 1e-5</x:v>
      </x:c>
      <x:c r="E3820" s="18" t="n">
        <x:v>800</x:v>
      </x:c>
      <x:c r="F3820" s="21" t="n">
        <x:v>258.2516707323422</x:v>
      </x:c>
      <x:c r="G3820" s="21" t="n">
        <x:f>F3819</x:f>
        <x:v>249.93523065410403</x:v>
      </x:c>
      <x:c r="H3820" s="21" t="n">
        <x:f>F3824</x:f>
        <x:v>258.6750022306013</x:v>
      </x:c>
      <x:c r="I3820" s="27" t="n">
        <x:f>IF(AND(ISNUMBER(G3820),ISNUMBER(H3820),H3820&gt;0),G3820/H3820-1,"")</x:f>
        <x:v>-0.033786687933246906</x:v>
      </x:c>
      <x:c r="J3820" s="27" t="n">
        <x:f>IF(AND(ISNUMBER(G3820),F3820&gt;0),G3820/F3820-1,"")</x:f>
        <x:v>-0.03220285101991649</x:v>
      </x:c>
      <x:c r="K3820" s="19" t="str">
        <x:v>Weak/EXP248/results/seed6102_Relative_cutoff_1e-5.json</x:v>
      </x:c>
    </x:row>
    <x:row r="3821" ht="15" hidden="0" customHeight="1">
      <x:c r="A3821" s="3" t="str">
        <x:v>EXP248</x:v>
      </x:c>
      <x:c r="B3821" s="3" t="str">
        <x:v>Weak</x:v>
      </x:c>
      <x:c r="C3821" s="18" t="n">
        <x:v>6102</x:v>
      </x:c>
      <x:c r="D3821" s="3" t="str">
        <x:v>Fixed rank 10</x:v>
      </x:c>
      <x:c r="E3821" s="18" t="n">
        <x:v>800</x:v>
      </x:c>
      <x:c r="F3821" s="21" t="n">
        <x:v>262.0334942709301</x:v>
      </x:c>
      <x:c r="G3821" s="21" t="n">
        <x:f>F3819</x:f>
        <x:v>249.93523065410403</x:v>
      </x:c>
      <x:c r="H3821" s="21" t="n">
        <x:f>F3824</x:f>
        <x:v>258.6750022306013</x:v>
      </x:c>
      <x:c r="I3821" s="27" t="n">
        <x:f>IF(AND(ISNUMBER(G3821),ISNUMBER(H3821),H3821&gt;0),G3821/H3821-1,"")</x:f>
        <x:v>-0.033786687933246906</x:v>
      </x:c>
      <x:c r="J3821" s="27" t="n">
        <x:f>IF(AND(ISNUMBER(G3821),F3821&gt;0),G3821/F3821-1,"")</x:f>
        <x:v>-0.04617067619728421</x:v>
      </x:c>
      <x:c r="K3821" s="19" t="str">
        <x:v>Weak/EXP248/results/seed6102_Fixed_rank_10.json</x:v>
      </x:c>
    </x:row>
    <x:row r="3822" ht="15" hidden="0" customHeight="1">
      <x:c r="A3822" s="3" t="str">
        <x:v>EXP248</x:v>
      </x:c>
      <x:c r="B3822" s="3" t="str">
        <x:v>Weak</x:v>
      </x:c>
      <x:c r="C3822" s="18" t="n">
        <x:v>6102</x:v>
      </x:c>
      <x:c r="D3822" s="3" t="str">
        <x:v>Fixed rank 25</x:v>
      </x:c>
      <x:c r="E3822" s="18" t="n">
        <x:v>800</x:v>
      </x:c>
      <x:c r="F3822" s="21" t="n">
        <x:v>249.96192795014898</x:v>
      </x:c>
      <x:c r="G3822" s="21" t="n">
        <x:f>F3819</x:f>
        <x:v>249.93523065410403</x:v>
      </x:c>
      <x:c r="H3822" s="21" t="n">
        <x:f>F3824</x:f>
        <x:v>258.6750022306013</x:v>
      </x:c>
      <x:c r="I3822" s="27" t="n">
        <x:f>IF(AND(ISNUMBER(G3822),ISNUMBER(H3822),H3822&gt;0),G3822/H3822-1,"")</x:f>
        <x:v>-0.033786687933246906</x:v>
      </x:c>
      <x:c r="J3822" s="27" t="n">
        <x:f>IF(AND(ISNUMBER(G3822),F3822&gt;0),G3822/F3822-1,"")</x:f>
        <x:v>-0.00010680544938934666</x:v>
      </x:c>
      <x:c r="K3822" s="19" t="str">
        <x:v>Weak/EXP248/results/seed6102_Fixed_rank_25.json</x:v>
      </x:c>
    </x:row>
    <x:row r="3823" ht="15" hidden="0" customHeight="1">
      <x:c r="A3823" s="3" t="str">
        <x:v>EXP248</x:v>
      </x:c>
      <x:c r="B3823" s="3" t="str">
        <x:v>Weak</x:v>
      </x:c>
      <x:c r="C3823" s="18" t="n">
        <x:v>6102</x:v>
      </x:c>
      <x:c r="D3823" s="3" t="str">
        <x:v>Relative cutoff 1e-6</x:v>
      </x:c>
      <x:c r="E3823" s="18" t="n">
        <x:v>800</x:v>
      </x:c>
      <x:c r="F3823" s="21" t="n">
        <x:v>266.42926950036826</x:v>
      </x:c>
      <x:c r="G3823" s="21" t="n">
        <x:f>F3819</x:f>
        <x:v>249.93523065410403</x:v>
      </x:c>
      <x:c r="H3823" s="21" t="n">
        <x:f>F3824</x:f>
        <x:v>258.6750022306013</x:v>
      </x:c>
      <x:c r="I3823" s="27" t="n">
        <x:f>IF(AND(ISNUMBER(G3823),ISNUMBER(H3823),H3823&gt;0),G3823/H3823-1,"")</x:f>
        <x:v>-0.033786687933246906</x:v>
      </x:c>
      <x:c r="J3823" s="27" t="n">
        <x:f>IF(AND(ISNUMBER(G3823),F3823&gt;0),G3823/F3823-1,"")</x:f>
        <x:v>-0.06190775839754881</x:v>
      </x:c>
      <x:c r="K3823" s="19" t="str">
        <x:v>Weak/EXP248/results/seed6102_Relative_cutoff_1e-6.json</x:v>
      </x:c>
    </x:row>
    <x:row r="3824" ht="15" hidden="0" customHeight="1">
      <x:c r="A3824" s="3" t="str">
        <x:v>EXP248</x:v>
      </x:c>
      <x:c r="B3824" s="3" t="str">
        <x:v>Weak</x:v>
      </x:c>
      <x:c r="C3824" s="18" t="n">
        <x:v>6102</x:v>
      </x:c>
      <x:c r="D3824" s="3" t="str">
        <x:v>Full</x:v>
      </x:c>
      <x:c r="E3824" s="18" t="n">
        <x:v>800</x:v>
      </x:c>
      <x:c r="F3824" s="21" t="n">
        <x:v>258.6750022306013</x:v>
      </x:c>
      <x:c r="G3824" s="21" t="n">
        <x:f>F3819</x:f>
        <x:v>249.93523065410403</x:v>
      </x:c>
      <x:c r="H3824" s="21" t="n">
        <x:f>F3824</x:f>
        <x:v>258.6750022306013</x:v>
      </x:c>
      <x:c r="I3824" s="27" t="n">
        <x:f>IF(AND(ISNUMBER(G3824),ISNUMBER(H3824),H3824&gt;0),G3824/H3824-1,"")</x:f>
        <x:v>-0.033786687933246906</x:v>
      </x:c>
      <x:c r="J3824" s="27" t="n">
        <x:f>IF(AND(ISNUMBER(G3824),F3824&gt;0),G3824/F3824-1,"")</x:f>
        <x:v>-0.033786687933246906</x:v>
      </x:c>
      <x:c r="K3824" s="19" t="str">
        <x:v>Weak/EXP248/results/seed6102_Full.json</x:v>
      </x:c>
    </x:row>
    <x:row r="3825" ht="15" hidden="0" customHeight="1">
      <x:c r="A3825" s="3" t="str">
        <x:v>EXP248</x:v>
      </x:c>
      <x:c r="B3825" s="3" t="str">
        <x:v>Weak</x:v>
      </x:c>
      <x:c r="C3825" s="18" t="n">
        <x:v>6102</x:v>
      </x:c>
      <x:c r="D3825" s="3" t="str">
        <x:v>Relative cutoff 1e-2</x:v>
      </x:c>
      <x:c r="E3825" s="18" t="n">
        <x:v>800</x:v>
      </x:c>
      <x:c r="F3825" s="21" t="n">
        <x:v>335.1151720748633</x:v>
      </x:c>
      <x:c r="G3825" s="21" t="n">
        <x:f>F3819</x:f>
        <x:v>249.93523065410403</x:v>
      </x:c>
      <x:c r="H3825" s="21" t="n">
        <x:f>F3824</x:f>
        <x:v>258.6750022306013</x:v>
      </x:c>
      <x:c r="I3825" s="27" t="n">
        <x:f>IF(AND(ISNUMBER(G3825),ISNUMBER(H3825),H3825&gt;0),G3825/H3825-1,"")</x:f>
        <x:v>-0.033786687933246906</x:v>
      </x:c>
      <x:c r="J3825" s="27" t="n">
        <x:f>IF(AND(ISNUMBER(G3825),F3825&gt;0),G3825/F3825-1,"")</x:f>
        <x:v>-0.2541810950944664</x:v>
      </x:c>
      <x:c r="K3825" s="19" t="str">
        <x:v>Weak/EXP248/results/seed6102_Relative_cutoff_1e-2.json</x:v>
      </x:c>
    </x:row>
    <x:row r="3826" ht="15" hidden="0" customHeight="1">
      <x:c r="A3826" s="3" t="str">
        <x:v>EXP248</x:v>
      </x:c>
      <x:c r="B3826" s="3" t="str">
        <x:v>Weak</x:v>
      </x:c>
      <x:c r="C3826" s="18" t="n">
        <x:v>6102</x:v>
      </x:c>
      <x:c r="D3826" s="3" t="str">
        <x:v>Relative cutoff 1e-4</x:v>
      </x:c>
      <x:c r="E3826" s="18" t="n">
        <x:v>800</x:v>
      </x:c>
      <x:c r="F3826" s="21" t="n">
        <x:v>251.18234645980084</x:v>
      </x:c>
      <x:c r="G3826" s="21" t="n">
        <x:f>F3819</x:f>
        <x:v>249.93523065410403</x:v>
      </x:c>
      <x:c r="H3826" s="21" t="n">
        <x:f>F3824</x:f>
        <x:v>258.6750022306013</x:v>
      </x:c>
      <x:c r="I3826" s="27" t="n">
        <x:f>IF(AND(ISNUMBER(G3826),ISNUMBER(H3826),H3826&gt;0),G3826/H3826-1,"")</x:f>
        <x:v>-0.033786687933246906</x:v>
      </x:c>
      <x:c r="J3826" s="27" t="n">
        <x:f>IF(AND(ISNUMBER(G3826),F3826&gt;0),G3826/F3826-1,"")</x:f>
        <x:v>-0.004964981907661259</x:v>
      </x:c>
      <x:c r="K3826" s="19" t="str">
        <x:v>Weak/EXP248/results/seed6102_Relative_cutoff_1e-4.json</x:v>
      </x:c>
    </x:row>
    <x:row r="3827" ht="15" hidden="0" customHeight="1">
      <x:c r="A3827" s="3" t="str">
        <x:v>EXP248</x:v>
      </x:c>
      <x:c r="B3827" s="3" t="str">
        <x:v>Weak</x:v>
      </x:c>
      <x:c r="C3827" s="18" t="n">
        <x:v>6103</x:v>
      </x:c>
      <x:c r="D3827" s="3" t="str">
        <x:v>BBP</x:v>
      </x:c>
      <x:c r="E3827" s="18" t="n">
        <x:v>800</x:v>
      </x:c>
      <x:c r="F3827" s="21" t="n">
        <x:v>581.3568504009027</x:v>
      </x:c>
      <x:c r="G3827" s="21" t="n">
        <x:f>F3827</x:f>
        <x:v>581.3568504009027</x:v>
      </x:c>
      <x:c r="H3827" s="21" t="n">
        <x:f>F3832</x:f>
        <x:v>675.9578087520656</x:v>
      </x:c>
      <x:c r="I3827" s="27" t="n">
        <x:f>IF(AND(ISNUMBER(G3827),ISNUMBER(H3827),H3827&gt;0),G3827/H3827-1,"")</x:f>
        <x:v>-0.13995098085457813</x:v>
      </x:c>
      <x:c r="J3827" s="27" t="n">
        <x:f>IF(AND(ISNUMBER(G3827),F3827&gt;0),G3827/F3827-1,"")</x:f>
        <x:v>0</x:v>
      </x:c>
      <x:c r="K3827" s="19" t="str">
        <x:v>Weak/EXP248/results/seed6103_BBP.json</x:v>
      </x:c>
    </x:row>
    <x:row r="3828" ht="15" hidden="0" customHeight="1">
      <x:c r="A3828" s="3" t="str">
        <x:v>EXP248</x:v>
      </x:c>
      <x:c r="B3828" s="3" t="str">
        <x:v>Weak</x:v>
      </x:c>
      <x:c r="C3828" s="18" t="n">
        <x:v>6103</x:v>
      </x:c>
      <x:c r="D3828" s="3" t="str">
        <x:v>Relative cutoff 1e-5</x:v>
      </x:c>
      <x:c r="E3828" s="18" t="n">
        <x:v>800</x:v>
      </x:c>
      <x:c r="F3828" s="21" t="n">
        <x:v>620.5477342935307</x:v>
      </x:c>
      <x:c r="G3828" s="21" t="n">
        <x:f>F3827</x:f>
        <x:v>581.3568504009027</x:v>
      </x:c>
      <x:c r="H3828" s="21" t="n">
        <x:f>F3832</x:f>
        <x:v>675.9578087520656</x:v>
      </x:c>
      <x:c r="I3828" s="27" t="n">
        <x:f>IF(AND(ISNUMBER(G3828),ISNUMBER(H3828),H3828&gt;0),G3828/H3828-1,"")</x:f>
        <x:v>-0.13995098085457813</x:v>
      </x:c>
      <x:c r="J3828" s="27" t="n">
        <x:f>IF(AND(ISNUMBER(G3828),F3828&gt;0),G3828/F3828-1,"")</x:f>
        <x:v>-0.06315530897432942</x:v>
      </x:c>
      <x:c r="K3828" s="19" t="str">
        <x:v>Weak/EXP248/results/seed6103_Relative_cutoff_1e-5.json</x:v>
      </x:c>
    </x:row>
    <x:row r="3829" ht="15" hidden="0" customHeight="1">
      <x:c r="A3829" s="3" t="str">
        <x:v>EXP248</x:v>
      </x:c>
      <x:c r="B3829" s="3" t="str">
        <x:v>Weak</x:v>
      </x:c>
      <x:c r="C3829" s="18" t="n">
        <x:v>6103</x:v>
      </x:c>
      <x:c r="D3829" s="3" t="str">
        <x:v>Fixed rank 10</x:v>
      </x:c>
      <x:c r="E3829" s="18" t="n">
        <x:v>800</x:v>
      </x:c>
      <x:c r="F3829" s="21" t="n">
        <x:v>601.2954903868402</x:v>
      </x:c>
      <x:c r="G3829" s="21" t="n">
        <x:f>F3827</x:f>
        <x:v>581.3568504009027</x:v>
      </x:c>
      <x:c r="H3829" s="21" t="n">
        <x:f>F3832</x:f>
        <x:v>675.9578087520656</x:v>
      </x:c>
      <x:c r="I3829" s="27" t="n">
        <x:f>IF(AND(ISNUMBER(G3829),ISNUMBER(H3829),H3829&gt;0),G3829/H3829-1,"")</x:f>
        <x:v>-0.13995098085457813</x:v>
      </x:c>
      <x:c r="J3829" s="27" t="n">
        <x:f>IF(AND(ISNUMBER(G3829),F3829&gt;0),G3829/F3829-1,"")</x:f>
        <x:v>-0.033159470351440956</x:v>
      </x:c>
      <x:c r="K3829" s="19" t="str">
        <x:v>Weak/EXP248/results/seed6103_Fixed_rank_10.json</x:v>
      </x:c>
    </x:row>
    <x:row r="3830" ht="15" hidden="0" customHeight="1">
      <x:c r="A3830" s="3" t="str">
        <x:v>EXP248</x:v>
      </x:c>
      <x:c r="B3830" s="3" t="str">
        <x:v>Weak</x:v>
      </x:c>
      <x:c r="C3830" s="18" t="n">
        <x:v>6103</x:v>
      </x:c>
      <x:c r="D3830" s="3" t="str">
        <x:v>Fixed rank 25</x:v>
      </x:c>
      <x:c r="E3830" s="18" t="n">
        <x:v>800</x:v>
      </x:c>
      <x:c r="F3830" s="21" t="n">
        <x:v>578.3269586340135</x:v>
      </x:c>
      <x:c r="G3830" s="21" t="n">
        <x:f>F3827</x:f>
        <x:v>581.3568504009027</x:v>
      </x:c>
      <x:c r="H3830" s="21" t="n">
        <x:f>F3832</x:f>
        <x:v>675.9578087520656</x:v>
      </x:c>
      <x:c r="I3830" s="27" t="n">
        <x:f>IF(AND(ISNUMBER(G3830),ISNUMBER(H3830),H3830&gt;0),G3830/H3830-1,"")</x:f>
        <x:v>-0.13995098085457813</x:v>
      </x:c>
      <x:c r="J3830" s="27" t="n">
        <x:f>IF(AND(ISNUMBER(G3830),F3830&gt;0),G3830/F3830-1,"")</x:f>
        <x:v>0.005239063684746137</x:v>
      </x:c>
      <x:c r="K3830" s="19" t="str">
        <x:v>Weak/EXP248/results/seed6103_Fixed_rank_25.json</x:v>
      </x:c>
    </x:row>
    <x:row r="3831" ht="15" hidden="0" customHeight="1">
      <x:c r="A3831" s="3" t="str">
        <x:v>EXP248</x:v>
      </x:c>
      <x:c r="B3831" s="3" t="str">
        <x:v>Weak</x:v>
      </x:c>
      <x:c r="C3831" s="18" t="n">
        <x:v>6103</x:v>
      </x:c>
      <x:c r="D3831" s="3" t="str">
        <x:v>Relative cutoff 1e-6</x:v>
      </x:c>
      <x:c r="E3831" s="18" t="n">
        <x:v>800</x:v>
      </x:c>
      <x:c r="F3831" s="21" t="n">
        <x:v>479.8497733253965</x:v>
      </x:c>
      <x:c r="G3831" s="21" t="n">
        <x:f>F3827</x:f>
        <x:v>581.3568504009027</x:v>
      </x:c>
      <x:c r="H3831" s="21" t="n">
        <x:f>F3832</x:f>
        <x:v>675.9578087520656</x:v>
      </x:c>
      <x:c r="I3831" s="27" t="n">
        <x:f>IF(AND(ISNUMBER(G3831),ISNUMBER(H3831),H3831&gt;0),G3831/H3831-1,"")</x:f>
        <x:v>-0.13995098085457813</x:v>
      </x:c>
      <x:c r="J3831" s="27" t="n">
        <x:f>IF(AND(ISNUMBER(G3831),F3831&gt;0),G3831/F3831-1,"")</x:f>
        <x:v>0.21153928316367465</x:v>
      </x:c>
      <x:c r="K3831" s="19" t="str">
        <x:v>Weak/EXP248/results/seed6103_Relative_cutoff_1e-6.json</x:v>
      </x:c>
    </x:row>
    <x:row r="3832" ht="15" hidden="0" customHeight="1">
      <x:c r="A3832" s="3" t="str">
        <x:v>EXP248</x:v>
      </x:c>
      <x:c r="B3832" s="3" t="str">
        <x:v>Weak</x:v>
      </x:c>
      <x:c r="C3832" s="18" t="n">
        <x:v>6103</x:v>
      </x:c>
      <x:c r="D3832" s="3" t="str">
        <x:v>Full</x:v>
      </x:c>
      <x:c r="E3832" s="18" t="n">
        <x:v>800</x:v>
      </x:c>
      <x:c r="F3832" s="21" t="n">
        <x:v>675.9578087520656</x:v>
      </x:c>
      <x:c r="G3832" s="21" t="n">
        <x:f>F3827</x:f>
        <x:v>581.3568504009027</x:v>
      </x:c>
      <x:c r="H3832" s="21" t="n">
        <x:f>F3832</x:f>
        <x:v>675.9578087520656</x:v>
      </x:c>
      <x:c r="I3832" s="27" t="n">
        <x:f>IF(AND(ISNUMBER(G3832),ISNUMBER(H3832),H3832&gt;0),G3832/H3832-1,"")</x:f>
        <x:v>-0.13995098085457813</x:v>
      </x:c>
      <x:c r="J3832" s="27" t="n">
        <x:f>IF(AND(ISNUMBER(G3832),F3832&gt;0),G3832/F3832-1,"")</x:f>
        <x:v>-0.13995098085457813</x:v>
      </x:c>
      <x:c r="K3832" s="19" t="str">
        <x:v>Weak/EXP248/results/seed6103_Full.json</x:v>
      </x:c>
    </x:row>
    <x:row r="3833" ht="15" hidden="0" customHeight="1">
      <x:c r="A3833" s="3" t="str">
        <x:v>EXP248</x:v>
      </x:c>
      <x:c r="B3833" s="3" t="str">
        <x:v>Weak</x:v>
      </x:c>
      <x:c r="C3833" s="18" t="n">
        <x:v>6103</x:v>
      </x:c>
      <x:c r="D3833" s="3" t="str">
        <x:v>Relative cutoff 1e-2</x:v>
      </x:c>
      <x:c r="E3833" s="18" t="n">
        <x:v>800</x:v>
      </x:c>
      <x:c r="F3833" s="21" t="n">
        <x:v>658.8204546967585</x:v>
      </x:c>
      <x:c r="G3833" s="21" t="n">
        <x:f>F3827</x:f>
        <x:v>581.3568504009027</x:v>
      </x:c>
      <x:c r="H3833" s="21" t="n">
        <x:f>F3832</x:f>
        <x:v>675.9578087520656</x:v>
      </x:c>
      <x:c r="I3833" s="27" t="n">
        <x:f>IF(AND(ISNUMBER(G3833),ISNUMBER(H3833),H3833&gt;0),G3833/H3833-1,"")</x:f>
        <x:v>-0.13995098085457813</x:v>
      </x:c>
      <x:c r="J3833" s="27" t="n">
        <x:f>IF(AND(ISNUMBER(G3833),F3833&gt;0),G3833/F3833-1,"")</x:f>
        <x:v>-0.11757923383163738</x:v>
      </x:c>
      <x:c r="K3833" s="19" t="str">
        <x:v>Weak/EXP248/results/seed6103_Relative_cutoff_1e-2.json</x:v>
      </x:c>
    </x:row>
    <x:row r="3834" ht="15" hidden="0" customHeight="1">
      <x:c r="A3834" s="3" t="str">
        <x:v>EXP248</x:v>
      </x:c>
      <x:c r="B3834" s="3" t="str">
        <x:v>Weak</x:v>
      </x:c>
      <x:c r="C3834" s="18" t="n">
        <x:v>6103</x:v>
      </x:c>
      <x:c r="D3834" s="3" t="str">
        <x:v>Relative cutoff 1e-4</x:v>
      </x:c>
      <x:c r="E3834" s="18" t="n">
        <x:v>800</x:v>
      </x:c>
      <x:c r="F3834" s="21" t="n">
        <x:v>669.0313231281241</x:v>
      </x:c>
      <x:c r="G3834" s="21" t="n">
        <x:f>F3827</x:f>
        <x:v>581.3568504009027</x:v>
      </x:c>
      <x:c r="H3834" s="21" t="n">
        <x:f>F3832</x:f>
        <x:v>675.9578087520656</x:v>
      </x:c>
      <x:c r="I3834" s="27" t="n">
        <x:f>IF(AND(ISNUMBER(G3834),ISNUMBER(H3834),H3834&gt;0),G3834/H3834-1,"")</x:f>
        <x:v>-0.13995098085457813</x:v>
      </x:c>
      <x:c r="J3834" s="27" t="n">
        <x:f>IF(AND(ISNUMBER(G3834),F3834&gt;0),G3834/F3834-1,"")</x:f>
        <x:v>-0.1310468877858969</x:v>
      </x:c>
      <x:c r="K3834" s="19" t="str">
        <x:v>Weak/EXP248/results/seed6103_Relative_cutoff_1e-4.json</x:v>
      </x:c>
    </x:row>
    <x:row r="3835" ht="15" hidden="0" customHeight="1">
      <x:c r="A3835" s="3" t="str">
        <x:v>EXP248</x:v>
      </x:c>
      <x:c r="B3835" s="3" t="str">
        <x:v>Weak</x:v>
      </x:c>
      <x:c r="C3835" s="18" t="n">
        <x:v>6104</x:v>
      </x:c>
      <x:c r="D3835" s="3" t="str">
        <x:v>BBP</x:v>
      </x:c>
      <x:c r="E3835" s="18" t="n">
        <x:v>800</x:v>
      </x:c>
      <x:c r="F3835" s="21" t="n">
        <x:v>308.28330872176446</x:v>
      </x:c>
      <x:c r="G3835" s="21" t="n">
        <x:f>F3835</x:f>
        <x:v>308.28330872176446</x:v>
      </x:c>
      <x:c r="H3835" s="21" t="n">
        <x:f>F3840</x:f>
        <x:v>299.69066648517037</x:v>
      </x:c>
      <x:c r="I3835" s="27" t="n">
        <x:f>IF(AND(ISNUMBER(G3835),ISNUMBER(H3835),H3835&gt;0),G3835/H3835-1,"")</x:f>
        <x:v>0.028671704519097174</x:v>
      </x:c>
      <x:c r="J3835" s="27" t="n">
        <x:f>IF(AND(ISNUMBER(G3835),F3835&gt;0),G3835/F3835-1,"")</x:f>
        <x:v>0</x:v>
      </x:c>
      <x:c r="K3835" s="19" t="str">
        <x:v>Weak/EXP248/results/seed6104_BBP.json</x:v>
      </x:c>
    </x:row>
    <x:row r="3836" ht="15" hidden="0" customHeight="1">
      <x:c r="A3836" s="3" t="str">
        <x:v>EXP248</x:v>
      </x:c>
      <x:c r="B3836" s="3" t="str">
        <x:v>Weak</x:v>
      </x:c>
      <x:c r="C3836" s="18" t="n">
        <x:v>6104</x:v>
      </x:c>
      <x:c r="D3836" s="3" t="str">
        <x:v>Relative cutoff 1e-5</x:v>
      </x:c>
      <x:c r="E3836" s="18" t="n">
        <x:v>800</x:v>
      </x:c>
      <x:c r="F3836" s="21" t="n">
        <x:v>294.11710953938876</x:v>
      </x:c>
      <x:c r="G3836" s="21" t="n">
        <x:f>F3835</x:f>
        <x:v>308.28330872176446</x:v>
      </x:c>
      <x:c r="H3836" s="21" t="n">
        <x:f>F3840</x:f>
        <x:v>299.69066648517037</x:v>
      </x:c>
      <x:c r="I3836" s="27" t="n">
        <x:f>IF(AND(ISNUMBER(G3836),ISNUMBER(H3836),H3836&gt;0),G3836/H3836-1,"")</x:f>
        <x:v>0.028671704519097174</x:v>
      </x:c>
      <x:c r="J3836" s="27" t="n">
        <x:f>IF(AND(ISNUMBER(G3836),F3836&gt;0),G3836/F3836-1,"")</x:f>
        <x:v>0.04816516524509962</x:v>
      </x:c>
      <x:c r="K3836" s="19" t="str">
        <x:v>Weak/EXP248/results/seed6104_Relative_cutoff_1e-5.json</x:v>
      </x:c>
    </x:row>
    <x:row r="3837" ht="15" hidden="0" customHeight="1">
      <x:c r="A3837" s="3" t="str">
        <x:v>EXP248</x:v>
      </x:c>
      <x:c r="B3837" s="3" t="str">
        <x:v>Weak</x:v>
      </x:c>
      <x:c r="C3837" s="18" t="n">
        <x:v>6104</x:v>
      </x:c>
      <x:c r="D3837" s="3" t="str">
        <x:v>Fixed rank 10</x:v>
      </x:c>
      <x:c r="E3837" s="18" t="n">
        <x:v>800</x:v>
      </x:c>
      <x:c r="F3837" s="21" t="n">
        <x:v>289.2862251151602</x:v>
      </x:c>
      <x:c r="G3837" s="21" t="n">
        <x:f>F3835</x:f>
        <x:v>308.28330872176446</x:v>
      </x:c>
      <x:c r="H3837" s="21" t="n">
        <x:f>F3840</x:f>
        <x:v>299.69066648517037</x:v>
      </x:c>
      <x:c r="I3837" s="27" t="n">
        <x:f>IF(AND(ISNUMBER(G3837),ISNUMBER(H3837),H3837&gt;0),G3837/H3837-1,"")</x:f>
        <x:v>0.028671704519097174</x:v>
      </x:c>
      <x:c r="J3837" s="27" t="n">
        <x:f>IF(AND(ISNUMBER(G3837),F3837&gt;0),G3837/F3837-1,"")</x:f>
        <x:v>0.06566881502581667</x:v>
      </x:c>
      <x:c r="K3837" s="19" t="str">
        <x:v>Weak/EXP248/results/seed6104_Fixed_rank_10.json</x:v>
      </x:c>
    </x:row>
    <x:row r="3838" ht="15" hidden="0" customHeight="1">
      <x:c r="A3838" s="3" t="str">
        <x:v>EXP248</x:v>
      </x:c>
      <x:c r="B3838" s="3" t="str">
        <x:v>Weak</x:v>
      </x:c>
      <x:c r="C3838" s="18" t="n">
        <x:v>6104</x:v>
      </x:c>
      <x:c r="D3838" s="3" t="str">
        <x:v>Fixed rank 25</x:v>
      </x:c>
      <x:c r="E3838" s="18" t="n">
        <x:v>800</x:v>
      </x:c>
      <x:c r="F3838" s="21" t="n">
        <x:v>299.3522035041182</x:v>
      </x:c>
      <x:c r="G3838" s="21" t="n">
        <x:f>F3835</x:f>
        <x:v>308.28330872176446</x:v>
      </x:c>
      <x:c r="H3838" s="21" t="n">
        <x:f>F3840</x:f>
        <x:v>299.69066648517037</x:v>
      </x:c>
      <x:c r="I3838" s="27" t="n">
        <x:f>IF(AND(ISNUMBER(G3838),ISNUMBER(H3838),H3838&gt;0),G3838/H3838-1,"")</x:f>
        <x:v>0.028671704519097174</x:v>
      </x:c>
      <x:c r="J3838" s="27" t="n">
        <x:f>IF(AND(ISNUMBER(G3838),F3838&gt;0),G3838/F3838-1,"")</x:f>
        <x:v>0.02983477359812836</x:v>
      </x:c>
      <x:c r="K3838" s="19" t="str">
        <x:v>Weak/EXP248/results/seed6104_Fixed_rank_25.json</x:v>
      </x:c>
    </x:row>
    <x:row r="3839" ht="15" hidden="0" customHeight="1">
      <x:c r="A3839" s="3" t="str">
        <x:v>EXP248</x:v>
      </x:c>
      <x:c r="B3839" s="3" t="str">
        <x:v>Weak</x:v>
      </x:c>
      <x:c r="C3839" s="18" t="n">
        <x:v>6104</x:v>
      </x:c>
      <x:c r="D3839" s="3" t="str">
        <x:v>Relative cutoff 1e-6</x:v>
      </x:c>
      <x:c r="E3839" s="18" t="n">
        <x:v>800</x:v>
      </x:c>
      <x:c r="F3839" s="21" t="n">
        <x:v>302.984925809051</x:v>
      </x:c>
      <x:c r="G3839" s="21" t="n">
        <x:f>F3835</x:f>
        <x:v>308.28330872176446</x:v>
      </x:c>
      <x:c r="H3839" s="21" t="n">
        <x:f>F3840</x:f>
        <x:v>299.69066648517037</x:v>
      </x:c>
      <x:c r="I3839" s="27" t="n">
        <x:f>IF(AND(ISNUMBER(G3839),ISNUMBER(H3839),H3839&gt;0),G3839/H3839-1,"")</x:f>
        <x:v>0.028671704519097174</x:v>
      </x:c>
      <x:c r="J3839" s="27" t="n">
        <x:f>IF(AND(ISNUMBER(G3839),F3839&gt;0),G3839/F3839-1,"")</x:f>
        <x:v>0.017487282242063307</x:v>
      </x:c>
      <x:c r="K3839" s="19" t="str">
        <x:v>Weak/EXP248/results/seed6104_Relative_cutoff_1e-6.json</x:v>
      </x:c>
    </x:row>
    <x:row r="3840" ht="15" hidden="0" customHeight="1">
      <x:c r="A3840" s="3" t="str">
        <x:v>EXP248</x:v>
      </x:c>
      <x:c r="B3840" s="3" t="str">
        <x:v>Weak</x:v>
      </x:c>
      <x:c r="C3840" s="18" t="n">
        <x:v>6104</x:v>
      </x:c>
      <x:c r="D3840" s="3" t="str">
        <x:v>Full</x:v>
      </x:c>
      <x:c r="E3840" s="18" t="n">
        <x:v>800</x:v>
      </x:c>
      <x:c r="F3840" s="21" t="n">
        <x:v>299.69066648517037</x:v>
      </x:c>
      <x:c r="G3840" s="21" t="n">
        <x:f>F3835</x:f>
        <x:v>308.28330872176446</x:v>
      </x:c>
      <x:c r="H3840" s="21" t="n">
        <x:f>F3840</x:f>
        <x:v>299.69066648517037</x:v>
      </x:c>
      <x:c r="I3840" s="27" t="n">
        <x:f>IF(AND(ISNUMBER(G3840),ISNUMBER(H3840),H3840&gt;0),G3840/H3840-1,"")</x:f>
        <x:v>0.028671704519097174</x:v>
      </x:c>
      <x:c r="J3840" s="27" t="n">
        <x:f>IF(AND(ISNUMBER(G3840),F3840&gt;0),G3840/F3840-1,"")</x:f>
        <x:v>0.028671704519097174</x:v>
      </x:c>
      <x:c r="K3840" s="19" t="str">
        <x:v>Weak/EXP248/results/seed6104_Full.json</x:v>
      </x:c>
    </x:row>
    <x:row r="3841" ht="15" hidden="0" customHeight="1">
      <x:c r="A3841" s="3" t="str">
        <x:v>EXP248</x:v>
      </x:c>
      <x:c r="B3841" s="3" t="str">
        <x:v>Weak</x:v>
      </x:c>
      <x:c r="C3841" s="18" t="n">
        <x:v>6104</x:v>
      </x:c>
      <x:c r="D3841" s="3" t="str">
        <x:v>Relative cutoff 1e-2</x:v>
      </x:c>
      <x:c r="E3841" s="18" t="n">
        <x:v>800</x:v>
      </x:c>
      <x:c r="F3841" s="21" t="n">
        <x:v>494.12818956933955</x:v>
      </x:c>
      <x:c r="G3841" s="21" t="n">
        <x:f>F3835</x:f>
        <x:v>308.28330872176446</x:v>
      </x:c>
      <x:c r="H3841" s="21" t="n">
        <x:f>F3840</x:f>
        <x:v>299.69066648517037</x:v>
      </x:c>
      <x:c r="I3841" s="27" t="n">
        <x:f>IF(AND(ISNUMBER(G3841),ISNUMBER(H3841),H3841&gt;0),G3841/H3841-1,"")</x:f>
        <x:v>0.028671704519097174</x:v>
      </x:c>
      <x:c r="J3841" s="27" t="n">
        <x:f>IF(AND(ISNUMBER(G3841),F3841&gt;0),G3841/F3841-1,"")</x:f>
        <x:v>-0.3761066151873451</x:v>
      </x:c>
      <x:c r="K3841" s="19" t="str">
        <x:v>Weak/EXP248/results/seed6104_Relative_cutoff_1e-2.json</x:v>
      </x:c>
    </x:row>
    <x:row r="3842" ht="15" hidden="0" customHeight="1">
      <x:c r="A3842" s="3" t="str">
        <x:v>EXP248</x:v>
      </x:c>
      <x:c r="B3842" s="3" t="str">
        <x:v>Weak</x:v>
      </x:c>
      <x:c r="C3842" s="18" t="n">
        <x:v>6104</x:v>
      </x:c>
      <x:c r="D3842" s="3" t="str">
        <x:v>Relative cutoff 1e-4</x:v>
      </x:c>
      <x:c r="E3842" s="18" t="n">
        <x:v>800</x:v>
      </x:c>
      <x:c r="F3842" s="21" t="n">
        <x:v>301.96257910721425</x:v>
      </x:c>
      <x:c r="G3842" s="21" t="n">
        <x:f>F3835</x:f>
        <x:v>308.28330872176446</x:v>
      </x:c>
      <x:c r="H3842" s="21" t="n">
        <x:f>F3840</x:f>
        <x:v>299.69066648517037</x:v>
      </x:c>
      <x:c r="I3842" s="27" t="n">
        <x:f>IF(AND(ISNUMBER(G3842),ISNUMBER(H3842),H3842&gt;0),G3842/H3842-1,"")</x:f>
        <x:v>0.028671704519097174</x:v>
      </x:c>
      <x:c r="J3842" s="27" t="n">
        <x:f>IF(AND(ISNUMBER(G3842),F3842&gt;0),G3842/F3842-1,"")</x:f>
        <x:v>0.020932161969334562</x:v>
      </x:c>
      <x:c r="K3842" s="19" t="str">
        <x:v>Weak/EXP248/results/seed6104_Relative_cutoff_1e-4.json</x:v>
      </x:c>
    </x:row>
    <x:row r="3843" ht="15" hidden="0" customHeight="1">
      <x:c r="A3843" s="3" t="str">
        <x:v>EXP248</x:v>
      </x:c>
      <x:c r="B3843" s="3" t="str">
        <x:v>Weak</x:v>
      </x:c>
      <x:c r="C3843" s="18" t="n">
        <x:v>6105</x:v>
      </x:c>
      <x:c r="D3843" s="3" t="str">
        <x:v>BBP</x:v>
      </x:c>
      <x:c r="E3843" s="18" t="n">
        <x:v>800</x:v>
      </x:c>
      <x:c r="F3843" s="21" t="n">
        <x:v>349.5868004447975</x:v>
      </x:c>
      <x:c r="G3843" s="21" t="n">
        <x:f>F3843</x:f>
        <x:v>349.5868004447975</x:v>
      </x:c>
      <x:c r="H3843" s="21" t="n">
        <x:f>F3848</x:f>
        <x:v>364.25144819732714</x:v>
      </x:c>
      <x:c r="I3843" s="27" t="n">
        <x:f>IF(AND(ISNUMBER(G3843),ISNUMBER(H3843),H3843&gt;0),G3843/H3843-1,"")</x:f>
        <x:v>-0.040259682768880256</x:v>
      </x:c>
      <x:c r="J3843" s="27" t="n">
        <x:f>IF(AND(ISNUMBER(G3843),F3843&gt;0),G3843/F3843-1,"")</x:f>
        <x:v>0</x:v>
      </x:c>
      <x:c r="K3843" s="19" t="str">
        <x:v>Weak/EXP248/results/seed6105_BBP.json</x:v>
      </x:c>
    </x:row>
    <x:row r="3844" ht="15" hidden="0" customHeight="1">
      <x:c r="A3844" s="3" t="str">
        <x:v>EXP248</x:v>
      </x:c>
      <x:c r="B3844" s="3" t="str">
        <x:v>Weak</x:v>
      </x:c>
      <x:c r="C3844" s="18" t="n">
        <x:v>6105</x:v>
      </x:c>
      <x:c r="D3844" s="3" t="str">
        <x:v>Relative cutoff 1e-5</x:v>
      </x:c>
      <x:c r="E3844" s="18" t="n">
        <x:v>800</x:v>
      </x:c>
      <x:c r="F3844" s="21" t="n">
        <x:v>319.32684128880607</x:v>
      </x:c>
      <x:c r="G3844" s="21" t="n">
        <x:f>F3843</x:f>
        <x:v>349.5868004447975</x:v>
      </x:c>
      <x:c r="H3844" s="21" t="n">
        <x:f>F3848</x:f>
        <x:v>364.25144819732714</x:v>
      </x:c>
      <x:c r="I3844" s="27" t="n">
        <x:f>IF(AND(ISNUMBER(G3844),ISNUMBER(H3844),H3844&gt;0),G3844/H3844-1,"")</x:f>
        <x:v>-0.040259682768880256</x:v>
      </x:c>
      <x:c r="J3844" s="27" t="n">
        <x:f>IF(AND(ISNUMBER(G3844),F3844&gt;0),G3844/F3844-1,"")</x:f>
        <x:v>0.09476171509373277</x:v>
      </x:c>
      <x:c r="K3844" s="19" t="str">
        <x:v>Weak/EXP248/results/seed6105_Relative_cutoff_1e-5.json</x:v>
      </x:c>
    </x:row>
    <x:row r="3845" ht="15" hidden="0" customHeight="1">
      <x:c r="A3845" s="3" t="str">
        <x:v>EXP248</x:v>
      </x:c>
      <x:c r="B3845" s="3" t="str">
        <x:v>Weak</x:v>
      </x:c>
      <x:c r="C3845" s="18" t="n">
        <x:v>6105</x:v>
      </x:c>
      <x:c r="D3845" s="3" t="str">
        <x:v>Fixed rank 10</x:v>
      </x:c>
      <x:c r="E3845" s="18" t="n">
        <x:v>800</x:v>
      </x:c>
      <x:c r="F3845" s="21" t="n">
        <x:v>364.9323350295555</x:v>
      </x:c>
      <x:c r="G3845" s="21" t="n">
        <x:f>F3843</x:f>
        <x:v>349.5868004447975</x:v>
      </x:c>
      <x:c r="H3845" s="21" t="n">
        <x:f>F3848</x:f>
        <x:v>364.25144819732714</x:v>
      </x:c>
      <x:c r="I3845" s="27" t="n">
        <x:f>IF(AND(ISNUMBER(G3845),ISNUMBER(H3845),H3845&gt;0),G3845/H3845-1,"")</x:f>
        <x:v>-0.040259682768880256</x:v>
      </x:c>
      <x:c r="J3845" s="27" t="n">
        <x:f>IF(AND(ISNUMBER(G3845),F3845&gt;0),G3845/F3845-1,"")</x:f>
        <x:v>-0.042050355947535145</x:v>
      </x:c>
      <x:c r="K3845" s="19" t="str">
        <x:v>Weak/EXP248/results/seed6105_Fixed_rank_10.json</x:v>
      </x:c>
    </x:row>
    <x:row r="3846" ht="15" hidden="0" customHeight="1">
      <x:c r="A3846" s="3" t="str">
        <x:v>EXP248</x:v>
      </x:c>
      <x:c r="B3846" s="3" t="str">
        <x:v>Weak</x:v>
      </x:c>
      <x:c r="C3846" s="18" t="n">
        <x:v>6105</x:v>
      </x:c>
      <x:c r="D3846" s="3" t="str">
        <x:v>Fixed rank 25</x:v>
      </x:c>
      <x:c r="E3846" s="18" t="n">
        <x:v>800</x:v>
      </x:c>
      <x:c r="F3846" s="21" t="n">
        <x:v>351.09948645753536</x:v>
      </x:c>
      <x:c r="G3846" s="21" t="n">
        <x:f>F3843</x:f>
        <x:v>349.5868004447975</x:v>
      </x:c>
      <x:c r="H3846" s="21" t="n">
        <x:f>F3848</x:f>
        <x:v>364.25144819732714</x:v>
      </x:c>
      <x:c r="I3846" s="27" t="n">
        <x:f>IF(AND(ISNUMBER(G3846),ISNUMBER(H3846),H3846&gt;0),G3846/H3846-1,"")</x:f>
        <x:v>-0.040259682768880256</x:v>
      </x:c>
      <x:c r="J3846" s="27" t="n">
        <x:f>IF(AND(ISNUMBER(G3846),F3846&gt;0),G3846/F3846-1,"")</x:f>
        <x:v>-0.004308425591846632</x:v>
      </x:c>
      <x:c r="K3846" s="19" t="str">
        <x:v>Weak/EXP248/results/seed6105_Fixed_rank_25.json</x:v>
      </x:c>
    </x:row>
    <x:row r="3847" ht="15" hidden="0" customHeight="1">
      <x:c r="A3847" s="3" t="str">
        <x:v>EXP248</x:v>
      </x:c>
      <x:c r="B3847" s="3" t="str">
        <x:v>Weak</x:v>
      </x:c>
      <x:c r="C3847" s="18" t="n">
        <x:v>6105</x:v>
      </x:c>
      <x:c r="D3847" s="3" t="str">
        <x:v>Relative cutoff 1e-6</x:v>
      </x:c>
      <x:c r="E3847" s="18" t="n">
        <x:v>800</x:v>
      </x:c>
      <x:c r="F3847" s="21" t="n">
        <x:v>359.95998371839437</x:v>
      </x:c>
      <x:c r="G3847" s="21" t="n">
        <x:f>F3843</x:f>
        <x:v>349.5868004447975</x:v>
      </x:c>
      <x:c r="H3847" s="21" t="n">
        <x:f>F3848</x:f>
        <x:v>364.25144819732714</x:v>
      </x:c>
      <x:c r="I3847" s="27" t="n">
        <x:f>IF(AND(ISNUMBER(G3847),ISNUMBER(H3847),H3847&gt;0),G3847/H3847-1,"")</x:f>
        <x:v>-0.040259682768880256</x:v>
      </x:c>
      <x:c r="J3847" s="27" t="n">
        <x:f>IF(AND(ISNUMBER(G3847),F3847&gt;0),G3847/F3847-1,"")</x:f>
        <x:v>-0.02881760124123145</x:v>
      </x:c>
      <x:c r="K3847" s="19" t="str">
        <x:v>Weak/EXP248/results/seed6105_Relative_cutoff_1e-6.json</x:v>
      </x:c>
    </x:row>
    <x:row r="3848" ht="15" hidden="0" customHeight="1">
      <x:c r="A3848" s="3" t="str">
        <x:v>EXP248</x:v>
      </x:c>
      <x:c r="B3848" s="3" t="str">
        <x:v>Weak</x:v>
      </x:c>
      <x:c r="C3848" s="18" t="n">
        <x:v>6105</x:v>
      </x:c>
      <x:c r="D3848" s="3" t="str">
        <x:v>Full</x:v>
      </x:c>
      <x:c r="E3848" s="18" t="n">
        <x:v>800</x:v>
      </x:c>
      <x:c r="F3848" s="21" t="n">
        <x:v>364.25144819732714</x:v>
      </x:c>
      <x:c r="G3848" s="21" t="n">
        <x:f>F3843</x:f>
        <x:v>349.5868004447975</x:v>
      </x:c>
      <x:c r="H3848" s="21" t="n">
        <x:f>F3848</x:f>
        <x:v>364.25144819732714</x:v>
      </x:c>
      <x:c r="I3848" s="27" t="n">
        <x:f>IF(AND(ISNUMBER(G3848),ISNUMBER(H3848),H3848&gt;0),G3848/H3848-1,"")</x:f>
        <x:v>-0.040259682768880256</x:v>
      </x:c>
      <x:c r="J3848" s="27" t="n">
        <x:f>IF(AND(ISNUMBER(G3848),F3848&gt;0),G3848/F3848-1,"")</x:f>
        <x:v>-0.040259682768880256</x:v>
      </x:c>
      <x:c r="K3848" s="19" t="str">
        <x:v>Weak/EXP248/results/seed6105_Full.json</x:v>
      </x:c>
    </x:row>
    <x:row r="3849" ht="15" hidden="0" customHeight="1">
      <x:c r="A3849" s="3" t="str">
        <x:v>EXP248</x:v>
      </x:c>
      <x:c r="B3849" s="3" t="str">
        <x:v>Weak</x:v>
      </x:c>
      <x:c r="C3849" s="18" t="n">
        <x:v>6105</x:v>
      </x:c>
      <x:c r="D3849" s="3" t="str">
        <x:v>Relative cutoff 1e-2</x:v>
      </x:c>
      <x:c r="E3849" s="18" t="n">
        <x:v>800</x:v>
      </x:c>
      <x:c r="F3849" s="21" t="n">
        <x:v>441.6906460206508</x:v>
      </x:c>
      <x:c r="G3849" s="21" t="n">
        <x:f>F3843</x:f>
        <x:v>349.5868004447975</x:v>
      </x:c>
      <x:c r="H3849" s="21" t="n">
        <x:f>F3848</x:f>
        <x:v>364.25144819732714</x:v>
      </x:c>
      <x:c r="I3849" s="27" t="n">
        <x:f>IF(AND(ISNUMBER(G3849),ISNUMBER(H3849),H3849&gt;0),G3849/H3849-1,"")</x:f>
        <x:v>-0.040259682768880256</x:v>
      </x:c>
      <x:c r="J3849" s="27" t="n">
        <x:f>IF(AND(ISNUMBER(G3849),F3849&gt;0),G3849/F3849-1,"")</x:f>
        <x:v>-0.208525687391503</x:v>
      </x:c>
      <x:c r="K3849" s="19" t="str">
        <x:v>Weak/EXP248/results/seed6105_Relative_cutoff_1e-2.json</x:v>
      </x:c>
    </x:row>
    <x:row r="3850" ht="15" hidden="0" customHeight="1">
      <x:c r="A3850" s="3" t="str">
        <x:v>EXP248</x:v>
      </x:c>
      <x:c r="B3850" s="3" t="str">
        <x:v>Weak</x:v>
      </x:c>
      <x:c r="C3850" s="18" t="n">
        <x:v>6105</x:v>
      </x:c>
      <x:c r="D3850" s="3" t="str">
        <x:v>Relative cutoff 1e-4</x:v>
      </x:c>
      <x:c r="E3850" s="18" t="n">
        <x:v>800</x:v>
      </x:c>
      <x:c r="F3850" s="21" t="n">
        <x:v>367.0299932077681</x:v>
      </x:c>
      <x:c r="G3850" s="21" t="n">
        <x:f>F3843</x:f>
        <x:v>349.5868004447975</x:v>
      </x:c>
      <x:c r="H3850" s="21" t="n">
        <x:f>F3848</x:f>
        <x:v>364.25144819732714</x:v>
      </x:c>
      <x:c r="I3850" s="27" t="n">
        <x:f>IF(AND(ISNUMBER(G3850),ISNUMBER(H3850),H3850&gt;0),G3850/H3850-1,"")</x:f>
        <x:v>-0.040259682768880256</x:v>
      </x:c>
      <x:c r="J3850" s="27" t="n">
        <x:f>IF(AND(ISNUMBER(G3850),F3850&gt;0),G3850/F3850-1,"")</x:f>
        <x:v>-0.04752525157554721</x:v>
      </x:c>
      <x:c r="K3850" s="19" t="str">
        <x:v>Weak/EXP248/results/seed6105_Relative_cutoff_1e-4.json</x:v>
      </x:c>
    </x:row>
    <x:row r="3851" ht="15" hidden="0" customHeight="1">
      <x:c r="A3851" s="3" t="str">
        <x:v>EXP248</x:v>
      </x:c>
      <x:c r="B3851" s="3" t="str">
        <x:v>Weak</x:v>
      </x:c>
      <x:c r="C3851" s="18" t="n">
        <x:v>6106</x:v>
      </x:c>
      <x:c r="D3851" s="3" t="str">
        <x:v>BBP</x:v>
      </x:c>
      <x:c r="E3851" s="18" t="n">
        <x:v>800</x:v>
      </x:c>
      <x:c r="F3851" s="21" t="n">
        <x:v>288.8009813738663</x:v>
      </x:c>
      <x:c r="G3851" s="21" t="n">
        <x:f>F3851</x:f>
        <x:v>288.8009813738663</x:v>
      </x:c>
      <x:c r="H3851" s="21" t="n">
        <x:f>F3856</x:f>
        <x:v>291.6386105678966</x:v>
      </x:c>
      <x:c r="I3851" s="27" t="n">
        <x:f>IF(AND(ISNUMBER(G3851),ISNUMBER(H3851),H3851&gt;0),G3851/H3851-1,"")</x:f>
        <x:v>-0.009729950326209158</x:v>
      </x:c>
      <x:c r="J3851" s="27" t="n">
        <x:f>IF(AND(ISNUMBER(G3851),F3851&gt;0),G3851/F3851-1,"")</x:f>
        <x:v>0</x:v>
      </x:c>
      <x:c r="K3851" s="19" t="str">
        <x:v>Weak/EXP248/results/seed6106_BBP.json</x:v>
      </x:c>
    </x:row>
    <x:row r="3852" ht="15" hidden="0" customHeight="1">
      <x:c r="A3852" s="3" t="str">
        <x:v>EXP248</x:v>
      </x:c>
      <x:c r="B3852" s="3" t="str">
        <x:v>Weak</x:v>
      </x:c>
      <x:c r="C3852" s="18" t="n">
        <x:v>6106</x:v>
      </x:c>
      <x:c r="D3852" s="3" t="str">
        <x:v>Relative cutoff 1e-5</x:v>
      </x:c>
      <x:c r="E3852" s="18" t="n">
        <x:v>800</x:v>
      </x:c>
      <x:c r="F3852" s="21" t="n">
        <x:v>283.9504202486152</x:v>
      </x:c>
      <x:c r="G3852" s="21" t="n">
        <x:f>F3851</x:f>
        <x:v>288.8009813738663</x:v>
      </x:c>
      <x:c r="H3852" s="21" t="n">
        <x:f>F3856</x:f>
        <x:v>291.6386105678966</x:v>
      </x:c>
      <x:c r="I3852" s="27" t="n">
        <x:f>IF(AND(ISNUMBER(G3852),ISNUMBER(H3852),H3852&gt;0),G3852/H3852-1,"")</x:f>
        <x:v>-0.009729950326209158</x:v>
      </x:c>
      <x:c r="J3852" s="27" t="n">
        <x:f>IF(AND(ISNUMBER(G3852),F3852&gt;0),G3852/F3852-1,"")</x:f>
        <x:v>0.017082422772976225</x:v>
      </x:c>
      <x:c r="K3852" s="19" t="str">
        <x:v>Weak/EXP248/results/seed6106_Relative_cutoff_1e-5.json</x:v>
      </x:c>
    </x:row>
    <x:row r="3853" ht="15" hidden="0" customHeight="1">
      <x:c r="A3853" s="3" t="str">
        <x:v>EXP248</x:v>
      </x:c>
      <x:c r="B3853" s="3" t="str">
        <x:v>Weak</x:v>
      </x:c>
      <x:c r="C3853" s="18" t="n">
        <x:v>6106</x:v>
      </x:c>
      <x:c r="D3853" s="3" t="str">
        <x:v>Fixed rank 10</x:v>
      </x:c>
      <x:c r="E3853" s="18" t="n">
        <x:v>800</x:v>
      </x:c>
      <x:c r="F3853" s="21" t="n">
        <x:v>291.4070789097189</x:v>
      </x:c>
      <x:c r="G3853" s="21" t="n">
        <x:f>F3851</x:f>
        <x:v>288.8009813738663</x:v>
      </x:c>
      <x:c r="H3853" s="21" t="n">
        <x:f>F3856</x:f>
        <x:v>291.6386105678966</x:v>
      </x:c>
      <x:c r="I3853" s="27" t="n">
        <x:f>IF(AND(ISNUMBER(G3853),ISNUMBER(H3853),H3853&gt;0),G3853/H3853-1,"")</x:f>
        <x:v>-0.009729950326209158</x:v>
      </x:c>
      <x:c r="J3853" s="27" t="n">
        <x:f>IF(AND(ISNUMBER(G3853),F3853&gt;0),G3853/F3853-1,"")</x:f>
        <x:v>-0.00894315109160404</x:v>
      </x:c>
      <x:c r="K3853" s="19" t="str">
        <x:v>Weak/EXP248/results/seed6106_Fixed_rank_10.json</x:v>
      </x:c>
    </x:row>
    <x:row r="3854" ht="15" hidden="0" customHeight="1">
      <x:c r="A3854" s="3" t="str">
        <x:v>EXP248</x:v>
      </x:c>
      <x:c r="B3854" s="3" t="str">
        <x:v>Weak</x:v>
      </x:c>
      <x:c r="C3854" s="18" t="n">
        <x:v>6106</x:v>
      </x:c>
      <x:c r="D3854" s="3" t="str">
        <x:v>Fixed rank 25</x:v>
      </x:c>
      <x:c r="E3854" s="18" t="n">
        <x:v>800</x:v>
      </x:c>
      <x:c r="F3854" s="21" t="n">
        <x:v>285.83481427366104</x:v>
      </x:c>
      <x:c r="G3854" s="21" t="n">
        <x:f>F3851</x:f>
        <x:v>288.8009813738663</x:v>
      </x:c>
      <x:c r="H3854" s="21" t="n">
        <x:f>F3856</x:f>
        <x:v>291.6386105678966</x:v>
      </x:c>
      <x:c r="I3854" s="27" t="n">
        <x:f>IF(AND(ISNUMBER(G3854),ISNUMBER(H3854),H3854&gt;0),G3854/H3854-1,"")</x:f>
        <x:v>-0.009729950326209158</x:v>
      </x:c>
      <x:c r="J3854" s="27" t="n">
        <x:f>IF(AND(ISNUMBER(G3854),F3854&gt;0),G3854/F3854-1,"")</x:f>
        <x:v>0.010377207226287766</x:v>
      </x:c>
      <x:c r="K3854" s="19" t="str">
        <x:v>Weak/EXP248/results/seed6106_Fixed_rank_25.json</x:v>
      </x:c>
    </x:row>
    <x:row r="3855" ht="15" hidden="0" customHeight="1">
      <x:c r="A3855" s="3" t="str">
        <x:v>EXP248</x:v>
      </x:c>
      <x:c r="B3855" s="3" t="str">
        <x:v>Weak</x:v>
      </x:c>
      <x:c r="C3855" s="18" t="n">
        <x:v>6106</x:v>
      </x:c>
      <x:c r="D3855" s="3" t="str">
        <x:v>Relative cutoff 1e-6</x:v>
      </x:c>
      <x:c r="E3855" s="18" t="n">
        <x:v>800</x:v>
      </x:c>
      <x:c r="F3855" s="21" t="n">
        <x:v>288.8331118460777</x:v>
      </x:c>
      <x:c r="G3855" s="21" t="n">
        <x:f>F3851</x:f>
        <x:v>288.8009813738663</x:v>
      </x:c>
      <x:c r="H3855" s="21" t="n">
        <x:f>F3856</x:f>
        <x:v>291.6386105678966</x:v>
      </x:c>
      <x:c r="I3855" s="27" t="n">
        <x:f>IF(AND(ISNUMBER(G3855),ISNUMBER(H3855),H3855&gt;0),G3855/H3855-1,"")</x:f>
        <x:v>-0.009729950326209158</x:v>
      </x:c>
      <x:c r="J3855" s="27" t="n">
        <x:f>IF(AND(ISNUMBER(G3855),F3855&gt;0),G3855/F3855-1,"")</x:f>
        <x:v>-0.00011124234339354722</x:v>
      </x:c>
      <x:c r="K3855" s="19" t="str">
        <x:v>Weak/EXP248/results/seed6106_Relative_cutoff_1e-6.json</x:v>
      </x:c>
    </x:row>
    <x:row r="3856" ht="15" hidden="0" customHeight="1">
      <x:c r="A3856" s="3" t="str">
        <x:v>EXP248</x:v>
      </x:c>
      <x:c r="B3856" s="3" t="str">
        <x:v>Weak</x:v>
      </x:c>
      <x:c r="C3856" s="18" t="n">
        <x:v>6106</x:v>
      </x:c>
      <x:c r="D3856" s="3" t="str">
        <x:v>Full</x:v>
      </x:c>
      <x:c r="E3856" s="18" t="n">
        <x:v>800</x:v>
      </x:c>
      <x:c r="F3856" s="21" t="n">
        <x:v>291.6386105678966</x:v>
      </x:c>
      <x:c r="G3856" s="21" t="n">
        <x:f>F3851</x:f>
        <x:v>288.8009813738663</x:v>
      </x:c>
      <x:c r="H3856" s="21" t="n">
        <x:f>F3856</x:f>
        <x:v>291.6386105678966</x:v>
      </x:c>
      <x:c r="I3856" s="27" t="n">
        <x:f>IF(AND(ISNUMBER(G3856),ISNUMBER(H3856),H3856&gt;0),G3856/H3856-1,"")</x:f>
        <x:v>-0.009729950326209158</x:v>
      </x:c>
      <x:c r="J3856" s="27" t="n">
        <x:f>IF(AND(ISNUMBER(G3856),F3856&gt;0),G3856/F3856-1,"")</x:f>
        <x:v>-0.009729950326209158</x:v>
      </x:c>
      <x:c r="K3856" s="19" t="str">
        <x:v>Weak/EXP248/results/seed6106_Full.json</x:v>
      </x:c>
    </x:row>
    <x:row r="3857" ht="15" hidden="0" customHeight="1">
      <x:c r="A3857" s="3" t="str">
        <x:v>EXP248</x:v>
      </x:c>
      <x:c r="B3857" s="3" t="str">
        <x:v>Weak</x:v>
      </x:c>
      <x:c r="C3857" s="18" t="n">
        <x:v>6106</x:v>
      </x:c>
      <x:c r="D3857" s="3" t="str">
        <x:v>Relative cutoff 1e-2</x:v>
      </x:c>
      <x:c r="E3857" s="18" t="n">
        <x:v>800</x:v>
      </x:c>
      <x:c r="F3857" s="21" t="n">
        <x:v>407.72938877245747</x:v>
      </x:c>
      <x:c r="G3857" s="21" t="n">
        <x:f>F3851</x:f>
        <x:v>288.8009813738663</x:v>
      </x:c>
      <x:c r="H3857" s="21" t="n">
        <x:f>F3856</x:f>
        <x:v>291.6386105678966</x:v>
      </x:c>
      <x:c r="I3857" s="27" t="n">
        <x:f>IF(AND(ISNUMBER(G3857),ISNUMBER(H3857),H3857&gt;0),G3857/H3857-1,"")</x:f>
        <x:v>-0.009729950326209158</x:v>
      </x:c>
      <x:c r="J3857" s="27" t="n">
        <x:f>IF(AND(ISNUMBER(G3857),F3857&gt;0),G3857/F3857-1,"")</x:f>
        <x:v>-0.2916846581911755</x:v>
      </x:c>
      <x:c r="K3857" s="19" t="str">
        <x:v>Weak/EXP248/results/seed6106_Relative_cutoff_1e-2.json</x:v>
      </x:c>
    </x:row>
    <x:row r="3858" ht="15" hidden="0" customHeight="1">
      <x:c r="A3858" s="3" t="str">
        <x:v>EXP248</x:v>
      </x:c>
      <x:c r="B3858" s="3" t="str">
        <x:v>Weak</x:v>
      </x:c>
      <x:c r="C3858" s="18" t="n">
        <x:v>6106</x:v>
      </x:c>
      <x:c r="D3858" s="3" t="str">
        <x:v>Relative cutoff 1e-4</x:v>
      </x:c>
      <x:c r="E3858" s="18" t="n">
        <x:v>800</x:v>
      </x:c>
      <x:c r="F3858" s="21" t="n">
        <x:v>291.8539341952196</x:v>
      </x:c>
      <x:c r="G3858" s="21" t="n">
        <x:f>F3851</x:f>
        <x:v>288.8009813738663</x:v>
      </x:c>
      <x:c r="H3858" s="21" t="n">
        <x:f>F3856</x:f>
        <x:v>291.6386105678966</x:v>
      </x:c>
      <x:c r="I3858" s="27" t="n">
        <x:f>IF(AND(ISNUMBER(G3858),ISNUMBER(H3858),H3858&gt;0),G3858/H3858-1,"")</x:f>
        <x:v>-0.009729950326209158</x:v>
      </x:c>
      <x:c r="J3858" s="27" t="n">
        <x:f>IF(AND(ISNUMBER(G3858),F3858&gt;0),G3858/F3858-1,"")</x:f>
        <x:v>-0.010460550513981426</x:v>
      </x:c>
      <x:c r="K3858" s="19" t="str">
        <x:v>Weak/EXP248/results/seed6106_Relative_cutoff_1e-4.json</x:v>
      </x:c>
    </x:row>
    <x:row r="3859" ht="15" hidden="0" customHeight="1">
      <x:c r="A3859" s="3" t="str">
        <x:v>EXP248</x:v>
      </x:c>
      <x:c r="B3859" s="3" t="str">
        <x:v>Weak</x:v>
      </x:c>
      <x:c r="C3859" s="18" t="n">
        <x:v>6107</x:v>
      </x:c>
      <x:c r="D3859" s="3" t="str">
        <x:v>BBP</x:v>
      </x:c>
      <x:c r="E3859" s="18" t="n">
        <x:v>800</x:v>
      </x:c>
      <x:c r="F3859" s="21" t="n">
        <x:v>326.26187172648537</x:v>
      </x:c>
      <x:c r="G3859" s="21" t="n">
        <x:f>F3859</x:f>
        <x:v>326.26187172648537</x:v>
      </x:c>
      <x:c r="H3859" s="21" t="n">
        <x:f>F3864</x:f>
        <x:v>354.07731848702065</x:v>
      </x:c>
      <x:c r="I3859" s="27" t="n">
        <x:f>IF(AND(ISNUMBER(G3859),ISNUMBER(H3859),H3859&gt;0),G3859/H3859-1,"")</x:f>
        <x:v>-0.0785575503096082</x:v>
      </x:c>
      <x:c r="J3859" s="27" t="n">
        <x:f>IF(AND(ISNUMBER(G3859),F3859&gt;0),G3859/F3859-1,"")</x:f>
        <x:v>0</x:v>
      </x:c>
      <x:c r="K3859" s="19" t="str">
        <x:v>Weak/EXP248/results/seed6107_BBP.json</x:v>
      </x:c>
    </x:row>
    <x:row r="3860" ht="15" hidden="0" customHeight="1">
      <x:c r="A3860" s="3" t="str">
        <x:v>EXP248</x:v>
      </x:c>
      <x:c r="B3860" s="3" t="str">
        <x:v>Weak</x:v>
      </x:c>
      <x:c r="C3860" s="18" t="n">
        <x:v>6107</x:v>
      </x:c>
      <x:c r="D3860" s="3" t="str">
        <x:v>Relative cutoff 1e-5</x:v>
      </x:c>
      <x:c r="E3860" s="18" t="n">
        <x:v>800</x:v>
      </x:c>
      <x:c r="F3860" s="21" t="n">
        <x:v>334.5516001581715</x:v>
      </x:c>
      <x:c r="G3860" s="21" t="n">
        <x:f>F3859</x:f>
        <x:v>326.26187172648537</x:v>
      </x:c>
      <x:c r="H3860" s="21" t="n">
        <x:f>F3864</x:f>
        <x:v>354.07731848702065</x:v>
      </x:c>
      <x:c r="I3860" s="27" t="n">
        <x:f>IF(AND(ISNUMBER(G3860),ISNUMBER(H3860),H3860&gt;0),G3860/H3860-1,"")</x:f>
        <x:v>-0.0785575503096082</x:v>
      </x:c>
      <x:c r="J3860" s="27" t="n">
        <x:f>IF(AND(ISNUMBER(G3860),F3860&gt;0),G3860/F3860-1,"")</x:f>
        <x:v>-0.024778624366964097</x:v>
      </x:c>
      <x:c r="K3860" s="19" t="str">
        <x:v>Weak/EXP248/results/seed6107_Relative_cutoff_1e-5.json</x:v>
      </x:c>
    </x:row>
    <x:row r="3861" ht="15" hidden="0" customHeight="1">
      <x:c r="A3861" s="3" t="str">
        <x:v>EXP248</x:v>
      </x:c>
      <x:c r="B3861" s="3" t="str">
        <x:v>Weak</x:v>
      </x:c>
      <x:c r="C3861" s="18" t="n">
        <x:v>6107</x:v>
      </x:c>
      <x:c r="D3861" s="3" t="str">
        <x:v>Fixed rank 10</x:v>
      </x:c>
      <x:c r="E3861" s="18" t="n">
        <x:v>800</x:v>
      </x:c>
      <x:c r="F3861" s="21" t="n">
        <x:v>343.3655297321206</x:v>
      </x:c>
      <x:c r="G3861" s="21" t="n">
        <x:f>F3859</x:f>
        <x:v>326.26187172648537</x:v>
      </x:c>
      <x:c r="H3861" s="21" t="n">
        <x:f>F3864</x:f>
        <x:v>354.07731848702065</x:v>
      </x:c>
      <x:c r="I3861" s="27" t="n">
        <x:f>IF(AND(ISNUMBER(G3861),ISNUMBER(H3861),H3861&gt;0),G3861/H3861-1,"")</x:f>
        <x:v>-0.0785575503096082</x:v>
      </x:c>
      <x:c r="J3861" s="27" t="n">
        <x:f>IF(AND(ISNUMBER(G3861),F3861&gt;0),G3861/F3861-1,"")</x:f>
        <x:v>-0.04981180847995659</x:v>
      </x:c>
      <x:c r="K3861" s="19" t="str">
        <x:v>Weak/EXP248/results/seed6107_Fixed_rank_10.json</x:v>
      </x:c>
    </x:row>
    <x:row r="3862" ht="15" hidden="0" customHeight="1">
      <x:c r="A3862" s="3" t="str">
        <x:v>EXP248</x:v>
      </x:c>
      <x:c r="B3862" s="3" t="str">
        <x:v>Weak</x:v>
      </x:c>
      <x:c r="C3862" s="18" t="n">
        <x:v>6107</x:v>
      </x:c>
      <x:c r="D3862" s="3" t="str">
        <x:v>Fixed rank 25</x:v>
      </x:c>
      <x:c r="E3862" s="18" t="n">
        <x:v>800</x:v>
      </x:c>
      <x:c r="F3862" s="21" t="n">
        <x:v>328.3001626129029</x:v>
      </x:c>
      <x:c r="G3862" s="21" t="n">
        <x:f>F3859</x:f>
        <x:v>326.26187172648537</x:v>
      </x:c>
      <x:c r="H3862" s="21" t="n">
        <x:f>F3864</x:f>
        <x:v>354.07731848702065</x:v>
      </x:c>
      <x:c r="I3862" s="27" t="n">
        <x:f>IF(AND(ISNUMBER(G3862),ISNUMBER(H3862),H3862&gt;0),G3862/H3862-1,"")</x:f>
        <x:v>-0.0785575503096082</x:v>
      </x:c>
      <x:c r="J3862" s="27" t="n">
        <x:f>IF(AND(ISNUMBER(G3862),F3862&gt;0),G3862/F3862-1,"")</x:f>
        <x:v>-0.006208619789265457</x:v>
      </x:c>
      <x:c r="K3862" s="19" t="str">
        <x:v>Weak/EXP248/results/seed6107_Fixed_rank_25.json</x:v>
      </x:c>
    </x:row>
    <x:row r="3863" ht="15" hidden="0" customHeight="1">
      <x:c r="A3863" s="3" t="str">
        <x:v>EXP248</x:v>
      </x:c>
      <x:c r="B3863" s="3" t="str">
        <x:v>Weak</x:v>
      </x:c>
      <x:c r="C3863" s="18" t="n">
        <x:v>6107</x:v>
      </x:c>
      <x:c r="D3863" s="3" t="str">
        <x:v>Relative cutoff 1e-6</x:v>
      </x:c>
      <x:c r="E3863" s="18" t="n">
        <x:v>800</x:v>
      </x:c>
      <x:c r="F3863" s="21" t="n">
        <x:v>348.71138643419266</x:v>
      </x:c>
      <x:c r="G3863" s="21" t="n">
        <x:f>F3859</x:f>
        <x:v>326.26187172648537</x:v>
      </x:c>
      <x:c r="H3863" s="21" t="n">
        <x:f>F3864</x:f>
        <x:v>354.07731848702065</x:v>
      </x:c>
      <x:c r="I3863" s="27" t="n">
        <x:f>IF(AND(ISNUMBER(G3863),ISNUMBER(H3863),H3863&gt;0),G3863/H3863-1,"")</x:f>
        <x:v>-0.0785575503096082</x:v>
      </x:c>
      <x:c r="J3863" s="27" t="n">
        <x:f>IF(AND(ISNUMBER(G3863),F3863&gt;0),G3863/F3863-1,"")</x:f>
        <x:v>-0.06437849631831238</x:v>
      </x:c>
      <x:c r="K3863" s="19" t="str">
        <x:v>Weak/EXP248/results/seed6107_Relative_cutoff_1e-6.json</x:v>
      </x:c>
    </x:row>
    <x:row r="3864" ht="15" hidden="0" customHeight="1">
      <x:c r="A3864" s="3" t="str">
        <x:v>EXP248</x:v>
      </x:c>
      <x:c r="B3864" s="3" t="str">
        <x:v>Weak</x:v>
      </x:c>
      <x:c r="C3864" s="18" t="n">
        <x:v>6107</x:v>
      </x:c>
      <x:c r="D3864" s="3" t="str">
        <x:v>Full</x:v>
      </x:c>
      <x:c r="E3864" s="18" t="n">
        <x:v>800</x:v>
      </x:c>
      <x:c r="F3864" s="21" t="n">
        <x:v>354.07731848702065</x:v>
      </x:c>
      <x:c r="G3864" s="21" t="n">
        <x:f>F3859</x:f>
        <x:v>326.26187172648537</x:v>
      </x:c>
      <x:c r="H3864" s="21" t="n">
        <x:f>F3864</x:f>
        <x:v>354.07731848702065</x:v>
      </x:c>
      <x:c r="I3864" s="27" t="n">
        <x:f>IF(AND(ISNUMBER(G3864),ISNUMBER(H3864),H3864&gt;0),G3864/H3864-1,"")</x:f>
        <x:v>-0.0785575503096082</x:v>
      </x:c>
      <x:c r="J3864" s="27" t="n">
        <x:f>IF(AND(ISNUMBER(G3864),F3864&gt;0),G3864/F3864-1,"")</x:f>
        <x:v>-0.0785575503096082</x:v>
      </x:c>
      <x:c r="K3864" s="19" t="str">
        <x:v>Weak/EXP248/results/seed6107_Full.json</x:v>
      </x:c>
    </x:row>
    <x:row r="3865" ht="15" hidden="0" customHeight="1">
      <x:c r="A3865" s="3" t="str">
        <x:v>EXP248</x:v>
      </x:c>
      <x:c r="B3865" s="3" t="str">
        <x:v>Weak</x:v>
      </x:c>
      <x:c r="C3865" s="18" t="n">
        <x:v>6107</x:v>
      </x:c>
      <x:c r="D3865" s="3" t="str">
        <x:v>Relative cutoff 1e-2</x:v>
      </x:c>
      <x:c r="E3865" s="18" t="n">
        <x:v>800</x:v>
      </x:c>
      <x:c r="F3865" s="21" t="n">
        <x:v>453.0416986201127</x:v>
      </x:c>
      <x:c r="G3865" s="21" t="n">
        <x:f>F3859</x:f>
        <x:v>326.26187172648537</x:v>
      </x:c>
      <x:c r="H3865" s="21" t="n">
        <x:f>F3864</x:f>
        <x:v>354.07731848702065</x:v>
      </x:c>
      <x:c r="I3865" s="27" t="n">
        <x:f>IF(AND(ISNUMBER(G3865),ISNUMBER(H3865),H3865&gt;0),G3865/H3865-1,"")</x:f>
        <x:v>-0.0785575503096082</x:v>
      </x:c>
      <x:c r="J3865" s="27" t="n">
        <x:f>IF(AND(ISNUMBER(G3865),F3865&gt;0),G3865/F3865-1,"")</x:f>
        <x:v>-0.2798414081524436</x:v>
      </x:c>
      <x:c r="K3865" s="19" t="str">
        <x:v>Weak/EXP248/results/seed6107_Relative_cutoff_1e-2.json</x:v>
      </x:c>
    </x:row>
    <x:row r="3866" ht="15" hidden="0" customHeight="1">
      <x:c r="A3866" s="3" t="str">
        <x:v>EXP248</x:v>
      </x:c>
      <x:c r="B3866" s="3" t="str">
        <x:v>Weak</x:v>
      </x:c>
      <x:c r="C3866" s="18" t="n">
        <x:v>6107</x:v>
      </x:c>
      <x:c r="D3866" s="3" t="str">
        <x:v>Relative cutoff 1e-4</x:v>
      </x:c>
      <x:c r="E3866" s="18" t="n">
        <x:v>800</x:v>
      </x:c>
      <x:c r="F3866" s="21" t="n">
        <x:v>317.73625488926893</x:v>
      </x:c>
      <x:c r="G3866" s="21" t="n">
        <x:f>F3859</x:f>
        <x:v>326.26187172648537</x:v>
      </x:c>
      <x:c r="H3866" s="21" t="n">
        <x:f>F3864</x:f>
        <x:v>354.07731848702065</x:v>
      </x:c>
      <x:c r="I3866" s="27" t="n">
        <x:f>IF(AND(ISNUMBER(G3866),ISNUMBER(H3866),H3866&gt;0),G3866/H3866-1,"")</x:f>
        <x:v>-0.0785575503096082</x:v>
      </x:c>
      <x:c r="J3866" s="27" t="n">
        <x:f>IF(AND(ISNUMBER(G3866),F3866&gt;0),G3866/F3866-1,"")</x:f>
        <x:v>0.026832370263152994</x:v>
      </x:c>
      <x:c r="K3866" s="19" t="str">
        <x:v>Weak/EXP248/results/seed6107_Relative_cutoff_1e-4.json</x:v>
      </x:c>
    </x:row>
    <x:row r="3867" ht="15" hidden="0" customHeight="1">
      <x:c r="A3867" s="3" t="str">
        <x:v>EXP248</x:v>
      </x:c>
      <x:c r="B3867" s="3" t="str">
        <x:v>Weak</x:v>
      </x:c>
      <x:c r="C3867" s="18" t="n">
        <x:v>6108</x:v>
      </x:c>
      <x:c r="D3867" s="3" t="str">
        <x:v>BBP</x:v>
      </x:c>
      <x:c r="E3867" s="18" t="n">
        <x:v>800</x:v>
      </x:c>
      <x:c r="F3867" s="21" t="n">
        <x:v>348.7529879974262</x:v>
      </x:c>
      <x:c r="G3867" s="21" t="n">
        <x:f>F3867</x:f>
        <x:v>348.7529879974262</x:v>
      </x:c>
      <x:c r="H3867" s="21" t="n">
        <x:f>F3872</x:f>
        <x:v>353.58454710675824</x:v>
      </x:c>
      <x:c r="I3867" s="27" t="n">
        <x:f>IF(AND(ISNUMBER(G3867),ISNUMBER(H3867),H3867&gt;0),G3867/H3867-1,"")</x:f>
        <x:v>-0.013664508669473108</x:v>
      </x:c>
      <x:c r="J3867" s="27" t="n">
        <x:f>IF(AND(ISNUMBER(G3867),F3867&gt;0),G3867/F3867-1,"")</x:f>
        <x:v>0</x:v>
      </x:c>
      <x:c r="K3867" s="19" t="str">
        <x:v>Weak/EXP248/results/seed6108_BBP.json</x:v>
      </x:c>
    </x:row>
    <x:row r="3868" ht="15" hidden="0" customHeight="1">
      <x:c r="A3868" s="3" t="str">
        <x:v>EXP248</x:v>
      </x:c>
      <x:c r="B3868" s="3" t="str">
        <x:v>Weak</x:v>
      </x:c>
      <x:c r="C3868" s="18" t="n">
        <x:v>6108</x:v>
      </x:c>
      <x:c r="D3868" s="3" t="str">
        <x:v>Relative cutoff 1e-5</x:v>
      </x:c>
      <x:c r="E3868" s="18" t="n">
        <x:v>800</x:v>
      </x:c>
      <x:c r="F3868" s="21" t="n">
        <x:v>326.9922158123976</x:v>
      </x:c>
      <x:c r="G3868" s="21" t="n">
        <x:f>F3867</x:f>
        <x:v>348.7529879974262</x:v>
      </x:c>
      <x:c r="H3868" s="21" t="n">
        <x:f>F3872</x:f>
        <x:v>353.58454710675824</x:v>
      </x:c>
      <x:c r="I3868" s="27" t="n">
        <x:f>IF(AND(ISNUMBER(G3868),ISNUMBER(H3868),H3868&gt;0),G3868/H3868-1,"")</x:f>
        <x:v>-0.013664508669473108</x:v>
      </x:c>
      <x:c r="J3868" s="27" t="n">
        <x:f>IF(AND(ISNUMBER(G3868),F3868&gt;0),G3868/F3868-1,"")</x:f>
        <x:v>0.06654828810210334</x:v>
      </x:c>
      <x:c r="K3868" s="19" t="str">
        <x:v>Weak/EXP248/results/seed6108_Relative_cutoff_1e-5.json</x:v>
      </x:c>
    </x:row>
    <x:row r="3869" ht="15" hidden="0" customHeight="1">
      <x:c r="A3869" s="3" t="str">
        <x:v>EXP248</x:v>
      </x:c>
      <x:c r="B3869" s="3" t="str">
        <x:v>Weak</x:v>
      </x:c>
      <x:c r="C3869" s="18" t="n">
        <x:v>6108</x:v>
      </x:c>
      <x:c r="D3869" s="3" t="str">
        <x:v>Fixed rank 10</x:v>
      </x:c>
      <x:c r="E3869" s="18" t="n">
        <x:v>800</x:v>
      </x:c>
      <x:c r="F3869" s="21" t="n">
        <x:v>312.01509284950316</x:v>
      </x:c>
      <x:c r="G3869" s="21" t="n">
        <x:f>F3867</x:f>
        <x:v>348.7529879974262</x:v>
      </x:c>
      <x:c r="H3869" s="21" t="n">
        <x:f>F3872</x:f>
        <x:v>353.58454710675824</x:v>
      </x:c>
      <x:c r="I3869" s="27" t="n">
        <x:f>IF(AND(ISNUMBER(G3869),ISNUMBER(H3869),H3869&gt;0),G3869/H3869-1,"")</x:f>
        <x:v>-0.013664508669473108</x:v>
      </x:c>
      <x:c r="J3869" s="27" t="n">
        <x:f>IF(AND(ISNUMBER(G3869),F3869&gt;0),G3869/F3869-1,"")</x:f>
        <x:v>0.11774396812798771</x:v>
      </x:c>
      <x:c r="K3869" s="19" t="str">
        <x:v>Weak/EXP248/results/seed6108_Fixed_rank_10.json</x:v>
      </x:c>
    </x:row>
    <x:row r="3870" ht="15" hidden="0" customHeight="1">
      <x:c r="A3870" s="3" t="str">
        <x:v>EXP248</x:v>
      </x:c>
      <x:c r="B3870" s="3" t="str">
        <x:v>Weak</x:v>
      </x:c>
      <x:c r="C3870" s="18" t="n">
        <x:v>6108</x:v>
      </x:c>
      <x:c r="D3870" s="3" t="str">
        <x:v>Fixed rank 25</x:v>
      </x:c>
      <x:c r="E3870" s="18" t="n">
        <x:v>800</x:v>
      </x:c>
      <x:c r="F3870" s="21" t="n">
        <x:v>358.07250681071116</x:v>
      </x:c>
      <x:c r="G3870" s="21" t="n">
        <x:f>F3867</x:f>
        <x:v>348.7529879974262</x:v>
      </x:c>
      <x:c r="H3870" s="21" t="n">
        <x:f>F3872</x:f>
        <x:v>353.58454710675824</x:v>
      </x:c>
      <x:c r="I3870" s="27" t="n">
        <x:f>IF(AND(ISNUMBER(G3870),ISNUMBER(H3870),H3870&gt;0),G3870/H3870-1,"")</x:f>
        <x:v>-0.013664508669473108</x:v>
      </x:c>
      <x:c r="J3870" s="27" t="n">
        <x:f>IF(AND(ISNUMBER(G3870),F3870&gt;0),G3870/F3870-1,"")</x:f>
        <x:v>-0.02602690414936426</x:v>
      </x:c>
      <x:c r="K3870" s="19" t="str">
        <x:v>Weak/EXP248/results/seed6108_Fixed_rank_25.json</x:v>
      </x:c>
    </x:row>
    <x:row r="3871" ht="15" hidden="0" customHeight="1">
      <x:c r="A3871" s="3" t="str">
        <x:v>EXP248</x:v>
      </x:c>
      <x:c r="B3871" s="3" t="str">
        <x:v>Weak</x:v>
      </x:c>
      <x:c r="C3871" s="18" t="n">
        <x:v>6108</x:v>
      </x:c>
      <x:c r="D3871" s="3" t="str">
        <x:v>Relative cutoff 1e-6</x:v>
      </x:c>
      <x:c r="E3871" s="18" t="n">
        <x:v>800</x:v>
      </x:c>
      <x:c r="F3871" s="21" t="n">
        <x:v>371.43878695520465</x:v>
      </x:c>
      <x:c r="G3871" s="21" t="n">
        <x:f>F3867</x:f>
        <x:v>348.7529879974262</x:v>
      </x:c>
      <x:c r="H3871" s="21" t="n">
        <x:f>F3872</x:f>
        <x:v>353.58454710675824</x:v>
      </x:c>
      <x:c r="I3871" s="27" t="n">
        <x:f>IF(AND(ISNUMBER(G3871),ISNUMBER(H3871),H3871&gt;0),G3871/H3871-1,"")</x:f>
        <x:v>-0.013664508669473108</x:v>
      </x:c>
      <x:c r="J3871" s="27" t="n">
        <x:f>IF(AND(ISNUMBER(G3871),F3871&gt;0),G3871/F3871-1,"")</x:f>
        <x:v>-0.061075471260663816</x:v>
      </x:c>
      <x:c r="K3871" s="19" t="str">
        <x:v>Weak/EXP248/results/seed6108_Relative_cutoff_1e-6.json</x:v>
      </x:c>
    </x:row>
    <x:row r="3872" ht="15" hidden="0" customHeight="1">
      <x:c r="A3872" s="3" t="str">
        <x:v>EXP248</x:v>
      </x:c>
      <x:c r="B3872" s="3" t="str">
        <x:v>Weak</x:v>
      </x:c>
      <x:c r="C3872" s="18" t="n">
        <x:v>6108</x:v>
      </x:c>
      <x:c r="D3872" s="3" t="str">
        <x:v>Full</x:v>
      </x:c>
      <x:c r="E3872" s="18" t="n">
        <x:v>800</x:v>
      </x:c>
      <x:c r="F3872" s="21" t="n">
        <x:v>353.58454710675824</x:v>
      </x:c>
      <x:c r="G3872" s="21" t="n">
        <x:f>F3867</x:f>
        <x:v>348.7529879974262</x:v>
      </x:c>
      <x:c r="H3872" s="21" t="n">
        <x:f>F3872</x:f>
        <x:v>353.58454710675824</x:v>
      </x:c>
      <x:c r="I3872" s="27" t="n">
        <x:f>IF(AND(ISNUMBER(G3872),ISNUMBER(H3872),H3872&gt;0),G3872/H3872-1,"")</x:f>
        <x:v>-0.013664508669473108</x:v>
      </x:c>
      <x:c r="J3872" s="27" t="n">
        <x:f>IF(AND(ISNUMBER(G3872),F3872&gt;0),G3872/F3872-1,"")</x:f>
        <x:v>-0.013664508669473108</x:v>
      </x:c>
      <x:c r="K3872" s="19" t="str">
        <x:v>Weak/EXP248/results/seed6108_Full.json</x:v>
      </x:c>
    </x:row>
    <x:row r="3873" ht="15" hidden="0" customHeight="1">
      <x:c r="A3873" s="3" t="str">
        <x:v>EXP248</x:v>
      </x:c>
      <x:c r="B3873" s="3" t="str">
        <x:v>Weak</x:v>
      </x:c>
      <x:c r="C3873" s="18" t="n">
        <x:v>6108</x:v>
      </x:c>
      <x:c r="D3873" s="3" t="str">
        <x:v>Relative cutoff 1e-2</x:v>
      </x:c>
      <x:c r="E3873" s="18" t="n">
        <x:v>800</x:v>
      </x:c>
      <x:c r="F3873" s="21" t="n">
        <x:v>412.3087865607626</x:v>
      </x:c>
      <x:c r="G3873" s="21" t="n">
        <x:f>F3867</x:f>
        <x:v>348.7529879974262</x:v>
      </x:c>
      <x:c r="H3873" s="21" t="n">
        <x:f>F3872</x:f>
        <x:v>353.58454710675824</x:v>
      </x:c>
      <x:c r="I3873" s="27" t="n">
        <x:f>IF(AND(ISNUMBER(G3873),ISNUMBER(H3873),H3873&gt;0),G3873/H3873-1,"")</x:f>
        <x:v>-0.013664508669473108</x:v>
      </x:c>
      <x:c r="J3873" s="27" t="n">
        <x:f>IF(AND(ISNUMBER(G3873),F3873&gt;0),G3873/F3873-1,"")</x:f>
        <x:v>-0.15414611726682204</x:v>
      </x:c>
      <x:c r="K3873" s="19" t="str">
        <x:v>Weak/EXP248/results/seed6108_Relative_cutoff_1e-2.json</x:v>
      </x:c>
    </x:row>
    <x:row r="3874" ht="15" hidden="0" customHeight="1">
      <x:c r="A3874" s="3" t="str">
        <x:v>EXP248</x:v>
      </x:c>
      <x:c r="B3874" s="3" t="str">
        <x:v>Weak</x:v>
      </x:c>
      <x:c r="C3874" s="18" t="n">
        <x:v>6108</x:v>
      </x:c>
      <x:c r="D3874" s="3" t="str">
        <x:v>Relative cutoff 1e-4</x:v>
      </x:c>
      <x:c r="E3874" s="18" t="n">
        <x:v>800</x:v>
      </x:c>
      <x:c r="F3874" s="21" t="n">
        <x:v>411.94262622063223</x:v>
      </x:c>
      <x:c r="G3874" s="21" t="n">
        <x:f>F3867</x:f>
        <x:v>348.7529879974262</x:v>
      </x:c>
      <x:c r="H3874" s="21" t="n">
        <x:f>F3872</x:f>
        <x:v>353.58454710675824</x:v>
      </x:c>
      <x:c r="I3874" s="27" t="n">
        <x:f>IF(AND(ISNUMBER(G3874),ISNUMBER(H3874),H3874&gt;0),G3874/H3874-1,"")</x:f>
        <x:v>-0.013664508669473108</x:v>
      </x:c>
      <x:c r="J3874" s="27" t="n">
        <x:f>IF(AND(ISNUMBER(G3874),F3874&gt;0),G3874/F3874-1,"")</x:f>
        <x:v>-0.15339426949558332</x:v>
      </x:c>
      <x:c r="K3874" s="19" t="str">
        <x:v>Weak/EXP248/results/seed6108_Relative_cutoff_1e-4.json</x:v>
      </x:c>
    </x:row>
    <x:row r="3875" ht="15" hidden="0" customHeight="1">
      <x:c r="A3875" s="3" t="str">
        <x:v>EXP248</x:v>
      </x:c>
      <x:c r="B3875" s="3" t="str">
        <x:v>Weak</x:v>
      </x:c>
      <x:c r="C3875" s="18" t="n">
        <x:v>6109</x:v>
      </x:c>
      <x:c r="D3875" s="3" t="str">
        <x:v>BBP</x:v>
      </x:c>
      <x:c r="E3875" s="18" t="n">
        <x:v>800</x:v>
      </x:c>
      <x:c r="F3875" s="21" t="n">
        <x:v>473.9384426303366</x:v>
      </x:c>
      <x:c r="G3875" s="21" t="n">
        <x:f>F3875</x:f>
        <x:v>473.9384426303366</x:v>
      </x:c>
      <x:c r="H3875" s="21" t="n">
        <x:f>F3880</x:f>
        <x:v>530.6660508431197</x:v>
      </x:c>
      <x:c r="I3875" s="27" t="n">
        <x:f>IF(AND(ISNUMBER(G3875),ISNUMBER(H3875),H3875&gt;0),G3875/H3875-1,"")</x:f>
        <x:v>-0.1068988832480513</x:v>
      </x:c>
      <x:c r="J3875" s="27" t="n">
        <x:f>IF(AND(ISNUMBER(G3875),F3875&gt;0),G3875/F3875-1,"")</x:f>
        <x:v>0</x:v>
      </x:c>
      <x:c r="K3875" s="19" t="str">
        <x:v>Weak/EXP248/results/seed6109_BBP.json</x:v>
      </x:c>
    </x:row>
    <x:row r="3876" ht="15" hidden="0" customHeight="1">
      <x:c r="A3876" s="3" t="str">
        <x:v>EXP248</x:v>
      </x:c>
      <x:c r="B3876" s="3" t="str">
        <x:v>Weak</x:v>
      </x:c>
      <x:c r="C3876" s="18" t="n">
        <x:v>6109</x:v>
      </x:c>
      <x:c r="D3876" s="3" t="str">
        <x:v>Relative cutoff 1e-5</x:v>
      </x:c>
      <x:c r="E3876" s="18" t="n">
        <x:v>800</x:v>
      </x:c>
      <x:c r="F3876" s="21" t="n">
        <x:v>525.5696571215433</x:v>
      </x:c>
      <x:c r="G3876" s="21" t="n">
        <x:f>F3875</x:f>
        <x:v>473.9384426303366</x:v>
      </x:c>
      <x:c r="H3876" s="21" t="n">
        <x:f>F3880</x:f>
        <x:v>530.6660508431197</x:v>
      </x:c>
      <x:c r="I3876" s="27" t="n">
        <x:f>IF(AND(ISNUMBER(G3876),ISNUMBER(H3876),H3876&gt;0),G3876/H3876-1,"")</x:f>
        <x:v>-0.1068988832480513</x:v>
      </x:c>
      <x:c r="J3876" s="27" t="n">
        <x:f>IF(AND(ISNUMBER(G3876),F3876&gt;0),G3876/F3876-1,"")</x:f>
        <x:v>-0.09823857559430305</x:v>
      </x:c>
      <x:c r="K3876" s="19" t="str">
        <x:v>Weak/EXP248/results/seed6109_Relative_cutoff_1e-5.json</x:v>
      </x:c>
    </x:row>
    <x:row r="3877" ht="15" hidden="0" customHeight="1">
      <x:c r="A3877" s="3" t="str">
        <x:v>EXP248</x:v>
      </x:c>
      <x:c r="B3877" s="3" t="str">
        <x:v>Weak</x:v>
      </x:c>
      <x:c r="C3877" s="18" t="n">
        <x:v>6109</x:v>
      </x:c>
      <x:c r="D3877" s="3" t="str">
        <x:v>Fixed rank 10</x:v>
      </x:c>
      <x:c r="E3877" s="18" t="n">
        <x:v>800</x:v>
      </x:c>
      <x:c r="F3877" s="21" t="n">
        <x:v>492.1022305715707</x:v>
      </x:c>
      <x:c r="G3877" s="21" t="n">
        <x:f>F3875</x:f>
        <x:v>473.9384426303366</x:v>
      </x:c>
      <x:c r="H3877" s="21" t="n">
        <x:f>F3880</x:f>
        <x:v>530.6660508431197</x:v>
      </x:c>
      <x:c r="I3877" s="27" t="n">
        <x:f>IF(AND(ISNUMBER(G3877),ISNUMBER(H3877),H3877&gt;0),G3877/H3877-1,"")</x:f>
        <x:v>-0.1068988832480513</x:v>
      </x:c>
      <x:c r="J3877" s="27" t="n">
        <x:f>IF(AND(ISNUMBER(G3877),F3877&gt;0),G3877/F3877-1,"")</x:f>
        <x:v>-0.0369105986781183</x:v>
      </x:c>
      <x:c r="K3877" s="19" t="str">
        <x:v>Weak/EXP248/results/seed6109_Fixed_rank_10.json</x:v>
      </x:c>
    </x:row>
    <x:row r="3878" ht="15" hidden="0" customHeight="1">
      <x:c r="A3878" s="3" t="str">
        <x:v>EXP248</x:v>
      </x:c>
      <x:c r="B3878" s="3" t="str">
        <x:v>Weak</x:v>
      </x:c>
      <x:c r="C3878" s="18" t="n">
        <x:v>6109</x:v>
      </x:c>
      <x:c r="D3878" s="3" t="str">
        <x:v>Fixed rank 25</x:v>
      </x:c>
      <x:c r="E3878" s="18" t="n">
        <x:v>800</x:v>
      </x:c>
      <x:c r="F3878" s="21" t="n">
        <x:v>481.03890766782166</x:v>
      </x:c>
      <x:c r="G3878" s="21" t="n">
        <x:f>F3875</x:f>
        <x:v>473.9384426303366</x:v>
      </x:c>
      <x:c r="H3878" s="21" t="n">
        <x:f>F3880</x:f>
        <x:v>530.6660508431197</x:v>
      </x:c>
      <x:c r="I3878" s="27" t="n">
        <x:f>IF(AND(ISNUMBER(G3878),ISNUMBER(H3878),H3878&gt;0),G3878/H3878-1,"")</x:f>
        <x:v>-0.1068988832480513</x:v>
      </x:c>
      <x:c r="J3878" s="27" t="n">
        <x:f>IF(AND(ISNUMBER(G3878),F3878&gt;0),G3878/F3878-1,"")</x:f>
        <x:v>-0.01476068759574889</x:v>
      </x:c>
      <x:c r="K3878" s="19" t="str">
        <x:v>Weak/EXP248/results/seed6109_Fixed_rank_25.json</x:v>
      </x:c>
    </x:row>
    <x:row r="3879" ht="15" hidden="0" customHeight="1">
      <x:c r="A3879" s="3" t="str">
        <x:v>EXP248</x:v>
      </x:c>
      <x:c r="B3879" s="3" t="str">
        <x:v>Weak</x:v>
      </x:c>
      <x:c r="C3879" s="18" t="n">
        <x:v>6109</x:v>
      </x:c>
      <x:c r="D3879" s="3" t="str">
        <x:v>Relative cutoff 1e-6</x:v>
      </x:c>
      <x:c r="E3879" s="18" t="n">
        <x:v>800</x:v>
      </x:c>
      <x:c r="F3879" s="21" t="n">
        <x:v>540.0716083040513</x:v>
      </x:c>
      <x:c r="G3879" s="21" t="n">
        <x:f>F3875</x:f>
        <x:v>473.9384426303366</x:v>
      </x:c>
      <x:c r="H3879" s="21" t="n">
        <x:f>F3880</x:f>
        <x:v>530.6660508431197</x:v>
      </x:c>
      <x:c r="I3879" s="27" t="n">
        <x:f>IF(AND(ISNUMBER(G3879),ISNUMBER(H3879),H3879&gt;0),G3879/H3879-1,"")</x:f>
        <x:v>-0.1068988832480513</x:v>
      </x:c>
      <x:c r="J3879" s="27" t="n">
        <x:f>IF(AND(ISNUMBER(G3879),F3879&gt;0),G3879/F3879-1,"")</x:f>
        <x:v>-0.12245258713263596</x:v>
      </x:c>
      <x:c r="K3879" s="19" t="str">
        <x:v>Weak/EXP248/results/seed6109_Relative_cutoff_1e-6.json</x:v>
      </x:c>
    </x:row>
    <x:row r="3880" ht="15" hidden="0" customHeight="1">
      <x:c r="A3880" s="3" t="str">
        <x:v>EXP248</x:v>
      </x:c>
      <x:c r="B3880" s="3" t="str">
        <x:v>Weak</x:v>
      </x:c>
      <x:c r="C3880" s="18" t="n">
        <x:v>6109</x:v>
      </x:c>
      <x:c r="D3880" s="3" t="str">
        <x:v>Full</x:v>
      </x:c>
      <x:c r="E3880" s="18" t="n">
        <x:v>800</x:v>
      </x:c>
      <x:c r="F3880" s="21" t="n">
        <x:v>530.6660508431197</x:v>
      </x:c>
      <x:c r="G3880" s="21" t="n">
        <x:f>F3875</x:f>
        <x:v>473.9384426303366</x:v>
      </x:c>
      <x:c r="H3880" s="21" t="n">
        <x:f>F3880</x:f>
        <x:v>530.6660508431197</x:v>
      </x:c>
      <x:c r="I3880" s="27" t="n">
        <x:f>IF(AND(ISNUMBER(G3880),ISNUMBER(H3880),H3880&gt;0),G3880/H3880-1,"")</x:f>
        <x:v>-0.1068988832480513</x:v>
      </x:c>
      <x:c r="J3880" s="27" t="n">
        <x:f>IF(AND(ISNUMBER(G3880),F3880&gt;0),G3880/F3880-1,"")</x:f>
        <x:v>-0.1068988832480513</x:v>
      </x:c>
      <x:c r="K3880" s="19" t="str">
        <x:v>Weak/EXP248/results/seed6109_Full.json</x:v>
      </x:c>
    </x:row>
    <x:row r="3881" ht="15" hidden="0" customHeight="1">
      <x:c r="A3881" s="3" t="str">
        <x:v>EXP248</x:v>
      </x:c>
      <x:c r="B3881" s="3" t="str">
        <x:v>Weak</x:v>
      </x:c>
      <x:c r="C3881" s="18" t="n">
        <x:v>6109</x:v>
      </x:c>
      <x:c r="D3881" s="3" t="str">
        <x:v>Relative cutoff 1e-2</x:v>
      </x:c>
      <x:c r="E3881" s="18" t="n">
        <x:v>800</x:v>
      </x:c>
      <x:c r="F3881" s="21" t="n">
        <x:v>592.2374176008975</x:v>
      </x:c>
      <x:c r="G3881" s="21" t="n">
        <x:f>F3875</x:f>
        <x:v>473.9384426303366</x:v>
      </x:c>
      <x:c r="H3881" s="21" t="n">
        <x:f>F3880</x:f>
        <x:v>530.6660508431197</x:v>
      </x:c>
      <x:c r="I3881" s="27" t="n">
        <x:f>IF(AND(ISNUMBER(G3881),ISNUMBER(H3881),H3881&gt;0),G3881/H3881-1,"")</x:f>
        <x:v>-0.1068988832480513</x:v>
      </x:c>
      <x:c r="J3881" s="27" t="n">
        <x:f>IF(AND(ISNUMBER(G3881),F3881&gt;0),G3881/F3881-1,"")</x:f>
        <x:v>-0.19974924152847318</x:v>
      </x:c>
      <x:c r="K3881" s="19" t="str">
        <x:v>Weak/EXP248/results/seed6109_Relative_cutoff_1e-2.json</x:v>
      </x:c>
    </x:row>
    <x:row r="3882" ht="15" hidden="0" customHeight="1">
      <x:c r="A3882" s="3" t="str">
        <x:v>EXP248</x:v>
      </x:c>
      <x:c r="B3882" s="3" t="str">
        <x:v>Weak</x:v>
      </x:c>
      <x:c r="C3882" s="18" t="n">
        <x:v>6109</x:v>
      </x:c>
      <x:c r="D3882" s="3" t="str">
        <x:v>Relative cutoff 1e-4</x:v>
      </x:c>
      <x:c r="E3882" s="18" t="n">
        <x:v>800</x:v>
      </x:c>
      <x:c r="F3882" s="21" t="n">
        <x:v>490.98679694392916</x:v>
      </x:c>
      <x:c r="G3882" s="21" t="n">
        <x:f>F3875</x:f>
        <x:v>473.9384426303366</x:v>
      </x:c>
      <x:c r="H3882" s="21" t="n">
        <x:f>F3880</x:f>
        <x:v>530.6660508431197</x:v>
      </x:c>
      <x:c r="I3882" s="27" t="n">
        <x:f>IF(AND(ISNUMBER(G3882),ISNUMBER(H3882),H3882&gt;0),G3882/H3882-1,"")</x:f>
        <x:v>-0.1068988832480513</x:v>
      </x:c>
      <x:c r="J3882" s="27" t="n">
        <x:f>IF(AND(ISNUMBER(G3882),F3882&gt;0),G3882/F3882-1,"")</x:f>
        <x:v>-0.034722632909290785</x:v>
      </x:c>
      <x:c r="K3882" s="19" t="str">
        <x:v>Weak/EXP248/results/seed6109_Relative_cutoff_1e-4.json</x:v>
      </x:c>
    </x:row>
    <x:row r="3883" ht="15" hidden="0" customHeight="1">
      <x:c r="A3883" s="3" t="str">
        <x:v>EXP248</x:v>
      </x:c>
      <x:c r="B3883" s="3" t="str">
        <x:v>Weak</x:v>
      </x:c>
      <x:c r="C3883" s="18" t="n">
        <x:v>6110</x:v>
      </x:c>
      <x:c r="D3883" s="3" t="str">
        <x:v>BBP</x:v>
      </x:c>
      <x:c r="E3883" s="18" t="n">
        <x:v>800</x:v>
      </x:c>
      <x:c r="F3883" s="21" t="n">
        <x:v>477.1303419519297</x:v>
      </x:c>
      <x:c r="G3883" s="21" t="n">
        <x:f>F3883</x:f>
        <x:v>477.1303419519297</x:v>
      </x:c>
      <x:c r="H3883" s="21" t="n">
        <x:f>F3888</x:f>
        <x:v>504.5996689530422</x:v>
      </x:c>
      <x:c r="I3883" s="27" t="n">
        <x:f>IF(AND(ISNUMBER(G3883),ISNUMBER(H3883),H3883&gt;0),G3883/H3883-1,"")</x:f>
        <x:v>-0.05443786171740195</x:v>
      </x:c>
      <x:c r="J3883" s="27" t="n">
        <x:f>IF(AND(ISNUMBER(G3883),F3883&gt;0),G3883/F3883-1,"")</x:f>
        <x:v>0</x:v>
      </x:c>
      <x:c r="K3883" s="19" t="str">
        <x:v>Weak/EXP248/results/seed6110_BBP.json</x:v>
      </x:c>
    </x:row>
    <x:row r="3884" ht="15" hidden="0" customHeight="1">
      <x:c r="A3884" s="3" t="str">
        <x:v>EXP248</x:v>
      </x:c>
      <x:c r="B3884" s="3" t="str">
        <x:v>Weak</x:v>
      </x:c>
      <x:c r="C3884" s="18" t="n">
        <x:v>6110</x:v>
      </x:c>
      <x:c r="D3884" s="3" t="str">
        <x:v>Relative cutoff 1e-5</x:v>
      </x:c>
      <x:c r="E3884" s="18" t="n">
        <x:v>800</x:v>
      </x:c>
      <x:c r="F3884" s="21" t="n">
        <x:v>450.5601591250195</x:v>
      </x:c>
      <x:c r="G3884" s="21" t="n">
        <x:f>F3883</x:f>
        <x:v>477.1303419519297</x:v>
      </x:c>
      <x:c r="H3884" s="21" t="n">
        <x:f>F3888</x:f>
        <x:v>504.5996689530422</x:v>
      </x:c>
      <x:c r="I3884" s="27" t="n">
        <x:f>IF(AND(ISNUMBER(G3884),ISNUMBER(H3884),H3884&gt;0),G3884/H3884-1,"")</x:f>
        <x:v>-0.05443786171740195</x:v>
      </x:c>
      <x:c r="J3884" s="27" t="n">
        <x:f>IF(AND(ISNUMBER(G3884),F3884&gt;0),G3884/F3884-1,"")</x:f>
        <x:v>0.05897144318865011</x:v>
      </x:c>
      <x:c r="K3884" s="19" t="str">
        <x:v>Weak/EXP248/results/seed6110_Relative_cutoff_1e-5.json</x:v>
      </x:c>
    </x:row>
    <x:row r="3885" ht="15" hidden="0" customHeight="1">
      <x:c r="A3885" s="3" t="str">
        <x:v>EXP248</x:v>
      </x:c>
      <x:c r="B3885" s="3" t="str">
        <x:v>Weak</x:v>
      </x:c>
      <x:c r="C3885" s="18" t="n">
        <x:v>6110</x:v>
      </x:c>
      <x:c r="D3885" s="3" t="str">
        <x:v>Fixed rank 10</x:v>
      </x:c>
      <x:c r="E3885" s="18" t="n">
        <x:v>800</x:v>
      </x:c>
      <x:c r="F3885" s="21" t="n">
        <x:v>564.4593263325548</x:v>
      </x:c>
      <x:c r="G3885" s="21" t="n">
        <x:f>F3883</x:f>
        <x:v>477.1303419519297</x:v>
      </x:c>
      <x:c r="H3885" s="21" t="n">
        <x:f>F3888</x:f>
        <x:v>504.5996689530422</x:v>
      </x:c>
      <x:c r="I3885" s="27" t="n">
        <x:f>IF(AND(ISNUMBER(G3885),ISNUMBER(H3885),H3885&gt;0),G3885/H3885-1,"")</x:f>
        <x:v>-0.05443786171740195</x:v>
      </x:c>
      <x:c r="J3885" s="27" t="n">
        <x:f>IF(AND(ISNUMBER(G3885),F3885&gt;0),G3885/F3885-1,"")</x:f>
        <x:v>-0.15471262552791032</x:v>
      </x:c>
      <x:c r="K3885" s="19" t="str">
        <x:v>Weak/EXP248/results/seed6110_Fixed_rank_10.json</x:v>
      </x:c>
    </x:row>
    <x:row r="3886" ht="15" hidden="0" customHeight="1">
      <x:c r="A3886" s="3" t="str">
        <x:v>EXP248</x:v>
      </x:c>
      <x:c r="B3886" s="3" t="str">
        <x:v>Weak</x:v>
      </x:c>
      <x:c r="C3886" s="18" t="n">
        <x:v>6110</x:v>
      </x:c>
      <x:c r="D3886" s="3" t="str">
        <x:v>Fixed rank 25</x:v>
      </x:c>
      <x:c r="E3886" s="18" t="n">
        <x:v>800</x:v>
      </x:c>
      <x:c r="F3886" s="21" t="n">
        <x:v>458.17143400116004</x:v>
      </x:c>
      <x:c r="G3886" s="21" t="n">
        <x:f>F3883</x:f>
        <x:v>477.1303419519297</x:v>
      </x:c>
      <x:c r="H3886" s="21" t="n">
        <x:f>F3888</x:f>
        <x:v>504.5996689530422</x:v>
      </x:c>
      <x:c r="I3886" s="27" t="n">
        <x:f>IF(AND(ISNUMBER(G3886),ISNUMBER(H3886),H3886&gt;0),G3886/H3886-1,"")</x:f>
        <x:v>-0.05443786171740195</x:v>
      </x:c>
      <x:c r="J3886" s="27" t="n">
        <x:f>IF(AND(ISNUMBER(G3886),F3886&gt;0),G3886/F3886-1,"")</x:f>
        <x:v>0.04137950676061064</x:v>
      </x:c>
      <x:c r="K3886" s="19" t="str">
        <x:v>Weak/EXP248/results/seed6110_Fixed_rank_25.json</x:v>
      </x:c>
    </x:row>
    <x:row r="3887" ht="15" hidden="0" customHeight="1">
      <x:c r="A3887" s="3" t="str">
        <x:v>EXP248</x:v>
      </x:c>
      <x:c r="B3887" s="3" t="str">
        <x:v>Weak</x:v>
      </x:c>
      <x:c r="C3887" s="18" t="n">
        <x:v>6110</x:v>
      </x:c>
      <x:c r="D3887" s="3" t="str">
        <x:v>Relative cutoff 1e-6</x:v>
      </x:c>
      <x:c r="E3887" s="18" t="n">
        <x:v>800</x:v>
      </x:c>
      <x:c r="F3887" s="21" t="n">
        <x:v>586.6253054868062</x:v>
      </x:c>
      <x:c r="G3887" s="21" t="n">
        <x:f>F3883</x:f>
        <x:v>477.1303419519297</x:v>
      </x:c>
      <x:c r="H3887" s="21" t="n">
        <x:f>F3888</x:f>
        <x:v>504.5996689530422</x:v>
      </x:c>
      <x:c r="I3887" s="27" t="n">
        <x:f>IF(AND(ISNUMBER(G3887),ISNUMBER(H3887),H3887&gt;0),G3887/H3887-1,"")</x:f>
        <x:v>-0.05443786171740195</x:v>
      </x:c>
      <x:c r="J3887" s="27" t="n">
        <x:f>IF(AND(ISNUMBER(G3887),F3887&gt;0),G3887/F3887-1,"")</x:f>
        <x:v>-0.1866523017516487</x:v>
      </x:c>
      <x:c r="K3887" s="19" t="str">
        <x:v>Weak/EXP248/results/seed6110_Relative_cutoff_1e-6.json</x:v>
      </x:c>
    </x:row>
    <x:row r="3888" ht="15" hidden="0" customHeight="1">
      <x:c r="A3888" s="3" t="str">
        <x:v>EXP248</x:v>
      </x:c>
      <x:c r="B3888" s="3" t="str">
        <x:v>Weak</x:v>
      </x:c>
      <x:c r="C3888" s="18" t="n">
        <x:v>6110</x:v>
      </x:c>
      <x:c r="D3888" s="3" t="str">
        <x:v>Full</x:v>
      </x:c>
      <x:c r="E3888" s="18" t="n">
        <x:v>800</x:v>
      </x:c>
      <x:c r="F3888" s="21" t="n">
        <x:v>504.5996689530422</x:v>
      </x:c>
      <x:c r="G3888" s="21" t="n">
        <x:f>F3883</x:f>
        <x:v>477.1303419519297</x:v>
      </x:c>
      <x:c r="H3888" s="21" t="n">
        <x:f>F3888</x:f>
        <x:v>504.5996689530422</x:v>
      </x:c>
      <x:c r="I3888" s="27" t="n">
        <x:f>IF(AND(ISNUMBER(G3888),ISNUMBER(H3888),H3888&gt;0),G3888/H3888-1,"")</x:f>
        <x:v>-0.05443786171740195</x:v>
      </x:c>
      <x:c r="J3888" s="27" t="n">
        <x:f>IF(AND(ISNUMBER(G3888),F3888&gt;0),G3888/F3888-1,"")</x:f>
        <x:v>-0.05443786171740195</x:v>
      </x:c>
      <x:c r="K3888" s="19" t="str">
        <x:v>Weak/EXP248/results/seed6110_Full.json</x:v>
      </x:c>
    </x:row>
    <x:row r="3889" ht="15" hidden="0" customHeight="1">
      <x:c r="A3889" s="3" t="str">
        <x:v>EXP248</x:v>
      </x:c>
      <x:c r="B3889" s="3" t="str">
        <x:v>Weak</x:v>
      </x:c>
      <x:c r="C3889" s="18" t="n">
        <x:v>6110</x:v>
      </x:c>
      <x:c r="D3889" s="3" t="str">
        <x:v>Relative cutoff 1e-2</x:v>
      </x:c>
      <x:c r="E3889" s="18" t="n">
        <x:v>800</x:v>
      </x:c>
      <x:c r="F3889" s="21" t="n">
        <x:v>666.8395061680859</x:v>
      </x:c>
      <x:c r="G3889" s="21" t="n">
        <x:f>F3883</x:f>
        <x:v>477.1303419519297</x:v>
      </x:c>
      <x:c r="H3889" s="21" t="n">
        <x:f>F3888</x:f>
        <x:v>504.5996689530422</x:v>
      </x:c>
      <x:c r="I3889" s="27" t="n">
        <x:f>IF(AND(ISNUMBER(G3889),ISNUMBER(H3889),H3889&gt;0),G3889/H3889-1,"")</x:f>
        <x:v>-0.05443786171740195</x:v>
      </x:c>
      <x:c r="J3889" s="27" t="n">
        <x:f>IF(AND(ISNUMBER(G3889),F3889&gt;0),G3889/F3889-1,"")</x:f>
        <x:v>-0.28448998966227623</x:v>
      </x:c>
      <x:c r="K3889" s="19" t="str">
        <x:v>Weak/EXP248/results/seed6110_Relative_cutoff_1e-2.json</x:v>
      </x:c>
    </x:row>
    <x:row r="3890" ht="15" hidden="0" customHeight="1">
      <x:c r="A3890" s="3" t="str">
        <x:v>EXP248</x:v>
      </x:c>
      <x:c r="B3890" s="3" t="str">
        <x:v>Weak</x:v>
      </x:c>
      <x:c r="C3890" s="18" t="n">
        <x:v>6110</x:v>
      </x:c>
      <x:c r="D3890" s="3" t="str">
        <x:v>Relative cutoff 1e-4</x:v>
      </x:c>
      <x:c r="E3890" s="18" t="n">
        <x:v>800</x:v>
      </x:c>
      <x:c r="F3890" s="21" t="n">
        <x:v>408.9020654013385</x:v>
      </x:c>
      <x:c r="G3890" s="21" t="n">
        <x:f>F3883</x:f>
        <x:v>477.1303419519297</x:v>
      </x:c>
      <x:c r="H3890" s="21" t="n">
        <x:f>F3888</x:f>
        <x:v>504.5996689530422</x:v>
      </x:c>
      <x:c r="I3890" s="27" t="n">
        <x:f>IF(AND(ISNUMBER(G3890),ISNUMBER(H3890),H3890&gt;0),G3890/H3890-1,"")</x:f>
        <x:v>-0.05443786171740195</x:v>
      </x:c>
      <x:c r="J3890" s="27" t="n">
        <x:f>IF(AND(ISNUMBER(G3890),F3890&gt;0),G3890/F3890-1,"")</x:f>
        <x:v>0.16685725586547218</x:v>
      </x:c>
      <x:c r="K3890" s="19" t="str">
        <x:v>Weak/EXP248/results/seed6110_Relative_cutoff_1e-4.json</x:v>
      </x:c>
    </x:row>
    <x:row r="3891" ht="15" hidden="0" customHeight="1">
      <x:c r="A3891" s="3" t="str">
        <x:v>EXP248</x:v>
      </x:c>
      <x:c r="B3891" s="3" t="str">
        <x:v>Weak</x:v>
      </x:c>
      <x:c r="C3891" s="18" t="n">
        <x:v>6111</x:v>
      </x:c>
      <x:c r="D3891" s="3" t="str">
        <x:v>BBP</x:v>
      </x:c>
      <x:c r="E3891" s="18" t="n">
        <x:v>800</x:v>
      </x:c>
      <x:c r="F3891" s="21" t="n">
        <x:v>432.22920509341077</x:v>
      </x:c>
      <x:c r="G3891" s="21" t="n">
        <x:f>F3891</x:f>
        <x:v>432.22920509341077</x:v>
      </x:c>
      <x:c r="H3891" s="21" t="n">
        <x:f>F3896</x:f>
        <x:v>431.3474834623552</x:v>
      </x:c>
      <x:c r="I3891" s="27" t="n">
        <x:f>IF(AND(ISNUMBER(G3891),ISNUMBER(H3891),H3891&gt;0),G3891/H3891-1,"")</x:f>
        <x:v>0.0020441098299173177</x:v>
      </x:c>
      <x:c r="J3891" s="27" t="n">
        <x:f>IF(AND(ISNUMBER(G3891),F3891&gt;0),G3891/F3891-1,"")</x:f>
        <x:v>0</x:v>
      </x:c>
      <x:c r="K3891" s="19" t="str">
        <x:v>Weak/EXP248/results/seed6111_BBP.json</x:v>
      </x:c>
    </x:row>
    <x:row r="3892" ht="15" hidden="0" customHeight="1">
      <x:c r="A3892" s="3" t="str">
        <x:v>EXP248</x:v>
      </x:c>
      <x:c r="B3892" s="3" t="str">
        <x:v>Weak</x:v>
      </x:c>
      <x:c r="C3892" s="18" t="n">
        <x:v>6111</x:v>
      </x:c>
      <x:c r="D3892" s="3" t="str">
        <x:v>Relative cutoff 1e-5</x:v>
      </x:c>
      <x:c r="E3892" s="18" t="n">
        <x:v>800</x:v>
      </x:c>
      <x:c r="F3892" s="21" t="n">
        <x:v>456.8451416588361</x:v>
      </x:c>
      <x:c r="G3892" s="21" t="n">
        <x:f>F3891</x:f>
        <x:v>432.22920509341077</x:v>
      </x:c>
      <x:c r="H3892" s="21" t="n">
        <x:f>F3896</x:f>
        <x:v>431.3474834623552</x:v>
      </x:c>
      <x:c r="I3892" s="27" t="n">
        <x:f>IF(AND(ISNUMBER(G3892),ISNUMBER(H3892),H3892&gt;0),G3892/H3892-1,"")</x:f>
        <x:v>0.0020441098299173177</x:v>
      </x:c>
      <x:c r="J3892" s="27" t="n">
        <x:f>IF(AND(ISNUMBER(G3892),F3892&gt;0),G3892/F3892-1,"")</x:f>
        <x:v>-0.053882452325186514</x:v>
      </x:c>
      <x:c r="K3892" s="19" t="str">
        <x:v>Weak/EXP248/results/seed6111_Relative_cutoff_1e-5.json</x:v>
      </x:c>
    </x:row>
    <x:row r="3893" ht="15" hidden="0" customHeight="1">
      <x:c r="A3893" s="3" t="str">
        <x:v>EXP248</x:v>
      </x:c>
      <x:c r="B3893" s="3" t="str">
        <x:v>Weak</x:v>
      </x:c>
      <x:c r="C3893" s="18" t="n">
        <x:v>6111</x:v>
      </x:c>
      <x:c r="D3893" s="3" t="str">
        <x:v>Fixed rank 10</x:v>
      </x:c>
      <x:c r="E3893" s="18" t="n">
        <x:v>800</x:v>
      </x:c>
      <x:c r="F3893" s="21" t="n">
        <x:v>441.0676184739396</x:v>
      </x:c>
      <x:c r="G3893" s="21" t="n">
        <x:f>F3891</x:f>
        <x:v>432.22920509341077</x:v>
      </x:c>
      <x:c r="H3893" s="21" t="n">
        <x:f>F3896</x:f>
        <x:v>431.3474834623552</x:v>
      </x:c>
      <x:c r="I3893" s="27" t="n">
        <x:f>IF(AND(ISNUMBER(G3893),ISNUMBER(H3893),H3893&gt;0),G3893/H3893-1,"")</x:f>
        <x:v>0.0020441098299173177</x:v>
      </x:c>
      <x:c r="J3893" s="27" t="n">
        <x:f>IF(AND(ISNUMBER(G3893),F3893&gt;0),G3893/F3893-1,"")</x:f>
        <x:v>-0.020038681168908057</x:v>
      </x:c>
      <x:c r="K3893" s="19" t="str">
        <x:v>Weak/EXP248/results/seed6111_Fixed_rank_10.json</x:v>
      </x:c>
    </x:row>
    <x:row r="3894" ht="15" hidden="0" customHeight="1">
      <x:c r="A3894" s="3" t="str">
        <x:v>EXP248</x:v>
      </x:c>
      <x:c r="B3894" s="3" t="str">
        <x:v>Weak</x:v>
      </x:c>
      <x:c r="C3894" s="18" t="n">
        <x:v>6111</x:v>
      </x:c>
      <x:c r="D3894" s="3" t="str">
        <x:v>Fixed rank 25</x:v>
      </x:c>
      <x:c r="E3894" s="18" t="n">
        <x:v>800</x:v>
      </x:c>
      <x:c r="F3894" s="21" t="n">
        <x:v>430.0676907705069</x:v>
      </x:c>
      <x:c r="G3894" s="21" t="n">
        <x:f>F3891</x:f>
        <x:v>432.22920509341077</x:v>
      </x:c>
      <x:c r="H3894" s="21" t="n">
        <x:f>F3896</x:f>
        <x:v>431.3474834623552</x:v>
      </x:c>
      <x:c r="I3894" s="27" t="n">
        <x:f>IF(AND(ISNUMBER(G3894),ISNUMBER(H3894),H3894&gt;0),G3894/H3894-1,"")</x:f>
        <x:v>0.0020441098299173177</x:v>
      </x:c>
      <x:c r="J3894" s="27" t="n">
        <x:f>IF(AND(ISNUMBER(G3894),F3894&gt;0),G3894/F3894-1,"")</x:f>
        <x:v>0.0050259863023687235</x:v>
      </x:c>
      <x:c r="K3894" s="19" t="str">
        <x:v>Weak/EXP248/results/seed6111_Fixed_rank_25.json</x:v>
      </x:c>
    </x:row>
    <x:row r="3895" ht="15" hidden="0" customHeight="1">
      <x:c r="A3895" s="3" t="str">
        <x:v>EXP248</x:v>
      </x:c>
      <x:c r="B3895" s="3" t="str">
        <x:v>Weak</x:v>
      </x:c>
      <x:c r="C3895" s="18" t="n">
        <x:v>6111</x:v>
      </x:c>
      <x:c r="D3895" s="3" t="str">
        <x:v>Relative cutoff 1e-6</x:v>
      </x:c>
      <x:c r="E3895" s="18" t="n">
        <x:v>800</x:v>
      </x:c>
      <x:c r="F3895" s="21" t="n">
        <x:v>431.53374584725924</x:v>
      </x:c>
      <x:c r="G3895" s="21" t="n">
        <x:f>F3891</x:f>
        <x:v>432.22920509341077</x:v>
      </x:c>
      <x:c r="H3895" s="21" t="n">
        <x:f>F3896</x:f>
        <x:v>431.3474834623552</x:v>
      </x:c>
      <x:c r="I3895" s="27" t="n">
        <x:f>IF(AND(ISNUMBER(G3895),ISNUMBER(H3895),H3895&gt;0),G3895/H3895-1,"")</x:f>
        <x:v>0.0020441098299173177</x:v>
      </x:c>
      <x:c r="J3895" s="27" t="n">
        <x:f>IF(AND(ISNUMBER(G3895),F3895&gt;0),G3895/F3895-1,"")</x:f>
        <x:v>0.0016115987517641983</x:v>
      </x:c>
      <x:c r="K3895" s="19" t="str">
        <x:v>Weak/EXP248/results/seed6111_Relative_cutoff_1e-6.json</x:v>
      </x:c>
    </x:row>
    <x:row r="3896" ht="15" hidden="0" customHeight="1">
      <x:c r="A3896" s="3" t="str">
        <x:v>EXP248</x:v>
      </x:c>
      <x:c r="B3896" s="3" t="str">
        <x:v>Weak</x:v>
      </x:c>
      <x:c r="C3896" s="18" t="n">
        <x:v>6111</x:v>
      </x:c>
      <x:c r="D3896" s="3" t="str">
        <x:v>Full</x:v>
      </x:c>
      <x:c r="E3896" s="18" t="n">
        <x:v>800</x:v>
      </x:c>
      <x:c r="F3896" s="21" t="n">
        <x:v>431.3474834623552</x:v>
      </x:c>
      <x:c r="G3896" s="21" t="n">
        <x:f>F3891</x:f>
        <x:v>432.22920509341077</x:v>
      </x:c>
      <x:c r="H3896" s="21" t="n">
        <x:f>F3896</x:f>
        <x:v>431.3474834623552</x:v>
      </x:c>
      <x:c r="I3896" s="27" t="n">
        <x:f>IF(AND(ISNUMBER(G3896),ISNUMBER(H3896),H3896&gt;0),G3896/H3896-1,"")</x:f>
        <x:v>0.0020441098299173177</x:v>
      </x:c>
      <x:c r="J3896" s="27" t="n">
        <x:f>IF(AND(ISNUMBER(G3896),F3896&gt;0),G3896/F3896-1,"")</x:f>
        <x:v>0.0020441098299173177</x:v>
      </x:c>
      <x:c r="K3896" s="19" t="str">
        <x:v>Weak/EXP248/results/seed6111_Full.json</x:v>
      </x:c>
    </x:row>
    <x:row r="3897" ht="15" hidden="0" customHeight="1">
      <x:c r="A3897" s="3" t="str">
        <x:v>EXP248</x:v>
      </x:c>
      <x:c r="B3897" s="3" t="str">
        <x:v>Weak</x:v>
      </x:c>
      <x:c r="C3897" s="18" t="n">
        <x:v>6111</x:v>
      </x:c>
      <x:c r="D3897" s="3" t="str">
        <x:v>Relative cutoff 1e-2</x:v>
      </x:c>
      <x:c r="E3897" s="18" t="n">
        <x:v>800</x:v>
      </x:c>
      <x:c r="F3897" s="21" t="n">
        <x:v>581.962619683138</x:v>
      </x:c>
      <x:c r="G3897" s="21" t="n">
        <x:f>F3891</x:f>
        <x:v>432.22920509341077</x:v>
      </x:c>
      <x:c r="H3897" s="21" t="n">
        <x:f>F3896</x:f>
        <x:v>431.3474834623552</x:v>
      </x:c>
      <x:c r="I3897" s="27" t="n">
        <x:f>IF(AND(ISNUMBER(G3897),ISNUMBER(H3897),H3897&gt;0),G3897/H3897-1,"")</x:f>
        <x:v>0.0020441098299173177</x:v>
      </x:c>
      <x:c r="J3897" s="27" t="n">
        <x:f>IF(AND(ISNUMBER(G3897),F3897&gt;0),G3897/F3897-1,"")</x:f>
        <x:v>-0.2572904333121133</x:v>
      </x:c>
      <x:c r="K3897" s="19" t="str">
        <x:v>Weak/EXP248/results/seed6111_Relative_cutoff_1e-2.json</x:v>
      </x:c>
    </x:row>
    <x:row r="3898" ht="15" hidden="0" customHeight="1">
      <x:c r="A3898" s="3" t="str">
        <x:v>EXP248</x:v>
      </x:c>
      <x:c r="B3898" s="3" t="str">
        <x:v>Weak</x:v>
      </x:c>
      <x:c r="C3898" s="18" t="n">
        <x:v>6111</x:v>
      </x:c>
      <x:c r="D3898" s="3" t="str">
        <x:v>Relative cutoff 1e-4</x:v>
      </x:c>
      <x:c r="E3898" s="18" t="n">
        <x:v>800</x:v>
      </x:c>
      <x:c r="F3898" s="21" t="n">
        <x:v>472.3729142481955</x:v>
      </x:c>
      <x:c r="G3898" s="21" t="n">
        <x:f>F3891</x:f>
        <x:v>432.22920509341077</x:v>
      </x:c>
      <x:c r="H3898" s="21" t="n">
        <x:f>F3896</x:f>
        <x:v>431.3474834623552</x:v>
      </x:c>
      <x:c r="I3898" s="27" t="n">
        <x:f>IF(AND(ISNUMBER(G3898),ISNUMBER(H3898),H3898&gt;0),G3898/H3898-1,"")</x:f>
        <x:v>0.0020441098299173177</x:v>
      </x:c>
      <x:c r="J3898" s="27" t="n">
        <x:f>IF(AND(ISNUMBER(G3898),F3898&gt;0),G3898/F3898-1,"")</x:f>
        <x:v>-0.08498308845390812</x:v>
      </x:c>
      <x:c r="K3898" s="19" t="str">
        <x:v>Weak/EXP248/results/seed6111_Relative_cutoff_1e-4.json</x:v>
      </x:c>
    </x:row>
    <x:row r="3899" ht="15" hidden="0" customHeight="1">
      <x:c r="A3899" s="3" t="str">
        <x:v>EXP248</x:v>
      </x:c>
      <x:c r="B3899" s="3" t="str">
        <x:v>Weak</x:v>
      </x:c>
      <x:c r="C3899" s="18" t="n">
        <x:v>6112</x:v>
      </x:c>
      <x:c r="D3899" s="3" t="str">
        <x:v>BBP</x:v>
      </x:c>
      <x:c r="E3899" s="18" t="n">
        <x:v>800</x:v>
      </x:c>
      <x:c r="F3899" s="21" t="n">
        <x:v>289.29158051073756</x:v>
      </x:c>
      <x:c r="G3899" s="21" t="n">
        <x:f>F3899</x:f>
        <x:v>289.29158051073756</x:v>
      </x:c>
      <x:c r="H3899" s="21" t="n">
        <x:f>F3904</x:f>
        <x:v>297.67256496335625</x:v>
      </x:c>
      <x:c r="I3899" s="27" t="n">
        <x:f>IF(AND(ISNUMBER(G3899),ISNUMBER(H3899),H3899&gt;0),G3899/H3899-1,"")</x:f>
        <x:v>-0.02815504496912702</x:v>
      </x:c>
      <x:c r="J3899" s="27" t="n">
        <x:f>IF(AND(ISNUMBER(G3899),F3899&gt;0),G3899/F3899-1,"")</x:f>
        <x:v>0</x:v>
      </x:c>
      <x:c r="K3899" s="19" t="str">
        <x:v>Weak/EXP248/results/seed6112_BBP.json</x:v>
      </x:c>
    </x:row>
    <x:row r="3900" ht="15" hidden="0" customHeight="1">
      <x:c r="A3900" s="3" t="str">
        <x:v>EXP248</x:v>
      </x:c>
      <x:c r="B3900" s="3" t="str">
        <x:v>Weak</x:v>
      </x:c>
      <x:c r="C3900" s="18" t="n">
        <x:v>6112</x:v>
      </x:c>
      <x:c r="D3900" s="3" t="str">
        <x:v>Relative cutoff 1e-5</x:v>
      </x:c>
      <x:c r="E3900" s="18" t="n">
        <x:v>800</x:v>
      </x:c>
      <x:c r="F3900" s="21" t="n">
        <x:v>282.96800232559076</x:v>
      </x:c>
      <x:c r="G3900" s="21" t="n">
        <x:f>F3899</x:f>
        <x:v>289.29158051073756</x:v>
      </x:c>
      <x:c r="H3900" s="21" t="n">
        <x:f>F3904</x:f>
        <x:v>297.67256496335625</x:v>
      </x:c>
      <x:c r="I3900" s="27" t="n">
        <x:f>IF(AND(ISNUMBER(G3900),ISNUMBER(H3900),H3900&gt;0),G3900/H3900-1,"")</x:f>
        <x:v>-0.02815504496912702</x:v>
      </x:c>
      <x:c r="J3900" s="27" t="n">
        <x:f>IF(AND(ISNUMBER(G3900),F3900&gt;0),G3900/F3900-1,"")</x:f>
        <x:v>0.022347325963275155</x:v>
      </x:c>
      <x:c r="K3900" s="19" t="str">
        <x:v>Weak/EXP248/results/seed6112_Relative_cutoff_1e-5.json</x:v>
      </x:c>
    </x:row>
    <x:row r="3901" ht="15" hidden="0" customHeight="1">
      <x:c r="A3901" s="3" t="str">
        <x:v>EXP248</x:v>
      </x:c>
      <x:c r="B3901" s="3" t="str">
        <x:v>Weak</x:v>
      </x:c>
      <x:c r="C3901" s="18" t="n">
        <x:v>6112</x:v>
      </x:c>
      <x:c r="D3901" s="3" t="str">
        <x:v>Fixed rank 10</x:v>
      </x:c>
      <x:c r="E3901" s="18" t="n">
        <x:v>800</x:v>
      </x:c>
      <x:c r="F3901" s="21" t="n">
        <x:v>287.382176911689</x:v>
      </x:c>
      <x:c r="G3901" s="21" t="n">
        <x:f>F3899</x:f>
        <x:v>289.29158051073756</x:v>
      </x:c>
      <x:c r="H3901" s="21" t="n">
        <x:f>F3904</x:f>
        <x:v>297.67256496335625</x:v>
      </x:c>
      <x:c r="I3901" s="27" t="n">
        <x:f>IF(AND(ISNUMBER(G3901),ISNUMBER(H3901),H3901&gt;0),G3901/H3901-1,"")</x:f>
        <x:v>-0.02815504496912702</x:v>
      </x:c>
      <x:c r="J3901" s="27" t="n">
        <x:f>IF(AND(ISNUMBER(G3901),F3901&gt;0),G3901/F3901-1,"")</x:f>
        <x:v>0.006644126715051435</x:v>
      </x:c>
      <x:c r="K3901" s="19" t="str">
        <x:v>Weak/EXP248/results/seed6112_Fixed_rank_10.json</x:v>
      </x:c>
    </x:row>
    <x:row r="3902" ht="15" hidden="0" customHeight="1">
      <x:c r="A3902" s="3" t="str">
        <x:v>EXP248</x:v>
      </x:c>
      <x:c r="B3902" s="3" t="str">
        <x:v>Weak</x:v>
      </x:c>
      <x:c r="C3902" s="18" t="n">
        <x:v>6112</x:v>
      </x:c>
      <x:c r="D3902" s="3" t="str">
        <x:v>Fixed rank 25</x:v>
      </x:c>
      <x:c r="E3902" s="18" t="n">
        <x:v>800</x:v>
      </x:c>
      <x:c r="F3902" s="21" t="n">
        <x:v>301.86680389428386</x:v>
      </x:c>
      <x:c r="G3902" s="21" t="n">
        <x:f>F3899</x:f>
        <x:v>289.29158051073756</x:v>
      </x:c>
      <x:c r="H3902" s="21" t="n">
        <x:f>F3904</x:f>
        <x:v>297.67256496335625</x:v>
      </x:c>
      <x:c r="I3902" s="27" t="n">
        <x:f>IF(AND(ISNUMBER(G3902),ISNUMBER(H3902),H3902&gt;0),G3902/H3902-1,"")</x:f>
        <x:v>-0.02815504496912702</x:v>
      </x:c>
      <x:c r="J3902" s="27" t="n">
        <x:f>IF(AND(ISNUMBER(G3902),F3902&gt;0),G3902/F3902-1,"")</x:f>
        <x:v>-0.041658185733964403</x:v>
      </x:c>
      <x:c r="K3902" s="19" t="str">
        <x:v>Weak/EXP248/results/seed6112_Fixed_rank_25.json</x:v>
      </x:c>
    </x:row>
    <x:row r="3903" ht="15" hidden="0" customHeight="1">
      <x:c r="A3903" s="3" t="str">
        <x:v>EXP248</x:v>
      </x:c>
      <x:c r="B3903" s="3" t="str">
        <x:v>Weak</x:v>
      </x:c>
      <x:c r="C3903" s="18" t="n">
        <x:v>6112</x:v>
      </x:c>
      <x:c r="D3903" s="3" t="str">
        <x:v>Relative cutoff 1e-6</x:v>
      </x:c>
      <x:c r="E3903" s="18" t="n">
        <x:v>800</x:v>
      </x:c>
      <x:c r="F3903" s="21" t="n">
        <x:v>279.45450660008385</x:v>
      </x:c>
      <x:c r="G3903" s="21" t="n">
        <x:f>F3899</x:f>
        <x:v>289.29158051073756</x:v>
      </x:c>
      <x:c r="H3903" s="21" t="n">
        <x:f>F3904</x:f>
        <x:v>297.67256496335625</x:v>
      </x:c>
      <x:c r="I3903" s="27" t="n">
        <x:f>IF(AND(ISNUMBER(G3903),ISNUMBER(H3903),H3903&gt;0),G3903/H3903-1,"")</x:f>
        <x:v>-0.02815504496912702</x:v>
      </x:c>
      <x:c r="J3903" s="27" t="n">
        <x:f>IF(AND(ISNUMBER(G3903),F3903&gt;0),G3903/F3903-1,"")</x:f>
        <x:v>0.03520098505597247</x:v>
      </x:c>
      <x:c r="K3903" s="19" t="str">
        <x:v>Weak/EXP248/results/seed6112_Relative_cutoff_1e-6.json</x:v>
      </x:c>
    </x:row>
    <x:row r="3904" ht="15" hidden="0" customHeight="1">
      <x:c r="A3904" s="3" t="str">
        <x:v>EXP248</x:v>
      </x:c>
      <x:c r="B3904" s="3" t="str">
        <x:v>Weak</x:v>
      </x:c>
      <x:c r="C3904" s="18" t="n">
        <x:v>6112</x:v>
      </x:c>
      <x:c r="D3904" s="3" t="str">
        <x:v>Full</x:v>
      </x:c>
      <x:c r="E3904" s="18" t="n">
        <x:v>800</x:v>
      </x:c>
      <x:c r="F3904" s="21" t="n">
        <x:v>297.67256496335625</x:v>
      </x:c>
      <x:c r="G3904" s="21" t="n">
        <x:f>F3899</x:f>
        <x:v>289.29158051073756</x:v>
      </x:c>
      <x:c r="H3904" s="21" t="n">
        <x:f>F3904</x:f>
        <x:v>297.67256496335625</x:v>
      </x:c>
      <x:c r="I3904" s="27" t="n">
        <x:f>IF(AND(ISNUMBER(G3904),ISNUMBER(H3904),H3904&gt;0),G3904/H3904-1,"")</x:f>
        <x:v>-0.02815504496912702</x:v>
      </x:c>
      <x:c r="J3904" s="27" t="n">
        <x:f>IF(AND(ISNUMBER(G3904),F3904&gt;0),G3904/F3904-1,"")</x:f>
        <x:v>-0.02815504496912702</x:v>
      </x:c>
      <x:c r="K3904" s="19" t="str">
        <x:v>Weak/EXP248/results/seed6112_Full.json</x:v>
      </x:c>
    </x:row>
    <x:row r="3905" ht="15" hidden="0" customHeight="1">
      <x:c r="A3905" s="3" t="str">
        <x:v>EXP248</x:v>
      </x:c>
      <x:c r="B3905" s="3" t="str">
        <x:v>Weak</x:v>
      </x:c>
      <x:c r="C3905" s="18" t="n">
        <x:v>6112</x:v>
      </x:c>
      <x:c r="D3905" s="3" t="str">
        <x:v>Relative cutoff 1e-2</x:v>
      </x:c>
      <x:c r="E3905" s="18" t="n">
        <x:v>800</x:v>
      </x:c>
      <x:c r="F3905" s="21" t="n">
        <x:v>414.3047983184816</x:v>
      </x:c>
      <x:c r="G3905" s="21" t="n">
        <x:f>F3899</x:f>
        <x:v>289.29158051073756</x:v>
      </x:c>
      <x:c r="H3905" s="21" t="n">
        <x:f>F3904</x:f>
        <x:v>297.67256496335625</x:v>
      </x:c>
      <x:c r="I3905" s="27" t="n">
        <x:f>IF(AND(ISNUMBER(G3905),ISNUMBER(H3905),H3905&gt;0),G3905/H3905-1,"")</x:f>
        <x:v>-0.02815504496912702</x:v>
      </x:c>
      <x:c r="J3905" s="27" t="n">
        <x:f>IF(AND(ISNUMBER(G3905),F3905&gt;0),G3905/F3905-1,"")</x:f>
        <x:v>-0.30174214326053905</x:v>
      </x:c>
      <x:c r="K3905" s="19" t="str">
        <x:v>Weak/EXP248/results/seed6112_Relative_cutoff_1e-2.json</x:v>
      </x:c>
    </x:row>
    <x:row r="3906" ht="15" hidden="0" customHeight="1">
      <x:c r="A3906" s="3" t="str">
        <x:v>EXP248</x:v>
      </x:c>
      <x:c r="B3906" s="3" t="str">
        <x:v>Weak</x:v>
      </x:c>
      <x:c r="C3906" s="18" t="n">
        <x:v>6112</x:v>
      </x:c>
      <x:c r="D3906" s="3" t="str">
        <x:v>Relative cutoff 1e-4</x:v>
      </x:c>
      <x:c r="E3906" s="18" t="n">
        <x:v>800</x:v>
      </x:c>
      <x:c r="F3906" s="21" t="n">
        <x:v>287.9244927404645</x:v>
      </x:c>
      <x:c r="G3906" s="21" t="n">
        <x:f>F3899</x:f>
        <x:v>289.29158051073756</x:v>
      </x:c>
      <x:c r="H3906" s="21" t="n">
        <x:f>F3904</x:f>
        <x:v>297.67256496335625</x:v>
      </x:c>
      <x:c r="I3906" s="27" t="n">
        <x:f>IF(AND(ISNUMBER(G3906),ISNUMBER(H3906),H3906&gt;0),G3906/H3906-1,"")</x:f>
        <x:v>-0.02815504496912702</x:v>
      </x:c>
      <x:c r="J3906" s="27" t="n">
        <x:f>IF(AND(ISNUMBER(G3906),F3906&gt;0),G3906/F3906-1,"")</x:f>
        <x:v>0.0047480773770274265</x:v>
      </x:c>
      <x:c r="K3906" s="19" t="str">
        <x:v>Weak/EXP248/results/seed6112_Relative_cutoff_1e-4.json</x:v>
      </x:c>
    </x:row>
    <x:row r="3907" ht="15" hidden="0" customHeight="1">
      <x:c r="A3907" s="3" t="str">
        <x:v>EXP248</x:v>
      </x:c>
      <x:c r="B3907" s="3" t="str">
        <x:v>Weak</x:v>
      </x:c>
      <x:c r="C3907" s="18" t="n">
        <x:v>6113</x:v>
      </x:c>
      <x:c r="D3907" s="3" t="str">
        <x:v>BBP</x:v>
      </x:c>
      <x:c r="E3907" s="18" t="n">
        <x:v>800</x:v>
      </x:c>
      <x:c r="F3907" s="21" t="n">
        <x:v>347.959508791564</x:v>
      </x:c>
      <x:c r="G3907" s="21" t="n">
        <x:f>F3907</x:f>
        <x:v>347.959508791564</x:v>
      </x:c>
      <x:c r="H3907" s="21" t="n">
        <x:f>F3912</x:f>
        <x:v>351.68672936397235</x:v>
      </x:c>
      <x:c r="I3907" s="27" t="n">
        <x:f>IF(AND(ISNUMBER(G3907),ISNUMBER(H3907),H3907&gt;0),G3907/H3907-1,"")</x:f>
        <x:v>-0.01059812685894923</x:v>
      </x:c>
      <x:c r="J3907" s="27" t="n">
        <x:f>IF(AND(ISNUMBER(G3907),F3907&gt;0),G3907/F3907-1,"")</x:f>
        <x:v>0</x:v>
      </x:c>
      <x:c r="K3907" s="19" t="str">
        <x:v>Weak/EXP248/results/seed6113_BBP.json</x:v>
      </x:c>
    </x:row>
    <x:row r="3908" ht="15" hidden="0" customHeight="1">
      <x:c r="A3908" s="3" t="str">
        <x:v>EXP248</x:v>
      </x:c>
      <x:c r="B3908" s="3" t="str">
        <x:v>Weak</x:v>
      </x:c>
      <x:c r="C3908" s="18" t="n">
        <x:v>6113</x:v>
      </x:c>
      <x:c r="D3908" s="3" t="str">
        <x:v>Relative cutoff 1e-5</x:v>
      </x:c>
      <x:c r="E3908" s="18" t="n">
        <x:v>800</x:v>
      </x:c>
      <x:c r="F3908" s="21" t="n">
        <x:v>323.3011133136757</x:v>
      </x:c>
      <x:c r="G3908" s="21" t="n">
        <x:f>F3907</x:f>
        <x:v>347.959508791564</x:v>
      </x:c>
      <x:c r="H3908" s="21" t="n">
        <x:f>F3912</x:f>
        <x:v>351.68672936397235</x:v>
      </x:c>
      <x:c r="I3908" s="27" t="n">
        <x:f>IF(AND(ISNUMBER(G3908),ISNUMBER(H3908),H3908&gt;0),G3908/H3908-1,"")</x:f>
        <x:v>-0.01059812685894923</x:v>
      </x:c>
      <x:c r="J3908" s="27" t="n">
        <x:f>IF(AND(ISNUMBER(G3908),F3908&gt;0),G3908/F3908-1,"")</x:f>
        <x:v>0.07627067913609076</x:v>
      </x:c>
      <x:c r="K3908" s="19" t="str">
        <x:v>Weak/EXP248/results/seed6113_Relative_cutoff_1e-5.json</x:v>
      </x:c>
    </x:row>
    <x:row r="3909" ht="15" hidden="0" customHeight="1">
      <x:c r="A3909" s="3" t="str">
        <x:v>EXP248</x:v>
      </x:c>
      <x:c r="B3909" s="3" t="str">
        <x:v>Weak</x:v>
      </x:c>
      <x:c r="C3909" s="18" t="n">
        <x:v>6113</x:v>
      </x:c>
      <x:c r="D3909" s="3" t="str">
        <x:v>Fixed rank 10</x:v>
      </x:c>
      <x:c r="E3909" s="18" t="n">
        <x:v>800</x:v>
      </x:c>
      <x:c r="F3909" s="21" t="n">
        <x:v>377.28312315052045</x:v>
      </x:c>
      <x:c r="G3909" s="21" t="n">
        <x:f>F3907</x:f>
        <x:v>347.959508791564</x:v>
      </x:c>
      <x:c r="H3909" s="21" t="n">
        <x:f>F3912</x:f>
        <x:v>351.68672936397235</x:v>
      </x:c>
      <x:c r="I3909" s="27" t="n">
        <x:f>IF(AND(ISNUMBER(G3909),ISNUMBER(H3909),H3909&gt;0),G3909/H3909-1,"")</x:f>
        <x:v>-0.01059812685894923</x:v>
      </x:c>
      <x:c r="J3909" s="27" t="n">
        <x:f>IF(AND(ISNUMBER(G3909),F3909&gt;0),G3909/F3909-1,"")</x:f>
        <x:v>-0.07772310119278125</x:v>
      </x:c>
      <x:c r="K3909" s="19" t="str">
        <x:v>Weak/EXP248/results/seed6113_Fixed_rank_10.json</x:v>
      </x:c>
    </x:row>
    <x:row r="3910" ht="15" hidden="0" customHeight="1">
      <x:c r="A3910" s="3" t="str">
        <x:v>EXP248</x:v>
      </x:c>
      <x:c r="B3910" s="3" t="str">
        <x:v>Weak</x:v>
      </x:c>
      <x:c r="C3910" s="18" t="n">
        <x:v>6113</x:v>
      </x:c>
      <x:c r="D3910" s="3" t="str">
        <x:v>Fixed rank 25</x:v>
      </x:c>
      <x:c r="E3910" s="18" t="n">
        <x:v>800</x:v>
      </x:c>
      <x:c r="F3910" s="21" t="n">
        <x:v>350.3500387020989</x:v>
      </x:c>
      <x:c r="G3910" s="21" t="n">
        <x:f>F3907</x:f>
        <x:v>347.959508791564</x:v>
      </x:c>
      <x:c r="H3910" s="21" t="n">
        <x:f>F3912</x:f>
        <x:v>351.68672936397235</x:v>
      </x:c>
      <x:c r="I3910" s="27" t="n">
        <x:f>IF(AND(ISNUMBER(G3910),ISNUMBER(H3910),H3910&gt;0),G3910/H3910-1,"")</x:f>
        <x:v>-0.01059812685894923</x:v>
      </x:c>
      <x:c r="J3910" s="27" t="n">
        <x:f>IF(AND(ISNUMBER(G3910),F3910&gt;0),G3910/F3910-1,"")</x:f>
        <x:v>-0.006823261442729711</x:v>
      </x:c>
      <x:c r="K3910" s="19" t="str">
        <x:v>Weak/EXP248/results/seed6113_Fixed_rank_25.json</x:v>
      </x:c>
    </x:row>
    <x:row r="3911" ht="15" hidden="0" customHeight="1">
      <x:c r="A3911" s="3" t="str">
        <x:v>EXP248</x:v>
      </x:c>
      <x:c r="B3911" s="3" t="str">
        <x:v>Weak</x:v>
      </x:c>
      <x:c r="C3911" s="18" t="n">
        <x:v>6113</x:v>
      </x:c>
      <x:c r="D3911" s="3" t="str">
        <x:v>Relative cutoff 1e-6</x:v>
      </x:c>
      <x:c r="E3911" s="18" t="n">
        <x:v>800</x:v>
      </x:c>
      <x:c r="F3911" s="21" t="n">
        <x:v>366.2951586149773</x:v>
      </x:c>
      <x:c r="G3911" s="21" t="n">
        <x:f>F3907</x:f>
        <x:v>347.959508791564</x:v>
      </x:c>
      <x:c r="H3911" s="21" t="n">
        <x:f>F3912</x:f>
        <x:v>351.68672936397235</x:v>
      </x:c>
      <x:c r="I3911" s="27" t="n">
        <x:f>IF(AND(ISNUMBER(G3911),ISNUMBER(H3911),H3911&gt;0),G3911/H3911-1,"")</x:f>
        <x:v>-0.01059812685894923</x:v>
      </x:c>
      <x:c r="J3911" s="27" t="n">
        <x:f>IF(AND(ISNUMBER(G3911),F3911&gt;0),G3911/F3911-1,"")</x:f>
        <x:v>-0.05005703567784903</x:v>
      </x:c>
      <x:c r="K3911" s="19" t="str">
        <x:v>Weak/EXP248/results/seed6113_Relative_cutoff_1e-6.json</x:v>
      </x:c>
    </x:row>
    <x:row r="3912" ht="15" hidden="0" customHeight="1">
      <x:c r="A3912" s="3" t="str">
        <x:v>EXP248</x:v>
      </x:c>
      <x:c r="B3912" s="3" t="str">
        <x:v>Weak</x:v>
      </x:c>
      <x:c r="C3912" s="18" t="n">
        <x:v>6113</x:v>
      </x:c>
      <x:c r="D3912" s="3" t="str">
        <x:v>Full</x:v>
      </x:c>
      <x:c r="E3912" s="18" t="n">
        <x:v>800</x:v>
      </x:c>
      <x:c r="F3912" s="21" t="n">
        <x:v>351.68672936397235</x:v>
      </x:c>
      <x:c r="G3912" s="21" t="n">
        <x:f>F3907</x:f>
        <x:v>347.959508791564</x:v>
      </x:c>
      <x:c r="H3912" s="21" t="n">
        <x:f>F3912</x:f>
        <x:v>351.68672936397235</x:v>
      </x:c>
      <x:c r="I3912" s="27" t="n">
        <x:f>IF(AND(ISNUMBER(G3912),ISNUMBER(H3912),H3912&gt;0),G3912/H3912-1,"")</x:f>
        <x:v>-0.01059812685894923</x:v>
      </x:c>
      <x:c r="J3912" s="27" t="n">
        <x:f>IF(AND(ISNUMBER(G3912),F3912&gt;0),G3912/F3912-1,"")</x:f>
        <x:v>-0.01059812685894923</x:v>
      </x:c>
      <x:c r="K3912" s="19" t="str">
        <x:v>Weak/EXP248/results/seed6113_Full.json</x:v>
      </x:c>
    </x:row>
    <x:row r="3913" ht="15" hidden="0" customHeight="1">
      <x:c r="A3913" s="3" t="str">
        <x:v>EXP248</x:v>
      </x:c>
      <x:c r="B3913" s="3" t="str">
        <x:v>Weak</x:v>
      </x:c>
      <x:c r="C3913" s="18" t="n">
        <x:v>6113</x:v>
      </x:c>
      <x:c r="D3913" s="3" t="str">
        <x:v>Relative cutoff 1e-2</x:v>
      </x:c>
      <x:c r="E3913" s="18" t="n">
        <x:v>800</x:v>
      </x:c>
      <x:c r="F3913" s="21" t="n">
        <x:v>532.3732737152976</x:v>
      </x:c>
      <x:c r="G3913" s="21" t="n">
        <x:f>F3907</x:f>
        <x:v>347.959508791564</x:v>
      </x:c>
      <x:c r="H3913" s="21" t="n">
        <x:f>F3912</x:f>
        <x:v>351.68672936397235</x:v>
      </x:c>
      <x:c r="I3913" s="27" t="n">
        <x:f>IF(AND(ISNUMBER(G3913),ISNUMBER(H3913),H3913&gt;0),G3913/H3913-1,"")</x:f>
        <x:v>-0.01059812685894923</x:v>
      </x:c>
      <x:c r="J3913" s="27" t="n">
        <x:f>IF(AND(ISNUMBER(G3913),F3913&gt;0),G3913/F3913-1,"")</x:f>
        <x:v>-0.3463993668141093</x:v>
      </x:c>
      <x:c r="K3913" s="19" t="str">
        <x:v>Weak/EXP248/results/seed6113_Relative_cutoff_1e-2.json</x:v>
      </x:c>
    </x:row>
    <x:row r="3914" ht="15" hidden="0" customHeight="1">
      <x:c r="A3914" s="3" t="str">
        <x:v>EXP248</x:v>
      </x:c>
      <x:c r="B3914" s="3" t="str">
        <x:v>Weak</x:v>
      </x:c>
      <x:c r="C3914" s="18" t="n">
        <x:v>6113</x:v>
      </x:c>
      <x:c r="D3914" s="3" t="str">
        <x:v>Relative cutoff 1e-4</x:v>
      </x:c>
      <x:c r="E3914" s="18" t="n">
        <x:v>800</x:v>
      </x:c>
      <x:c r="F3914" s="21" t="n">
        <x:v>323.35026002285457</x:v>
      </x:c>
      <x:c r="G3914" s="21" t="n">
        <x:f>F3907</x:f>
        <x:v>347.959508791564</x:v>
      </x:c>
      <x:c r="H3914" s="21" t="n">
        <x:f>F3912</x:f>
        <x:v>351.68672936397235</x:v>
      </x:c>
      <x:c r="I3914" s="27" t="n">
        <x:f>IF(AND(ISNUMBER(G3914),ISNUMBER(H3914),H3914&gt;0),G3914/H3914-1,"")</x:f>
        <x:v>-0.01059812685894923</x:v>
      </x:c>
      <x:c r="J3914" s="27" t="n">
        <x:f>IF(AND(ISNUMBER(G3914),F3914&gt;0),G3914/F3914-1,"")</x:f>
        <x:v>0.07610709441510899</x:v>
      </x:c>
      <x:c r="K3914" s="19" t="str">
        <x:v>Weak/EXP248/results/seed6113_Relative_cutoff_1e-4.json</x:v>
      </x:c>
    </x:row>
    <x:row r="3915" ht="15" hidden="0" customHeight="1">
      <x:c r="A3915" s="3" t="str">
        <x:v>EXP248</x:v>
      </x:c>
      <x:c r="B3915" s="3" t="str">
        <x:v>Weak</x:v>
      </x:c>
      <x:c r="C3915" s="18" t="n">
        <x:v>6114</x:v>
      </x:c>
      <x:c r="D3915" s="3" t="str">
        <x:v>BBP</x:v>
      </x:c>
      <x:c r="E3915" s="18" t="n">
        <x:v>800</x:v>
      </x:c>
      <x:c r="F3915" s="21" t="n">
        <x:v>466.11182952690814</x:v>
      </x:c>
      <x:c r="G3915" s="21" t="n">
        <x:f>F3915</x:f>
        <x:v>466.11182952690814</x:v>
      </x:c>
      <x:c r="H3915" s="21" t="n">
        <x:f>F3920</x:f>
        <x:v>460.015551430102</x:v>
      </x:c>
      <x:c r="I3915" s="27" t="n">
        <x:f>IF(AND(ISNUMBER(G3915),ISNUMBER(H3915),H3915&gt;0),G3915/H3915-1,"")</x:f>
        <x:v>0.013252330443729532</x:v>
      </x:c>
      <x:c r="J3915" s="27" t="n">
        <x:f>IF(AND(ISNUMBER(G3915),F3915&gt;0),G3915/F3915-1,"")</x:f>
        <x:v>0</x:v>
      </x:c>
      <x:c r="K3915" s="19" t="str">
        <x:v>Weak/EXP248/results/seed6114_BBP.json</x:v>
      </x:c>
    </x:row>
    <x:row r="3916" ht="15" hidden="0" customHeight="1">
      <x:c r="A3916" s="3" t="str">
        <x:v>EXP248</x:v>
      </x:c>
      <x:c r="B3916" s="3" t="str">
        <x:v>Weak</x:v>
      </x:c>
      <x:c r="C3916" s="18" t="n">
        <x:v>6114</x:v>
      </x:c>
      <x:c r="D3916" s="3" t="str">
        <x:v>Relative cutoff 1e-5</x:v>
      </x:c>
      <x:c r="E3916" s="18" t="n">
        <x:v>800</x:v>
      </x:c>
      <x:c r="F3916" s="21" t="n">
        <x:v>469.63096837096674</x:v>
      </x:c>
      <x:c r="G3916" s="21" t="n">
        <x:f>F3915</x:f>
        <x:v>466.11182952690814</x:v>
      </x:c>
      <x:c r="H3916" s="21" t="n">
        <x:f>F3920</x:f>
        <x:v>460.015551430102</x:v>
      </x:c>
      <x:c r="I3916" s="27" t="n">
        <x:f>IF(AND(ISNUMBER(G3916),ISNUMBER(H3916),H3916&gt;0),G3916/H3916-1,"")</x:f>
        <x:v>0.013252330443729532</x:v>
      </x:c>
      <x:c r="J3916" s="27" t="n">
        <x:f>IF(AND(ISNUMBER(G3916),F3916&gt;0),G3916/F3916-1,"")</x:f>
        <x:v>-0.00749341308616347</x:v>
      </x:c>
      <x:c r="K3916" s="19" t="str">
        <x:v>Weak/EXP248/results/seed6114_Relative_cutoff_1e-5.json</x:v>
      </x:c>
    </x:row>
    <x:row r="3917" ht="15" hidden="0" customHeight="1">
      <x:c r="A3917" s="3" t="str">
        <x:v>EXP248</x:v>
      </x:c>
      <x:c r="B3917" s="3" t="str">
        <x:v>Weak</x:v>
      </x:c>
      <x:c r="C3917" s="18" t="n">
        <x:v>6114</x:v>
      </x:c>
      <x:c r="D3917" s="3" t="str">
        <x:v>Fixed rank 10</x:v>
      </x:c>
      <x:c r="E3917" s="18" t="n">
        <x:v>800</x:v>
      </x:c>
      <x:c r="F3917" s="21" t="n">
        <x:v>469.71195545462723</x:v>
      </x:c>
      <x:c r="G3917" s="21" t="n">
        <x:f>F3915</x:f>
        <x:v>466.11182952690814</x:v>
      </x:c>
      <x:c r="H3917" s="21" t="n">
        <x:f>F3920</x:f>
        <x:v>460.015551430102</x:v>
      </x:c>
      <x:c r="I3917" s="27" t="n">
        <x:f>IF(AND(ISNUMBER(G3917),ISNUMBER(H3917),H3917&gt;0),G3917/H3917-1,"")</x:f>
        <x:v>0.013252330443729532</x:v>
      </x:c>
      <x:c r="J3917" s="27" t="n">
        <x:f>IF(AND(ISNUMBER(G3917),F3917&gt;0),G3917/F3917-1,"")</x:f>
        <x:v>-0.007664539694831829</x:v>
      </x:c>
      <x:c r="K3917" s="19" t="str">
        <x:v>Weak/EXP248/results/seed6114_Fixed_rank_10.json</x:v>
      </x:c>
    </x:row>
    <x:row r="3918" ht="15" hidden="0" customHeight="1">
      <x:c r="A3918" s="3" t="str">
        <x:v>EXP248</x:v>
      </x:c>
      <x:c r="B3918" s="3" t="str">
        <x:v>Weak</x:v>
      </x:c>
      <x:c r="C3918" s="18" t="n">
        <x:v>6114</x:v>
      </x:c>
      <x:c r="D3918" s="3" t="str">
        <x:v>Fixed rank 25</x:v>
      </x:c>
      <x:c r="E3918" s="18" t="n">
        <x:v>800</x:v>
      </x:c>
      <x:c r="F3918" s="21" t="n">
        <x:v>498.5648653095456</x:v>
      </x:c>
      <x:c r="G3918" s="21" t="n">
        <x:f>F3915</x:f>
        <x:v>466.11182952690814</x:v>
      </x:c>
      <x:c r="H3918" s="21" t="n">
        <x:f>F3920</x:f>
        <x:v>460.015551430102</x:v>
      </x:c>
      <x:c r="I3918" s="27" t="n">
        <x:f>IF(AND(ISNUMBER(G3918),ISNUMBER(H3918),H3918&gt;0),G3918/H3918-1,"")</x:f>
        <x:v>0.013252330443729532</x:v>
      </x:c>
      <x:c r="J3918" s="27" t="n">
        <x:f>IF(AND(ISNUMBER(G3918),F3918&gt;0),G3918/F3918-1,"")</x:f>
        <x:v>-0.06509290573953352</x:v>
      </x:c>
      <x:c r="K3918" s="19" t="str">
        <x:v>Weak/EXP248/results/seed6114_Fixed_rank_25.json</x:v>
      </x:c>
    </x:row>
    <x:row r="3919" ht="15" hidden="0" customHeight="1">
      <x:c r="A3919" s="3" t="str">
        <x:v>EXP248</x:v>
      </x:c>
      <x:c r="B3919" s="3" t="str">
        <x:v>Weak</x:v>
      </x:c>
      <x:c r="C3919" s="18" t="n">
        <x:v>6114</x:v>
      </x:c>
      <x:c r="D3919" s="3" t="str">
        <x:v>Relative cutoff 1e-6</x:v>
      </x:c>
      <x:c r="E3919" s="18" t="n">
        <x:v>800</x:v>
      </x:c>
      <x:c r="F3919" s="21" t="n">
        <x:v>467.37219068495835</x:v>
      </x:c>
      <x:c r="G3919" s="21" t="n">
        <x:f>F3915</x:f>
        <x:v>466.11182952690814</x:v>
      </x:c>
      <x:c r="H3919" s="21" t="n">
        <x:f>F3920</x:f>
        <x:v>460.015551430102</x:v>
      </x:c>
      <x:c r="I3919" s="27" t="n">
        <x:f>IF(AND(ISNUMBER(G3919),ISNUMBER(H3919),H3919&gt;0),G3919/H3919-1,"")</x:f>
        <x:v>0.013252330443729532</x:v>
      </x:c>
      <x:c r="J3919" s="27" t="n">
        <x:f>IF(AND(ISNUMBER(G3919),F3919&gt;0),G3919/F3919-1,"")</x:f>
        <x:v>-0.002696696943399801</x:v>
      </x:c>
      <x:c r="K3919" s="19" t="str">
        <x:v>Weak/EXP248/results/seed6114_Relative_cutoff_1e-6.json</x:v>
      </x:c>
    </x:row>
    <x:row r="3920" ht="15" hidden="0" customHeight="1">
      <x:c r="A3920" s="3" t="str">
        <x:v>EXP248</x:v>
      </x:c>
      <x:c r="B3920" s="3" t="str">
        <x:v>Weak</x:v>
      </x:c>
      <x:c r="C3920" s="18" t="n">
        <x:v>6114</x:v>
      </x:c>
      <x:c r="D3920" s="3" t="str">
        <x:v>Full</x:v>
      </x:c>
      <x:c r="E3920" s="18" t="n">
        <x:v>800</x:v>
      </x:c>
      <x:c r="F3920" s="21" t="n">
        <x:v>460.015551430102</x:v>
      </x:c>
      <x:c r="G3920" s="21" t="n">
        <x:f>F3915</x:f>
        <x:v>466.11182952690814</x:v>
      </x:c>
      <x:c r="H3920" s="21" t="n">
        <x:f>F3920</x:f>
        <x:v>460.015551430102</x:v>
      </x:c>
      <x:c r="I3920" s="27" t="n">
        <x:f>IF(AND(ISNUMBER(G3920),ISNUMBER(H3920),H3920&gt;0),G3920/H3920-1,"")</x:f>
        <x:v>0.013252330443729532</x:v>
      </x:c>
      <x:c r="J3920" s="27" t="n">
        <x:f>IF(AND(ISNUMBER(G3920),F3920&gt;0),G3920/F3920-1,"")</x:f>
        <x:v>0.013252330443729532</x:v>
      </x:c>
      <x:c r="K3920" s="19" t="str">
        <x:v>Weak/EXP248/results/seed6114_Full.json</x:v>
      </x:c>
    </x:row>
    <x:row r="3921" ht="15" hidden="0" customHeight="1">
      <x:c r="A3921" s="3" t="str">
        <x:v>EXP248</x:v>
      </x:c>
      <x:c r="B3921" s="3" t="str">
        <x:v>Weak</x:v>
      </x:c>
      <x:c r="C3921" s="18" t="n">
        <x:v>6114</x:v>
      </x:c>
      <x:c r="D3921" s="3" t="str">
        <x:v>Relative cutoff 1e-2</x:v>
      </x:c>
      <x:c r="E3921" s="18" t="n">
        <x:v>800</x:v>
      </x:c>
      <x:c r="F3921" s="21" t="n">
        <x:v>560.8899908092367</x:v>
      </x:c>
      <x:c r="G3921" s="21" t="n">
        <x:f>F3915</x:f>
        <x:v>466.11182952690814</x:v>
      </x:c>
      <x:c r="H3921" s="21" t="n">
        <x:f>F3920</x:f>
        <x:v>460.015551430102</x:v>
      </x:c>
      <x:c r="I3921" s="27" t="n">
        <x:f>IF(AND(ISNUMBER(G3921),ISNUMBER(H3921),H3921&gt;0),G3921/H3921-1,"")</x:f>
        <x:v>0.013252330443729532</x:v>
      </x:c>
      <x:c r="J3921" s="27" t="n">
        <x:f>IF(AND(ISNUMBER(G3921),F3921&gt;0),G3921/F3921-1,"")</x:f>
        <x:v>-0.16897816476558125</x:v>
      </x:c>
      <x:c r="K3921" s="19" t="str">
        <x:v>Weak/EXP248/results/seed6114_Relative_cutoff_1e-2.json</x:v>
      </x:c>
    </x:row>
    <x:row r="3922" ht="15" hidden="0" customHeight="1">
      <x:c r="A3922" s="3" t="str">
        <x:v>EXP248</x:v>
      </x:c>
      <x:c r="B3922" s="3" t="str">
        <x:v>Weak</x:v>
      </x:c>
      <x:c r="C3922" s="18" t="n">
        <x:v>6114</x:v>
      </x:c>
      <x:c r="D3922" s="3" t="str">
        <x:v>Relative cutoff 1e-4</x:v>
      </x:c>
      <x:c r="E3922" s="18" t="n">
        <x:v>800</x:v>
      </x:c>
      <x:c r="F3922" s="21" t="n">
        <x:v>441.4117529117446</x:v>
      </x:c>
      <x:c r="G3922" s="21" t="n">
        <x:f>F3915</x:f>
        <x:v>466.11182952690814</x:v>
      </x:c>
      <x:c r="H3922" s="21" t="n">
        <x:f>F3920</x:f>
        <x:v>460.015551430102</x:v>
      </x:c>
      <x:c r="I3922" s="27" t="n">
        <x:f>IF(AND(ISNUMBER(G3922),ISNUMBER(H3922),H3922&gt;0),G3922/H3922-1,"")</x:f>
        <x:v>0.013252330443729532</x:v>
      </x:c>
      <x:c r="J3922" s="27" t="n">
        <x:f>IF(AND(ISNUMBER(G3922),F3922&gt;0),G3922/F3922-1,"")</x:f>
        <x:v>0.055956998091308385</x:v>
      </x:c>
      <x:c r="K3922" s="19" t="str">
        <x:v>Weak/EXP248/results/seed6114_Relative_cutoff_1e-4.json</x:v>
      </x:c>
    </x:row>
    <x:row r="3923" ht="15" hidden="0" customHeight="1">
      <x:c r="A3923" s="3" t="str">
        <x:v>EXP248</x:v>
      </x:c>
      <x:c r="B3923" s="3" t="str">
        <x:v>Weak</x:v>
      </x:c>
      <x:c r="C3923" s="18" t="n">
        <x:v>2515295</x:v>
      </x:c>
      <x:c r="D3923" s="3" t="str">
        <x:v>BBP</x:v>
      </x:c>
      <x:c r="E3923" s="18" t="n">
        <x:v>800</x:v>
      </x:c>
      <x:c r="F3923" s="21" t="n">
        <x:v>322.84927939608355</x:v>
      </x:c>
      <x:c r="G3923" s="21" t="n">
        <x:f>F3923</x:f>
        <x:v>322.84927939608355</x:v>
      </x:c>
      <x:c r="H3923" s="21" t="n">
        <x:f>F3928</x:f>
        <x:v>352.5432190205685</x:v>
      </x:c>
      <x:c r="I3923" s="27" t="n">
        <x:f>IF(AND(ISNUMBER(G3923),ISNUMBER(H3923),H3923&gt;0),G3923/H3923-1,"")</x:f>
        <x:v>-0.0842277996637697</x:v>
      </x:c>
      <x:c r="J3923" s="27" t="n">
        <x:f>IF(AND(ISNUMBER(G3923),F3923&gt;0),G3923/F3923-1,"")</x:f>
        <x:v>0</x:v>
      </x:c>
      <x:c r="K3923" s="19" t="str">
        <x:v>Weak/EXP248/results/seed2515295_BBP.json</x:v>
      </x:c>
    </x:row>
    <x:row r="3924" ht="15" hidden="0" customHeight="1">
      <x:c r="A3924" s="3" t="str">
        <x:v>EXP248</x:v>
      </x:c>
      <x:c r="B3924" s="3" t="str">
        <x:v>Weak</x:v>
      </x:c>
      <x:c r="C3924" s="18" t="n">
        <x:v>2515295</x:v>
      </x:c>
      <x:c r="D3924" s="3" t="str">
        <x:v>Relative cutoff 1e-5</x:v>
      </x:c>
      <x:c r="E3924" s="18" t="n">
        <x:v>800</x:v>
      </x:c>
      <x:c r="F3924" s="21" t="n">
        <x:v>341.64000295965076</x:v>
      </x:c>
      <x:c r="G3924" s="21" t="n">
        <x:f>F3923</x:f>
        <x:v>322.84927939608355</x:v>
      </x:c>
      <x:c r="H3924" s="21" t="n">
        <x:f>F3928</x:f>
        <x:v>352.5432190205685</x:v>
      </x:c>
      <x:c r="I3924" s="27" t="n">
        <x:f>IF(AND(ISNUMBER(G3924),ISNUMBER(H3924),H3924&gt;0),G3924/H3924-1,"")</x:f>
        <x:v>-0.0842277996637697</x:v>
      </x:c>
      <x:c r="J3924" s="27" t="n">
        <x:f>IF(AND(ISNUMBER(G3924),F3924&gt;0),G3924/F3924-1,"")</x:f>
        <x:v>-0.05500153202430014</x:v>
      </x:c>
      <x:c r="K3924" s="19" t="str">
        <x:v>Weak/EXP248/results/seed2515295_Relative_cutoff_1e-5.json</x:v>
      </x:c>
    </x:row>
    <x:row r="3925" ht="15" hidden="0" customHeight="1">
      <x:c r="A3925" s="3" t="str">
        <x:v>EXP248</x:v>
      </x:c>
      <x:c r="B3925" s="3" t="str">
        <x:v>Weak</x:v>
      </x:c>
      <x:c r="C3925" s="18" t="n">
        <x:v>2515295</x:v>
      </x:c>
      <x:c r="D3925" s="3" t="str">
        <x:v>Fixed rank 10</x:v>
      </x:c>
      <x:c r="E3925" s="18" t="n">
        <x:v>800</x:v>
      </x:c>
      <x:c r="F3925" s="21" t="n">
        <x:v>287.43779741545603</x:v>
      </x:c>
      <x:c r="G3925" s="21" t="n">
        <x:f>F3923</x:f>
        <x:v>322.84927939608355</x:v>
      </x:c>
      <x:c r="H3925" s="21" t="n">
        <x:f>F3928</x:f>
        <x:v>352.5432190205685</x:v>
      </x:c>
      <x:c r="I3925" s="27" t="n">
        <x:f>IF(AND(ISNUMBER(G3925),ISNUMBER(H3925),H3925&gt;0),G3925/H3925-1,"")</x:f>
        <x:v>-0.0842277996637697</x:v>
      </x:c>
      <x:c r="J3925" s="27" t="n">
        <x:f>IF(AND(ISNUMBER(G3925),F3925&gt;0),G3925/F3925-1,"")</x:f>
        <x:v>0.1231970266229272</x:v>
      </x:c>
      <x:c r="K3925" s="19" t="str">
        <x:v>Weak/EXP248/results/seed2515295_Fixed_rank_10.json</x:v>
      </x:c>
    </x:row>
    <x:row r="3926" ht="15" hidden="0" customHeight="1">
      <x:c r="A3926" s="3" t="str">
        <x:v>EXP248</x:v>
      </x:c>
      <x:c r="B3926" s="3" t="str">
        <x:v>Weak</x:v>
      </x:c>
      <x:c r="C3926" s="18" t="n">
        <x:v>2515295</x:v>
      </x:c>
      <x:c r="D3926" s="3" t="str">
        <x:v>Fixed rank 25</x:v>
      </x:c>
      <x:c r="E3926" s="18" t="n">
        <x:v>800</x:v>
      </x:c>
      <x:c r="F3926" s="21" t="n">
        <x:v>309.68167393251133</x:v>
      </x:c>
      <x:c r="G3926" s="21" t="n">
        <x:f>F3923</x:f>
        <x:v>322.84927939608355</x:v>
      </x:c>
      <x:c r="H3926" s="21" t="n">
        <x:f>F3928</x:f>
        <x:v>352.5432190205685</x:v>
      </x:c>
      <x:c r="I3926" s="27" t="n">
        <x:f>IF(AND(ISNUMBER(G3926),ISNUMBER(H3926),H3926&gt;0),G3926/H3926-1,"")</x:f>
        <x:v>-0.0842277996637697</x:v>
      </x:c>
      <x:c r="J3926" s="27" t="n">
        <x:f>IF(AND(ISNUMBER(G3926),F3926&gt;0),G3926/F3926-1,"")</x:f>
        <x:v>0.04251980847417469</x:v>
      </x:c>
      <x:c r="K3926" s="19" t="str">
        <x:v>Weak/EXP248/results/seed2515295_Fixed_rank_25.json</x:v>
      </x:c>
    </x:row>
    <x:row r="3927" ht="15" hidden="0" customHeight="1">
      <x:c r="A3927" s="3" t="str">
        <x:v>EXP248</x:v>
      </x:c>
      <x:c r="B3927" s="3" t="str">
        <x:v>Weak</x:v>
      </x:c>
      <x:c r="C3927" s="18" t="n">
        <x:v>2515295</x:v>
      </x:c>
      <x:c r="D3927" s="3" t="str">
        <x:v>Relative cutoff 1e-6</x:v>
      </x:c>
      <x:c r="E3927" s="18" t="n">
        <x:v>800</x:v>
      </x:c>
      <x:c r="F3927" s="21" t="n">
        <x:v>329.8557472694064</x:v>
      </x:c>
      <x:c r="G3927" s="21" t="n">
        <x:f>F3923</x:f>
        <x:v>322.84927939608355</x:v>
      </x:c>
      <x:c r="H3927" s="21" t="n">
        <x:f>F3928</x:f>
        <x:v>352.5432190205685</x:v>
      </x:c>
      <x:c r="I3927" s="27" t="n">
        <x:f>IF(AND(ISNUMBER(G3927),ISNUMBER(H3927),H3927&gt;0),G3927/H3927-1,"")</x:f>
        <x:v>-0.0842277996637697</x:v>
      </x:c>
      <x:c r="J3927" s="27" t="n">
        <x:f>IF(AND(ISNUMBER(G3927),F3927&gt;0),G3927/F3927-1,"")</x:f>
        <x:v>-0.021241005898255172</x:v>
      </x:c>
      <x:c r="K3927" s="19" t="str">
        <x:v>Weak/EXP248/results/seed2515295_Relative_cutoff_1e-6.json</x:v>
      </x:c>
    </x:row>
    <x:row r="3928" ht="15" hidden="0" customHeight="1">
      <x:c r="A3928" s="3" t="str">
        <x:v>EXP248</x:v>
      </x:c>
      <x:c r="B3928" s="3" t="str">
        <x:v>Weak</x:v>
      </x:c>
      <x:c r="C3928" s="18" t="n">
        <x:v>2515295</x:v>
      </x:c>
      <x:c r="D3928" s="3" t="str">
        <x:v>Full</x:v>
      </x:c>
      <x:c r="E3928" s="18" t="n">
        <x:v>800</x:v>
      </x:c>
      <x:c r="F3928" s="21" t="n">
        <x:v>352.5432190205685</x:v>
      </x:c>
      <x:c r="G3928" s="21" t="n">
        <x:f>F3923</x:f>
        <x:v>322.84927939608355</x:v>
      </x:c>
      <x:c r="H3928" s="21" t="n">
        <x:f>F3928</x:f>
        <x:v>352.5432190205685</x:v>
      </x:c>
      <x:c r="I3928" s="27" t="n">
        <x:f>IF(AND(ISNUMBER(G3928),ISNUMBER(H3928),H3928&gt;0),G3928/H3928-1,"")</x:f>
        <x:v>-0.0842277996637697</x:v>
      </x:c>
      <x:c r="J3928" s="27" t="n">
        <x:f>IF(AND(ISNUMBER(G3928),F3928&gt;0),G3928/F3928-1,"")</x:f>
        <x:v>-0.0842277996637697</x:v>
      </x:c>
      <x:c r="K3928" s="19" t="str">
        <x:v>Weak/EXP248/results/seed2515295_Full.json</x:v>
      </x:c>
    </x:row>
    <x:row r="3929" ht="15" hidden="0" customHeight="1">
      <x:c r="A3929" s="3" t="str">
        <x:v>EXP248</x:v>
      </x:c>
      <x:c r="B3929" s="3" t="str">
        <x:v>Weak</x:v>
      </x:c>
      <x:c r="C3929" s="18" t="n">
        <x:v>2515295</x:v>
      </x:c>
      <x:c r="D3929" s="3" t="str">
        <x:v>Relative cutoff 1e-2</x:v>
      </x:c>
      <x:c r="E3929" s="18" t="n">
        <x:v>800</x:v>
      </x:c>
      <x:c r="F3929" s="21" t="n">
        <x:v>535.7862157486816</x:v>
      </x:c>
      <x:c r="G3929" s="21" t="n">
        <x:f>F3923</x:f>
        <x:v>322.84927939608355</x:v>
      </x:c>
      <x:c r="H3929" s="21" t="n">
        <x:f>F3928</x:f>
        <x:v>352.5432190205685</x:v>
      </x:c>
      <x:c r="I3929" s="27" t="n">
        <x:f>IF(AND(ISNUMBER(G3929),ISNUMBER(H3929),H3929&gt;0),G3929/H3929-1,"")</x:f>
        <x:v>-0.0842277996637697</x:v>
      </x:c>
      <x:c r="J3929" s="27" t="n">
        <x:f>IF(AND(ISNUMBER(G3929),F3929&gt;0),G3929/F3929-1,"")</x:f>
        <x:v>-0.3974289186500446</x:v>
      </x:c>
      <x:c r="K3929" s="19" t="str">
        <x:v>Weak/EXP248/results/seed2515295_Relative_cutoff_1e-2.json</x:v>
      </x:c>
    </x:row>
    <x:row r="3930" ht="15" hidden="0" customHeight="1">
      <x:c r="A3930" s="3" t="str">
        <x:v>EXP248</x:v>
      </x:c>
      <x:c r="B3930" s="3" t="str">
        <x:v>Weak</x:v>
      </x:c>
      <x:c r="C3930" s="18" t="n">
        <x:v>2515295</x:v>
      </x:c>
      <x:c r="D3930" s="3" t="str">
        <x:v>Relative cutoff 1e-4</x:v>
      </x:c>
      <x:c r="E3930" s="18" t="n">
        <x:v>800</x:v>
      </x:c>
      <x:c r="F3930" s="21" t="n">
        <x:v>294.49353928867663</x:v>
      </x:c>
      <x:c r="G3930" s="21" t="n">
        <x:f>F3923</x:f>
        <x:v>322.84927939608355</x:v>
      </x:c>
      <x:c r="H3930" s="21" t="n">
        <x:f>F3928</x:f>
        <x:v>352.5432190205685</x:v>
      </x:c>
      <x:c r="I3930" s="27" t="n">
        <x:f>IF(AND(ISNUMBER(G3930),ISNUMBER(H3930),H3930&gt;0),G3930/H3930-1,"")</x:f>
        <x:v>-0.0842277996637697</x:v>
      </x:c>
      <x:c r="J3930" s="27" t="n">
        <x:f>IF(AND(ISNUMBER(G3930),F3930&gt;0),G3930/F3930-1,"")</x:f>
        <x:v>0.09628645903709043</x:v>
      </x:c>
      <x:c r="K3930" s="19" t="str">
        <x:v>Weak/EXP248/results/seed2515295_Relative_cutoff_1e-4.json</x:v>
      </x:c>
    </x:row>
    <x:row r="3931" ht="15" hidden="0" customHeight="1">
      <x:c r="A3931" s="3" t="str">
        <x:v>EXP248</x:v>
      </x:c>
      <x:c r="B3931" s="3" t="str">
        <x:v>Weak</x:v>
      </x:c>
      <x:c r="C3931" s="18" t="n">
        <x:v>55908590</x:v>
      </x:c>
      <x:c r="D3931" s="3" t="str">
        <x:v>BBP</x:v>
      </x:c>
      <x:c r="E3931" s="18" t="n">
        <x:v>800</x:v>
      </x:c>
      <x:c r="F3931" s="21" t="n">
        <x:v>318.61153336443914</x:v>
      </x:c>
      <x:c r="G3931" s="21" t="n">
        <x:f>F3931</x:f>
        <x:v>318.61153336443914</x:v>
      </x:c>
      <x:c r="H3931" s="21" t="n">
        <x:f>F3936</x:f>
        <x:v>317.26092396801107</x:v>
      </x:c>
      <x:c r="I3931" s="27" t="n">
        <x:f>IF(AND(ISNUMBER(G3931),ISNUMBER(H3931),H3931&gt;0),G3931/H3931-1,"")</x:f>
        <x:v>0.004257093434438364</x:v>
      </x:c>
      <x:c r="J3931" s="27" t="n">
        <x:f>IF(AND(ISNUMBER(G3931),F3931&gt;0),G3931/F3931-1,"")</x:f>
        <x:v>0</x:v>
      </x:c>
      <x:c r="K3931" s="19" t="str">
        <x:v>Weak/EXP248/results/seed55908590_BBP.json</x:v>
      </x:c>
    </x:row>
    <x:row r="3932" ht="15" hidden="0" customHeight="1">
      <x:c r="A3932" s="3" t="str">
        <x:v>EXP248</x:v>
      </x:c>
      <x:c r="B3932" s="3" t="str">
        <x:v>Weak</x:v>
      </x:c>
      <x:c r="C3932" s="18" t="n">
        <x:v>55908590</x:v>
      </x:c>
      <x:c r="D3932" s="3" t="str">
        <x:v>Relative cutoff 1e-5</x:v>
      </x:c>
      <x:c r="E3932" s="18" t="n">
        <x:v>800</x:v>
      </x:c>
      <x:c r="F3932" s="21" t="n">
        <x:v>342.0840690241619</x:v>
      </x:c>
      <x:c r="G3932" s="21" t="n">
        <x:f>F3931</x:f>
        <x:v>318.61153336443914</x:v>
      </x:c>
      <x:c r="H3932" s="21" t="n">
        <x:f>F3936</x:f>
        <x:v>317.26092396801107</x:v>
      </x:c>
      <x:c r="I3932" s="27" t="n">
        <x:f>IF(AND(ISNUMBER(G3932),ISNUMBER(H3932),H3932&gt;0),G3932/H3932-1,"")</x:f>
        <x:v>0.004257093434438364</x:v>
      </x:c>
      <x:c r="J3932" s="27" t="n">
        <x:f>IF(AND(ISNUMBER(G3932),F3932&gt;0),G3932/F3932-1,"")</x:f>
        <x:v>-0.06861627823441518</x:v>
      </x:c>
      <x:c r="K3932" s="19" t="str">
        <x:v>Weak/EXP248/results/seed55908590_Relative_cutoff_1e-5.json</x:v>
      </x:c>
    </x:row>
    <x:row r="3933" ht="15" hidden="0" customHeight="1">
      <x:c r="A3933" s="3" t="str">
        <x:v>EXP248</x:v>
      </x:c>
      <x:c r="B3933" s="3" t="str">
        <x:v>Weak</x:v>
      </x:c>
      <x:c r="C3933" s="18" t="n">
        <x:v>55908590</x:v>
      </x:c>
      <x:c r="D3933" s="3" t="str">
        <x:v>Fixed rank 10</x:v>
      </x:c>
      <x:c r="E3933" s="18" t="n">
        <x:v>800</x:v>
      </x:c>
      <x:c r="F3933" s="21" t="n">
        <x:v>328.1579900986726</x:v>
      </x:c>
      <x:c r="G3933" s="21" t="n">
        <x:f>F3931</x:f>
        <x:v>318.61153336443914</x:v>
      </x:c>
      <x:c r="H3933" s="21" t="n">
        <x:f>F3936</x:f>
        <x:v>317.26092396801107</x:v>
      </x:c>
      <x:c r="I3933" s="27" t="n">
        <x:f>IF(AND(ISNUMBER(G3933),ISNUMBER(H3933),H3933&gt;0),G3933/H3933-1,"")</x:f>
        <x:v>0.004257093434438364</x:v>
      </x:c>
      <x:c r="J3933" s="27" t="n">
        <x:f>IF(AND(ISNUMBER(G3933),F3933&gt;0),G3933/F3933-1,"")</x:f>
        <x:v>-0.029091038531053215</x:v>
      </x:c>
      <x:c r="K3933" s="19" t="str">
        <x:v>Weak/EXP248/results/seed55908590_Fixed_rank_10.json</x:v>
      </x:c>
    </x:row>
    <x:row r="3934" ht="15" hidden="0" customHeight="1">
      <x:c r="A3934" s="3" t="str">
        <x:v>EXP248</x:v>
      </x:c>
      <x:c r="B3934" s="3" t="str">
        <x:v>Weak</x:v>
      </x:c>
      <x:c r="C3934" s="18" t="n">
        <x:v>55908590</x:v>
      </x:c>
      <x:c r="D3934" s="3" t="str">
        <x:v>Fixed rank 25</x:v>
      </x:c>
      <x:c r="E3934" s="18" t="n">
        <x:v>800</x:v>
      </x:c>
      <x:c r="F3934" s="21" t="n">
        <x:v>315.8426323116096</x:v>
      </x:c>
      <x:c r="G3934" s="21" t="n">
        <x:f>F3931</x:f>
        <x:v>318.61153336443914</x:v>
      </x:c>
      <x:c r="H3934" s="21" t="n">
        <x:f>F3936</x:f>
        <x:v>317.26092396801107</x:v>
      </x:c>
      <x:c r="I3934" s="27" t="n">
        <x:f>IF(AND(ISNUMBER(G3934),ISNUMBER(H3934),H3934&gt;0),G3934/H3934-1,"")</x:f>
        <x:v>0.004257093434438364</x:v>
      </x:c>
      <x:c r="J3934" s="27" t="n">
        <x:f>IF(AND(ISNUMBER(G3934),F3934&gt;0),G3934/F3934-1,"")</x:f>
        <x:v>0.008766710917282872</x:v>
      </x:c>
      <x:c r="K3934" s="19" t="str">
        <x:v>Weak/EXP248/results/seed55908590_Fixed_rank_25.json</x:v>
      </x:c>
    </x:row>
    <x:row r="3935" ht="15" hidden="0" customHeight="1">
      <x:c r="A3935" s="3" t="str">
        <x:v>EXP248</x:v>
      </x:c>
      <x:c r="B3935" s="3" t="str">
        <x:v>Weak</x:v>
      </x:c>
      <x:c r="C3935" s="18" t="n">
        <x:v>55908590</x:v>
      </x:c>
      <x:c r="D3935" s="3" t="str">
        <x:v>Relative cutoff 1e-6</x:v>
      </x:c>
      <x:c r="E3935" s="18" t="n">
        <x:v>800</x:v>
      </x:c>
      <x:c r="F3935" s="21" t="n">
        <x:v>323.81026087205584</x:v>
      </x:c>
      <x:c r="G3935" s="21" t="n">
        <x:f>F3931</x:f>
        <x:v>318.61153336443914</x:v>
      </x:c>
      <x:c r="H3935" s="21" t="n">
        <x:f>F3936</x:f>
        <x:v>317.26092396801107</x:v>
      </x:c>
      <x:c r="I3935" s="27" t="n">
        <x:f>IF(AND(ISNUMBER(G3935),ISNUMBER(H3935),H3935&gt;0),G3935/H3935-1,"")</x:f>
        <x:v>0.004257093434438364</x:v>
      </x:c>
      <x:c r="J3935" s="27" t="n">
        <x:f>IF(AND(ISNUMBER(G3935),F3935&gt;0),G3935/F3935-1,"")</x:f>
        <x:v>-0.0160548572290945</x:v>
      </x:c>
      <x:c r="K3935" s="19" t="str">
        <x:v>Weak/EXP248/results/seed55908590_Relative_cutoff_1e-6.json</x:v>
      </x:c>
    </x:row>
    <x:row r="3936" ht="15" hidden="0" customHeight="1">
      <x:c r="A3936" s="3" t="str">
        <x:v>EXP248</x:v>
      </x:c>
      <x:c r="B3936" s="3" t="str">
        <x:v>Weak</x:v>
      </x:c>
      <x:c r="C3936" s="18" t="n">
        <x:v>55908590</x:v>
      </x:c>
      <x:c r="D3936" s="3" t="str">
        <x:v>Full</x:v>
      </x:c>
      <x:c r="E3936" s="18" t="n">
        <x:v>800</x:v>
      </x:c>
      <x:c r="F3936" s="21" t="n">
        <x:v>317.26092396801107</x:v>
      </x:c>
      <x:c r="G3936" s="21" t="n">
        <x:f>F3931</x:f>
        <x:v>318.61153336443914</x:v>
      </x:c>
      <x:c r="H3936" s="21" t="n">
        <x:f>F3936</x:f>
        <x:v>317.26092396801107</x:v>
      </x:c>
      <x:c r="I3936" s="27" t="n">
        <x:f>IF(AND(ISNUMBER(G3936),ISNUMBER(H3936),H3936&gt;0),G3936/H3936-1,"")</x:f>
        <x:v>0.004257093434438364</x:v>
      </x:c>
      <x:c r="J3936" s="27" t="n">
        <x:f>IF(AND(ISNUMBER(G3936),F3936&gt;0),G3936/F3936-1,"")</x:f>
        <x:v>0.004257093434438364</x:v>
      </x:c>
      <x:c r="K3936" s="19" t="str">
        <x:v>Weak/EXP248/results/seed55908590_Full.json</x:v>
      </x:c>
    </x:row>
    <x:row r="3937" ht="15" hidden="0" customHeight="1">
      <x:c r="A3937" s="3" t="str">
        <x:v>EXP248</x:v>
      </x:c>
      <x:c r="B3937" s="3" t="str">
        <x:v>Weak</x:v>
      </x:c>
      <x:c r="C3937" s="18" t="n">
        <x:v>55908590</x:v>
      </x:c>
      <x:c r="D3937" s="3" t="str">
        <x:v>Relative cutoff 1e-2</x:v>
      </x:c>
      <x:c r="E3937" s="18" t="n">
        <x:v>800</x:v>
      </x:c>
      <x:c r="F3937" s="21" t="n">
        <x:v>434.42976177241707</x:v>
      </x:c>
      <x:c r="G3937" s="21" t="n">
        <x:f>F3931</x:f>
        <x:v>318.61153336443914</x:v>
      </x:c>
      <x:c r="H3937" s="21" t="n">
        <x:f>F3936</x:f>
        <x:v>317.26092396801107</x:v>
      </x:c>
      <x:c r="I3937" s="27" t="n">
        <x:f>IF(AND(ISNUMBER(G3937),ISNUMBER(H3937),H3937&gt;0),G3937/H3937-1,"")</x:f>
        <x:v>0.004257093434438364</x:v>
      </x:c>
      <x:c r="J3937" s="27" t="n">
        <x:f>IF(AND(ISNUMBER(G3937),F3937&gt;0),G3937/F3937-1,"")</x:f>
        <x:v>-0.26659828262100316</x:v>
      </x:c>
      <x:c r="K3937" s="19" t="str">
        <x:v>Weak/EXP248/results/seed55908590_Relative_cutoff_1e-2.json</x:v>
      </x:c>
    </x:row>
    <x:row r="3938" ht="15" hidden="0" customHeight="1">
      <x:c r="A3938" s="3" t="str">
        <x:v>EXP248</x:v>
      </x:c>
      <x:c r="B3938" s="3" t="str">
        <x:v>Weak</x:v>
      </x:c>
      <x:c r="C3938" s="18" t="n">
        <x:v>55908590</x:v>
      </x:c>
      <x:c r="D3938" s="3" t="str">
        <x:v>Relative cutoff 1e-4</x:v>
      </x:c>
      <x:c r="E3938" s="18" t="n">
        <x:v>800</x:v>
      </x:c>
      <x:c r="F3938" s="21" t="n">
        <x:v>342.0622734225355</x:v>
      </x:c>
      <x:c r="G3938" s="21" t="n">
        <x:f>F3931</x:f>
        <x:v>318.61153336443914</x:v>
      </x:c>
      <x:c r="H3938" s="21" t="n">
        <x:f>F3936</x:f>
        <x:v>317.26092396801107</x:v>
      </x:c>
      <x:c r="I3938" s="27" t="n">
        <x:f>IF(AND(ISNUMBER(G3938),ISNUMBER(H3938),H3938&gt;0),G3938/H3938-1,"")</x:f>
        <x:v>0.004257093434438364</x:v>
      </x:c>
      <x:c r="J3938" s="27" t="n">
        <x:f>IF(AND(ISNUMBER(G3938),F3938&gt;0),G3938/F3938-1,"")</x:f>
        <x:v>-0.06855693211489777</x:v>
      </x:c>
      <x:c r="K3938" s="19" t="str">
        <x:v>Weak/EXP248/results/seed55908590_Relative_cutoff_1e-4.json</x:v>
      </x:c>
    </x:row>
    <x:row r="3939" ht="15" hidden="0" customHeight="1">
      <x:c r="A3939" s="3" t="str">
        <x:v>EXP248</x:v>
      </x:c>
      <x:c r="B3939" s="3" t="str">
        <x:v>Weak</x:v>
      </x:c>
      <x:c r="C3939" s="18" t="n">
        <x:v>58789250</x:v>
      </x:c>
      <x:c r="D3939" s="3" t="str">
        <x:v>BBP</x:v>
      </x:c>
      <x:c r="E3939" s="18" t="n">
        <x:v>800</x:v>
      </x:c>
      <x:c r="F3939" s="21" t="n">
        <x:v>566.5502061273668</x:v>
      </x:c>
      <x:c r="G3939" s="21" t="n">
        <x:f>F3939</x:f>
        <x:v>566.5502061273668</x:v>
      </x:c>
      <x:c r="H3939" s="21" t="n">
        <x:f>F3944</x:f>
        <x:v>566.1467574635674</x:v>
      </x:c>
      <x:c r="I3939" s="27" t="n">
        <x:f>IF(AND(ISNUMBER(G3939),ISNUMBER(H3939),H3939&gt;0),G3939/H3939-1,"")</x:f>
        <x:v>0.0007126220515805137</x:v>
      </x:c>
      <x:c r="J3939" s="27" t="n">
        <x:f>IF(AND(ISNUMBER(G3939),F3939&gt;0),G3939/F3939-1,"")</x:f>
        <x:v>0</x:v>
      </x:c>
      <x:c r="K3939" s="19" t="str">
        <x:v>Weak/EXP248/results/seed58789250_BBP.json</x:v>
      </x:c>
    </x:row>
    <x:row r="3940" ht="15" hidden="0" customHeight="1">
      <x:c r="A3940" s="3" t="str">
        <x:v>EXP248</x:v>
      </x:c>
      <x:c r="B3940" s="3" t="str">
        <x:v>Weak</x:v>
      </x:c>
      <x:c r="C3940" s="18" t="n">
        <x:v>58789250</x:v>
      </x:c>
      <x:c r="D3940" s="3" t="str">
        <x:v>Relative cutoff 1e-5</x:v>
      </x:c>
      <x:c r="E3940" s="18" t="n">
        <x:v>800</x:v>
      </x:c>
      <x:c r="F3940" s="21" t="n">
        <x:v>593.6865097342851</x:v>
      </x:c>
      <x:c r="G3940" s="21" t="n">
        <x:f>F3939</x:f>
        <x:v>566.5502061273668</x:v>
      </x:c>
      <x:c r="H3940" s="21" t="n">
        <x:f>F3944</x:f>
        <x:v>566.1467574635674</x:v>
      </x:c>
      <x:c r="I3940" s="27" t="n">
        <x:f>IF(AND(ISNUMBER(G3940),ISNUMBER(H3940),H3940&gt;0),G3940/H3940-1,"")</x:f>
        <x:v>0.0007126220515805137</x:v>
      </x:c>
      <x:c r="J3940" s="27" t="n">
        <x:f>IF(AND(ISNUMBER(G3940),F3940&gt;0),G3940/F3940-1,"")</x:f>
        <x:v>-0.04570813579554578</x:v>
      </x:c>
      <x:c r="K3940" s="19" t="str">
        <x:v>Weak/EXP248/results/seed58789250_Relative_cutoff_1e-5.json</x:v>
      </x:c>
    </x:row>
    <x:row r="3941" ht="15" hidden="0" customHeight="1">
      <x:c r="A3941" s="3" t="str">
        <x:v>EXP248</x:v>
      </x:c>
      <x:c r="B3941" s="3" t="str">
        <x:v>Weak</x:v>
      </x:c>
      <x:c r="C3941" s="18" t="n">
        <x:v>58789250</x:v>
      </x:c>
      <x:c r="D3941" s="3" t="str">
        <x:v>Fixed rank 10</x:v>
      </x:c>
      <x:c r="E3941" s="18" t="n">
        <x:v>800</x:v>
      </x:c>
      <x:c r="F3941" s="21" t="n">
        <x:v>609.8611587419525</x:v>
      </x:c>
      <x:c r="G3941" s="21" t="n">
        <x:f>F3939</x:f>
        <x:v>566.5502061273668</x:v>
      </x:c>
      <x:c r="H3941" s="21" t="n">
        <x:f>F3944</x:f>
        <x:v>566.1467574635674</x:v>
      </x:c>
      <x:c r="I3941" s="27" t="n">
        <x:f>IF(AND(ISNUMBER(G3941),ISNUMBER(H3941),H3941&gt;0),G3941/H3941-1,"")</x:f>
        <x:v>0.0007126220515805137</x:v>
      </x:c>
      <x:c r="J3941" s="27" t="n">
        <x:f>IF(AND(ISNUMBER(G3941),F3941&gt;0),G3941/F3941-1,"")</x:f>
        <x:v>-0.07101772590982747</x:v>
      </x:c>
      <x:c r="K3941" s="19" t="str">
        <x:v>Weak/EXP248/results/seed58789250_Fixed_rank_10.json</x:v>
      </x:c>
    </x:row>
    <x:row r="3942" ht="15" hidden="0" customHeight="1">
      <x:c r="A3942" s="3" t="str">
        <x:v>EXP248</x:v>
      </x:c>
      <x:c r="B3942" s="3" t="str">
        <x:v>Weak</x:v>
      </x:c>
      <x:c r="C3942" s="18" t="n">
        <x:v>58789250</x:v>
      </x:c>
      <x:c r="D3942" s="3" t="str">
        <x:v>Fixed rank 25</x:v>
      </x:c>
      <x:c r="E3942" s="18" t="n">
        <x:v>800</x:v>
      </x:c>
      <x:c r="F3942" s="21" t="n">
        <x:v>561.8803107790147</x:v>
      </x:c>
      <x:c r="G3942" s="21" t="n">
        <x:f>F3939</x:f>
        <x:v>566.5502061273668</x:v>
      </x:c>
      <x:c r="H3942" s="21" t="n">
        <x:f>F3944</x:f>
        <x:v>566.1467574635674</x:v>
      </x:c>
      <x:c r="I3942" s="27" t="n">
        <x:f>IF(AND(ISNUMBER(G3942),ISNUMBER(H3942),H3942&gt;0),G3942/H3942-1,"")</x:f>
        <x:v>0.0007126220515805137</x:v>
      </x:c>
      <x:c r="J3942" s="27" t="n">
        <x:f>IF(AND(ISNUMBER(G3942),F3942&gt;0),G3942/F3942-1,"")</x:f>
        <x:v>0.008311192363863906</x:v>
      </x:c>
      <x:c r="K3942" s="19" t="str">
        <x:v>Weak/EXP248/results/seed58789250_Fixed_rank_25.json</x:v>
      </x:c>
    </x:row>
    <x:row r="3943" ht="15" hidden="0" customHeight="1">
      <x:c r="A3943" s="3" t="str">
        <x:v>EXP248</x:v>
      </x:c>
      <x:c r="B3943" s="3" t="str">
        <x:v>Weak</x:v>
      </x:c>
      <x:c r="C3943" s="18" t="n">
        <x:v>58789250</x:v>
      </x:c>
      <x:c r="D3943" s="3" t="str">
        <x:v>Relative cutoff 1e-6</x:v>
      </x:c>
      <x:c r="E3943" s="18" t="n">
        <x:v>800</x:v>
      </x:c>
      <x:c r="F3943" s="21" t="n">
        <x:v>546.8612169202381</x:v>
      </x:c>
      <x:c r="G3943" s="21" t="n">
        <x:f>F3939</x:f>
        <x:v>566.5502061273668</x:v>
      </x:c>
      <x:c r="H3943" s="21" t="n">
        <x:f>F3944</x:f>
        <x:v>566.1467574635674</x:v>
      </x:c>
      <x:c r="I3943" s="27" t="n">
        <x:f>IF(AND(ISNUMBER(G3943),ISNUMBER(H3943),H3943&gt;0),G3943/H3943-1,"")</x:f>
        <x:v>0.0007126220515805137</x:v>
      </x:c>
      <x:c r="J3943" s="27" t="n">
        <x:f>IF(AND(ISNUMBER(G3943),F3943&gt;0),G3943/F3943-1,"")</x:f>
        <x:v>0.03600363053355893</x:v>
      </x:c>
      <x:c r="K3943" s="19" t="str">
        <x:v>Weak/EXP248/results/seed58789250_Relative_cutoff_1e-6.json</x:v>
      </x:c>
    </x:row>
    <x:row r="3944" ht="15" hidden="0" customHeight="1">
      <x:c r="A3944" s="3" t="str">
        <x:v>EXP248</x:v>
      </x:c>
      <x:c r="B3944" s="3" t="str">
        <x:v>Weak</x:v>
      </x:c>
      <x:c r="C3944" s="18" t="n">
        <x:v>58789250</x:v>
      </x:c>
      <x:c r="D3944" s="3" t="str">
        <x:v>Full</x:v>
      </x:c>
      <x:c r="E3944" s="18" t="n">
        <x:v>800</x:v>
      </x:c>
      <x:c r="F3944" s="21" t="n">
        <x:v>566.1467574635674</x:v>
      </x:c>
      <x:c r="G3944" s="21" t="n">
        <x:f>F3939</x:f>
        <x:v>566.5502061273668</x:v>
      </x:c>
      <x:c r="H3944" s="21" t="n">
        <x:f>F3944</x:f>
        <x:v>566.1467574635674</x:v>
      </x:c>
      <x:c r="I3944" s="27" t="n">
        <x:f>IF(AND(ISNUMBER(G3944),ISNUMBER(H3944),H3944&gt;0),G3944/H3944-1,"")</x:f>
        <x:v>0.0007126220515805137</x:v>
      </x:c>
      <x:c r="J3944" s="27" t="n">
        <x:f>IF(AND(ISNUMBER(G3944),F3944&gt;0),G3944/F3944-1,"")</x:f>
        <x:v>0.0007126220515805137</x:v>
      </x:c>
      <x:c r="K3944" s="19" t="str">
        <x:v>Weak/EXP248/results/seed58789250_Full.json</x:v>
      </x:c>
    </x:row>
    <x:row r="3945" ht="15" hidden="0" customHeight="1">
      <x:c r="A3945" s="3" t="str">
        <x:v>EXP248</x:v>
      </x:c>
      <x:c r="B3945" s="3" t="str">
        <x:v>Weak</x:v>
      </x:c>
      <x:c r="C3945" s="18" t="n">
        <x:v>58789250</x:v>
      </x:c>
      <x:c r="D3945" s="3" t="str">
        <x:v>Relative cutoff 1e-2</x:v>
      </x:c>
      <x:c r="E3945" s="18" t="n">
        <x:v>800</x:v>
      </x:c>
      <x:c r="F3945" s="21" t="n">
        <x:v>605.9166623005491</x:v>
      </x:c>
      <x:c r="G3945" s="21" t="n">
        <x:f>F3939</x:f>
        <x:v>566.5502061273668</x:v>
      </x:c>
      <x:c r="H3945" s="21" t="n">
        <x:f>F3944</x:f>
        <x:v>566.1467574635674</x:v>
      </x:c>
      <x:c r="I3945" s="27" t="n">
        <x:f>IF(AND(ISNUMBER(G3945),ISNUMBER(H3945),H3945&gt;0),G3945/H3945-1,"")</x:f>
        <x:v>0.0007126220515805137</x:v>
      </x:c>
      <x:c r="J3945" s="27" t="n">
        <x:f>IF(AND(ISNUMBER(G3945),F3945&gt;0),G3945/F3945-1,"")</x:f>
        <x:v>-0.0649700835486442</x:v>
      </x:c>
      <x:c r="K3945" s="19" t="str">
        <x:v>Weak/EXP248/results/seed58789250_Relative_cutoff_1e-2.json</x:v>
      </x:c>
    </x:row>
    <x:row r="3946" ht="15" hidden="0" customHeight="1">
      <x:c r="A3946" s="3" t="str">
        <x:v>EXP248</x:v>
      </x:c>
      <x:c r="B3946" s="3" t="str">
        <x:v>Weak</x:v>
      </x:c>
      <x:c r="C3946" s="18" t="n">
        <x:v>58789250</x:v>
      </x:c>
      <x:c r="D3946" s="3" t="str">
        <x:v>Relative cutoff 1e-4</x:v>
      </x:c>
      <x:c r="E3946" s="18" t="n">
        <x:v>800</x:v>
      </x:c>
      <x:c r="F3946" s="21" t="n">
        <x:v>614.8327437768221</x:v>
      </x:c>
      <x:c r="G3946" s="21" t="n">
        <x:f>F3939</x:f>
        <x:v>566.5502061273668</x:v>
      </x:c>
      <x:c r="H3946" s="21" t="n">
        <x:f>F3944</x:f>
        <x:v>566.1467574635674</x:v>
      </x:c>
      <x:c r="I3946" s="27" t="n">
        <x:f>IF(AND(ISNUMBER(G3946),ISNUMBER(H3946),H3946&gt;0),G3946/H3946-1,"")</x:f>
        <x:v>0.0007126220515805137</x:v>
      </x:c>
      <x:c r="J3946" s="27" t="n">
        <x:f>IF(AND(ISNUMBER(G3946),F3946&gt;0),G3946/F3946-1,"")</x:f>
        <x:v>-0.07852954830099512</x:v>
      </x:c>
      <x:c r="K3946" s="19" t="str">
        <x:v>Weak/EXP248/results/seed58789250_Relative_cutoff_1e-4.json</x:v>
      </x:c>
    </x:row>
    <x:row r="3947" ht="15" hidden="0" customHeight="1">
      <x:c r="A3947" s="3" t="str">
        <x:v>EXP248</x:v>
      </x:c>
      <x:c r="B3947" s="3" t="str">
        <x:v>Weak</x:v>
      </x:c>
      <x:c r="C3947" s="18" t="n">
        <x:v>71709808</x:v>
      </x:c>
      <x:c r="D3947" s="3" t="str">
        <x:v>BBP</x:v>
      </x:c>
      <x:c r="E3947" s="18" t="n">
        <x:v>800</x:v>
      </x:c>
      <x:c r="F3947" s="21" t="n">
        <x:v>427.0746651215571</x:v>
      </x:c>
      <x:c r="G3947" s="21" t="n">
        <x:f>F3947</x:f>
        <x:v>427.0746651215571</x:v>
      </x:c>
      <x:c r="H3947" s="21" t="n">
        <x:f>F3952</x:f>
        <x:v>428.9575943554296</x:v>
      </x:c>
      <x:c r="I3947" s="27" t="n">
        <x:f>IF(AND(ISNUMBER(G3947),ISNUMBER(H3947),H3947&gt;0),G3947/H3947-1,"")</x:f>
        <x:v>-0.004389546329636396</x:v>
      </x:c>
      <x:c r="J3947" s="27" t="n">
        <x:f>IF(AND(ISNUMBER(G3947),F3947&gt;0),G3947/F3947-1,"")</x:f>
        <x:v>0</x:v>
      </x:c>
      <x:c r="K3947" s="19" t="str">
        <x:v>Weak/EXP248/results/seed71709808_BBP.json</x:v>
      </x:c>
    </x:row>
    <x:row r="3948" ht="15" hidden="0" customHeight="1">
      <x:c r="A3948" s="3" t="str">
        <x:v>EXP248</x:v>
      </x:c>
      <x:c r="B3948" s="3" t="str">
        <x:v>Weak</x:v>
      </x:c>
      <x:c r="C3948" s="18" t="n">
        <x:v>71709808</x:v>
      </x:c>
      <x:c r="D3948" s="3" t="str">
        <x:v>Relative cutoff 1e-5</x:v>
      </x:c>
      <x:c r="E3948" s="18" t="n">
        <x:v>800</x:v>
      </x:c>
      <x:c r="F3948" s="21" t="n">
        <x:v>389.9590572595891</x:v>
      </x:c>
      <x:c r="G3948" s="21" t="n">
        <x:f>F3947</x:f>
        <x:v>427.0746651215571</x:v>
      </x:c>
      <x:c r="H3948" s="21" t="n">
        <x:f>F3952</x:f>
        <x:v>428.9575943554296</x:v>
      </x:c>
      <x:c r="I3948" s="27" t="n">
        <x:f>IF(AND(ISNUMBER(G3948),ISNUMBER(H3948),H3948&gt;0),G3948/H3948-1,"")</x:f>
        <x:v>-0.004389546329636396</x:v>
      </x:c>
      <x:c r="J3948" s="27" t="n">
        <x:f>IF(AND(ISNUMBER(G3948),F3948&gt;0),G3948/F3948-1,"")</x:f>
        <x:v>0.09517821722822761</x:v>
      </x:c>
      <x:c r="K3948" s="19" t="str">
        <x:v>Weak/EXP248/results/seed71709808_Relative_cutoff_1e-5.json</x:v>
      </x:c>
    </x:row>
    <x:row r="3949" ht="15" hidden="0" customHeight="1">
      <x:c r="A3949" s="3" t="str">
        <x:v>EXP248</x:v>
      </x:c>
      <x:c r="B3949" s="3" t="str">
        <x:v>Weak</x:v>
      </x:c>
      <x:c r="C3949" s="18" t="n">
        <x:v>71709808</x:v>
      </x:c>
      <x:c r="D3949" s="3" t="str">
        <x:v>Fixed rank 10</x:v>
      </x:c>
      <x:c r="E3949" s="18" t="n">
        <x:v>800</x:v>
      </x:c>
      <x:c r="F3949" s="21" t="n">
        <x:v>357.93330158291946</x:v>
      </x:c>
      <x:c r="G3949" s="21" t="n">
        <x:f>F3947</x:f>
        <x:v>427.0746651215571</x:v>
      </x:c>
      <x:c r="H3949" s="21" t="n">
        <x:f>F3952</x:f>
        <x:v>428.9575943554296</x:v>
      </x:c>
      <x:c r="I3949" s="27" t="n">
        <x:f>IF(AND(ISNUMBER(G3949),ISNUMBER(H3949),H3949&gt;0),G3949/H3949-1,"")</x:f>
        <x:v>-0.004389546329636396</x:v>
      </x:c>
      <x:c r="J3949" s="27" t="n">
        <x:f>IF(AND(ISNUMBER(G3949),F3949&gt;0),G3949/F3949-1,"")</x:f>
        <x:v>0.1931682892674913</x:v>
      </x:c>
      <x:c r="K3949" s="19" t="str">
        <x:v>Weak/EXP248/results/seed71709808_Fixed_rank_10.json</x:v>
      </x:c>
    </x:row>
    <x:row r="3950" ht="15" hidden="0" customHeight="1">
      <x:c r="A3950" s="3" t="str">
        <x:v>EXP248</x:v>
      </x:c>
      <x:c r="B3950" s="3" t="str">
        <x:v>Weak</x:v>
      </x:c>
      <x:c r="C3950" s="18" t="n">
        <x:v>71709808</x:v>
      </x:c>
      <x:c r="D3950" s="3" t="str">
        <x:v>Fixed rank 25</x:v>
      </x:c>
      <x:c r="E3950" s="18" t="n">
        <x:v>800</x:v>
      </x:c>
      <x:c r="F3950" s="21" t="n">
        <x:v>396.61776590776844</x:v>
      </x:c>
      <x:c r="G3950" s="21" t="n">
        <x:f>F3947</x:f>
        <x:v>427.0746651215571</x:v>
      </x:c>
      <x:c r="H3950" s="21" t="n">
        <x:f>F3952</x:f>
        <x:v>428.9575943554296</x:v>
      </x:c>
      <x:c r="I3950" s="27" t="n">
        <x:f>IF(AND(ISNUMBER(G3950),ISNUMBER(H3950),H3950&gt;0),G3950/H3950-1,"")</x:f>
        <x:v>-0.004389546329636396</x:v>
      </x:c>
      <x:c r="J3950" s="27" t="n">
        <x:f>IF(AND(ISNUMBER(G3950),F3950&gt;0),G3950/F3950-1,"")</x:f>
        <x:v>0.07679156566292411</x:v>
      </x:c>
      <x:c r="K3950" s="19" t="str">
        <x:v>Weak/EXP248/results/seed71709808_Fixed_rank_25.json</x:v>
      </x:c>
    </x:row>
    <x:row r="3951" ht="15" hidden="0" customHeight="1">
      <x:c r="A3951" s="3" t="str">
        <x:v>EXP248</x:v>
      </x:c>
      <x:c r="B3951" s="3" t="str">
        <x:v>Weak</x:v>
      </x:c>
      <x:c r="C3951" s="18" t="n">
        <x:v>71709808</x:v>
      </x:c>
      <x:c r="D3951" s="3" t="str">
        <x:v>Relative cutoff 1e-6</x:v>
      </x:c>
      <x:c r="E3951" s="18" t="n">
        <x:v>800</x:v>
      </x:c>
      <x:c r="F3951" s="21" t="n">
        <x:v>411.2706094295074</x:v>
      </x:c>
      <x:c r="G3951" s="21" t="n">
        <x:f>F3947</x:f>
        <x:v>427.0746651215571</x:v>
      </x:c>
      <x:c r="H3951" s="21" t="n">
        <x:f>F3952</x:f>
        <x:v>428.9575943554296</x:v>
      </x:c>
      <x:c r="I3951" s="27" t="n">
        <x:f>IF(AND(ISNUMBER(G3951),ISNUMBER(H3951),H3951&gt;0),G3951/H3951-1,"")</x:f>
        <x:v>-0.004389546329636396</x:v>
      </x:c>
      <x:c r="J3951" s="27" t="n">
        <x:f>IF(AND(ISNUMBER(G3951),F3951&gt;0),G3951/F3951-1,"")</x:f>
        <x:v>0.03842738899813969</x:v>
      </x:c>
      <x:c r="K3951" s="19" t="str">
        <x:v>Weak/EXP248/results/seed71709808_Relative_cutoff_1e-6.json</x:v>
      </x:c>
    </x:row>
    <x:row r="3952" ht="15" hidden="0" customHeight="1">
      <x:c r="A3952" s="3" t="str">
        <x:v>EXP248</x:v>
      </x:c>
      <x:c r="B3952" s="3" t="str">
        <x:v>Weak</x:v>
      </x:c>
      <x:c r="C3952" s="18" t="n">
        <x:v>71709808</x:v>
      </x:c>
      <x:c r="D3952" s="3" t="str">
        <x:v>Full</x:v>
      </x:c>
      <x:c r="E3952" s="18" t="n">
        <x:v>800</x:v>
      </x:c>
      <x:c r="F3952" s="21" t="n">
        <x:v>428.9575943554296</x:v>
      </x:c>
      <x:c r="G3952" s="21" t="n">
        <x:f>F3947</x:f>
        <x:v>427.0746651215571</x:v>
      </x:c>
      <x:c r="H3952" s="21" t="n">
        <x:f>F3952</x:f>
        <x:v>428.9575943554296</x:v>
      </x:c>
      <x:c r="I3952" s="27" t="n">
        <x:f>IF(AND(ISNUMBER(G3952),ISNUMBER(H3952),H3952&gt;0),G3952/H3952-1,"")</x:f>
        <x:v>-0.004389546329636396</x:v>
      </x:c>
      <x:c r="J3952" s="27" t="n">
        <x:f>IF(AND(ISNUMBER(G3952),F3952&gt;0),G3952/F3952-1,"")</x:f>
        <x:v>-0.004389546329636396</x:v>
      </x:c>
      <x:c r="K3952" s="19" t="str">
        <x:v>Weak/EXP248/results/seed71709808_Full.json</x:v>
      </x:c>
    </x:row>
    <x:row r="3953" ht="15" hidden="0" customHeight="1">
      <x:c r="A3953" s="3" t="str">
        <x:v>EXP248</x:v>
      </x:c>
      <x:c r="B3953" s="3" t="str">
        <x:v>Weak</x:v>
      </x:c>
      <x:c r="C3953" s="18" t="n">
        <x:v>71709808</x:v>
      </x:c>
      <x:c r="D3953" s="3" t="str">
        <x:v>Relative cutoff 1e-2</x:v>
      </x:c>
      <x:c r="E3953" s="18" t="n">
        <x:v>800</x:v>
      </x:c>
      <x:c r="F3953" s="21" t="n">
        <x:v>474.78254506158163</x:v>
      </x:c>
      <x:c r="G3953" s="21" t="n">
        <x:f>F3947</x:f>
        <x:v>427.0746651215571</x:v>
      </x:c>
      <x:c r="H3953" s="21" t="n">
        <x:f>F3952</x:f>
        <x:v>428.9575943554296</x:v>
      </x:c>
      <x:c r="I3953" s="27" t="n">
        <x:f>IF(AND(ISNUMBER(G3953),ISNUMBER(H3953),H3953&gt;0),G3953/H3953-1,"")</x:f>
        <x:v>-0.004389546329636396</x:v>
      </x:c>
      <x:c r="J3953" s="27" t="n">
        <x:f>IF(AND(ISNUMBER(G3953),F3953&gt;0),G3953/F3953-1,"")</x:f>
        <x:v>-0.10048364337791016</x:v>
      </x:c>
      <x:c r="K3953" s="19" t="str">
        <x:v>Weak/EXP248/results/seed71709808_Relative_cutoff_1e-2.json</x:v>
      </x:c>
    </x:row>
    <x:row r="3954" ht="15" hidden="0" customHeight="1">
      <x:c r="A3954" s="3" t="str">
        <x:v>EXP248</x:v>
      </x:c>
      <x:c r="B3954" s="3" t="str">
        <x:v>Weak</x:v>
      </x:c>
      <x:c r="C3954" s="18" t="n">
        <x:v>71709808</x:v>
      </x:c>
      <x:c r="D3954" s="3" t="str">
        <x:v>Relative cutoff 1e-4</x:v>
      </x:c>
      <x:c r="E3954" s="18" t="n">
        <x:v>800</x:v>
      </x:c>
      <x:c r="F3954" s="21" t="n">
        <x:v>384.8205453821621</x:v>
      </x:c>
      <x:c r="G3954" s="21" t="n">
        <x:f>F3947</x:f>
        <x:v>427.0746651215571</x:v>
      </x:c>
      <x:c r="H3954" s="21" t="n">
        <x:f>F3952</x:f>
        <x:v>428.9575943554296</x:v>
      </x:c>
      <x:c r="I3954" s="27" t="n">
        <x:f>IF(AND(ISNUMBER(G3954),ISNUMBER(H3954),H3954&gt;0),G3954/H3954-1,"")</x:f>
        <x:v>-0.004389546329636396</x:v>
      </x:c>
      <x:c r="J3954" s="27" t="n">
        <x:f>IF(AND(ISNUMBER(G3954),F3954&gt;0),G3954/F3954-1,"")</x:f>
        <x:v>0.10980214088474094</x:v>
      </x:c>
      <x:c r="K3954" s="19" t="str">
        <x:v>Weak/EXP248/results/seed71709808_Relative_cutoff_1e-4.json</x:v>
      </x:c>
    </x:row>
    <x:row r="3955" ht="15" hidden="0" customHeight="1">
      <x:c r="A3955" s="3" t="str">
        <x:v>EXP248</x:v>
      </x:c>
      <x:c r="B3955" s="3" t="str">
        <x:v>Weak</x:v>
      </x:c>
      <x:c r="C3955" s="18" t="n">
        <x:v>178718637</x:v>
      </x:c>
      <x:c r="D3955" s="3" t="str">
        <x:v>BBP</x:v>
      </x:c>
      <x:c r="E3955" s="18" t="n">
        <x:v>800</x:v>
      </x:c>
      <x:c r="F3955" s="21" t="n">
        <x:v>360.7322687844773</x:v>
      </x:c>
      <x:c r="G3955" s="21" t="n">
        <x:f>F3955</x:f>
        <x:v>360.7322687844773</x:v>
      </x:c>
      <x:c r="H3955" s="21" t="n">
        <x:f>F3960</x:f>
        <x:v>358.32329271243907</x:v>
      </x:c>
      <x:c r="I3955" s="27" t="n">
        <x:f>IF(AND(ISNUMBER(G3955),ISNUMBER(H3955),H3955&gt;0),G3955/H3955-1,"")</x:f>
        <x:v>0.006722912300237915</x:v>
      </x:c>
      <x:c r="J3955" s="27" t="n">
        <x:f>IF(AND(ISNUMBER(G3955),F3955&gt;0),G3955/F3955-1,"")</x:f>
        <x:v>0</x:v>
      </x:c>
      <x:c r="K3955" s="19" t="str">
        <x:v>Weak/EXP248/results/seed178718637_BBP.json</x:v>
      </x:c>
    </x:row>
    <x:row r="3956" ht="15" hidden="0" customHeight="1">
      <x:c r="A3956" s="3" t="str">
        <x:v>EXP248</x:v>
      </x:c>
      <x:c r="B3956" s="3" t="str">
        <x:v>Weak</x:v>
      </x:c>
      <x:c r="C3956" s="18" t="n">
        <x:v>178718637</x:v>
      </x:c>
      <x:c r="D3956" s="3" t="str">
        <x:v>Relative cutoff 1e-5</x:v>
      </x:c>
      <x:c r="E3956" s="18" t="n">
        <x:v>800</x:v>
      </x:c>
      <x:c r="F3956" s="21" t="n">
        <x:v>343.81961771721745</x:v>
      </x:c>
      <x:c r="G3956" s="21" t="n">
        <x:f>F3955</x:f>
        <x:v>360.7322687844773</x:v>
      </x:c>
      <x:c r="H3956" s="21" t="n">
        <x:f>F3960</x:f>
        <x:v>358.32329271243907</x:v>
      </x:c>
      <x:c r="I3956" s="27" t="n">
        <x:f>IF(AND(ISNUMBER(G3956),ISNUMBER(H3956),H3956&gt;0),G3956/H3956-1,"")</x:f>
        <x:v>0.006722912300237915</x:v>
      </x:c>
      <x:c r="J3956" s="27" t="n">
        <x:f>IF(AND(ISNUMBER(G3956),F3956&gt;0),G3956/F3956-1,"")</x:f>
        <x:v>0.04919047720299097</x:v>
      </x:c>
      <x:c r="K3956" s="19" t="str">
        <x:v>Weak/EXP248/results/seed178718637_Relative_cutoff_1e-5.json</x:v>
      </x:c>
    </x:row>
    <x:row r="3957" ht="15" hidden="0" customHeight="1">
      <x:c r="A3957" s="3" t="str">
        <x:v>EXP248</x:v>
      </x:c>
      <x:c r="B3957" s="3" t="str">
        <x:v>Weak</x:v>
      </x:c>
      <x:c r="C3957" s="18" t="n">
        <x:v>178718637</x:v>
      </x:c>
      <x:c r="D3957" s="3" t="str">
        <x:v>Fixed rank 10</x:v>
      </x:c>
      <x:c r="E3957" s="18" t="n">
        <x:v>800</x:v>
      </x:c>
      <x:c r="F3957" s="21" t="n">
        <x:v>345.37571798758944</x:v>
      </x:c>
      <x:c r="G3957" s="21" t="n">
        <x:f>F3955</x:f>
        <x:v>360.7322687844773</x:v>
      </x:c>
      <x:c r="H3957" s="21" t="n">
        <x:f>F3960</x:f>
        <x:v>358.32329271243907</x:v>
      </x:c>
      <x:c r="I3957" s="27" t="n">
        <x:f>IF(AND(ISNUMBER(G3957),ISNUMBER(H3957),H3957&gt;0),G3957/H3957-1,"")</x:f>
        <x:v>0.006722912300237915</x:v>
      </x:c>
      <x:c r="J3957" s="27" t="n">
        <x:f>IF(AND(ISNUMBER(G3957),F3957&gt;0),G3957/F3957-1,"")</x:f>
        <x:v>0.04446331921180313</x:v>
      </x:c>
      <x:c r="K3957" s="19" t="str">
        <x:v>Weak/EXP248/results/seed178718637_Fixed_rank_10.json</x:v>
      </x:c>
    </x:row>
    <x:row r="3958" ht="15" hidden="0" customHeight="1">
      <x:c r="A3958" s="3" t="str">
        <x:v>EXP248</x:v>
      </x:c>
      <x:c r="B3958" s="3" t="str">
        <x:v>Weak</x:v>
      </x:c>
      <x:c r="C3958" s="18" t="n">
        <x:v>178718637</x:v>
      </x:c>
      <x:c r="D3958" s="3" t="str">
        <x:v>Fixed rank 25</x:v>
      </x:c>
      <x:c r="E3958" s="18" t="n">
        <x:v>800</x:v>
      </x:c>
      <x:c r="F3958" s="21" t="n">
        <x:v>366.539728183777</x:v>
      </x:c>
      <x:c r="G3958" s="21" t="n">
        <x:f>F3955</x:f>
        <x:v>360.7322687844773</x:v>
      </x:c>
      <x:c r="H3958" s="21" t="n">
        <x:f>F3960</x:f>
        <x:v>358.32329271243907</x:v>
      </x:c>
      <x:c r="I3958" s="27" t="n">
        <x:f>IF(AND(ISNUMBER(G3958),ISNUMBER(H3958),H3958&gt;0),G3958/H3958-1,"")</x:f>
        <x:v>0.006722912300237915</x:v>
      </x:c>
      <x:c r="J3958" s="27" t="n">
        <x:f>IF(AND(ISNUMBER(G3958),F3958&gt;0),G3958/F3958-1,"")</x:f>
        <x:v>-0.015844010765424965</x:v>
      </x:c>
      <x:c r="K3958" s="19" t="str">
        <x:v>Weak/EXP248/results/seed178718637_Fixed_rank_25.json</x:v>
      </x:c>
    </x:row>
    <x:row r="3959" ht="15" hidden="0" customHeight="1">
      <x:c r="A3959" s="3" t="str">
        <x:v>EXP248</x:v>
      </x:c>
      <x:c r="B3959" s="3" t="str">
        <x:v>Weak</x:v>
      </x:c>
      <x:c r="C3959" s="18" t="n">
        <x:v>178718637</x:v>
      </x:c>
      <x:c r="D3959" s="3" t="str">
        <x:v>Relative cutoff 1e-6</x:v>
      </x:c>
      <x:c r="E3959" s="18" t="n">
        <x:v>800</x:v>
      </x:c>
      <x:c r="F3959" s="21" t="n">
        <x:v>369.0660502676121</x:v>
      </x:c>
      <x:c r="G3959" s="21" t="n">
        <x:f>F3955</x:f>
        <x:v>360.7322687844773</x:v>
      </x:c>
      <x:c r="H3959" s="21" t="n">
        <x:f>F3960</x:f>
        <x:v>358.32329271243907</x:v>
      </x:c>
      <x:c r="I3959" s="27" t="n">
        <x:f>IF(AND(ISNUMBER(G3959),ISNUMBER(H3959),H3959&gt;0),G3959/H3959-1,"")</x:f>
        <x:v>0.006722912300237915</x:v>
      </x:c>
      <x:c r="J3959" s="27" t="n">
        <x:f>IF(AND(ISNUMBER(G3959),F3959&gt;0),G3959/F3959-1,"")</x:f>
        <x:v>-0.022580731760864947</x:v>
      </x:c>
      <x:c r="K3959" s="19" t="str">
        <x:v>Weak/EXP248/results/seed178718637_Relative_cutoff_1e-6.json</x:v>
      </x:c>
    </x:row>
    <x:row r="3960" ht="15" hidden="0" customHeight="1">
      <x:c r="A3960" s="3" t="str">
        <x:v>EXP248</x:v>
      </x:c>
      <x:c r="B3960" s="3" t="str">
        <x:v>Weak</x:v>
      </x:c>
      <x:c r="C3960" s="18" t="n">
        <x:v>178718637</x:v>
      </x:c>
      <x:c r="D3960" s="3" t="str">
        <x:v>Full</x:v>
      </x:c>
      <x:c r="E3960" s="18" t="n">
        <x:v>800</x:v>
      </x:c>
      <x:c r="F3960" s="21" t="n">
        <x:v>358.32329271243907</x:v>
      </x:c>
      <x:c r="G3960" s="21" t="n">
        <x:f>F3955</x:f>
        <x:v>360.7322687844773</x:v>
      </x:c>
      <x:c r="H3960" s="21" t="n">
        <x:f>F3960</x:f>
        <x:v>358.32329271243907</x:v>
      </x:c>
      <x:c r="I3960" s="27" t="n">
        <x:f>IF(AND(ISNUMBER(G3960),ISNUMBER(H3960),H3960&gt;0),G3960/H3960-1,"")</x:f>
        <x:v>0.006722912300237915</x:v>
      </x:c>
      <x:c r="J3960" s="27" t="n">
        <x:f>IF(AND(ISNUMBER(G3960),F3960&gt;0),G3960/F3960-1,"")</x:f>
        <x:v>0.006722912300237915</x:v>
      </x:c>
      <x:c r="K3960" s="19" t="str">
        <x:v>Weak/EXP248/results/seed178718637_Full.json</x:v>
      </x:c>
    </x:row>
    <x:row r="3961" ht="15" hidden="0" customHeight="1">
      <x:c r="A3961" s="3" t="str">
        <x:v>EXP248</x:v>
      </x:c>
      <x:c r="B3961" s="3" t="str">
        <x:v>Weak</x:v>
      </x:c>
      <x:c r="C3961" s="18" t="n">
        <x:v>178718637</x:v>
      </x:c>
      <x:c r="D3961" s="3" t="str">
        <x:v>Relative cutoff 1e-2</x:v>
      </x:c>
      <x:c r="E3961" s="18" t="n">
        <x:v>800</x:v>
      </x:c>
      <x:c r="F3961" s="21" t="n">
        <x:v>413.40890666027474</x:v>
      </x:c>
      <x:c r="G3961" s="21" t="n">
        <x:f>F3955</x:f>
        <x:v>360.7322687844773</x:v>
      </x:c>
      <x:c r="H3961" s="21" t="n">
        <x:f>F3960</x:f>
        <x:v>358.32329271243907</x:v>
      </x:c>
      <x:c r="I3961" s="27" t="n">
        <x:f>IF(AND(ISNUMBER(G3961),ISNUMBER(H3961),H3961&gt;0),G3961/H3961-1,"")</x:f>
        <x:v>0.006722912300237915</x:v>
      </x:c>
      <x:c r="J3961" s="27" t="n">
        <x:f>IF(AND(ISNUMBER(G3961),F3961&gt;0),G3961/F3961-1,"")</x:f>
        <x:v>-0.1274201813921858</x:v>
      </x:c>
      <x:c r="K3961" s="19" t="str">
        <x:v>Weak/EXP248/results/seed178718637_Relative_cutoff_1e-2.json</x:v>
      </x:c>
    </x:row>
    <x:row r="3962" ht="15" hidden="0" customHeight="1">
      <x:c r="A3962" s="3" t="str">
        <x:v>EXP248</x:v>
      </x:c>
      <x:c r="B3962" s="3" t="str">
        <x:v>Weak</x:v>
      </x:c>
      <x:c r="C3962" s="18" t="n">
        <x:v>178718637</x:v>
      </x:c>
      <x:c r="D3962" s="3" t="str">
        <x:v>Relative cutoff 1e-4</x:v>
      </x:c>
      <x:c r="E3962" s="18" t="n">
        <x:v>800</x:v>
      </x:c>
      <x:c r="F3962" s="21" t="n">
        <x:v>359.31491313313194</x:v>
      </x:c>
      <x:c r="G3962" s="21" t="n">
        <x:f>F3955</x:f>
        <x:v>360.7322687844773</x:v>
      </x:c>
      <x:c r="H3962" s="21" t="n">
        <x:f>F3960</x:f>
        <x:v>358.32329271243907</x:v>
      </x:c>
      <x:c r="I3962" s="27" t="n">
        <x:f>IF(AND(ISNUMBER(G3962),ISNUMBER(H3962),H3962&gt;0),G3962/H3962-1,"")</x:f>
        <x:v>0.006722912300237915</x:v>
      </x:c>
      <x:c r="J3962" s="27" t="n">
        <x:f>IF(AND(ISNUMBER(G3962),F3962&gt;0),G3962/F3962-1,"")</x:f>
        <x:v>0.003944605691387437</x:v>
      </x:c>
      <x:c r="K3962" s="19" t="str">
        <x:v>Weak/EXP248/results/seed178718637_Relative_cutoff_1e-4.json</x:v>
      </x:c>
    </x:row>
    <x:row r="3963" ht="15" hidden="0" customHeight="1">
      <x:c r="A3963" s="3" t="str">
        <x:v>EXP248</x:v>
      </x:c>
      <x:c r="B3963" s="3" t="str">
        <x:v>Weak</x:v>
      </x:c>
      <x:c r="C3963" s="18" t="n">
        <x:v>191938147</x:v>
      </x:c>
      <x:c r="D3963" s="3" t="str">
        <x:v>BBP</x:v>
      </x:c>
      <x:c r="E3963" s="18" t="n">
        <x:v>800</x:v>
      </x:c>
      <x:c r="F3963" s="21" t="n">
        <x:v>368.309193580643</x:v>
      </x:c>
      <x:c r="G3963" s="21" t="n">
        <x:f>F3963</x:f>
        <x:v>368.309193580643</x:v>
      </x:c>
      <x:c r="H3963" s="21" t="n">
        <x:f>F3968</x:f>
        <x:v>365.17351847358896</x:v>
      </x:c>
      <x:c r="I3963" s="27" t="n">
        <x:f>IF(AND(ISNUMBER(G3963),ISNUMBER(H3963),H3963&gt;0),G3963/H3963-1,"")</x:f>
        <x:v>0.008586808594886808</x:v>
      </x:c>
      <x:c r="J3963" s="27" t="n">
        <x:f>IF(AND(ISNUMBER(G3963),F3963&gt;0),G3963/F3963-1,"")</x:f>
        <x:v>0</x:v>
      </x:c>
      <x:c r="K3963" s="19" t="str">
        <x:v>Weak/EXP248/results/seed191938147_BBP.json</x:v>
      </x:c>
    </x:row>
    <x:row r="3964" ht="15" hidden="0" customHeight="1">
      <x:c r="A3964" s="3" t="str">
        <x:v>EXP248</x:v>
      </x:c>
      <x:c r="B3964" s="3" t="str">
        <x:v>Weak</x:v>
      </x:c>
      <x:c r="C3964" s="18" t="n">
        <x:v>191938147</x:v>
      </x:c>
      <x:c r="D3964" s="3" t="str">
        <x:v>Relative cutoff 1e-5</x:v>
      </x:c>
      <x:c r="E3964" s="18" t="n">
        <x:v>800</x:v>
      </x:c>
      <x:c r="F3964" s="21" t="n">
        <x:v>364.5716409154906</x:v>
      </x:c>
      <x:c r="G3964" s="21" t="n">
        <x:f>F3963</x:f>
        <x:v>368.309193580643</x:v>
      </x:c>
      <x:c r="H3964" s="21" t="n">
        <x:f>F3968</x:f>
        <x:v>365.17351847358896</x:v>
      </x:c>
      <x:c r="I3964" s="27" t="n">
        <x:f>IF(AND(ISNUMBER(G3964),ISNUMBER(H3964),H3964&gt;0),G3964/H3964-1,"")</x:f>
        <x:v>0.008586808594886808</x:v>
      </x:c>
      <x:c r="J3964" s="27" t="n">
        <x:f>IF(AND(ISNUMBER(G3964),F3964&gt;0),G3964/F3964-1,"")</x:f>
        <x:v>0.010251901809386288</x:v>
      </x:c>
      <x:c r="K3964" s="19" t="str">
        <x:v>Weak/EXP248/results/seed191938147_Relative_cutoff_1e-5.json</x:v>
      </x:c>
    </x:row>
    <x:row r="3965" ht="15" hidden="0" customHeight="1">
      <x:c r="A3965" s="3" t="str">
        <x:v>EXP248</x:v>
      </x:c>
      <x:c r="B3965" s="3" t="str">
        <x:v>Weak</x:v>
      </x:c>
      <x:c r="C3965" s="18" t="n">
        <x:v>191938147</x:v>
      </x:c>
      <x:c r="D3965" s="3" t="str">
        <x:v>Fixed rank 10</x:v>
      </x:c>
      <x:c r="E3965" s="18" t="n">
        <x:v>800</x:v>
      </x:c>
      <x:c r="F3965" s="21" t="n">
        <x:v>370.899814910126</x:v>
      </x:c>
      <x:c r="G3965" s="21" t="n">
        <x:f>F3963</x:f>
        <x:v>368.309193580643</x:v>
      </x:c>
      <x:c r="H3965" s="21" t="n">
        <x:f>F3968</x:f>
        <x:v>365.17351847358896</x:v>
      </x:c>
      <x:c r="I3965" s="27" t="n">
        <x:f>IF(AND(ISNUMBER(G3965),ISNUMBER(H3965),H3965&gt;0),G3965/H3965-1,"")</x:f>
        <x:v>0.008586808594886808</x:v>
      </x:c>
      <x:c r="J3965" s="27" t="n">
        <x:f>IF(AND(ISNUMBER(G3965),F3965&gt;0),G3965/F3965-1,"")</x:f>
        <x:v>-0.006984692969207118</x:v>
      </x:c>
      <x:c r="K3965" s="19" t="str">
        <x:v>Weak/EXP248/results/seed191938147_Fixed_rank_10.json</x:v>
      </x:c>
    </x:row>
    <x:row r="3966" ht="15" hidden="0" customHeight="1">
      <x:c r="A3966" s="3" t="str">
        <x:v>EXP248</x:v>
      </x:c>
      <x:c r="B3966" s="3" t="str">
        <x:v>Weak</x:v>
      </x:c>
      <x:c r="C3966" s="18" t="n">
        <x:v>191938147</x:v>
      </x:c>
      <x:c r="D3966" s="3" t="str">
        <x:v>Fixed rank 25</x:v>
      </x:c>
      <x:c r="E3966" s="18" t="n">
        <x:v>800</x:v>
      </x:c>
      <x:c r="F3966" s="21" t="n">
        <x:v>369.0750902347015</x:v>
      </x:c>
      <x:c r="G3966" s="21" t="n">
        <x:f>F3963</x:f>
        <x:v>368.309193580643</x:v>
      </x:c>
      <x:c r="H3966" s="21" t="n">
        <x:f>F3968</x:f>
        <x:v>365.17351847358896</x:v>
      </x:c>
      <x:c r="I3966" s="27" t="n">
        <x:f>IF(AND(ISNUMBER(G3966),ISNUMBER(H3966),H3966&gt;0),G3966/H3966-1,"")</x:f>
        <x:v>0.008586808594886808</x:v>
      </x:c>
      <x:c r="J3966" s="27" t="n">
        <x:f>IF(AND(ISNUMBER(G3966),F3966&gt;0),G3966/F3966-1,"")</x:f>
        <x:v>-0.0020751783968174786</x:v>
      </x:c>
      <x:c r="K3966" s="19" t="str">
        <x:v>Weak/EXP248/results/seed191938147_Fixed_rank_25.json</x:v>
      </x:c>
    </x:row>
    <x:row r="3967" ht="15" hidden="0" customHeight="1">
      <x:c r="A3967" s="3" t="str">
        <x:v>EXP248</x:v>
      </x:c>
      <x:c r="B3967" s="3" t="str">
        <x:v>Weak</x:v>
      </x:c>
      <x:c r="C3967" s="18" t="n">
        <x:v>191938147</x:v>
      </x:c>
      <x:c r="D3967" s="3" t="str">
        <x:v>Relative cutoff 1e-6</x:v>
      </x:c>
      <x:c r="E3967" s="18" t="n">
        <x:v>800</x:v>
      </x:c>
      <x:c r="F3967" s="21" t="n">
        <x:v>358.3085805223864</x:v>
      </x:c>
      <x:c r="G3967" s="21" t="n">
        <x:f>F3963</x:f>
        <x:v>368.309193580643</x:v>
      </x:c>
      <x:c r="H3967" s="21" t="n">
        <x:f>F3968</x:f>
        <x:v>365.17351847358896</x:v>
      </x:c>
      <x:c r="I3967" s="27" t="n">
        <x:f>IF(AND(ISNUMBER(G3967),ISNUMBER(H3967),H3967&gt;0),G3967/H3967-1,"")</x:f>
        <x:v>0.008586808594886808</x:v>
      </x:c>
      <x:c r="J3967" s="27" t="n">
        <x:f>IF(AND(ISNUMBER(G3967),F3967&gt;0),G3967/F3967-1,"")</x:f>
        <x:v>0.02791061560311081</x:v>
      </x:c>
      <x:c r="K3967" s="19" t="str">
        <x:v>Weak/EXP248/results/seed191938147_Relative_cutoff_1e-6.json</x:v>
      </x:c>
    </x:row>
    <x:row r="3968" ht="15" hidden="0" customHeight="1">
      <x:c r="A3968" s="3" t="str">
        <x:v>EXP248</x:v>
      </x:c>
      <x:c r="B3968" s="3" t="str">
        <x:v>Weak</x:v>
      </x:c>
      <x:c r="C3968" s="18" t="n">
        <x:v>191938147</x:v>
      </x:c>
      <x:c r="D3968" s="3" t="str">
        <x:v>Full</x:v>
      </x:c>
      <x:c r="E3968" s="18" t="n">
        <x:v>800</x:v>
      </x:c>
      <x:c r="F3968" s="21" t="n">
        <x:v>365.17351847358896</x:v>
      </x:c>
      <x:c r="G3968" s="21" t="n">
        <x:f>F3963</x:f>
        <x:v>368.309193580643</x:v>
      </x:c>
      <x:c r="H3968" s="21" t="n">
        <x:f>F3968</x:f>
        <x:v>365.17351847358896</x:v>
      </x:c>
      <x:c r="I3968" s="27" t="n">
        <x:f>IF(AND(ISNUMBER(G3968),ISNUMBER(H3968),H3968&gt;0),G3968/H3968-1,"")</x:f>
        <x:v>0.008586808594886808</x:v>
      </x:c>
      <x:c r="J3968" s="27" t="n">
        <x:f>IF(AND(ISNUMBER(G3968),F3968&gt;0),G3968/F3968-1,"")</x:f>
        <x:v>0.008586808594886808</x:v>
      </x:c>
      <x:c r="K3968" s="19" t="str">
        <x:v>Weak/EXP248/results/seed191938147_Full.json</x:v>
      </x:c>
    </x:row>
    <x:row r="3969" ht="15" hidden="0" customHeight="1">
      <x:c r="A3969" s="3" t="str">
        <x:v>EXP248</x:v>
      </x:c>
      <x:c r="B3969" s="3" t="str">
        <x:v>Weak</x:v>
      </x:c>
      <x:c r="C3969" s="18" t="n">
        <x:v>191938147</x:v>
      </x:c>
      <x:c r="D3969" s="3" t="str">
        <x:v>Relative cutoff 1e-2</x:v>
      </x:c>
      <x:c r="E3969" s="18" t="n">
        <x:v>800</x:v>
      </x:c>
      <x:c r="F3969" s="21" t="n">
        <x:v>546.5122056554771</x:v>
      </x:c>
      <x:c r="G3969" s="21" t="n">
        <x:f>F3963</x:f>
        <x:v>368.309193580643</x:v>
      </x:c>
      <x:c r="H3969" s="21" t="n">
        <x:f>F3968</x:f>
        <x:v>365.17351847358896</x:v>
      </x:c>
      <x:c r="I3969" s="27" t="n">
        <x:f>IF(AND(ISNUMBER(G3969),ISNUMBER(H3969),H3969&gt;0),G3969/H3969-1,"")</x:f>
        <x:v>0.008586808594886808</x:v>
      </x:c>
      <x:c r="J3969" s="27" t="n">
        <x:f>IF(AND(ISNUMBER(G3969),F3969&gt;0),G3969/F3969-1,"")</x:f>
        <x:v>-0.32607325185189706</x:v>
      </x:c>
      <x:c r="K3969" s="19" t="str">
        <x:v>Weak/EXP248/results/seed191938147_Relative_cutoff_1e-2.json</x:v>
      </x:c>
    </x:row>
    <x:row r="3970" ht="15" hidden="0" customHeight="1">
      <x:c r="A3970" s="3" t="str">
        <x:v>EXP248</x:v>
      </x:c>
      <x:c r="B3970" s="3" t="str">
        <x:v>Weak</x:v>
      </x:c>
      <x:c r="C3970" s="18" t="n">
        <x:v>191938147</x:v>
      </x:c>
      <x:c r="D3970" s="3" t="str">
        <x:v>Relative cutoff 1e-4</x:v>
      </x:c>
      <x:c r="E3970" s="18" t="n">
        <x:v>800</x:v>
      </x:c>
      <x:c r="F3970" s="21" t="n">
        <x:v>371.6778540906951</x:v>
      </x:c>
      <x:c r="G3970" s="21" t="n">
        <x:f>F3963</x:f>
        <x:v>368.309193580643</x:v>
      </x:c>
      <x:c r="H3970" s="21" t="n">
        <x:f>F3968</x:f>
        <x:v>365.17351847358896</x:v>
      </x:c>
      <x:c r="I3970" s="27" t="n">
        <x:f>IF(AND(ISNUMBER(G3970),ISNUMBER(H3970),H3970&gt;0),G3970/H3970-1,"")</x:f>
        <x:v>0.008586808594886808</x:v>
      </x:c>
      <x:c r="J3970" s="27" t="n">
        <x:f>IF(AND(ISNUMBER(G3970),F3970&gt;0),G3970/F3970-1,"")</x:f>
        <x:v>-0.009063387750915308</x:v>
      </x:c>
      <x:c r="K3970" s="19" t="str">
        <x:v>Weak/EXP248/results/seed191938147_Relative_cutoff_1e-4.json</x:v>
      </x:c>
    </x:row>
    <x:row r="3971" ht="15" hidden="0" customHeight="1">
      <x:c r="A3971" s="3" t="str">
        <x:v>EXP248</x:v>
      </x:c>
      <x:c r="B3971" s="3" t="str">
        <x:v>Weak</x:v>
      </x:c>
      <x:c r="C3971" s="18" t="n">
        <x:v>216884209</x:v>
      </x:c>
      <x:c r="D3971" s="3" t="str">
        <x:v>BBP</x:v>
      </x:c>
      <x:c r="E3971" s="18" t="n">
        <x:v>800</x:v>
      </x:c>
      <x:c r="F3971" s="21" t="n">
        <x:v>343.344914716505</x:v>
      </x:c>
      <x:c r="G3971" s="21" t="n">
        <x:f>F3971</x:f>
        <x:v>343.344914716505</x:v>
      </x:c>
      <x:c r="H3971" s="21" t="n">
        <x:f>F3976</x:f>
        <x:v>358.24769977157473</x:v>
      </x:c>
      <x:c r="I3971" s="27" t="n">
        <x:f>IF(AND(ISNUMBER(G3971),ISNUMBER(H3971),H3971&gt;0),G3971/H3971-1,"")</x:f>
        <x:v>-0.04159910884165341</x:v>
      </x:c>
      <x:c r="J3971" s="27" t="n">
        <x:f>IF(AND(ISNUMBER(G3971),F3971&gt;0),G3971/F3971-1,"")</x:f>
        <x:v>0</x:v>
      </x:c>
      <x:c r="K3971" s="19" t="str">
        <x:v>Weak/EXP248/results/seed216884209_BBP.json</x:v>
      </x:c>
    </x:row>
    <x:row r="3972" ht="15" hidden="0" customHeight="1">
      <x:c r="A3972" s="3" t="str">
        <x:v>EXP248</x:v>
      </x:c>
      <x:c r="B3972" s="3" t="str">
        <x:v>Weak</x:v>
      </x:c>
      <x:c r="C3972" s="18" t="n">
        <x:v>216884209</x:v>
      </x:c>
      <x:c r="D3972" s="3" t="str">
        <x:v>Relative cutoff 1e-5</x:v>
      </x:c>
      <x:c r="E3972" s="18" t="n">
        <x:v>800</x:v>
      </x:c>
      <x:c r="F3972" s="21" t="n">
        <x:v>364.3251792886144</x:v>
      </x:c>
      <x:c r="G3972" s="21" t="n">
        <x:f>F3971</x:f>
        <x:v>343.344914716505</x:v>
      </x:c>
      <x:c r="H3972" s="21" t="n">
        <x:f>F3976</x:f>
        <x:v>358.24769977157473</x:v>
      </x:c>
      <x:c r="I3972" s="27" t="n">
        <x:f>IF(AND(ISNUMBER(G3972),ISNUMBER(H3972),H3972&gt;0),G3972/H3972-1,"")</x:f>
        <x:v>-0.04159910884165341</x:v>
      </x:c>
      <x:c r="J3972" s="27" t="n">
        <x:f>IF(AND(ISNUMBER(G3972),F3972&gt;0),G3972/F3972-1,"")</x:f>
        <x:v>-0.05758664447259909</x:v>
      </x:c>
      <x:c r="K3972" s="19" t="str">
        <x:v>Weak/EXP248/results/seed216884209_Relative_cutoff_1e-5.json</x:v>
      </x:c>
    </x:row>
    <x:row r="3973" ht="15" hidden="0" customHeight="1">
      <x:c r="A3973" s="3" t="str">
        <x:v>EXP248</x:v>
      </x:c>
      <x:c r="B3973" s="3" t="str">
        <x:v>Weak</x:v>
      </x:c>
      <x:c r="C3973" s="18" t="n">
        <x:v>216884209</x:v>
      </x:c>
      <x:c r="D3973" s="3" t="str">
        <x:v>Fixed rank 10</x:v>
      </x:c>
      <x:c r="E3973" s="18" t="n">
        <x:v>800</x:v>
      </x:c>
      <x:c r="F3973" s="21" t="n">
        <x:v>414.10322118772814</x:v>
      </x:c>
      <x:c r="G3973" s="21" t="n">
        <x:f>F3971</x:f>
        <x:v>343.344914716505</x:v>
      </x:c>
      <x:c r="H3973" s="21" t="n">
        <x:f>F3976</x:f>
        <x:v>358.24769977157473</x:v>
      </x:c>
      <x:c r="I3973" s="27" t="n">
        <x:f>IF(AND(ISNUMBER(G3973),ISNUMBER(H3973),H3973&gt;0),G3973/H3973-1,"")</x:f>
        <x:v>-0.04159910884165341</x:v>
      </x:c>
      <x:c r="J3973" s="27" t="n">
        <x:f>IF(AND(ISNUMBER(G3973),F3973&gt;0),G3973/F3973-1,"")</x:f>
        <x:v>-0.17087118102649534</x:v>
      </x:c>
      <x:c r="K3973" s="19" t="str">
        <x:v>Weak/EXP248/results/seed216884209_Fixed_rank_10.json</x:v>
      </x:c>
    </x:row>
    <x:row r="3974" ht="15" hidden="0" customHeight="1">
      <x:c r="A3974" s="3" t="str">
        <x:v>EXP248</x:v>
      </x:c>
      <x:c r="B3974" s="3" t="str">
        <x:v>Weak</x:v>
      </x:c>
      <x:c r="C3974" s="18" t="n">
        <x:v>216884209</x:v>
      </x:c>
      <x:c r="D3974" s="3" t="str">
        <x:v>Fixed rank 25</x:v>
      </x:c>
      <x:c r="E3974" s="18" t="n">
        <x:v>800</x:v>
      </x:c>
      <x:c r="F3974" s="21" t="n">
        <x:v>366.67052188680873</x:v>
      </x:c>
      <x:c r="G3974" s="21" t="n">
        <x:f>F3971</x:f>
        <x:v>343.344914716505</x:v>
      </x:c>
      <x:c r="H3974" s="21" t="n">
        <x:f>F3976</x:f>
        <x:v>358.24769977157473</x:v>
      </x:c>
      <x:c r="I3974" s="27" t="n">
        <x:f>IF(AND(ISNUMBER(G3974),ISNUMBER(H3974),H3974&gt;0),G3974/H3974-1,"")</x:f>
        <x:v>-0.04159910884165341</x:v>
      </x:c>
      <x:c r="J3974" s="27" t="n">
        <x:f>IF(AND(ISNUMBER(G3974),F3974&gt;0),G3974/F3974-1,"")</x:f>
        <x:v>-0.06361462342343505</x:v>
      </x:c>
      <x:c r="K3974" s="19" t="str">
        <x:v>Weak/EXP248/results/seed216884209_Fixed_rank_25.json</x:v>
      </x:c>
    </x:row>
    <x:row r="3975" ht="15" hidden="0" customHeight="1">
      <x:c r="A3975" s="3" t="str">
        <x:v>EXP248</x:v>
      </x:c>
      <x:c r="B3975" s="3" t="str">
        <x:v>Weak</x:v>
      </x:c>
      <x:c r="C3975" s="18" t="n">
        <x:v>216884209</x:v>
      </x:c>
      <x:c r="D3975" s="3" t="str">
        <x:v>Relative cutoff 1e-6</x:v>
      </x:c>
      <x:c r="E3975" s="18" t="n">
        <x:v>800</x:v>
      </x:c>
      <x:c r="F3975" s="21" t="n">
        <x:v>354.8062896505783</x:v>
      </x:c>
      <x:c r="G3975" s="21" t="n">
        <x:f>F3971</x:f>
        <x:v>343.344914716505</x:v>
      </x:c>
      <x:c r="H3975" s="21" t="n">
        <x:f>F3976</x:f>
        <x:v>358.24769977157473</x:v>
      </x:c>
      <x:c r="I3975" s="27" t="n">
        <x:f>IF(AND(ISNUMBER(G3975),ISNUMBER(H3975),H3975&gt;0),G3975/H3975-1,"")</x:f>
        <x:v>-0.04159910884165341</x:v>
      </x:c>
      <x:c r="J3975" s="27" t="n">
        <x:f>IF(AND(ISNUMBER(G3975),F3975&gt;0),G3975/F3975-1,"")</x:f>
        <x:v>-0.03230318984863756</x:v>
      </x:c>
      <x:c r="K3975" s="19" t="str">
        <x:v>Weak/EXP248/results/seed216884209_Relative_cutoff_1e-6.json</x:v>
      </x:c>
    </x:row>
    <x:row r="3976" ht="15" hidden="0" customHeight="1">
      <x:c r="A3976" s="3" t="str">
        <x:v>EXP248</x:v>
      </x:c>
      <x:c r="B3976" s="3" t="str">
        <x:v>Weak</x:v>
      </x:c>
      <x:c r="C3976" s="18" t="n">
        <x:v>216884209</x:v>
      </x:c>
      <x:c r="D3976" s="3" t="str">
        <x:v>Full</x:v>
      </x:c>
      <x:c r="E3976" s="18" t="n">
        <x:v>800</x:v>
      </x:c>
      <x:c r="F3976" s="21" t="n">
        <x:v>358.24769977157473</x:v>
      </x:c>
      <x:c r="G3976" s="21" t="n">
        <x:f>F3971</x:f>
        <x:v>343.344914716505</x:v>
      </x:c>
      <x:c r="H3976" s="21" t="n">
        <x:f>F3976</x:f>
        <x:v>358.24769977157473</x:v>
      </x:c>
      <x:c r="I3976" s="27" t="n">
        <x:f>IF(AND(ISNUMBER(G3976),ISNUMBER(H3976),H3976&gt;0),G3976/H3976-1,"")</x:f>
        <x:v>-0.04159910884165341</x:v>
      </x:c>
      <x:c r="J3976" s="27" t="n">
        <x:f>IF(AND(ISNUMBER(G3976),F3976&gt;0),G3976/F3976-1,"")</x:f>
        <x:v>-0.04159910884165341</x:v>
      </x:c>
      <x:c r="K3976" s="19" t="str">
        <x:v>Weak/EXP248/results/seed216884209_Full.json</x:v>
      </x:c>
    </x:row>
    <x:row r="3977" ht="15" hidden="0" customHeight="1">
      <x:c r="A3977" s="3" t="str">
        <x:v>EXP248</x:v>
      </x:c>
      <x:c r="B3977" s="3" t="str">
        <x:v>Weak</x:v>
      </x:c>
      <x:c r="C3977" s="18" t="n">
        <x:v>216884209</x:v>
      </x:c>
      <x:c r="D3977" s="3" t="str">
        <x:v>Relative cutoff 1e-2</x:v>
      </x:c>
      <x:c r="E3977" s="18" t="n">
        <x:v>800</x:v>
      </x:c>
      <x:c r="F3977" s="21" t="n">
        <x:v>403.476279707641</x:v>
      </x:c>
      <x:c r="G3977" s="21" t="n">
        <x:f>F3971</x:f>
        <x:v>343.344914716505</x:v>
      </x:c>
      <x:c r="H3977" s="21" t="n">
        <x:f>F3976</x:f>
        <x:v>358.24769977157473</x:v>
      </x:c>
      <x:c r="I3977" s="27" t="n">
        <x:f>IF(AND(ISNUMBER(G3977),ISNUMBER(H3977),H3977&gt;0),G3977/H3977-1,"")</x:f>
        <x:v>-0.04159910884165341</x:v>
      </x:c>
      <x:c r="J3977" s="27" t="n">
        <x:f>IF(AND(ISNUMBER(G3977),F3977&gt;0),G3977/F3977-1,"")</x:f>
        <x:v>-0.14903320967147615</x:v>
      </x:c>
      <x:c r="K3977" s="19" t="str">
        <x:v>Weak/EXP248/results/seed216884209_Relative_cutoff_1e-2.json</x:v>
      </x:c>
    </x:row>
    <x:row r="3978" ht="15" hidden="0" customHeight="1">
      <x:c r="A3978" s="3" t="str">
        <x:v>EXP248</x:v>
      </x:c>
      <x:c r="B3978" s="3" t="str">
        <x:v>Weak</x:v>
      </x:c>
      <x:c r="C3978" s="18" t="n">
        <x:v>216884209</x:v>
      </x:c>
      <x:c r="D3978" s="3" t="str">
        <x:v>Relative cutoff 1e-4</x:v>
      </x:c>
      <x:c r="E3978" s="18" t="n">
        <x:v>800</x:v>
      </x:c>
      <x:c r="F3978" s="21" t="n">
        <x:v>394.6443249054291</x:v>
      </x:c>
      <x:c r="G3978" s="21" t="n">
        <x:f>F3971</x:f>
        <x:v>343.344914716505</x:v>
      </x:c>
      <x:c r="H3978" s="21" t="n">
        <x:f>F3976</x:f>
        <x:v>358.24769977157473</x:v>
      </x:c>
      <x:c r="I3978" s="27" t="n">
        <x:f>IF(AND(ISNUMBER(G3978),ISNUMBER(H3978),H3978&gt;0),G3978/H3978-1,"")</x:f>
        <x:v>-0.04159910884165341</x:v>
      </x:c>
      <x:c r="J3978" s="27" t="n">
        <x:f>IF(AND(ISNUMBER(G3978),F3978&gt;0),G3978/F3978-1,"")</x:f>
        <x:v>-0.1299889722250972</x:v>
      </x:c>
      <x:c r="K3978" s="19" t="str">
        <x:v>Weak/EXP248/results/seed216884209_Relative_cutoff_1e-4.json</x:v>
      </x:c>
    </x:row>
    <x:row r="3979" ht="15" hidden="0" customHeight="1">
      <x:c r="A3979" s="3" t="str">
        <x:v>EXP248</x:v>
      </x:c>
      <x:c r="B3979" s="3" t="str">
        <x:v>Weak</x:v>
      </x:c>
      <x:c r="C3979" s="18" t="n">
        <x:v>220029940</x:v>
      </x:c>
      <x:c r="D3979" s="3" t="str">
        <x:v>BBP</x:v>
      </x:c>
      <x:c r="E3979" s="18" t="n">
        <x:v>800</x:v>
      </x:c>
      <x:c r="F3979" s="21" t="n">
        <x:v>301.6495207103212</x:v>
      </x:c>
      <x:c r="G3979" s="21" t="n">
        <x:f>F3979</x:f>
        <x:v>301.6495207103212</x:v>
      </x:c>
      <x:c r="H3979" s="21" t="n">
        <x:f>F3984</x:f>
        <x:v>295.05998280337985</x:v>
      </x:c>
      <x:c r="I3979" s="27" t="n">
        <x:f>IF(AND(ISNUMBER(G3979),ISNUMBER(H3979),H3979&gt;0),G3979/H3979-1,"")</x:f>
        <x:v>0.02233287565576947</x:v>
      </x:c>
      <x:c r="J3979" s="27" t="n">
        <x:f>IF(AND(ISNUMBER(G3979),F3979&gt;0),G3979/F3979-1,"")</x:f>
        <x:v>0</x:v>
      </x:c>
      <x:c r="K3979" s="19" t="str">
        <x:v>Weak/EXP248/results/seed220029940_BBP.json</x:v>
      </x:c>
    </x:row>
    <x:row r="3980" ht="15" hidden="0" customHeight="1">
      <x:c r="A3980" s="3" t="str">
        <x:v>EXP248</x:v>
      </x:c>
      <x:c r="B3980" s="3" t="str">
        <x:v>Weak</x:v>
      </x:c>
      <x:c r="C3980" s="18" t="n">
        <x:v>220029940</x:v>
      </x:c>
      <x:c r="D3980" s="3" t="str">
        <x:v>Relative cutoff 1e-5</x:v>
      </x:c>
      <x:c r="E3980" s="18" t="n">
        <x:v>800</x:v>
      </x:c>
      <x:c r="F3980" s="21" t="n">
        <x:v>295.4501199304485</x:v>
      </x:c>
      <x:c r="G3980" s="21" t="n">
        <x:f>F3979</x:f>
        <x:v>301.6495207103212</x:v>
      </x:c>
      <x:c r="H3980" s="21" t="n">
        <x:f>F3984</x:f>
        <x:v>295.05998280337985</x:v>
      </x:c>
      <x:c r="I3980" s="27" t="n">
        <x:f>IF(AND(ISNUMBER(G3980),ISNUMBER(H3980),H3980&gt;0),G3980/H3980-1,"")</x:f>
        <x:v>0.02233287565576947</x:v>
      </x:c>
      <x:c r="J3980" s="27" t="n">
        <x:f>IF(AND(ISNUMBER(G3980),F3980&gt;0),G3980/F3980-1,"")</x:f>
        <x:v>0.020982901551477084</x:v>
      </x:c>
      <x:c r="K3980" s="19" t="str">
        <x:v>Weak/EXP248/results/seed220029940_Relative_cutoff_1e-5.json</x:v>
      </x:c>
    </x:row>
    <x:row r="3981" ht="15" hidden="0" customHeight="1">
      <x:c r="A3981" s="3" t="str">
        <x:v>EXP248</x:v>
      </x:c>
      <x:c r="B3981" s="3" t="str">
        <x:v>Weak</x:v>
      </x:c>
      <x:c r="C3981" s="18" t="n">
        <x:v>220029940</x:v>
      </x:c>
      <x:c r="D3981" s="3" t="str">
        <x:v>Fixed rank 10</x:v>
      </x:c>
      <x:c r="E3981" s="18" t="n">
        <x:v>800</x:v>
      </x:c>
      <x:c r="F3981" s="21" t="n">
        <x:v>291.0698304080733</x:v>
      </x:c>
      <x:c r="G3981" s="21" t="n">
        <x:f>F3979</x:f>
        <x:v>301.6495207103212</x:v>
      </x:c>
      <x:c r="H3981" s="21" t="n">
        <x:f>F3984</x:f>
        <x:v>295.05998280337985</x:v>
      </x:c>
      <x:c r="I3981" s="27" t="n">
        <x:f>IF(AND(ISNUMBER(G3981),ISNUMBER(H3981),H3981&gt;0),G3981/H3981-1,"")</x:f>
        <x:v>0.02233287565576947</x:v>
      </x:c>
      <x:c r="J3981" s="27" t="n">
        <x:f>IF(AND(ISNUMBER(G3981),F3981&gt;0),G3981/F3981-1,"")</x:f>
        <x:v>0.03634760183635466</x:v>
      </x:c>
      <x:c r="K3981" s="19" t="str">
        <x:v>Weak/EXP248/results/seed220029940_Fixed_rank_10.json</x:v>
      </x:c>
    </x:row>
    <x:row r="3982" ht="15" hidden="0" customHeight="1">
      <x:c r="A3982" s="3" t="str">
        <x:v>EXP248</x:v>
      </x:c>
      <x:c r="B3982" s="3" t="str">
        <x:v>Weak</x:v>
      </x:c>
      <x:c r="C3982" s="18" t="n">
        <x:v>220029940</x:v>
      </x:c>
      <x:c r="D3982" s="3" t="str">
        <x:v>Fixed rank 25</x:v>
      </x:c>
      <x:c r="E3982" s="18" t="n">
        <x:v>800</x:v>
      </x:c>
      <x:c r="F3982" s="21" t="n">
        <x:v>298.1227191605286</x:v>
      </x:c>
      <x:c r="G3982" s="21" t="n">
        <x:f>F3979</x:f>
        <x:v>301.6495207103212</x:v>
      </x:c>
      <x:c r="H3982" s="21" t="n">
        <x:f>F3984</x:f>
        <x:v>295.05998280337985</x:v>
      </x:c>
      <x:c r="I3982" s="27" t="n">
        <x:f>IF(AND(ISNUMBER(G3982),ISNUMBER(H3982),H3982&gt;0),G3982/H3982-1,"")</x:f>
        <x:v>0.02233287565576947</x:v>
      </x:c>
      <x:c r="J3982" s="27" t="n">
        <x:f>IF(AND(ISNUMBER(G3982),F3982&gt;0),G3982/F3982-1,"")</x:f>
        <x:v>0.011830032812405467</x:v>
      </x:c>
      <x:c r="K3982" s="19" t="str">
        <x:v>Weak/EXP248/results/seed220029940_Fixed_rank_25.json</x:v>
      </x:c>
    </x:row>
    <x:row r="3983" ht="15" hidden="0" customHeight="1">
      <x:c r="A3983" s="3" t="str">
        <x:v>EXP248</x:v>
      </x:c>
      <x:c r="B3983" s="3" t="str">
        <x:v>Weak</x:v>
      </x:c>
      <x:c r="C3983" s="18" t="n">
        <x:v>220029940</x:v>
      </x:c>
      <x:c r="D3983" s="3" t="str">
        <x:v>Relative cutoff 1e-6</x:v>
      </x:c>
      <x:c r="E3983" s="18" t="n">
        <x:v>800</x:v>
      </x:c>
      <x:c r="F3983" s="21" t="n">
        <x:v>289.92080111959154</x:v>
      </x:c>
      <x:c r="G3983" s="21" t="n">
        <x:f>F3979</x:f>
        <x:v>301.6495207103212</x:v>
      </x:c>
      <x:c r="H3983" s="21" t="n">
        <x:f>F3984</x:f>
        <x:v>295.05998280337985</x:v>
      </x:c>
      <x:c r="I3983" s="27" t="n">
        <x:f>IF(AND(ISNUMBER(G3983),ISNUMBER(H3983),H3983&gt;0),G3983/H3983-1,"")</x:f>
        <x:v>0.02233287565576947</x:v>
      </x:c>
      <x:c r="J3983" s="27" t="n">
        <x:f>IF(AND(ISNUMBER(G3983),F3983&gt;0),G3983/F3983-1,"")</x:f>
        <x:v>0.04045490887661973</x:v>
      </x:c>
      <x:c r="K3983" s="19" t="str">
        <x:v>Weak/EXP248/results/seed220029940_Relative_cutoff_1e-6.json</x:v>
      </x:c>
    </x:row>
    <x:row r="3984" ht="15" hidden="0" customHeight="1">
      <x:c r="A3984" s="3" t="str">
        <x:v>EXP248</x:v>
      </x:c>
      <x:c r="B3984" s="3" t="str">
        <x:v>Weak</x:v>
      </x:c>
      <x:c r="C3984" s="18" t="n">
        <x:v>220029940</x:v>
      </x:c>
      <x:c r="D3984" s="3" t="str">
        <x:v>Full</x:v>
      </x:c>
      <x:c r="E3984" s="18" t="n">
        <x:v>800</x:v>
      </x:c>
      <x:c r="F3984" s="21" t="n">
        <x:v>295.05998280337985</x:v>
      </x:c>
      <x:c r="G3984" s="21" t="n">
        <x:f>F3979</x:f>
        <x:v>301.6495207103212</x:v>
      </x:c>
      <x:c r="H3984" s="21" t="n">
        <x:f>F3984</x:f>
        <x:v>295.05998280337985</x:v>
      </x:c>
      <x:c r="I3984" s="27" t="n">
        <x:f>IF(AND(ISNUMBER(G3984),ISNUMBER(H3984),H3984&gt;0),G3984/H3984-1,"")</x:f>
        <x:v>0.02233287565576947</x:v>
      </x:c>
      <x:c r="J3984" s="27" t="n">
        <x:f>IF(AND(ISNUMBER(G3984),F3984&gt;0),G3984/F3984-1,"")</x:f>
        <x:v>0.02233287565576947</x:v>
      </x:c>
      <x:c r="K3984" s="19" t="str">
        <x:v>Weak/EXP248/results/seed220029940_Full.json</x:v>
      </x:c>
    </x:row>
    <x:row r="3985" ht="15" hidden="0" customHeight="1">
      <x:c r="A3985" s="3" t="str">
        <x:v>EXP248</x:v>
      </x:c>
      <x:c r="B3985" s="3" t="str">
        <x:v>Weak</x:v>
      </x:c>
      <x:c r="C3985" s="18" t="n">
        <x:v>220029940</x:v>
      </x:c>
      <x:c r="D3985" s="3" t="str">
        <x:v>Relative cutoff 1e-2</x:v>
      </x:c>
      <x:c r="E3985" s="18" t="n">
        <x:v>800</x:v>
      </x:c>
      <x:c r="F3985" s="21" t="n">
        <x:v>275.4443784535801</x:v>
      </x:c>
      <x:c r="G3985" s="21" t="n">
        <x:f>F3979</x:f>
        <x:v>301.6495207103212</x:v>
      </x:c>
      <x:c r="H3985" s="21" t="n">
        <x:f>F3984</x:f>
        <x:v>295.05998280337985</x:v>
      </x:c>
      <x:c r="I3985" s="27" t="n">
        <x:f>IF(AND(ISNUMBER(G3985),ISNUMBER(H3985),H3985&gt;0),G3985/H3985-1,"")</x:f>
        <x:v>0.02233287565576947</x:v>
      </x:c>
      <x:c r="J3985" s="27" t="n">
        <x:f>IF(AND(ISNUMBER(G3985),F3985&gt;0),G3985/F3985-1,"")</x:f>
        <x:v>0.09513769133305217</x:v>
      </x:c>
      <x:c r="K3985" s="19" t="str">
        <x:v>Weak/EXP248/results/seed220029940_Relative_cutoff_1e-2.json</x:v>
      </x:c>
    </x:row>
    <x:row r="3986" ht="15" hidden="0" customHeight="1">
      <x:c r="A3986" s="3" t="str">
        <x:v>EXP248</x:v>
      </x:c>
      <x:c r="B3986" s="3" t="str">
        <x:v>Weak</x:v>
      </x:c>
      <x:c r="C3986" s="18" t="n">
        <x:v>220029940</x:v>
      </x:c>
      <x:c r="D3986" s="3" t="str">
        <x:v>Relative cutoff 1e-4</x:v>
      </x:c>
      <x:c r="E3986" s="18" t="n">
        <x:v>800</x:v>
      </x:c>
      <x:c r="F3986" s="21" t="n">
        <x:v>282.6144435365634</x:v>
      </x:c>
      <x:c r="G3986" s="21" t="n">
        <x:f>F3979</x:f>
        <x:v>301.6495207103212</x:v>
      </x:c>
      <x:c r="H3986" s="21" t="n">
        <x:f>F3984</x:f>
        <x:v>295.05998280337985</x:v>
      </x:c>
      <x:c r="I3986" s="27" t="n">
        <x:f>IF(AND(ISNUMBER(G3986),ISNUMBER(H3986),H3986&gt;0),G3986/H3986-1,"")</x:f>
        <x:v>0.02233287565576947</x:v>
      </x:c>
      <x:c r="J3986" s="27" t="n">
        <x:f>IF(AND(ISNUMBER(G3986),F3986&gt;0),G3986/F3986-1,"")</x:f>
        <x:v>0.06735351858014704</x:v>
      </x:c>
      <x:c r="K3986" s="19" t="str">
        <x:v>Weak/EXP248/results/seed220029940_Relative_cutoff_1e-4.json</x:v>
      </x:c>
    </x:row>
    <x:row r="3987" ht="15" hidden="0" customHeight="1">
      <x:c r="A3987" s="3" t="str">
        <x:v>EXP248</x:v>
      </x:c>
      <x:c r="B3987" s="3" t="str">
        <x:v>Weak</x:v>
      </x:c>
      <x:c r="C3987" s="18" t="n">
        <x:v>293575552</x:v>
      </x:c>
      <x:c r="D3987" s="3" t="str">
        <x:v>BBP</x:v>
      </x:c>
      <x:c r="E3987" s="18" t="n">
        <x:v>800</x:v>
      </x:c>
      <x:c r="F3987" s="21" t="n">
        <x:v>385.0354139205915</x:v>
      </x:c>
      <x:c r="G3987" s="21" t="n">
        <x:f>F3987</x:f>
        <x:v>385.0354139205915</x:v>
      </x:c>
      <x:c r="H3987" s="21" t="n">
        <x:f>F3992</x:f>
        <x:v>376.16300310873453</x:v>
      </x:c>
      <x:c r="I3987" s="27" t="n">
        <x:f>IF(AND(ISNUMBER(G3987),ISNUMBER(H3987),H3987&gt;0),G3987/H3987-1,"")</x:f>
        <x:v>0.023586612023331455</x:v>
      </x:c>
      <x:c r="J3987" s="27" t="n">
        <x:f>IF(AND(ISNUMBER(G3987),F3987&gt;0),G3987/F3987-1,"")</x:f>
        <x:v>0</x:v>
      </x:c>
      <x:c r="K3987" s="19" t="str">
        <x:v>Weak/EXP248/results/seed293575552_BBP.json</x:v>
      </x:c>
    </x:row>
    <x:row r="3988" ht="15" hidden="0" customHeight="1">
      <x:c r="A3988" s="3" t="str">
        <x:v>EXP248</x:v>
      </x:c>
      <x:c r="B3988" s="3" t="str">
        <x:v>Weak</x:v>
      </x:c>
      <x:c r="C3988" s="18" t="n">
        <x:v>293575552</x:v>
      </x:c>
      <x:c r="D3988" s="3" t="str">
        <x:v>Relative cutoff 1e-5</x:v>
      </x:c>
      <x:c r="E3988" s="18" t="n">
        <x:v>800</x:v>
      </x:c>
      <x:c r="F3988" s="21" t="n">
        <x:v>319.8309991560851</x:v>
      </x:c>
      <x:c r="G3988" s="21" t="n">
        <x:f>F3987</x:f>
        <x:v>385.0354139205915</x:v>
      </x:c>
      <x:c r="H3988" s="21" t="n">
        <x:f>F3992</x:f>
        <x:v>376.16300310873453</x:v>
      </x:c>
      <x:c r="I3988" s="27" t="n">
        <x:f>IF(AND(ISNUMBER(G3988),ISNUMBER(H3988),H3988&gt;0),G3988/H3988-1,"")</x:f>
        <x:v>0.023586612023331455</x:v>
      </x:c>
      <x:c r="J3988" s="27" t="n">
        <x:f>IF(AND(ISNUMBER(G3988),F3988&gt;0),G3988/F3988-1,"")</x:f>
        <x:v>0.20387146629487618</x:v>
      </x:c>
      <x:c r="K3988" s="19" t="str">
        <x:v>Weak/EXP248/results/seed293575552_Relative_cutoff_1e-5.json</x:v>
      </x:c>
    </x:row>
    <x:row r="3989" ht="15" hidden="0" customHeight="1">
      <x:c r="A3989" s="3" t="str">
        <x:v>EXP248</x:v>
      </x:c>
      <x:c r="B3989" s="3" t="str">
        <x:v>Weak</x:v>
      </x:c>
      <x:c r="C3989" s="18" t="n">
        <x:v>293575552</x:v>
      </x:c>
      <x:c r="D3989" s="3" t="str">
        <x:v>Fixed rank 10</x:v>
      </x:c>
      <x:c r="E3989" s="18" t="n">
        <x:v>800</x:v>
      </x:c>
      <x:c r="F3989" s="21" t="n">
        <x:v>365.93201282352055</x:v>
      </x:c>
      <x:c r="G3989" s="21" t="n">
        <x:f>F3987</x:f>
        <x:v>385.0354139205915</x:v>
      </x:c>
      <x:c r="H3989" s="21" t="n">
        <x:f>F3992</x:f>
        <x:v>376.16300310873453</x:v>
      </x:c>
      <x:c r="I3989" s="27" t="n">
        <x:f>IF(AND(ISNUMBER(G3989),ISNUMBER(H3989),H3989&gt;0),G3989/H3989-1,"")</x:f>
        <x:v>0.023586612023331455</x:v>
      </x:c>
      <x:c r="J3989" s="27" t="n">
        <x:f>IF(AND(ISNUMBER(G3989),F3989&gt;0),G3989/F3989-1,"")</x:f>
        <x:v>0.052204782384765114</x:v>
      </x:c>
      <x:c r="K3989" s="19" t="str">
        <x:v>Weak/EXP248/results/seed293575552_Fixed_rank_10.json</x:v>
      </x:c>
    </x:row>
    <x:row r="3990" ht="15" hidden="0" customHeight="1">
      <x:c r="A3990" s="3" t="str">
        <x:v>EXP248</x:v>
      </x:c>
      <x:c r="B3990" s="3" t="str">
        <x:v>Weak</x:v>
      </x:c>
      <x:c r="C3990" s="18" t="n">
        <x:v>293575552</x:v>
      </x:c>
      <x:c r="D3990" s="3" t="str">
        <x:v>Fixed rank 25</x:v>
      </x:c>
      <x:c r="E3990" s="18" t="n">
        <x:v>800</x:v>
      </x:c>
      <x:c r="F3990" s="21" t="n">
        <x:v>381.24197918239895</x:v>
      </x:c>
      <x:c r="G3990" s="21" t="n">
        <x:f>F3987</x:f>
        <x:v>385.0354139205915</x:v>
      </x:c>
      <x:c r="H3990" s="21" t="n">
        <x:f>F3992</x:f>
        <x:v>376.16300310873453</x:v>
      </x:c>
      <x:c r="I3990" s="27" t="n">
        <x:f>IF(AND(ISNUMBER(G3990),ISNUMBER(H3990),H3990&gt;0),G3990/H3990-1,"")</x:f>
        <x:v>0.023586612023331455</x:v>
      </x:c>
      <x:c r="J3990" s="27" t="n">
        <x:f>IF(AND(ISNUMBER(G3990),F3990&gt;0),G3990/F3990-1,"")</x:f>
        <x:v>0.009950202090357019</x:v>
      </x:c>
      <x:c r="K3990" s="19" t="str">
        <x:v>Weak/EXP248/results/seed293575552_Fixed_rank_25.json</x:v>
      </x:c>
    </x:row>
    <x:row r="3991" ht="15" hidden="0" customHeight="1">
      <x:c r="A3991" s="3" t="str">
        <x:v>EXP248</x:v>
      </x:c>
      <x:c r="B3991" s="3" t="str">
        <x:v>Weak</x:v>
      </x:c>
      <x:c r="C3991" s="18" t="n">
        <x:v>293575552</x:v>
      </x:c>
      <x:c r="D3991" s="3" t="str">
        <x:v>Relative cutoff 1e-6</x:v>
      </x:c>
      <x:c r="E3991" s="18" t="n">
        <x:v>800</x:v>
      </x:c>
      <x:c r="F3991" s="21" t="n">
        <x:v>375.8628930032017</x:v>
      </x:c>
      <x:c r="G3991" s="21" t="n">
        <x:f>F3987</x:f>
        <x:v>385.0354139205915</x:v>
      </x:c>
      <x:c r="H3991" s="21" t="n">
        <x:f>F3992</x:f>
        <x:v>376.16300310873453</x:v>
      </x:c>
      <x:c r="I3991" s="27" t="n">
        <x:f>IF(AND(ISNUMBER(G3991),ISNUMBER(H3991),H3991&gt;0),G3991/H3991-1,"")</x:f>
        <x:v>0.023586612023331455</x:v>
      </x:c>
      <x:c r="J3991" s="27" t="n">
        <x:f>IF(AND(ISNUMBER(G3991),F3991&gt;0),G3991/F3991-1,"")</x:f>
        <x:v>0.024403901231377256</x:v>
      </x:c>
      <x:c r="K3991" s="19" t="str">
        <x:v>Weak/EXP248/results/seed293575552_Relative_cutoff_1e-6.json</x:v>
      </x:c>
    </x:row>
    <x:row r="3992" ht="15" hidden="0" customHeight="1">
      <x:c r="A3992" s="3" t="str">
        <x:v>EXP248</x:v>
      </x:c>
      <x:c r="B3992" s="3" t="str">
        <x:v>Weak</x:v>
      </x:c>
      <x:c r="C3992" s="18" t="n">
        <x:v>293575552</x:v>
      </x:c>
      <x:c r="D3992" s="3" t="str">
        <x:v>Full</x:v>
      </x:c>
      <x:c r="E3992" s="18" t="n">
        <x:v>800</x:v>
      </x:c>
      <x:c r="F3992" s="21" t="n">
        <x:v>376.16300310873453</x:v>
      </x:c>
      <x:c r="G3992" s="21" t="n">
        <x:f>F3987</x:f>
        <x:v>385.0354139205915</x:v>
      </x:c>
      <x:c r="H3992" s="21" t="n">
        <x:f>F3992</x:f>
        <x:v>376.16300310873453</x:v>
      </x:c>
      <x:c r="I3992" s="27" t="n">
        <x:f>IF(AND(ISNUMBER(G3992),ISNUMBER(H3992),H3992&gt;0),G3992/H3992-1,"")</x:f>
        <x:v>0.023586612023331455</x:v>
      </x:c>
      <x:c r="J3992" s="27" t="n">
        <x:f>IF(AND(ISNUMBER(G3992),F3992&gt;0),G3992/F3992-1,"")</x:f>
        <x:v>0.023586612023331455</x:v>
      </x:c>
      <x:c r="K3992" s="19" t="str">
        <x:v>Weak/EXP248/results/seed293575552_Full.json</x:v>
      </x:c>
    </x:row>
    <x:row r="3993" ht="15" hidden="0" customHeight="1">
      <x:c r="A3993" s="3" t="str">
        <x:v>EXP248</x:v>
      </x:c>
      <x:c r="B3993" s="3" t="str">
        <x:v>Weak</x:v>
      </x:c>
      <x:c r="C3993" s="18" t="n">
        <x:v>293575552</x:v>
      </x:c>
      <x:c r="D3993" s="3" t="str">
        <x:v>Relative cutoff 1e-2</x:v>
      </x:c>
      <x:c r="E3993" s="18" t="n">
        <x:v>800</x:v>
      </x:c>
      <x:c r="F3993" s="21" t="n">
        <x:v>400.2522770081014</x:v>
      </x:c>
      <x:c r="G3993" s="21" t="n">
        <x:f>F3987</x:f>
        <x:v>385.0354139205915</x:v>
      </x:c>
      <x:c r="H3993" s="21" t="n">
        <x:f>F3992</x:f>
        <x:v>376.16300310873453</x:v>
      </x:c>
      <x:c r="I3993" s="27" t="n">
        <x:f>IF(AND(ISNUMBER(G3993),ISNUMBER(H3993),H3993&gt;0),G3993/H3993-1,"")</x:f>
        <x:v>0.023586612023331455</x:v>
      </x:c>
      <x:c r="J3993" s="27" t="n">
        <x:f>IF(AND(ISNUMBER(G3993),F3993&gt;0),G3993/F3993-1,"")</x:f>
        <x:v>-0.0380181799370547</x:v>
      </x:c>
      <x:c r="K3993" s="19" t="str">
        <x:v>Weak/EXP248/results/seed293575552_Relative_cutoff_1e-2.json</x:v>
      </x:c>
    </x:row>
    <x:row r="3994" ht="15" hidden="0" customHeight="1">
      <x:c r="A3994" s="3" t="str">
        <x:v>EXP248</x:v>
      </x:c>
      <x:c r="B3994" s="3" t="str">
        <x:v>Weak</x:v>
      </x:c>
      <x:c r="C3994" s="18" t="n">
        <x:v>293575552</x:v>
      </x:c>
      <x:c r="D3994" s="3" t="str">
        <x:v>Relative cutoff 1e-4</x:v>
      </x:c>
      <x:c r="E3994" s="18" t="n">
        <x:v>800</x:v>
      </x:c>
      <x:c r="F3994" s="21" t="n">
        <x:v>364.7928538272304</x:v>
      </x:c>
      <x:c r="G3994" s="21" t="n">
        <x:f>F3987</x:f>
        <x:v>385.0354139205915</x:v>
      </x:c>
      <x:c r="H3994" s="21" t="n">
        <x:f>F3992</x:f>
        <x:v>376.16300310873453</x:v>
      </x:c>
      <x:c r="I3994" s="27" t="n">
        <x:f>IF(AND(ISNUMBER(G3994),ISNUMBER(H3994),H3994&gt;0),G3994/H3994-1,"")</x:f>
        <x:v>0.023586612023331455</x:v>
      </x:c>
      <x:c r="J3994" s="27" t="n">
        <x:f>IF(AND(ISNUMBER(G3994),F3994&gt;0),G3994/F3994-1,"")</x:f>
        <x:v>0.05549056096079186</x:v>
      </x:c>
      <x:c r="K3994" s="19" t="str">
        <x:v>Weak/EXP248/results/seed293575552_Relative_cutoff_1e-4.json</x:v>
      </x:c>
    </x:row>
    <x:row r="3995" ht="15" hidden="0" customHeight="1">
      <x:c r="A3995" s="3" t="str">
        <x:v>EXP248</x:v>
      </x:c>
      <x:c r="B3995" s="3" t="str">
        <x:v>Weak</x:v>
      </x:c>
      <x:c r="C3995" s="18" t="n">
        <x:v>309467981</x:v>
      </x:c>
      <x:c r="D3995" s="3" t="str">
        <x:v>BBP</x:v>
      </x:c>
      <x:c r="E3995" s="18" t="n">
        <x:v>800</x:v>
      </x:c>
      <x:c r="F3995" s="21" t="n">
        <x:v>329.87729519572883</x:v>
      </x:c>
      <x:c r="G3995" s="21" t="n">
        <x:f>F3995</x:f>
        <x:v>329.87729519572883</x:v>
      </x:c>
      <x:c r="H3995" s="21" t="n">
        <x:f>F4000</x:f>
        <x:v>344.4643877807602</x:v>
      </x:c>
      <x:c r="I3995" s="27" t="n">
        <x:f>IF(AND(ISNUMBER(G3995),ISNUMBER(H3995),H3995&gt;0),G3995/H3995-1,"")</x:f>
        <x:v>-0.04234717173235203</x:v>
      </x:c>
      <x:c r="J3995" s="27" t="n">
        <x:f>IF(AND(ISNUMBER(G3995),F3995&gt;0),G3995/F3995-1,"")</x:f>
        <x:v>0</x:v>
      </x:c>
      <x:c r="K3995" s="19" t="str">
        <x:v>Weak/EXP248/results/seed309467981_BBP.json</x:v>
      </x:c>
    </x:row>
    <x:row r="3996" ht="15" hidden="0" customHeight="1">
      <x:c r="A3996" s="3" t="str">
        <x:v>EXP248</x:v>
      </x:c>
      <x:c r="B3996" s="3" t="str">
        <x:v>Weak</x:v>
      </x:c>
      <x:c r="C3996" s="18" t="n">
        <x:v>309467981</x:v>
      </x:c>
      <x:c r="D3996" s="3" t="str">
        <x:v>Relative cutoff 1e-5</x:v>
      </x:c>
      <x:c r="E3996" s="18" t="n">
        <x:v>800</x:v>
      </x:c>
      <x:c r="F3996" s="21" t="n">
        <x:v>346.70131875158194</x:v>
      </x:c>
      <x:c r="G3996" s="21" t="n">
        <x:f>F3995</x:f>
        <x:v>329.87729519572883</x:v>
      </x:c>
      <x:c r="H3996" s="21" t="n">
        <x:f>F4000</x:f>
        <x:v>344.4643877807602</x:v>
      </x:c>
      <x:c r="I3996" s="27" t="n">
        <x:f>IF(AND(ISNUMBER(G3996),ISNUMBER(H3996),H3996&gt;0),G3996/H3996-1,"")</x:f>
        <x:v>-0.04234717173235203</x:v>
      </x:c>
      <x:c r="J3996" s="27" t="n">
        <x:f>IF(AND(ISNUMBER(G3996),F3996&gt;0),G3996/F3996-1,"")</x:f>
        <x:v>-0.04852598662281937</x:v>
      </x:c>
      <x:c r="K3996" s="19" t="str">
        <x:v>Weak/EXP248/results/seed309467981_Relative_cutoff_1e-5.json</x:v>
      </x:c>
    </x:row>
    <x:row r="3997" ht="15" hidden="0" customHeight="1">
      <x:c r="A3997" s="3" t="str">
        <x:v>EXP248</x:v>
      </x:c>
      <x:c r="B3997" s="3" t="str">
        <x:v>Weak</x:v>
      </x:c>
      <x:c r="C3997" s="18" t="n">
        <x:v>309467981</x:v>
      </x:c>
      <x:c r="D3997" s="3" t="str">
        <x:v>Fixed rank 10</x:v>
      </x:c>
      <x:c r="E3997" s="18" t="n">
        <x:v>800</x:v>
      </x:c>
      <x:c r="F3997" s="21" t="n">
        <x:v>342.88542048224366</x:v>
      </x:c>
      <x:c r="G3997" s="21" t="n">
        <x:f>F3995</x:f>
        <x:v>329.87729519572883</x:v>
      </x:c>
      <x:c r="H3997" s="21" t="n">
        <x:f>F4000</x:f>
        <x:v>344.4643877807602</x:v>
      </x:c>
      <x:c r="I3997" s="27" t="n">
        <x:f>IF(AND(ISNUMBER(G3997),ISNUMBER(H3997),H3997&gt;0),G3997/H3997-1,"")</x:f>
        <x:v>-0.04234717173235203</x:v>
      </x:c>
      <x:c r="J3997" s="27" t="n">
        <x:f>IF(AND(ISNUMBER(G3997),F3997&gt;0),G3997/F3997-1,"")</x:f>
        <x:v>-0.03793723649206149</x:v>
      </x:c>
      <x:c r="K3997" s="19" t="str">
        <x:v>Weak/EXP248/results/seed309467981_Fixed_rank_10.json</x:v>
      </x:c>
    </x:row>
    <x:row r="3998" ht="15" hidden="0" customHeight="1">
      <x:c r="A3998" s="3" t="str">
        <x:v>EXP248</x:v>
      </x:c>
      <x:c r="B3998" s="3" t="str">
        <x:v>Weak</x:v>
      </x:c>
      <x:c r="C3998" s="18" t="n">
        <x:v>309467981</x:v>
      </x:c>
      <x:c r="D3998" s="3" t="str">
        <x:v>Fixed rank 25</x:v>
      </x:c>
      <x:c r="E3998" s="18" t="n">
        <x:v>800</x:v>
      </x:c>
      <x:c r="F3998" s="21" t="n">
        <x:v>334.97947788815515</x:v>
      </x:c>
      <x:c r="G3998" s="21" t="n">
        <x:f>F3995</x:f>
        <x:v>329.87729519572883</x:v>
      </x:c>
      <x:c r="H3998" s="21" t="n">
        <x:f>F4000</x:f>
        <x:v>344.4643877807602</x:v>
      </x:c>
      <x:c r="I3998" s="27" t="n">
        <x:f>IF(AND(ISNUMBER(G3998),ISNUMBER(H3998),H3998&gt;0),G3998/H3998-1,"")</x:f>
        <x:v>-0.04234717173235203</x:v>
      </x:c>
      <x:c r="J3998" s="27" t="n">
        <x:f>IF(AND(ISNUMBER(G3998),F3998&gt;0),G3998/F3998-1,"")</x:f>
        <x:v>-0.015231329168558405</x:v>
      </x:c>
      <x:c r="K3998" s="19" t="str">
        <x:v>Weak/EXP248/results/seed309467981_Fixed_rank_25.json</x:v>
      </x:c>
    </x:row>
    <x:row r="3999" ht="15" hidden="0" customHeight="1">
      <x:c r="A3999" s="3" t="str">
        <x:v>EXP248</x:v>
      </x:c>
      <x:c r="B3999" s="3" t="str">
        <x:v>Weak</x:v>
      </x:c>
      <x:c r="C3999" s="18" t="n">
        <x:v>309467981</x:v>
      </x:c>
      <x:c r="D3999" s="3" t="str">
        <x:v>Relative cutoff 1e-6</x:v>
      </x:c>
      <x:c r="E3999" s="18" t="n">
        <x:v>800</x:v>
      </x:c>
      <x:c r="F3999" s="21" t="n">
        <x:v>315.6827494090683</x:v>
      </x:c>
      <x:c r="G3999" s="21" t="n">
        <x:f>F3995</x:f>
        <x:v>329.87729519572883</x:v>
      </x:c>
      <x:c r="H3999" s="21" t="n">
        <x:f>F4000</x:f>
        <x:v>344.4643877807602</x:v>
      </x:c>
      <x:c r="I3999" s="27" t="n">
        <x:f>IF(AND(ISNUMBER(G3999),ISNUMBER(H3999),H3999&gt;0),G3999/H3999-1,"")</x:f>
        <x:v>-0.04234717173235203</x:v>
      </x:c>
      <x:c r="J3999" s="27" t="n">
        <x:f>IF(AND(ISNUMBER(G3999),F3999&gt;0),G3999/F3999-1,"")</x:f>
        <x:v>0.04496459123354546</x:v>
      </x:c>
      <x:c r="K3999" s="19" t="str">
        <x:v>Weak/EXP248/results/seed309467981_Relative_cutoff_1e-6.json</x:v>
      </x:c>
    </x:row>
    <x:row r="4000" ht="15" hidden="0" customHeight="1">
      <x:c r="A4000" s="3" t="str">
        <x:v>EXP248</x:v>
      </x:c>
      <x:c r="B4000" s="3" t="str">
        <x:v>Weak</x:v>
      </x:c>
      <x:c r="C4000" s="18" t="n">
        <x:v>309467981</x:v>
      </x:c>
      <x:c r="D4000" s="3" t="str">
        <x:v>Full</x:v>
      </x:c>
      <x:c r="E4000" s="18" t="n">
        <x:v>800</x:v>
      </x:c>
      <x:c r="F4000" s="21" t="n">
        <x:v>344.4643877807602</x:v>
      </x:c>
      <x:c r="G4000" s="21" t="n">
        <x:f>F3995</x:f>
        <x:v>329.87729519572883</x:v>
      </x:c>
      <x:c r="H4000" s="21" t="n">
        <x:f>F4000</x:f>
        <x:v>344.4643877807602</x:v>
      </x:c>
      <x:c r="I4000" s="27" t="n">
        <x:f>IF(AND(ISNUMBER(G4000),ISNUMBER(H4000),H4000&gt;0),G4000/H4000-1,"")</x:f>
        <x:v>-0.04234717173235203</x:v>
      </x:c>
      <x:c r="J4000" s="27" t="n">
        <x:f>IF(AND(ISNUMBER(G4000),F4000&gt;0),G4000/F4000-1,"")</x:f>
        <x:v>-0.04234717173235203</x:v>
      </x:c>
      <x:c r="K4000" s="19" t="str">
        <x:v>Weak/EXP248/results/seed309467981_Full.json</x:v>
      </x:c>
    </x:row>
    <x:row r="4001" ht="15" hidden="0" customHeight="1">
      <x:c r="A4001" s="3" t="str">
        <x:v>EXP248</x:v>
      </x:c>
      <x:c r="B4001" s="3" t="str">
        <x:v>Weak</x:v>
      </x:c>
      <x:c r="C4001" s="18" t="n">
        <x:v>309467981</x:v>
      </x:c>
      <x:c r="D4001" s="3" t="str">
        <x:v>Relative cutoff 1e-2</x:v>
      </x:c>
      <x:c r="E4001" s="18" t="n">
        <x:v>800</x:v>
      </x:c>
      <x:c r="F4001" s="21" t="n">
        <x:v>352.1808353975254</x:v>
      </x:c>
      <x:c r="G4001" s="21" t="n">
        <x:f>F3995</x:f>
        <x:v>329.87729519572883</x:v>
      </x:c>
      <x:c r="H4001" s="21" t="n">
        <x:f>F4000</x:f>
        <x:v>344.4643877807602</x:v>
      </x:c>
      <x:c r="I4001" s="27" t="n">
        <x:f>IF(AND(ISNUMBER(G4001),ISNUMBER(H4001),H4001&gt;0),G4001/H4001-1,"")</x:f>
        <x:v>-0.04234717173235203</x:v>
      </x:c>
      <x:c r="J4001" s="27" t="n">
        <x:f>IF(AND(ISNUMBER(G4001),F4001&gt;0),G4001/F4001-1,"")</x:f>
        <x:v>-0.06332979526447369</x:v>
      </x:c>
      <x:c r="K4001" s="19" t="str">
        <x:v>Weak/EXP248/results/seed309467981_Relative_cutoff_1e-2.json</x:v>
      </x:c>
    </x:row>
    <x:row r="4002" ht="15" hidden="0" customHeight="1">
      <x:c r="A4002" s="3" t="str">
        <x:v>EXP248</x:v>
      </x:c>
      <x:c r="B4002" s="3" t="str">
        <x:v>Weak</x:v>
      </x:c>
      <x:c r="C4002" s="18" t="n">
        <x:v>309467981</x:v>
      </x:c>
      <x:c r="D4002" s="3" t="str">
        <x:v>Relative cutoff 1e-4</x:v>
      </x:c>
      <x:c r="E4002" s="18" t="n">
        <x:v>800</x:v>
      </x:c>
      <x:c r="F4002" s="21" t="n">
        <x:v>341.06056483168396</x:v>
      </x:c>
      <x:c r="G4002" s="21" t="n">
        <x:f>F3995</x:f>
        <x:v>329.87729519572883</x:v>
      </x:c>
      <x:c r="H4002" s="21" t="n">
        <x:f>F4000</x:f>
        <x:v>344.4643877807602</x:v>
      </x:c>
      <x:c r="I4002" s="27" t="n">
        <x:f>IF(AND(ISNUMBER(G4002),ISNUMBER(H4002),H4002&gt;0),G4002/H4002-1,"")</x:f>
        <x:v>-0.04234717173235203</x:v>
      </x:c>
      <x:c r="J4002" s="27" t="n">
        <x:f>IF(AND(ISNUMBER(G4002),F4002&gt;0),G4002/F4002-1,"")</x:f>
        <x:v>-0.032789688369495806</x:v>
      </x:c>
      <x:c r="K4002" s="19" t="str">
        <x:v>Weak/EXP248/results/seed309467981_Relative_cutoff_1e-4.json</x:v>
      </x:c>
    </x:row>
    <x:row r="4003" ht="15" hidden="0" customHeight="1">
      <x:c r="A4003" s="3" t="str">
        <x:v>EXP248</x:v>
      </x:c>
      <x:c r="B4003" s="3" t="str">
        <x:v>Weak</x:v>
      </x:c>
      <x:c r="C4003" s="18" t="n">
        <x:v>332576827</x:v>
      </x:c>
      <x:c r="D4003" s="3" t="str">
        <x:v>BBP</x:v>
      </x:c>
      <x:c r="E4003" s="18" t="n">
        <x:v>800</x:v>
      </x:c>
      <x:c r="F4003" s="21" t="n">
        <x:v>866.2144571704</x:v>
      </x:c>
      <x:c r="G4003" s="21" t="n">
        <x:f>F4003</x:f>
        <x:v>866.2144571704</x:v>
      </x:c>
      <x:c r="H4003" s="21" t="n">
        <x:f>F4008</x:f>
        <x:v>940.6352186998074</x:v>
      </x:c>
      <x:c r="I4003" s="27" t="n">
        <x:f>IF(AND(ISNUMBER(G4003),ISNUMBER(H4003),H4003&gt;0),G4003/H4003-1,"")</x:f>
        <x:v>-0.07911755806068532</x:v>
      </x:c>
      <x:c r="J4003" s="27" t="n">
        <x:f>IF(AND(ISNUMBER(G4003),F4003&gt;0),G4003/F4003-1,"")</x:f>
        <x:v>0</x:v>
      </x:c>
      <x:c r="K4003" s="19" t="str">
        <x:v>Weak/EXP248/results/seed332576827_BBP.json</x:v>
      </x:c>
    </x:row>
    <x:row r="4004" ht="15" hidden="0" customHeight="1">
      <x:c r="A4004" s="3" t="str">
        <x:v>EXP248</x:v>
      </x:c>
      <x:c r="B4004" s="3" t="str">
        <x:v>Weak</x:v>
      </x:c>
      <x:c r="C4004" s="18" t="n">
        <x:v>332576827</x:v>
      </x:c>
      <x:c r="D4004" s="3" t="str">
        <x:v>Relative cutoff 1e-5</x:v>
      </x:c>
      <x:c r="E4004" s="18" t="n">
        <x:v>800</x:v>
      </x:c>
      <x:c r="F4004" s="21" t="n">
        <x:v>840.6923563688896</x:v>
      </x:c>
      <x:c r="G4004" s="21" t="n">
        <x:f>F4003</x:f>
        <x:v>866.2144571704</x:v>
      </x:c>
      <x:c r="H4004" s="21" t="n">
        <x:f>F4008</x:f>
        <x:v>940.6352186998074</x:v>
      </x:c>
      <x:c r="I4004" s="27" t="n">
        <x:f>IF(AND(ISNUMBER(G4004),ISNUMBER(H4004),H4004&gt;0),G4004/H4004-1,"")</x:f>
        <x:v>-0.07911755806068532</x:v>
      </x:c>
      <x:c r="J4004" s="27" t="n">
        <x:f>IF(AND(ISNUMBER(G4004),F4004&gt;0),G4004/F4004-1,"")</x:f>
        <x:v>0.030358430891111343</x:v>
      </x:c>
      <x:c r="K4004" s="19" t="str">
        <x:v>Weak/EXP248/results/seed332576827_Relative_cutoff_1e-5.json</x:v>
      </x:c>
    </x:row>
    <x:row r="4005" ht="15" hidden="0" customHeight="1">
      <x:c r="A4005" s="3" t="str">
        <x:v>EXP248</x:v>
      </x:c>
      <x:c r="B4005" s="3" t="str">
        <x:v>Weak</x:v>
      </x:c>
      <x:c r="C4005" s="18" t="n">
        <x:v>332576827</x:v>
      </x:c>
      <x:c r="D4005" s="3" t="str">
        <x:v>Fixed rank 10</x:v>
      </x:c>
      <x:c r="E4005" s="18" t="n">
        <x:v>800</x:v>
      </x:c>
      <x:c r="F4005" s="21" t="n">
        <x:v>930.2382295005209</x:v>
      </x:c>
      <x:c r="G4005" s="21" t="n">
        <x:f>F4003</x:f>
        <x:v>866.2144571704</x:v>
      </x:c>
      <x:c r="H4005" s="21" t="n">
        <x:f>F4008</x:f>
        <x:v>940.6352186998074</x:v>
      </x:c>
      <x:c r="I4005" s="27" t="n">
        <x:f>IF(AND(ISNUMBER(G4005),ISNUMBER(H4005),H4005&gt;0),G4005/H4005-1,"")</x:f>
        <x:v>-0.07911755806068532</x:v>
      </x:c>
      <x:c r="J4005" s="27" t="n">
        <x:f>IF(AND(ISNUMBER(G4005),F4005&gt;0),G4005/F4005-1,"")</x:f>
        <x:v>-0.06882513564777659</x:v>
      </x:c>
      <x:c r="K4005" s="19" t="str">
        <x:v>Weak/EXP248/results/seed332576827_Fixed_rank_10.json</x:v>
      </x:c>
    </x:row>
    <x:row r="4006" ht="15" hidden="0" customHeight="1">
      <x:c r="A4006" s="3" t="str">
        <x:v>EXP248</x:v>
      </x:c>
      <x:c r="B4006" s="3" t="str">
        <x:v>Weak</x:v>
      </x:c>
      <x:c r="C4006" s="18" t="n">
        <x:v>332576827</x:v>
      </x:c>
      <x:c r="D4006" s="3" t="str">
        <x:v>Fixed rank 25</x:v>
      </x:c>
      <x:c r="E4006" s="18" t="n">
        <x:v>800</x:v>
      </x:c>
      <x:c r="F4006" s="21" t="n">
        <x:v>902.6591220705694</x:v>
      </x:c>
      <x:c r="G4006" s="21" t="n">
        <x:f>F4003</x:f>
        <x:v>866.2144571704</x:v>
      </x:c>
      <x:c r="H4006" s="21" t="n">
        <x:f>F4008</x:f>
        <x:v>940.6352186998074</x:v>
      </x:c>
      <x:c r="I4006" s="27" t="n">
        <x:f>IF(AND(ISNUMBER(G4006),ISNUMBER(H4006),H4006&gt;0),G4006/H4006-1,"")</x:f>
        <x:v>-0.07911755806068532</x:v>
      </x:c>
      <x:c r="J4006" s="27" t="n">
        <x:f>IF(AND(ISNUMBER(G4006),F4006&gt;0),G4006/F4006-1,"")</x:f>
        <x:v>-0.04037478158595531</x:v>
      </x:c>
      <x:c r="K4006" s="19" t="str">
        <x:v>Weak/EXP248/results/seed332576827_Fixed_rank_25.json</x:v>
      </x:c>
    </x:row>
    <x:row r="4007" ht="15" hidden="0" customHeight="1">
      <x:c r="A4007" s="3" t="str">
        <x:v>EXP248</x:v>
      </x:c>
      <x:c r="B4007" s="3" t="str">
        <x:v>Weak</x:v>
      </x:c>
      <x:c r="C4007" s="18" t="n">
        <x:v>332576827</x:v>
      </x:c>
      <x:c r="D4007" s="3" t="str">
        <x:v>Relative cutoff 1e-6</x:v>
      </x:c>
      <x:c r="E4007" s="18" t="n">
        <x:v>800</x:v>
      </x:c>
      <x:c r="F4007" s="21" t="n">
        <x:v>884.4638126897293</x:v>
      </x:c>
      <x:c r="G4007" s="21" t="n">
        <x:f>F4003</x:f>
        <x:v>866.2144571704</x:v>
      </x:c>
      <x:c r="H4007" s="21" t="n">
        <x:f>F4008</x:f>
        <x:v>940.6352186998074</x:v>
      </x:c>
      <x:c r="I4007" s="27" t="n">
        <x:f>IF(AND(ISNUMBER(G4007),ISNUMBER(H4007),H4007&gt;0),G4007/H4007-1,"")</x:f>
        <x:v>-0.07911755806068532</x:v>
      </x:c>
      <x:c r="J4007" s="27" t="n">
        <x:f>IF(AND(ISNUMBER(G4007),F4007&gt;0),G4007/F4007-1,"")</x:f>
        <x:v>-0.02063324158376978</x:v>
      </x:c>
      <x:c r="K4007" s="19" t="str">
        <x:v>Weak/EXP248/results/seed332576827_Relative_cutoff_1e-6.json</x:v>
      </x:c>
    </x:row>
    <x:row r="4008" ht="15" hidden="0" customHeight="1">
      <x:c r="A4008" s="3" t="str">
        <x:v>EXP248</x:v>
      </x:c>
      <x:c r="B4008" s="3" t="str">
        <x:v>Weak</x:v>
      </x:c>
      <x:c r="C4008" s="18" t="n">
        <x:v>332576827</x:v>
      </x:c>
      <x:c r="D4008" s="3" t="str">
        <x:v>Full</x:v>
      </x:c>
      <x:c r="E4008" s="18" t="n">
        <x:v>800</x:v>
      </x:c>
      <x:c r="F4008" s="21" t="n">
        <x:v>940.6352186998074</x:v>
      </x:c>
      <x:c r="G4008" s="21" t="n">
        <x:f>F4003</x:f>
        <x:v>866.2144571704</x:v>
      </x:c>
      <x:c r="H4008" s="21" t="n">
        <x:f>F4008</x:f>
        <x:v>940.6352186998074</x:v>
      </x:c>
      <x:c r="I4008" s="27" t="n">
        <x:f>IF(AND(ISNUMBER(G4008),ISNUMBER(H4008),H4008&gt;0),G4008/H4008-1,"")</x:f>
        <x:v>-0.07911755806068532</x:v>
      </x:c>
      <x:c r="J4008" s="27" t="n">
        <x:f>IF(AND(ISNUMBER(G4008),F4008&gt;0),G4008/F4008-1,"")</x:f>
        <x:v>-0.07911755806068532</x:v>
      </x:c>
      <x:c r="K4008" s="19" t="str">
        <x:v>Weak/EXP248/results/seed332576827_Full.json</x:v>
      </x:c>
    </x:row>
    <x:row r="4009" ht="15" hidden="0" customHeight="1">
      <x:c r="A4009" s="3" t="str">
        <x:v>EXP248</x:v>
      </x:c>
      <x:c r="B4009" s="3" t="str">
        <x:v>Weak</x:v>
      </x:c>
      <x:c r="C4009" s="18" t="n">
        <x:v>332576827</x:v>
      </x:c>
      <x:c r="D4009" s="3" t="str">
        <x:v>Relative cutoff 1e-2</x:v>
      </x:c>
      <x:c r="E4009" s="18" t="n">
        <x:v>800</x:v>
      </x:c>
      <x:c r="F4009" s="21" t="n">
        <x:v>1048.048836037857</x:v>
      </x:c>
      <x:c r="G4009" s="21" t="n">
        <x:f>F4003</x:f>
        <x:v>866.2144571704</x:v>
      </x:c>
      <x:c r="H4009" s="21" t="n">
        <x:f>F4008</x:f>
        <x:v>940.6352186998074</x:v>
      </x:c>
      <x:c r="I4009" s="27" t="n">
        <x:f>IF(AND(ISNUMBER(G4009),ISNUMBER(H4009),H4009&gt;0),G4009/H4009-1,"")</x:f>
        <x:v>-0.07911755806068532</x:v>
      </x:c>
      <x:c r="J4009" s="27" t="n">
        <x:f>IF(AND(ISNUMBER(G4009),F4009&gt;0),G4009/F4009-1,"")</x:f>
        <x:v>-0.17349800182487762</x:v>
      </x:c>
      <x:c r="K4009" s="19" t="str">
        <x:v>Weak/EXP248/results/seed332576827_Relative_cutoff_1e-2.json</x:v>
      </x:c>
    </x:row>
    <x:row r="4010" ht="15" hidden="0" customHeight="1">
      <x:c r="A4010" s="3" t="str">
        <x:v>EXP248</x:v>
      </x:c>
      <x:c r="B4010" s="3" t="str">
        <x:v>Weak</x:v>
      </x:c>
      <x:c r="C4010" s="18" t="n">
        <x:v>332576827</x:v>
      </x:c>
      <x:c r="D4010" s="3" t="str">
        <x:v>Relative cutoff 1e-4</x:v>
      </x:c>
      <x:c r="E4010" s="18" t="n">
        <x:v>800</x:v>
      </x:c>
      <x:c r="F4010" s="21" t="n">
        <x:v>960.2369622693809</x:v>
      </x:c>
      <x:c r="G4010" s="21" t="n">
        <x:f>F4003</x:f>
        <x:v>866.2144571704</x:v>
      </x:c>
      <x:c r="H4010" s="21" t="n">
        <x:f>F4008</x:f>
        <x:v>940.6352186998074</x:v>
      </x:c>
      <x:c r="I4010" s="27" t="n">
        <x:f>IF(AND(ISNUMBER(G4010),ISNUMBER(H4010),H4010&gt;0),G4010/H4010-1,"")</x:f>
        <x:v>-0.07911755806068532</x:v>
      </x:c>
      <x:c r="J4010" s="27" t="n">
        <x:f>IF(AND(ISNUMBER(G4010),F4010&gt;0),G4010/F4010-1,"")</x:f>
        <x:v>-0.0979159403287001</x:v>
      </x:c>
      <x:c r="K4010" s="19" t="str">
        <x:v>Weak/EXP248/results/seed332576827_Relative_cutoff_1e-4.json</x:v>
      </x:c>
    </x:row>
    <x:row r="4011" ht="15" hidden="0" customHeight="1">
      <x:c r="A4011" s="3" t="str">
        <x:v>EXP248</x:v>
      </x:c>
      <x:c r="B4011" s="3" t="str">
        <x:v>Weak</x:v>
      </x:c>
      <x:c r="C4011" s="18" t="n">
        <x:v>351846493</x:v>
      </x:c>
      <x:c r="D4011" s="3" t="str">
        <x:v>BBP</x:v>
      </x:c>
      <x:c r="E4011" s="18" t="n">
        <x:v>800</x:v>
      </x:c>
      <x:c r="F4011" s="21" t="n">
        <x:v>302.46923942824395</x:v>
      </x:c>
      <x:c r="G4011" s="21" t="n">
        <x:f>F4011</x:f>
        <x:v>302.46923942824395</x:v>
      </x:c>
      <x:c r="H4011" s="21" t="n">
        <x:f>F4016</x:f>
        <x:v>299.70570219494533</x:v>
      </x:c>
      <x:c r="I4011" s="27" t="n">
        <x:f>IF(AND(ISNUMBER(G4011),ISNUMBER(H4011),H4011&gt;0),G4011/H4011-1,"")</x:f>
        <x:v>0.009220836350658068</x:v>
      </x:c>
      <x:c r="J4011" s="27" t="n">
        <x:f>IF(AND(ISNUMBER(G4011),F4011&gt;0),G4011/F4011-1,"")</x:f>
        <x:v>0</x:v>
      </x:c>
      <x:c r="K4011" s="19" t="str">
        <x:v>Weak/EXP248/results/seed351846493_BBP.json</x:v>
      </x:c>
    </x:row>
    <x:row r="4012" ht="15" hidden="0" customHeight="1">
      <x:c r="A4012" s="3" t="str">
        <x:v>EXP248</x:v>
      </x:c>
      <x:c r="B4012" s="3" t="str">
        <x:v>Weak</x:v>
      </x:c>
      <x:c r="C4012" s="18" t="n">
        <x:v>351846493</x:v>
      </x:c>
      <x:c r="D4012" s="3" t="str">
        <x:v>Relative cutoff 1e-5</x:v>
      </x:c>
      <x:c r="E4012" s="18" t="n">
        <x:v>800</x:v>
      </x:c>
      <x:c r="F4012" s="21" t="n">
        <x:v>279.1230899873951</x:v>
      </x:c>
      <x:c r="G4012" s="21" t="n">
        <x:f>F4011</x:f>
        <x:v>302.46923942824395</x:v>
      </x:c>
      <x:c r="H4012" s="21" t="n">
        <x:f>F4016</x:f>
        <x:v>299.70570219494533</x:v>
      </x:c>
      <x:c r="I4012" s="27" t="n">
        <x:f>IF(AND(ISNUMBER(G4012),ISNUMBER(H4012),H4012&gt;0),G4012/H4012-1,"")</x:f>
        <x:v>0.009220836350658068</x:v>
      </x:c>
      <x:c r="J4012" s="27" t="n">
        <x:f>IF(AND(ISNUMBER(G4012),F4012&gt;0),G4012/F4012-1,"")</x:f>
        <x:v>0.08364105399486355</x:v>
      </x:c>
      <x:c r="K4012" s="19" t="str">
        <x:v>Weak/EXP248/results/seed351846493_Relative_cutoff_1e-5.json</x:v>
      </x:c>
    </x:row>
    <x:row r="4013" ht="15" hidden="0" customHeight="1">
      <x:c r="A4013" s="3" t="str">
        <x:v>EXP248</x:v>
      </x:c>
      <x:c r="B4013" s="3" t="str">
        <x:v>Weak</x:v>
      </x:c>
      <x:c r="C4013" s="18" t="n">
        <x:v>351846493</x:v>
      </x:c>
      <x:c r="D4013" s="3" t="str">
        <x:v>Fixed rank 10</x:v>
      </x:c>
      <x:c r="E4013" s="18" t="n">
        <x:v>800</x:v>
      </x:c>
      <x:c r="F4013" s="21" t="n">
        <x:v>294.51813458656875</x:v>
      </x:c>
      <x:c r="G4013" s="21" t="n">
        <x:f>F4011</x:f>
        <x:v>302.46923942824395</x:v>
      </x:c>
      <x:c r="H4013" s="21" t="n">
        <x:f>F4016</x:f>
        <x:v>299.70570219494533</x:v>
      </x:c>
      <x:c r="I4013" s="27" t="n">
        <x:f>IF(AND(ISNUMBER(G4013),ISNUMBER(H4013),H4013&gt;0),G4013/H4013-1,"")</x:f>
        <x:v>0.009220836350658068</x:v>
      </x:c>
      <x:c r="J4013" s="27" t="n">
        <x:f>IF(AND(ISNUMBER(G4013),F4013&gt;0),G4013/F4013-1,"")</x:f>
        <x:v>0.026996995797343937</x:v>
      </x:c>
      <x:c r="K4013" s="19" t="str">
        <x:v>Weak/EXP248/results/seed351846493_Fixed_rank_10.json</x:v>
      </x:c>
    </x:row>
    <x:row r="4014" ht="15" hidden="0" customHeight="1">
      <x:c r="A4014" s="3" t="str">
        <x:v>EXP248</x:v>
      </x:c>
      <x:c r="B4014" s="3" t="str">
        <x:v>Weak</x:v>
      </x:c>
      <x:c r="C4014" s="18" t="n">
        <x:v>351846493</x:v>
      </x:c>
      <x:c r="D4014" s="3" t="str">
        <x:v>Fixed rank 25</x:v>
      </x:c>
      <x:c r="E4014" s="18" t="n">
        <x:v>800</x:v>
      </x:c>
      <x:c r="F4014" s="21" t="n">
        <x:v>302.46923942824395</x:v>
      </x:c>
      <x:c r="G4014" s="21" t="n">
        <x:f>F4011</x:f>
        <x:v>302.46923942824395</x:v>
      </x:c>
      <x:c r="H4014" s="21" t="n">
        <x:f>F4016</x:f>
        <x:v>299.70570219494533</x:v>
      </x:c>
      <x:c r="I4014" s="27" t="n">
        <x:f>IF(AND(ISNUMBER(G4014),ISNUMBER(H4014),H4014&gt;0),G4014/H4014-1,"")</x:f>
        <x:v>0.009220836350658068</x:v>
      </x:c>
      <x:c r="J4014" s="27" t="n">
        <x:f>IF(AND(ISNUMBER(G4014),F4014&gt;0),G4014/F4014-1,"")</x:f>
        <x:v>0</x:v>
      </x:c>
      <x:c r="K4014" s="19" t="str">
        <x:v>Weak/EXP248/results/seed351846493_Fixed_rank_25.json</x:v>
      </x:c>
    </x:row>
    <x:row r="4015" ht="15" hidden="0" customHeight="1">
      <x:c r="A4015" s="3" t="str">
        <x:v>EXP248</x:v>
      </x:c>
      <x:c r="B4015" s="3" t="str">
        <x:v>Weak</x:v>
      </x:c>
      <x:c r="C4015" s="18" t="n">
        <x:v>351846493</x:v>
      </x:c>
      <x:c r="D4015" s="3" t="str">
        <x:v>Relative cutoff 1e-6</x:v>
      </x:c>
      <x:c r="E4015" s="18" t="n">
        <x:v>800</x:v>
      </x:c>
      <x:c r="F4015" s="21" t="n">
        <x:v>289.12582787578907</x:v>
      </x:c>
      <x:c r="G4015" s="21" t="n">
        <x:f>F4011</x:f>
        <x:v>302.46923942824395</x:v>
      </x:c>
      <x:c r="H4015" s="21" t="n">
        <x:f>F4016</x:f>
        <x:v>299.70570219494533</x:v>
      </x:c>
      <x:c r="I4015" s="27" t="n">
        <x:f>IF(AND(ISNUMBER(G4015),ISNUMBER(H4015),H4015&gt;0),G4015/H4015-1,"")</x:f>
        <x:v>0.009220836350658068</x:v>
      </x:c>
      <x:c r="J4015" s="27" t="n">
        <x:f>IF(AND(ISNUMBER(G4015),F4015&gt;0),G4015/F4015-1,"")</x:f>
        <x:v>0.046150880571580455</x:v>
      </x:c>
      <x:c r="K4015" s="19" t="str">
        <x:v>Weak/EXP248/results/seed351846493_Relative_cutoff_1e-6.json</x:v>
      </x:c>
    </x:row>
    <x:row r="4016" ht="15" hidden="0" customHeight="1">
      <x:c r="A4016" s="3" t="str">
        <x:v>EXP248</x:v>
      </x:c>
      <x:c r="B4016" s="3" t="str">
        <x:v>Weak</x:v>
      </x:c>
      <x:c r="C4016" s="18" t="n">
        <x:v>351846493</x:v>
      </x:c>
      <x:c r="D4016" s="3" t="str">
        <x:v>Full</x:v>
      </x:c>
      <x:c r="E4016" s="18" t="n">
        <x:v>800</x:v>
      </x:c>
      <x:c r="F4016" s="21" t="n">
        <x:v>299.70570219494533</x:v>
      </x:c>
      <x:c r="G4016" s="21" t="n">
        <x:f>F4011</x:f>
        <x:v>302.46923942824395</x:v>
      </x:c>
      <x:c r="H4016" s="21" t="n">
        <x:f>F4016</x:f>
        <x:v>299.70570219494533</x:v>
      </x:c>
      <x:c r="I4016" s="27" t="n">
        <x:f>IF(AND(ISNUMBER(G4016),ISNUMBER(H4016),H4016&gt;0),G4016/H4016-1,"")</x:f>
        <x:v>0.009220836350658068</x:v>
      </x:c>
      <x:c r="J4016" s="27" t="n">
        <x:f>IF(AND(ISNUMBER(G4016),F4016&gt;0),G4016/F4016-1,"")</x:f>
        <x:v>0.009220836350658068</x:v>
      </x:c>
      <x:c r="K4016" s="19" t="str">
        <x:v>Weak/EXP248/results/seed351846493_Full.json</x:v>
      </x:c>
    </x:row>
    <x:row r="4017" ht="15" hidden="0" customHeight="1">
      <x:c r="A4017" s="3" t="str">
        <x:v>EXP248</x:v>
      </x:c>
      <x:c r="B4017" s="3" t="str">
        <x:v>Weak</x:v>
      </x:c>
      <x:c r="C4017" s="18" t="n">
        <x:v>351846493</x:v>
      </x:c>
      <x:c r="D4017" s="3" t="str">
        <x:v>Relative cutoff 1e-2</x:v>
      </x:c>
      <x:c r="E4017" s="18" t="n">
        <x:v>800</x:v>
      </x:c>
      <x:c r="F4017" s="21" t="n">
        <x:v>379.0295090821733</x:v>
      </x:c>
      <x:c r="G4017" s="21" t="n">
        <x:f>F4011</x:f>
        <x:v>302.46923942824395</x:v>
      </x:c>
      <x:c r="H4017" s="21" t="n">
        <x:f>F4016</x:f>
        <x:v>299.70570219494533</x:v>
      </x:c>
      <x:c r="I4017" s="27" t="n">
        <x:f>IF(AND(ISNUMBER(G4017),ISNUMBER(H4017),H4017&gt;0),G4017/H4017-1,"")</x:f>
        <x:v>0.009220836350658068</x:v>
      </x:c>
      <x:c r="J4017" s="27" t="n">
        <x:f>IF(AND(ISNUMBER(G4017),F4017&gt;0),G4017/F4017-1,"")</x:f>
        <x:v>-0.201990261495263</x:v>
      </x:c>
      <x:c r="K4017" s="19" t="str">
        <x:v>Weak/EXP248/results/seed351846493_Relative_cutoff_1e-2.json</x:v>
      </x:c>
    </x:row>
    <x:row r="4018" ht="15" hidden="0" customHeight="1">
      <x:c r="A4018" s="3" t="str">
        <x:v>EXP248</x:v>
      </x:c>
      <x:c r="B4018" s="3" t="str">
        <x:v>Weak</x:v>
      </x:c>
      <x:c r="C4018" s="18" t="n">
        <x:v>351846493</x:v>
      </x:c>
      <x:c r="D4018" s="3" t="str">
        <x:v>Relative cutoff 1e-4</x:v>
      </x:c>
      <x:c r="E4018" s="18" t="n">
        <x:v>800</x:v>
      </x:c>
      <x:c r="F4018" s="21" t="n">
        <x:v>307.87528142964953</x:v>
      </x:c>
      <x:c r="G4018" s="21" t="n">
        <x:f>F4011</x:f>
        <x:v>302.46923942824395</x:v>
      </x:c>
      <x:c r="H4018" s="21" t="n">
        <x:f>F4016</x:f>
        <x:v>299.70570219494533</x:v>
      </x:c>
      <x:c r="I4018" s="27" t="n">
        <x:f>IF(AND(ISNUMBER(G4018),ISNUMBER(H4018),H4018&gt;0),G4018/H4018-1,"")</x:f>
        <x:v>0.009220836350658068</x:v>
      </x:c>
      <x:c r="J4018" s="27" t="n">
        <x:f>IF(AND(ISNUMBER(G4018),F4018&gt;0),G4018/F4018-1,"")</x:f>
        <x:v>-0.017559194672277956</x:v>
      </x:c>
      <x:c r="K4018" s="19" t="str">
        <x:v>Weak/EXP248/results/seed351846493_Relative_cutoff_1e-4.json</x:v>
      </x:c>
    </x:row>
    <x:row r="4019" ht="15" hidden="0" customHeight="1">
      <x:c r="A4019" s="3" t="str">
        <x:v>EXP248</x:v>
      </x:c>
      <x:c r="B4019" s="3" t="str">
        <x:v>Weak</x:v>
      </x:c>
      <x:c r="C4019" s="18" t="n">
        <x:v>355690922</x:v>
      </x:c>
      <x:c r="D4019" s="3" t="str">
        <x:v>BBP</x:v>
      </x:c>
      <x:c r="E4019" s="18" t="n">
        <x:v>800</x:v>
      </x:c>
      <x:c r="F4019" s="21" t="n">
        <x:v>398.6060825053629</x:v>
      </x:c>
      <x:c r="G4019" s="21" t="n">
        <x:f>F4019</x:f>
        <x:v>398.6060825053629</x:v>
      </x:c>
      <x:c r="H4019" s="21" t="n">
        <x:f>F4024</x:f>
        <x:v>401.06814492082117</x:v>
      </x:c>
      <x:c r="I4019" s="27" t="n">
        <x:f>IF(AND(ISNUMBER(G4019),ISNUMBER(H4019),H4019&gt;0),G4019/H4019-1,"")</x:f>
        <x:v>-0.006138763316504092</x:v>
      </x:c>
      <x:c r="J4019" s="27" t="n">
        <x:f>IF(AND(ISNUMBER(G4019),F4019&gt;0),G4019/F4019-1,"")</x:f>
        <x:v>0</x:v>
      </x:c>
      <x:c r="K4019" s="19" t="str">
        <x:v>Weak/EXP248/results/seed355690922_BBP.json</x:v>
      </x:c>
    </x:row>
    <x:row r="4020" ht="15" hidden="0" customHeight="1">
      <x:c r="A4020" s="3" t="str">
        <x:v>EXP248</x:v>
      </x:c>
      <x:c r="B4020" s="3" t="str">
        <x:v>Weak</x:v>
      </x:c>
      <x:c r="C4020" s="18" t="n">
        <x:v>355690922</x:v>
      </x:c>
      <x:c r="D4020" s="3" t="str">
        <x:v>Relative cutoff 1e-5</x:v>
      </x:c>
      <x:c r="E4020" s="18" t="n">
        <x:v>800</x:v>
      </x:c>
      <x:c r="F4020" s="21" t="n">
        <x:v>401.4970398828677</x:v>
      </x:c>
      <x:c r="G4020" s="21" t="n">
        <x:f>F4019</x:f>
        <x:v>398.6060825053629</x:v>
      </x:c>
      <x:c r="H4020" s="21" t="n">
        <x:f>F4024</x:f>
        <x:v>401.06814492082117</x:v>
      </x:c>
      <x:c r="I4020" s="27" t="n">
        <x:f>IF(AND(ISNUMBER(G4020),ISNUMBER(H4020),H4020&gt;0),G4020/H4020-1,"")</x:f>
        <x:v>-0.006138763316504092</x:v>
      </x:c>
      <x:c r="J4020" s="27" t="n">
        <x:f>IF(AND(ISNUMBER(G4020),F4020&gt;0),G4020/F4020-1,"")</x:f>
        <x:v>-0.007200445060188243</x:v>
      </x:c>
      <x:c r="K4020" s="19" t="str">
        <x:v>Weak/EXP248/results/seed355690922_Relative_cutoff_1e-5.json</x:v>
      </x:c>
    </x:row>
    <x:row r="4021" ht="15" hidden="0" customHeight="1">
      <x:c r="A4021" s="3" t="str">
        <x:v>EXP248</x:v>
      </x:c>
      <x:c r="B4021" s="3" t="str">
        <x:v>Weak</x:v>
      </x:c>
      <x:c r="C4021" s="18" t="n">
        <x:v>355690922</x:v>
      </x:c>
      <x:c r="D4021" s="3" t="str">
        <x:v>Fixed rank 10</x:v>
      </x:c>
      <x:c r="E4021" s="18" t="n">
        <x:v>800</x:v>
      </x:c>
      <x:c r="F4021" s="21" t="n">
        <x:v>398.9325052185393</x:v>
      </x:c>
      <x:c r="G4021" s="21" t="n">
        <x:f>F4019</x:f>
        <x:v>398.6060825053629</x:v>
      </x:c>
      <x:c r="H4021" s="21" t="n">
        <x:f>F4024</x:f>
        <x:v>401.06814492082117</x:v>
      </x:c>
      <x:c r="I4021" s="27" t="n">
        <x:f>IF(AND(ISNUMBER(G4021),ISNUMBER(H4021),H4021&gt;0),G4021/H4021-1,"")</x:f>
        <x:v>-0.006138763316504092</x:v>
      </x:c>
      <x:c r="J4021" s="27" t="n">
        <x:f>IF(AND(ISNUMBER(G4021),F4021&gt;0),G4021/F4021-1,"")</x:f>
        <x:v>-0.0008182404514707198</x:v>
      </x:c>
      <x:c r="K4021" s="19" t="str">
        <x:v>Weak/EXP248/results/seed355690922_Fixed_rank_10.json</x:v>
      </x:c>
    </x:row>
    <x:row r="4022" ht="15" hidden="0" customHeight="1">
      <x:c r="A4022" s="3" t="str">
        <x:v>EXP248</x:v>
      </x:c>
      <x:c r="B4022" s="3" t="str">
        <x:v>Weak</x:v>
      </x:c>
      <x:c r="C4022" s="18" t="n">
        <x:v>355690922</x:v>
      </x:c>
      <x:c r="D4022" s="3" t="str">
        <x:v>Fixed rank 25</x:v>
      </x:c>
      <x:c r="E4022" s="18" t="n">
        <x:v>800</x:v>
      </x:c>
      <x:c r="F4022" s="21" t="n">
        <x:v>399.4655980933249</x:v>
      </x:c>
      <x:c r="G4022" s="21" t="n">
        <x:f>F4019</x:f>
        <x:v>398.6060825053629</x:v>
      </x:c>
      <x:c r="H4022" s="21" t="n">
        <x:f>F4024</x:f>
        <x:v>401.06814492082117</x:v>
      </x:c>
      <x:c r="I4022" s="27" t="n">
        <x:f>IF(AND(ISNUMBER(G4022),ISNUMBER(H4022),H4022&gt;0),G4022/H4022-1,"")</x:f>
        <x:v>-0.006138763316504092</x:v>
      </x:c>
      <x:c r="J4022" s="27" t="n">
        <x:f>IF(AND(ISNUMBER(G4022),F4022&gt;0),G4022/F4022-1,"")</x:f>
        <x:v>-0.002151663602734555</x:v>
      </x:c>
      <x:c r="K4022" s="19" t="str">
        <x:v>Weak/EXP248/results/seed355690922_Fixed_rank_25.json</x:v>
      </x:c>
    </x:row>
    <x:row r="4023" ht="15" hidden="0" customHeight="1">
      <x:c r="A4023" s="3" t="str">
        <x:v>EXP248</x:v>
      </x:c>
      <x:c r="B4023" s="3" t="str">
        <x:v>Weak</x:v>
      </x:c>
      <x:c r="C4023" s="18" t="n">
        <x:v>355690922</x:v>
      </x:c>
      <x:c r="D4023" s="3" t="str">
        <x:v>Relative cutoff 1e-6</x:v>
      </x:c>
      <x:c r="E4023" s="18" t="n">
        <x:v>800</x:v>
      </x:c>
      <x:c r="F4023" s="21" t="n">
        <x:v>395.5697175481914</x:v>
      </x:c>
      <x:c r="G4023" s="21" t="n">
        <x:f>F4019</x:f>
        <x:v>398.6060825053629</x:v>
      </x:c>
      <x:c r="H4023" s="21" t="n">
        <x:f>F4024</x:f>
        <x:v>401.06814492082117</x:v>
      </x:c>
      <x:c r="I4023" s="27" t="n">
        <x:f>IF(AND(ISNUMBER(G4023),ISNUMBER(H4023),H4023&gt;0),G4023/H4023-1,"")</x:f>
        <x:v>-0.006138763316504092</x:v>
      </x:c>
      <x:c r="J4023" s="27" t="n">
        <x:f>IF(AND(ISNUMBER(G4023),F4023&gt;0),G4023/F4023-1,"")</x:f>
        <x:v>0.007675928723744008</x:v>
      </x:c>
      <x:c r="K4023" s="19" t="str">
        <x:v>Weak/EXP248/results/seed355690922_Relative_cutoff_1e-6.json</x:v>
      </x:c>
    </x:row>
    <x:row r="4024" ht="15" hidden="0" customHeight="1">
      <x:c r="A4024" s="3" t="str">
        <x:v>EXP248</x:v>
      </x:c>
      <x:c r="B4024" s="3" t="str">
        <x:v>Weak</x:v>
      </x:c>
      <x:c r="C4024" s="18" t="n">
        <x:v>355690922</x:v>
      </x:c>
      <x:c r="D4024" s="3" t="str">
        <x:v>Full</x:v>
      </x:c>
      <x:c r="E4024" s="18" t="n">
        <x:v>800</x:v>
      </x:c>
      <x:c r="F4024" s="21" t="n">
        <x:v>401.06814492082117</x:v>
      </x:c>
      <x:c r="G4024" s="21" t="n">
        <x:f>F4019</x:f>
        <x:v>398.6060825053629</x:v>
      </x:c>
      <x:c r="H4024" s="21" t="n">
        <x:f>F4024</x:f>
        <x:v>401.06814492082117</x:v>
      </x:c>
      <x:c r="I4024" s="27" t="n">
        <x:f>IF(AND(ISNUMBER(G4024),ISNUMBER(H4024),H4024&gt;0),G4024/H4024-1,"")</x:f>
        <x:v>-0.006138763316504092</x:v>
      </x:c>
      <x:c r="J4024" s="27" t="n">
        <x:f>IF(AND(ISNUMBER(G4024),F4024&gt;0),G4024/F4024-1,"")</x:f>
        <x:v>-0.006138763316504092</x:v>
      </x:c>
      <x:c r="K4024" s="19" t="str">
        <x:v>Weak/EXP248/results/seed355690922_Full.json</x:v>
      </x:c>
    </x:row>
    <x:row r="4025" ht="15" hidden="0" customHeight="1">
      <x:c r="A4025" s="3" t="str">
        <x:v>EXP248</x:v>
      </x:c>
      <x:c r="B4025" s="3" t="str">
        <x:v>Weak</x:v>
      </x:c>
      <x:c r="C4025" s="18" t="n">
        <x:v>355690922</x:v>
      </x:c>
      <x:c r="D4025" s="3" t="str">
        <x:v>Relative cutoff 1e-2</x:v>
      </x:c>
      <x:c r="E4025" s="18" t="n">
        <x:v>800</x:v>
      </x:c>
      <x:c r="F4025" s="21" t="n">
        <x:v>504.12574894075993</x:v>
      </x:c>
      <x:c r="G4025" s="21" t="n">
        <x:f>F4019</x:f>
        <x:v>398.6060825053629</x:v>
      </x:c>
      <x:c r="H4025" s="21" t="n">
        <x:f>F4024</x:f>
        <x:v>401.06814492082117</x:v>
      </x:c>
      <x:c r="I4025" s="27" t="n">
        <x:f>IF(AND(ISNUMBER(G4025),ISNUMBER(H4025),H4025&gt;0),G4025/H4025-1,"")</x:f>
        <x:v>-0.006138763316504092</x:v>
      </x:c>
      <x:c r="J4025" s="27" t="n">
        <x:f>IF(AND(ISNUMBER(G4025),F4025&gt;0),G4025/F4025-1,"")</x:f>
        <x:v>-0.2093121937475102</x:v>
      </x:c>
      <x:c r="K4025" s="19" t="str">
        <x:v>Weak/EXP248/results/seed355690922_Relative_cutoff_1e-2.json</x:v>
      </x:c>
    </x:row>
    <x:row r="4026" ht="15" hidden="0" customHeight="1">
      <x:c r="A4026" s="3" t="str">
        <x:v>EXP248</x:v>
      </x:c>
      <x:c r="B4026" s="3" t="str">
        <x:v>Weak</x:v>
      </x:c>
      <x:c r="C4026" s="18" t="n">
        <x:v>355690922</x:v>
      </x:c>
      <x:c r="D4026" s="3" t="str">
        <x:v>Relative cutoff 1e-4</x:v>
      </x:c>
      <x:c r="E4026" s="18" t="n">
        <x:v>800</x:v>
      </x:c>
      <x:c r="F4026" s="21" t="n">
        <x:v>419.17881339977606</x:v>
      </x:c>
      <x:c r="G4026" s="21" t="n">
        <x:f>F4019</x:f>
        <x:v>398.6060825053629</x:v>
      </x:c>
      <x:c r="H4026" s="21" t="n">
        <x:f>F4024</x:f>
        <x:v>401.06814492082117</x:v>
      </x:c>
      <x:c r="I4026" s="27" t="n">
        <x:f>IF(AND(ISNUMBER(G4026),ISNUMBER(H4026),H4026&gt;0),G4026/H4026-1,"")</x:f>
        <x:v>-0.006138763316504092</x:v>
      </x:c>
      <x:c r="J4026" s="27" t="n">
        <x:f>IF(AND(ISNUMBER(G4026),F4026&gt;0),G4026/F4026-1,"")</x:f>
        <x:v>-0.04907865148898327</x:v>
      </x:c>
      <x:c r="K4026" s="19" t="str">
        <x:v>Weak/EXP248/results/seed355690922_Relative_cutoff_1e-4.json</x:v>
      </x:c>
    </x:row>
    <x:row r="4027" ht="15" hidden="0" customHeight="1">
      <x:c r="A4027" s="3" t="str">
        <x:v>EXP248</x:v>
      </x:c>
      <x:c r="B4027" s="3" t="str">
        <x:v>Weak</x:v>
      </x:c>
      <x:c r="C4027" s="18" t="n">
        <x:v>403257883</x:v>
      </x:c>
      <x:c r="D4027" s="3" t="str">
        <x:v>BBP</x:v>
      </x:c>
      <x:c r="E4027" s="18" t="n">
        <x:v>800</x:v>
      </x:c>
      <x:c r="F4027" s="21" t="n">
        <x:v>408.7485951111097</x:v>
      </x:c>
      <x:c r="G4027" s="21" t="n">
        <x:f>F4027</x:f>
        <x:v>408.7485951111097</x:v>
      </x:c>
      <x:c r="H4027" s="21" t="n">
        <x:f>F4032</x:f>
        <x:v>464.8171078726491</x:v>
      </x:c>
      <x:c r="I4027" s="27" t="n">
        <x:f>IF(AND(ISNUMBER(G4027),ISNUMBER(H4027),H4027&gt;0),G4027/H4027-1,"")</x:f>
        <x:v>-0.12062489054706027</x:v>
      </x:c>
      <x:c r="J4027" s="27" t="n">
        <x:f>IF(AND(ISNUMBER(G4027),F4027&gt;0),G4027/F4027-1,"")</x:f>
        <x:v>0</x:v>
      </x:c>
      <x:c r="K4027" s="19" t="str">
        <x:v>Weak/EXP248/results/seed403257883_BBP.json</x:v>
      </x:c>
    </x:row>
    <x:row r="4028" ht="15" hidden="0" customHeight="1">
      <x:c r="A4028" s="3" t="str">
        <x:v>EXP248</x:v>
      </x:c>
      <x:c r="B4028" s="3" t="str">
        <x:v>Weak</x:v>
      </x:c>
      <x:c r="C4028" s="18" t="n">
        <x:v>403257883</x:v>
      </x:c>
      <x:c r="D4028" s="3" t="str">
        <x:v>Relative cutoff 1e-5</x:v>
      </x:c>
      <x:c r="E4028" s="18" t="n">
        <x:v>800</x:v>
      </x:c>
      <x:c r="F4028" s="21" t="n">
        <x:v>425.98277184025153</x:v>
      </x:c>
      <x:c r="G4028" s="21" t="n">
        <x:f>F4027</x:f>
        <x:v>408.7485951111097</x:v>
      </x:c>
      <x:c r="H4028" s="21" t="n">
        <x:f>F4032</x:f>
        <x:v>464.8171078726491</x:v>
      </x:c>
      <x:c r="I4028" s="27" t="n">
        <x:f>IF(AND(ISNUMBER(G4028),ISNUMBER(H4028),H4028&gt;0),G4028/H4028-1,"")</x:f>
        <x:v>-0.12062489054706027</x:v>
      </x:c>
      <x:c r="J4028" s="27" t="n">
        <x:f>IF(AND(ISNUMBER(G4028),F4028&gt;0),G4028/F4028-1,"")</x:f>
        <x:v>-0.0404574500858097</x:v>
      </x:c>
      <x:c r="K4028" s="19" t="str">
        <x:v>Weak/EXP248/results/seed403257883_Relative_cutoff_1e-5.json</x:v>
      </x:c>
    </x:row>
    <x:row r="4029" ht="15" hidden="0" customHeight="1">
      <x:c r="A4029" s="3" t="str">
        <x:v>EXP248</x:v>
      </x:c>
      <x:c r="B4029" s="3" t="str">
        <x:v>Weak</x:v>
      </x:c>
      <x:c r="C4029" s="18" t="n">
        <x:v>403257883</x:v>
      </x:c>
      <x:c r="D4029" s="3" t="str">
        <x:v>Fixed rank 10</x:v>
      </x:c>
      <x:c r="E4029" s="18" t="n">
        <x:v>800</x:v>
      </x:c>
      <x:c r="F4029" s="21" t="n">
        <x:v>389.69032249282697</x:v>
      </x:c>
      <x:c r="G4029" s="21" t="n">
        <x:f>F4027</x:f>
        <x:v>408.7485951111097</x:v>
      </x:c>
      <x:c r="H4029" s="21" t="n">
        <x:f>F4032</x:f>
        <x:v>464.8171078726491</x:v>
      </x:c>
      <x:c r="I4029" s="27" t="n">
        <x:f>IF(AND(ISNUMBER(G4029),ISNUMBER(H4029),H4029&gt;0),G4029/H4029-1,"")</x:f>
        <x:v>-0.12062489054706027</x:v>
      </x:c>
      <x:c r="J4029" s="27" t="n">
        <x:f>IF(AND(ISNUMBER(G4029),F4029&gt;0),G4029/F4029-1,"")</x:f>
        <x:v>0.048906199405641004</x:v>
      </x:c>
      <x:c r="K4029" s="19" t="str">
        <x:v>Weak/EXP248/results/seed403257883_Fixed_rank_10.json</x:v>
      </x:c>
    </x:row>
    <x:row r="4030" ht="15" hidden="0" customHeight="1">
      <x:c r="A4030" s="3" t="str">
        <x:v>EXP248</x:v>
      </x:c>
      <x:c r="B4030" s="3" t="str">
        <x:v>Weak</x:v>
      </x:c>
      <x:c r="C4030" s="18" t="n">
        <x:v>403257883</x:v>
      </x:c>
      <x:c r="D4030" s="3" t="str">
        <x:v>Fixed rank 25</x:v>
      </x:c>
      <x:c r="E4030" s="18" t="n">
        <x:v>800</x:v>
      </x:c>
      <x:c r="F4030" s="21" t="n">
        <x:v>408.44462431046395</x:v>
      </x:c>
      <x:c r="G4030" s="21" t="n">
        <x:f>F4027</x:f>
        <x:v>408.7485951111097</x:v>
      </x:c>
      <x:c r="H4030" s="21" t="n">
        <x:f>F4032</x:f>
        <x:v>464.8171078726491</x:v>
      </x:c>
      <x:c r="I4030" s="27" t="n">
        <x:f>IF(AND(ISNUMBER(G4030),ISNUMBER(H4030),H4030&gt;0),G4030/H4030-1,"")</x:f>
        <x:v>-0.12062489054706027</x:v>
      </x:c>
      <x:c r="J4030" s="27" t="n">
        <x:f>IF(AND(ISNUMBER(G4030),F4030&gt;0),G4030/F4030-1,"")</x:f>
        <x:v>0.0007442154518715327</x:v>
      </x:c>
      <x:c r="K4030" s="19" t="str">
        <x:v>Weak/EXP248/results/seed403257883_Fixed_rank_25.json</x:v>
      </x:c>
    </x:row>
    <x:row r="4031" ht="15" hidden="0" customHeight="1">
      <x:c r="A4031" s="3" t="str">
        <x:v>EXP248</x:v>
      </x:c>
      <x:c r="B4031" s="3" t="str">
        <x:v>Weak</x:v>
      </x:c>
      <x:c r="C4031" s="18" t="n">
        <x:v>403257883</x:v>
      </x:c>
      <x:c r="D4031" s="3" t="str">
        <x:v>Relative cutoff 1e-6</x:v>
      </x:c>
      <x:c r="E4031" s="18" t="n">
        <x:v>800</x:v>
      </x:c>
      <x:c r="F4031" s="21" t="n">
        <x:v>398.92078143720323</x:v>
      </x:c>
      <x:c r="G4031" s="21" t="n">
        <x:f>F4027</x:f>
        <x:v>408.7485951111097</x:v>
      </x:c>
      <x:c r="H4031" s="21" t="n">
        <x:f>F4032</x:f>
        <x:v>464.8171078726491</x:v>
      </x:c>
      <x:c r="I4031" s="27" t="n">
        <x:f>IF(AND(ISNUMBER(G4031),ISNUMBER(H4031),H4031&gt;0),G4031/H4031-1,"")</x:f>
        <x:v>-0.12062489054706027</x:v>
      </x:c>
      <x:c r="J4031" s="27" t="n">
        <x:f>IF(AND(ISNUMBER(G4031),F4031&gt;0),G4031/F4031-1,"")</x:f>
        <x:v>0.024636003264857598</x:v>
      </x:c>
      <x:c r="K4031" s="19" t="str">
        <x:v>Weak/EXP248/results/seed403257883_Relative_cutoff_1e-6.json</x:v>
      </x:c>
    </x:row>
    <x:row r="4032" ht="15" hidden="0" customHeight="1">
      <x:c r="A4032" s="3" t="str">
        <x:v>EXP248</x:v>
      </x:c>
      <x:c r="B4032" s="3" t="str">
        <x:v>Weak</x:v>
      </x:c>
      <x:c r="C4032" s="18" t="n">
        <x:v>403257883</x:v>
      </x:c>
      <x:c r="D4032" s="3" t="str">
        <x:v>Full</x:v>
      </x:c>
      <x:c r="E4032" s="18" t="n">
        <x:v>800</x:v>
      </x:c>
      <x:c r="F4032" s="21" t="n">
        <x:v>464.8171078726491</x:v>
      </x:c>
      <x:c r="G4032" s="21" t="n">
        <x:f>F4027</x:f>
        <x:v>408.7485951111097</x:v>
      </x:c>
      <x:c r="H4032" s="21" t="n">
        <x:f>F4032</x:f>
        <x:v>464.8171078726491</x:v>
      </x:c>
      <x:c r="I4032" s="27" t="n">
        <x:f>IF(AND(ISNUMBER(G4032),ISNUMBER(H4032),H4032&gt;0),G4032/H4032-1,"")</x:f>
        <x:v>-0.12062489054706027</x:v>
      </x:c>
      <x:c r="J4032" s="27" t="n">
        <x:f>IF(AND(ISNUMBER(G4032),F4032&gt;0),G4032/F4032-1,"")</x:f>
        <x:v>-0.12062489054706027</x:v>
      </x:c>
      <x:c r="K4032" s="19" t="str">
        <x:v>Weak/EXP248/results/seed403257883_Full.json</x:v>
      </x:c>
    </x:row>
    <x:row r="4033" ht="15" hidden="0" customHeight="1">
      <x:c r="A4033" s="3" t="str">
        <x:v>EXP248</x:v>
      </x:c>
      <x:c r="B4033" s="3" t="str">
        <x:v>Weak</x:v>
      </x:c>
      <x:c r="C4033" s="18" t="n">
        <x:v>403257883</x:v>
      </x:c>
      <x:c r="D4033" s="3" t="str">
        <x:v>Relative cutoff 1e-2</x:v>
      </x:c>
      <x:c r="E4033" s="18" t="n">
        <x:v>800</x:v>
      </x:c>
      <x:c r="F4033" s="21" t="n">
        <x:v>571.6067975552614</x:v>
      </x:c>
      <x:c r="G4033" s="21" t="n">
        <x:f>F4027</x:f>
        <x:v>408.7485951111097</x:v>
      </x:c>
      <x:c r="H4033" s="21" t="n">
        <x:f>F4032</x:f>
        <x:v>464.8171078726491</x:v>
      </x:c>
      <x:c r="I4033" s="27" t="n">
        <x:f>IF(AND(ISNUMBER(G4033),ISNUMBER(H4033),H4033&gt;0),G4033/H4033-1,"")</x:f>
        <x:v>-0.12062489054706027</x:v>
      </x:c>
      <x:c r="J4033" s="27" t="n">
        <x:f>IF(AND(ISNUMBER(G4033),F4033&gt;0),G4033/F4033-1,"")</x:f>
        <x:v>-0.28491299113427193</x:v>
      </x:c>
      <x:c r="K4033" s="19" t="str">
        <x:v>Weak/EXP248/results/seed403257883_Relative_cutoff_1e-2.json</x:v>
      </x:c>
    </x:row>
    <x:row r="4034" ht="15" hidden="0" customHeight="1">
      <x:c r="A4034" s="3" t="str">
        <x:v>EXP248</x:v>
      </x:c>
      <x:c r="B4034" s="3" t="str">
        <x:v>Weak</x:v>
      </x:c>
      <x:c r="C4034" s="18" t="n">
        <x:v>403257883</x:v>
      </x:c>
      <x:c r="D4034" s="3" t="str">
        <x:v>Relative cutoff 1e-4</x:v>
      </x:c>
      <x:c r="E4034" s="18" t="n">
        <x:v>800</x:v>
      </x:c>
      <x:c r="F4034" s="21" t="n">
        <x:v>407.8350848965634</x:v>
      </x:c>
      <x:c r="G4034" s="21" t="n">
        <x:f>F4027</x:f>
        <x:v>408.7485951111097</x:v>
      </x:c>
      <x:c r="H4034" s="21" t="n">
        <x:f>F4032</x:f>
        <x:v>464.8171078726491</x:v>
      </x:c>
      <x:c r="I4034" s="27" t="n">
        <x:f>IF(AND(ISNUMBER(G4034),ISNUMBER(H4034),H4034&gt;0),G4034/H4034-1,"")</x:f>
        <x:v>-0.12062489054706027</x:v>
      </x:c>
      <x:c r="J4034" s="27" t="n">
        <x:f>IF(AND(ISNUMBER(G4034),F4034&gt;0),G4034/F4034-1,"")</x:f>
        <x:v>0.0022399010001259434</x:v>
      </x:c>
      <x:c r="K4034" s="19" t="str">
        <x:v>Weak/EXP248/results/seed403257883_Relative_cutoff_1e-4.json</x:v>
      </x:c>
    </x:row>
    <x:row r="4035" ht="15" hidden="0" customHeight="1">
      <x:c r="A4035" s="3" t="str">
        <x:v>EXP248</x:v>
      </x:c>
      <x:c r="B4035" s="3" t="str">
        <x:v>Weak</x:v>
      </x:c>
      <x:c r="C4035" s="18" t="n">
        <x:v>405075886</x:v>
      </x:c>
      <x:c r="D4035" s="3" t="str">
        <x:v>BBP</x:v>
      </x:c>
      <x:c r="E4035" s="18" t="n">
        <x:v>800</x:v>
      </x:c>
      <x:c r="F4035" s="21" t="n">
        <x:v>474.5398908280131</x:v>
      </x:c>
      <x:c r="G4035" s="21" t="n">
        <x:f>F4035</x:f>
        <x:v>474.5398908280131</x:v>
      </x:c>
      <x:c r="H4035" s="21" t="n">
        <x:f>F4040</x:f>
        <x:v>560.3724845100788</x:v>
      </x:c>
      <x:c r="I4035" s="27" t="n">
        <x:f>IF(AND(ISNUMBER(G4035),ISNUMBER(H4035),H4035&gt;0),G4035/H4035-1,"")</x:f>
        <x:v>-0.15317060714911312</x:v>
      </x:c>
      <x:c r="J4035" s="27" t="n">
        <x:f>IF(AND(ISNUMBER(G4035),F4035&gt;0),G4035/F4035-1,"")</x:f>
        <x:v>0</x:v>
      </x:c>
      <x:c r="K4035" s="19" t="str">
        <x:v>Weak/EXP248/results/seed405075886_BBP.json</x:v>
      </x:c>
    </x:row>
    <x:row r="4036" ht="15" hidden="0" customHeight="1">
      <x:c r="A4036" s="3" t="str">
        <x:v>EXP248</x:v>
      </x:c>
      <x:c r="B4036" s="3" t="str">
        <x:v>Weak</x:v>
      </x:c>
      <x:c r="C4036" s="18" t="n">
        <x:v>405075886</x:v>
      </x:c>
      <x:c r="D4036" s="3" t="str">
        <x:v>Relative cutoff 1e-5</x:v>
      </x:c>
      <x:c r="E4036" s="18" t="n">
        <x:v>800</x:v>
      </x:c>
      <x:c r="F4036" s="21" t="n">
        <x:v>676.2304018991208</x:v>
      </x:c>
      <x:c r="G4036" s="21" t="n">
        <x:f>F4035</x:f>
        <x:v>474.5398908280131</x:v>
      </x:c>
      <x:c r="H4036" s="21" t="n">
        <x:f>F4040</x:f>
        <x:v>560.3724845100788</x:v>
      </x:c>
      <x:c r="I4036" s="27" t="n">
        <x:f>IF(AND(ISNUMBER(G4036),ISNUMBER(H4036),H4036&gt;0),G4036/H4036-1,"")</x:f>
        <x:v>-0.15317060714911312</x:v>
      </x:c>
      <x:c r="J4036" s="27" t="n">
        <x:f>IF(AND(ISNUMBER(G4036),F4036&gt;0),G4036/F4036-1,"")</x:f>
        <x:v>-0.2982570888630287</x:v>
      </x:c>
      <x:c r="K4036" s="19" t="str">
        <x:v>Weak/EXP248/results/seed405075886_Relative_cutoff_1e-5.json</x:v>
      </x:c>
    </x:row>
    <x:row r="4037" ht="15" hidden="0" customHeight="1">
      <x:c r="A4037" s="3" t="str">
        <x:v>EXP248</x:v>
      </x:c>
      <x:c r="B4037" s="3" t="str">
        <x:v>Weak</x:v>
      </x:c>
      <x:c r="C4037" s="18" t="n">
        <x:v>405075886</x:v>
      </x:c>
      <x:c r="D4037" s="3" t="str">
        <x:v>Fixed rank 10</x:v>
      </x:c>
      <x:c r="E4037" s="18" t="n">
        <x:v>800</x:v>
      </x:c>
      <x:c r="F4037" s="21" t="n">
        <x:v>581.7928163441261</x:v>
      </x:c>
      <x:c r="G4037" s="21" t="n">
        <x:f>F4035</x:f>
        <x:v>474.5398908280131</x:v>
      </x:c>
      <x:c r="H4037" s="21" t="n">
        <x:f>F4040</x:f>
        <x:v>560.3724845100788</x:v>
      </x:c>
      <x:c r="I4037" s="27" t="n">
        <x:f>IF(AND(ISNUMBER(G4037),ISNUMBER(H4037),H4037&gt;0),G4037/H4037-1,"")</x:f>
        <x:v>-0.15317060714911312</x:v>
      </x:c>
      <x:c r="J4037" s="27" t="n">
        <x:f>IF(AND(ISNUMBER(G4037),F4037&gt;0),G4037/F4037-1,"")</x:f>
        <x:v>-0.1843490027774315</x:v>
      </x:c>
      <x:c r="K4037" s="19" t="str">
        <x:v>Weak/EXP248/results/seed405075886_Fixed_rank_10.json</x:v>
      </x:c>
    </x:row>
    <x:row r="4038" ht="15" hidden="0" customHeight="1">
      <x:c r="A4038" s="3" t="str">
        <x:v>EXP248</x:v>
      </x:c>
      <x:c r="B4038" s="3" t="str">
        <x:v>Weak</x:v>
      </x:c>
      <x:c r="C4038" s="18" t="n">
        <x:v>405075886</x:v>
      </x:c>
      <x:c r="D4038" s="3" t="str">
        <x:v>Fixed rank 25</x:v>
      </x:c>
      <x:c r="E4038" s="18" t="n">
        <x:v>800</x:v>
      </x:c>
      <x:c r="F4038" s="21" t="n">
        <x:v>483.2313300439955</x:v>
      </x:c>
      <x:c r="G4038" s="21" t="n">
        <x:f>F4035</x:f>
        <x:v>474.5398908280131</x:v>
      </x:c>
      <x:c r="H4038" s="21" t="n">
        <x:f>F4040</x:f>
        <x:v>560.3724845100788</x:v>
      </x:c>
      <x:c r="I4038" s="27" t="n">
        <x:f>IF(AND(ISNUMBER(G4038),ISNUMBER(H4038),H4038&gt;0),G4038/H4038-1,"")</x:f>
        <x:v>-0.15317060714911312</x:v>
      </x:c>
      <x:c r="J4038" s="27" t="n">
        <x:f>IF(AND(ISNUMBER(G4038),F4038&gt;0),G4038/F4038-1,"")</x:f>
        <x:v>-0.017986083839371725</x:v>
      </x:c>
      <x:c r="K4038" s="19" t="str">
        <x:v>Weak/EXP248/results/seed405075886_Fixed_rank_25.json</x:v>
      </x:c>
    </x:row>
    <x:row r="4039" ht="15" hidden="0" customHeight="1">
      <x:c r="A4039" s="3" t="str">
        <x:v>EXP248</x:v>
      </x:c>
      <x:c r="B4039" s="3" t="str">
        <x:v>Weak</x:v>
      </x:c>
      <x:c r="C4039" s="18" t="n">
        <x:v>405075886</x:v>
      </x:c>
      <x:c r="D4039" s="3" t="str">
        <x:v>Relative cutoff 1e-6</x:v>
      </x:c>
      <x:c r="E4039" s="18" t="n">
        <x:v>800</x:v>
      </x:c>
      <x:c r="F4039" s="21" t="n">
        <x:v>529.4042430508478</x:v>
      </x:c>
      <x:c r="G4039" s="21" t="n">
        <x:f>F4035</x:f>
        <x:v>474.5398908280131</x:v>
      </x:c>
      <x:c r="H4039" s="21" t="n">
        <x:f>F4040</x:f>
        <x:v>560.3724845100788</x:v>
      </x:c>
      <x:c r="I4039" s="27" t="n">
        <x:f>IF(AND(ISNUMBER(G4039),ISNUMBER(H4039),H4039&gt;0),G4039/H4039-1,"")</x:f>
        <x:v>-0.15317060714911312</x:v>
      </x:c>
      <x:c r="J4039" s="27" t="n">
        <x:f>IF(AND(ISNUMBER(G4039),F4039&gt;0),G4039/F4039-1,"")</x:f>
        <x:v>-0.10363413769912888</x:v>
      </x:c>
      <x:c r="K4039" s="19" t="str">
        <x:v>Weak/EXP248/results/seed405075886_Relative_cutoff_1e-6.json</x:v>
      </x:c>
    </x:row>
    <x:row r="4040" ht="15" hidden="0" customHeight="1">
      <x:c r="A4040" s="3" t="str">
        <x:v>EXP248</x:v>
      </x:c>
      <x:c r="B4040" s="3" t="str">
        <x:v>Weak</x:v>
      </x:c>
      <x:c r="C4040" s="18" t="n">
        <x:v>405075886</x:v>
      </x:c>
      <x:c r="D4040" s="3" t="str">
        <x:v>Full</x:v>
      </x:c>
      <x:c r="E4040" s="18" t="n">
        <x:v>800</x:v>
      </x:c>
      <x:c r="F4040" s="21" t="n">
        <x:v>560.3724845100788</x:v>
      </x:c>
      <x:c r="G4040" s="21" t="n">
        <x:f>F4035</x:f>
        <x:v>474.5398908280131</x:v>
      </x:c>
      <x:c r="H4040" s="21" t="n">
        <x:f>F4040</x:f>
        <x:v>560.3724845100788</x:v>
      </x:c>
      <x:c r="I4040" s="27" t="n">
        <x:f>IF(AND(ISNUMBER(G4040),ISNUMBER(H4040),H4040&gt;0),G4040/H4040-1,"")</x:f>
        <x:v>-0.15317060714911312</x:v>
      </x:c>
      <x:c r="J4040" s="27" t="n">
        <x:f>IF(AND(ISNUMBER(G4040),F4040&gt;0),G4040/F4040-1,"")</x:f>
        <x:v>-0.15317060714911312</x:v>
      </x:c>
      <x:c r="K4040" s="19" t="str">
        <x:v>Weak/EXP248/results/seed405075886_Full.json</x:v>
      </x:c>
    </x:row>
    <x:row r="4041" ht="15" hidden="0" customHeight="1">
      <x:c r="A4041" s="3" t="str">
        <x:v>EXP248</x:v>
      </x:c>
      <x:c r="B4041" s="3" t="str">
        <x:v>Weak</x:v>
      </x:c>
      <x:c r="C4041" s="18" t="n">
        <x:v>405075886</x:v>
      </x:c>
      <x:c r="D4041" s="3" t="str">
        <x:v>Relative cutoff 1e-2</x:v>
      </x:c>
      <x:c r="E4041" s="18" t="n">
        <x:v>800</x:v>
      </x:c>
      <x:c r="F4041" s="21" t="n">
        <x:v>705.8536460048799</x:v>
      </x:c>
      <x:c r="G4041" s="21" t="n">
        <x:f>F4035</x:f>
        <x:v>474.5398908280131</x:v>
      </x:c>
      <x:c r="H4041" s="21" t="n">
        <x:f>F4040</x:f>
        <x:v>560.3724845100788</x:v>
      </x:c>
      <x:c r="I4041" s="27" t="n">
        <x:f>IF(AND(ISNUMBER(G4041),ISNUMBER(H4041),H4041&gt;0),G4041/H4041-1,"")</x:f>
        <x:v>-0.15317060714911312</x:v>
      </x:c>
      <x:c r="J4041" s="27" t="n">
        <x:f>IF(AND(ISNUMBER(G4041),F4041&gt;0),G4041/F4041-1,"")</x:f>
        <x:v>-0.3277078137742844</x:v>
      </x:c>
      <x:c r="K4041" s="19" t="str">
        <x:v>Weak/EXP248/results/seed405075886_Relative_cutoff_1e-2.json</x:v>
      </x:c>
    </x:row>
    <x:row r="4042" ht="15" hidden="0" customHeight="1">
      <x:c r="A4042" s="3" t="str">
        <x:v>EXP248</x:v>
      </x:c>
      <x:c r="B4042" s="3" t="str">
        <x:v>Weak</x:v>
      </x:c>
      <x:c r="C4042" s="18" t="n">
        <x:v>405075886</x:v>
      </x:c>
      <x:c r="D4042" s="3" t="str">
        <x:v>Relative cutoff 1e-4</x:v>
      </x:c>
      <x:c r="E4042" s="18" t="n">
        <x:v>800</x:v>
      </x:c>
      <x:c r="F4042" s="21" t="n">
        <x:v>606.0567929098372</x:v>
      </x:c>
      <x:c r="G4042" s="21" t="n">
        <x:f>F4035</x:f>
        <x:v>474.5398908280131</x:v>
      </x:c>
      <x:c r="H4042" s="21" t="n">
        <x:f>F4040</x:f>
        <x:v>560.3724845100788</x:v>
      </x:c>
      <x:c r="I4042" s="27" t="n">
        <x:f>IF(AND(ISNUMBER(G4042),ISNUMBER(H4042),H4042&gt;0),G4042/H4042-1,"")</x:f>
        <x:v>-0.15317060714911312</x:v>
      </x:c>
      <x:c r="J4042" s="27" t="n">
        <x:f>IF(AND(ISNUMBER(G4042),F4042&gt;0),G4042/F4042-1,"")</x:f>
        <x:v>-0.217004253760406</x:v>
      </x:c>
      <x:c r="K4042" s="19" t="str">
        <x:v>Weak/EXP248/results/seed405075886_Relative_cutoff_1e-4.json</x:v>
      </x:c>
    </x:row>
    <x:row r="4043" ht="15" hidden="0" customHeight="1">
      <x:c r="A4043" s="3" t="str">
        <x:v>EXP248</x:v>
      </x:c>
      <x:c r="B4043" s="3" t="str">
        <x:v>Weak</x:v>
      </x:c>
      <x:c r="C4043" s="18" t="n">
        <x:v>425428179</x:v>
      </x:c>
      <x:c r="D4043" s="3" t="str">
        <x:v>BBP</x:v>
      </x:c>
      <x:c r="E4043" s="18" t="n">
        <x:v>800</x:v>
      </x:c>
      <x:c r="F4043" s="21" t="n">
        <x:v>367.1626907575559</x:v>
      </x:c>
      <x:c r="G4043" s="21" t="n">
        <x:f>F4043</x:f>
        <x:v>367.1626907575559</x:v>
      </x:c>
      <x:c r="H4043" s="21" t="n">
        <x:f>F4048</x:f>
        <x:v>387.5449700598619</x:v>
      </x:c>
      <x:c r="I4043" s="27" t="n">
        <x:f>IF(AND(ISNUMBER(G4043),ISNUMBER(H4043),H4043&gt;0),G4043/H4043-1,"")</x:f>
        <x:v>-0.05259332690902341</x:v>
      </x:c>
      <x:c r="J4043" s="27" t="n">
        <x:f>IF(AND(ISNUMBER(G4043),F4043&gt;0),G4043/F4043-1,"")</x:f>
        <x:v>0</x:v>
      </x:c>
      <x:c r="K4043" s="19" t="str">
        <x:v>Weak/EXP248/results/seed425428179_BBP.json</x:v>
      </x:c>
    </x:row>
    <x:row r="4044" ht="15" hidden="0" customHeight="1">
      <x:c r="A4044" s="3" t="str">
        <x:v>EXP248</x:v>
      </x:c>
      <x:c r="B4044" s="3" t="str">
        <x:v>Weak</x:v>
      </x:c>
      <x:c r="C4044" s="18" t="n">
        <x:v>425428179</x:v>
      </x:c>
      <x:c r="D4044" s="3" t="str">
        <x:v>Relative cutoff 1e-5</x:v>
      </x:c>
      <x:c r="E4044" s="18" t="n">
        <x:v>800</x:v>
      </x:c>
      <x:c r="F4044" s="21" t="n">
        <x:v>468.91176751747554</x:v>
      </x:c>
      <x:c r="G4044" s="21" t="n">
        <x:f>F4043</x:f>
        <x:v>367.1626907575559</x:v>
      </x:c>
      <x:c r="H4044" s="21" t="n">
        <x:f>F4048</x:f>
        <x:v>387.5449700598619</x:v>
      </x:c>
      <x:c r="I4044" s="27" t="n">
        <x:f>IF(AND(ISNUMBER(G4044),ISNUMBER(H4044),H4044&gt;0),G4044/H4044-1,"")</x:f>
        <x:v>-0.05259332690902341</x:v>
      </x:c>
      <x:c r="J4044" s="27" t="n">
        <x:f>IF(AND(ISNUMBER(G4044),F4044&gt;0),G4044/F4044-1,"")</x:f>
        <x:v>-0.21698981302730402</x:v>
      </x:c>
      <x:c r="K4044" s="19" t="str">
        <x:v>Weak/EXP248/results/seed425428179_Relative_cutoff_1e-5.json</x:v>
      </x:c>
    </x:row>
    <x:row r="4045" ht="15" hidden="0" customHeight="1">
      <x:c r="A4045" s="3" t="str">
        <x:v>EXP248</x:v>
      </x:c>
      <x:c r="B4045" s="3" t="str">
        <x:v>Weak</x:v>
      </x:c>
      <x:c r="C4045" s="18" t="n">
        <x:v>425428179</x:v>
      </x:c>
      <x:c r="D4045" s="3" t="str">
        <x:v>Fixed rank 10</x:v>
      </x:c>
      <x:c r="E4045" s="18" t="n">
        <x:v>800</x:v>
      </x:c>
      <x:c r="F4045" s="21" t="n">
        <x:v>402.5204032420246</x:v>
      </x:c>
      <x:c r="G4045" s="21" t="n">
        <x:f>F4043</x:f>
        <x:v>367.1626907575559</x:v>
      </x:c>
      <x:c r="H4045" s="21" t="n">
        <x:f>F4048</x:f>
        <x:v>387.5449700598619</x:v>
      </x:c>
      <x:c r="I4045" s="27" t="n">
        <x:f>IF(AND(ISNUMBER(G4045),ISNUMBER(H4045),H4045&gt;0),G4045/H4045-1,"")</x:f>
        <x:v>-0.05259332690902341</x:v>
      </x:c>
      <x:c r="J4045" s="27" t="n">
        <x:f>IF(AND(ISNUMBER(G4045),F4045&gt;0),G4045/F4045-1,"")</x:f>
        <x:v>-0.08784079564585223</x:v>
      </x:c>
      <x:c r="K4045" s="19" t="str">
        <x:v>Weak/EXP248/results/seed425428179_Fixed_rank_10.json</x:v>
      </x:c>
    </x:row>
    <x:row r="4046" ht="15" hidden="0" customHeight="1">
      <x:c r="A4046" s="3" t="str">
        <x:v>EXP248</x:v>
      </x:c>
      <x:c r="B4046" s="3" t="str">
        <x:v>Weak</x:v>
      </x:c>
      <x:c r="C4046" s="18" t="n">
        <x:v>425428179</x:v>
      </x:c>
      <x:c r="D4046" s="3" t="str">
        <x:v>Fixed rank 25</x:v>
      </x:c>
      <x:c r="E4046" s="18" t="n">
        <x:v>800</x:v>
      </x:c>
      <x:c r="F4046" s="21" t="n">
        <x:v>373.79851175951046</x:v>
      </x:c>
      <x:c r="G4046" s="21" t="n">
        <x:f>F4043</x:f>
        <x:v>367.1626907575559</x:v>
      </x:c>
      <x:c r="H4046" s="21" t="n">
        <x:f>F4048</x:f>
        <x:v>387.5449700598619</x:v>
      </x:c>
      <x:c r="I4046" s="27" t="n">
        <x:f>IF(AND(ISNUMBER(G4046),ISNUMBER(H4046),H4046&gt;0),G4046/H4046-1,"")</x:f>
        <x:v>-0.05259332690902341</x:v>
      </x:c>
      <x:c r="J4046" s="27" t="n">
        <x:f>IF(AND(ISNUMBER(G4046),F4046&gt;0),G4046/F4046-1,"")</x:f>
        <x:v>-0.017752400807373614</x:v>
      </x:c>
      <x:c r="K4046" s="19" t="str">
        <x:v>Weak/EXP248/results/seed425428179_Fixed_rank_25.json</x:v>
      </x:c>
    </x:row>
    <x:row r="4047" ht="15" hidden="0" customHeight="1">
      <x:c r="A4047" s="3" t="str">
        <x:v>EXP248</x:v>
      </x:c>
      <x:c r="B4047" s="3" t="str">
        <x:v>Weak</x:v>
      </x:c>
      <x:c r="C4047" s="18" t="n">
        <x:v>425428179</x:v>
      </x:c>
      <x:c r="D4047" s="3" t="str">
        <x:v>Relative cutoff 1e-6</x:v>
      </x:c>
      <x:c r="E4047" s="18" t="n">
        <x:v>800</x:v>
      </x:c>
      <x:c r="F4047" s="21" t="n">
        <x:v>382.9419499934774</x:v>
      </x:c>
      <x:c r="G4047" s="21" t="n">
        <x:f>F4043</x:f>
        <x:v>367.1626907575559</x:v>
      </x:c>
      <x:c r="H4047" s="21" t="n">
        <x:f>F4048</x:f>
        <x:v>387.5449700598619</x:v>
      </x:c>
      <x:c r="I4047" s="27" t="n">
        <x:f>IF(AND(ISNUMBER(G4047),ISNUMBER(H4047),H4047&gt;0),G4047/H4047-1,"")</x:f>
        <x:v>-0.05259332690902341</x:v>
      </x:c>
      <x:c r="J4047" s="27" t="n">
        <x:f>IF(AND(ISNUMBER(G4047),F4047&gt;0),G4047/F4047-1,"")</x:f>
        <x:v>-0.04120535563207506</x:v>
      </x:c>
      <x:c r="K4047" s="19" t="str">
        <x:v>Weak/EXP248/results/seed425428179_Relative_cutoff_1e-6.json</x:v>
      </x:c>
    </x:row>
    <x:row r="4048" ht="15" hidden="0" customHeight="1">
      <x:c r="A4048" s="3" t="str">
        <x:v>EXP248</x:v>
      </x:c>
      <x:c r="B4048" s="3" t="str">
        <x:v>Weak</x:v>
      </x:c>
      <x:c r="C4048" s="18" t="n">
        <x:v>425428179</x:v>
      </x:c>
      <x:c r="D4048" s="3" t="str">
        <x:v>Full</x:v>
      </x:c>
      <x:c r="E4048" s="18" t="n">
        <x:v>800</x:v>
      </x:c>
      <x:c r="F4048" s="21" t="n">
        <x:v>387.5449700598619</x:v>
      </x:c>
      <x:c r="G4048" s="21" t="n">
        <x:f>F4043</x:f>
        <x:v>367.1626907575559</x:v>
      </x:c>
      <x:c r="H4048" s="21" t="n">
        <x:f>F4048</x:f>
        <x:v>387.5449700598619</x:v>
      </x:c>
      <x:c r="I4048" s="27" t="n">
        <x:f>IF(AND(ISNUMBER(G4048),ISNUMBER(H4048),H4048&gt;0),G4048/H4048-1,"")</x:f>
        <x:v>-0.05259332690902341</x:v>
      </x:c>
      <x:c r="J4048" s="27" t="n">
        <x:f>IF(AND(ISNUMBER(G4048),F4048&gt;0),G4048/F4048-1,"")</x:f>
        <x:v>-0.05259332690902341</x:v>
      </x:c>
      <x:c r="K4048" s="19" t="str">
        <x:v>Weak/EXP248/results/seed425428179_Full.json</x:v>
      </x:c>
    </x:row>
    <x:row r="4049" ht="15" hidden="0" customHeight="1">
      <x:c r="A4049" s="3" t="str">
        <x:v>EXP248</x:v>
      </x:c>
      <x:c r="B4049" s="3" t="str">
        <x:v>Weak</x:v>
      </x:c>
      <x:c r="C4049" s="18" t="n">
        <x:v>425428179</x:v>
      </x:c>
      <x:c r="D4049" s="3" t="str">
        <x:v>Relative cutoff 1e-2</x:v>
      </x:c>
      <x:c r="E4049" s="18" t="n">
        <x:v>800</x:v>
      </x:c>
      <x:c r="F4049" s="21" t="n">
        <x:v>426.19428694395765</x:v>
      </x:c>
      <x:c r="G4049" s="21" t="n">
        <x:f>F4043</x:f>
        <x:v>367.1626907575559</x:v>
      </x:c>
      <x:c r="H4049" s="21" t="n">
        <x:f>F4048</x:f>
        <x:v>387.5449700598619</x:v>
      </x:c>
      <x:c r="I4049" s="27" t="n">
        <x:f>IF(AND(ISNUMBER(G4049),ISNUMBER(H4049),H4049&gt;0),G4049/H4049-1,"")</x:f>
        <x:v>-0.05259332690902341</x:v>
      </x:c>
      <x:c r="J4049" s="27" t="n">
        <x:f>IF(AND(ISNUMBER(G4049),F4049&gt;0),G4049/F4049-1,"")</x:f>
        <x:v>-0.13850865202743579</x:v>
      </x:c>
      <x:c r="K4049" s="19" t="str">
        <x:v>Weak/EXP248/results/seed425428179_Relative_cutoff_1e-2.json</x:v>
      </x:c>
    </x:row>
    <x:row r="4050" ht="15" hidden="0" customHeight="1">
      <x:c r="A4050" s="3" t="str">
        <x:v>EXP248</x:v>
      </x:c>
      <x:c r="B4050" s="3" t="str">
        <x:v>Weak</x:v>
      </x:c>
      <x:c r="C4050" s="18" t="n">
        <x:v>425428179</x:v>
      </x:c>
      <x:c r="D4050" s="3" t="str">
        <x:v>Relative cutoff 1e-4</x:v>
      </x:c>
      <x:c r="E4050" s="18" t="n">
        <x:v>800</x:v>
      </x:c>
      <x:c r="F4050" s="21" t="n">
        <x:v>417.10767829199125</x:v>
      </x:c>
      <x:c r="G4050" s="21" t="n">
        <x:f>F4043</x:f>
        <x:v>367.1626907575559</x:v>
      </x:c>
      <x:c r="H4050" s="21" t="n">
        <x:f>F4048</x:f>
        <x:v>387.5449700598619</x:v>
      </x:c>
      <x:c r="I4050" s="27" t="n">
        <x:f>IF(AND(ISNUMBER(G4050),ISNUMBER(H4050),H4050&gt;0),G4050/H4050-1,"")</x:f>
        <x:v>-0.05259332690902341</x:v>
      </x:c>
      <x:c r="J4050" s="27" t="n">
        <x:f>IF(AND(ISNUMBER(G4050),F4050&gt;0),G4050/F4050-1,"")</x:f>
        <x:v>-0.11974123262116498</x:v>
      </x:c>
      <x:c r="K4050" s="19" t="str">
        <x:v>Weak/EXP248/results/seed425428179_Relative_cutoff_1e-4.json</x:v>
      </x:c>
    </x:row>
    <x:row r="4051" ht="15" hidden="0" customHeight="1">
      <x:c r="A4051" s="3" t="str">
        <x:v>EXP248</x:v>
      </x:c>
      <x:c r="B4051" s="3" t="str">
        <x:v>Weak</x:v>
      </x:c>
      <x:c r="C4051" s="18" t="n">
        <x:v>459145281</x:v>
      </x:c>
      <x:c r="D4051" s="3" t="str">
        <x:v>BBP</x:v>
      </x:c>
      <x:c r="E4051" s="18" t="n">
        <x:v>800</x:v>
      </x:c>
      <x:c r="F4051" s="21" t="n">
        <x:v>409.90447262460236</x:v>
      </x:c>
      <x:c r="G4051" s="21" t="n">
        <x:f>F4051</x:f>
        <x:v>409.90447262460236</x:v>
      </x:c>
      <x:c r="H4051" s="21" t="n">
        <x:f>F4056</x:f>
        <x:v>441.3301979929327</x:v>
      </x:c>
      <x:c r="I4051" s="27" t="n">
        <x:f>IF(AND(ISNUMBER(G4051),ISNUMBER(H4051),H4051&gt;0),G4051/H4051-1,"")</x:f>
        <x:v>-0.0712068322341124</x:v>
      </x:c>
      <x:c r="J4051" s="27" t="n">
        <x:f>IF(AND(ISNUMBER(G4051),F4051&gt;0),G4051/F4051-1,"")</x:f>
        <x:v>0</x:v>
      </x:c>
      <x:c r="K4051" s="19" t="str">
        <x:v>Weak/EXP248/results/seed459145281_BBP.json</x:v>
      </x:c>
    </x:row>
    <x:row r="4052" ht="15" hidden="0" customHeight="1">
      <x:c r="A4052" s="3" t="str">
        <x:v>EXP248</x:v>
      </x:c>
      <x:c r="B4052" s="3" t="str">
        <x:v>Weak</x:v>
      </x:c>
      <x:c r="C4052" s="18" t="n">
        <x:v>459145281</x:v>
      </x:c>
      <x:c r="D4052" s="3" t="str">
        <x:v>Relative cutoff 1e-5</x:v>
      </x:c>
      <x:c r="E4052" s="18" t="n">
        <x:v>800</x:v>
      </x:c>
      <x:c r="F4052" s="21" t="n">
        <x:v>412.9327172354202</x:v>
      </x:c>
      <x:c r="G4052" s="21" t="n">
        <x:f>F4051</x:f>
        <x:v>409.90447262460236</x:v>
      </x:c>
      <x:c r="H4052" s="21" t="n">
        <x:f>F4056</x:f>
        <x:v>441.3301979929327</x:v>
      </x:c>
      <x:c r="I4052" s="27" t="n">
        <x:f>IF(AND(ISNUMBER(G4052),ISNUMBER(H4052),H4052&gt;0),G4052/H4052-1,"")</x:f>
        <x:v>-0.0712068322341124</x:v>
      </x:c>
      <x:c r="J4052" s="27" t="n">
        <x:f>IF(AND(ISNUMBER(G4052),F4052&gt;0),G4052/F4052-1,"")</x:f>
        <x:v>-0.007333506124416411</x:v>
      </x:c>
      <x:c r="K4052" s="19" t="str">
        <x:v>Weak/EXP248/results/seed459145281_Relative_cutoff_1e-5.json</x:v>
      </x:c>
    </x:row>
    <x:row r="4053" ht="15" hidden="0" customHeight="1">
      <x:c r="A4053" s="3" t="str">
        <x:v>EXP248</x:v>
      </x:c>
      <x:c r="B4053" s="3" t="str">
        <x:v>Weak</x:v>
      </x:c>
      <x:c r="C4053" s="18" t="n">
        <x:v>459145281</x:v>
      </x:c>
      <x:c r="D4053" s="3" t="str">
        <x:v>Fixed rank 10</x:v>
      </x:c>
      <x:c r="E4053" s="18" t="n">
        <x:v>800</x:v>
      </x:c>
      <x:c r="F4053" s="21" t="n">
        <x:v>421.3585694180571</x:v>
      </x:c>
      <x:c r="G4053" s="21" t="n">
        <x:f>F4051</x:f>
        <x:v>409.90447262460236</x:v>
      </x:c>
      <x:c r="H4053" s="21" t="n">
        <x:f>F4056</x:f>
        <x:v>441.3301979929327</x:v>
      </x:c>
      <x:c r="I4053" s="27" t="n">
        <x:f>IF(AND(ISNUMBER(G4053),ISNUMBER(H4053),H4053&gt;0),G4053/H4053-1,"")</x:f>
        <x:v>-0.0712068322341124</x:v>
      </x:c>
      <x:c r="J4053" s="27" t="n">
        <x:f>IF(AND(ISNUMBER(G4053),F4053&gt;0),G4053/F4053-1,"")</x:f>
        <x:v>-0.027183728123232664</x:v>
      </x:c>
      <x:c r="K4053" s="19" t="str">
        <x:v>Weak/EXP248/results/seed459145281_Fixed_rank_10.json</x:v>
      </x:c>
    </x:row>
    <x:row r="4054" ht="15" hidden="0" customHeight="1">
      <x:c r="A4054" s="3" t="str">
        <x:v>EXP248</x:v>
      </x:c>
      <x:c r="B4054" s="3" t="str">
        <x:v>Weak</x:v>
      </x:c>
      <x:c r="C4054" s="18" t="n">
        <x:v>459145281</x:v>
      </x:c>
      <x:c r="D4054" s="3" t="str">
        <x:v>Fixed rank 25</x:v>
      </x:c>
      <x:c r="E4054" s="18" t="n">
        <x:v>800</x:v>
      </x:c>
      <x:c r="F4054" s="21" t="n">
        <x:v>408.8151714942193</x:v>
      </x:c>
      <x:c r="G4054" s="21" t="n">
        <x:f>F4051</x:f>
        <x:v>409.90447262460236</x:v>
      </x:c>
      <x:c r="H4054" s="21" t="n">
        <x:f>F4056</x:f>
        <x:v>441.3301979929327</x:v>
      </x:c>
      <x:c r="I4054" s="27" t="n">
        <x:f>IF(AND(ISNUMBER(G4054),ISNUMBER(H4054),H4054&gt;0),G4054/H4054-1,"")</x:f>
        <x:v>-0.0712068322341124</x:v>
      </x:c>
      <x:c r="J4054" s="27" t="n">
        <x:f>IF(AND(ISNUMBER(G4054),F4054&gt;0),G4054/F4054-1,"")</x:f>
        <x:v>0.0026645320583422727</x:v>
      </x:c>
      <x:c r="K4054" s="19" t="str">
        <x:v>Weak/EXP248/results/seed459145281_Fixed_rank_25.json</x:v>
      </x:c>
    </x:row>
    <x:row r="4055" ht="15" hidden="0" customHeight="1">
      <x:c r="A4055" s="3" t="str">
        <x:v>EXP248</x:v>
      </x:c>
      <x:c r="B4055" s="3" t="str">
        <x:v>Weak</x:v>
      </x:c>
      <x:c r="C4055" s="18" t="n">
        <x:v>459145281</x:v>
      </x:c>
      <x:c r="D4055" s="3" t="str">
        <x:v>Relative cutoff 1e-6</x:v>
      </x:c>
      <x:c r="E4055" s="18" t="n">
        <x:v>800</x:v>
      </x:c>
      <x:c r="F4055" s="21" t="n">
        <x:v>376.06644446789784</x:v>
      </x:c>
      <x:c r="G4055" s="21" t="n">
        <x:f>F4051</x:f>
        <x:v>409.90447262460236</x:v>
      </x:c>
      <x:c r="H4055" s="21" t="n">
        <x:f>F4056</x:f>
        <x:v>441.3301979929327</x:v>
      </x:c>
      <x:c r="I4055" s="27" t="n">
        <x:f>IF(AND(ISNUMBER(G4055),ISNUMBER(H4055),H4055&gt;0),G4055/H4055-1,"")</x:f>
        <x:v>-0.0712068322341124</x:v>
      </x:c>
      <x:c r="J4055" s="27" t="n">
        <x:f>IF(AND(ISNUMBER(G4055),F4055&gt;0),G4055/F4055-1,"")</x:f>
        <x:v>0.08997885521156368</x:v>
      </x:c>
      <x:c r="K4055" s="19" t="str">
        <x:v>Weak/EXP248/results/seed459145281_Relative_cutoff_1e-6.json</x:v>
      </x:c>
    </x:row>
    <x:row r="4056" ht="15" hidden="0" customHeight="1">
      <x:c r="A4056" s="3" t="str">
        <x:v>EXP248</x:v>
      </x:c>
      <x:c r="B4056" s="3" t="str">
        <x:v>Weak</x:v>
      </x:c>
      <x:c r="C4056" s="18" t="n">
        <x:v>459145281</x:v>
      </x:c>
      <x:c r="D4056" s="3" t="str">
        <x:v>Full</x:v>
      </x:c>
      <x:c r="E4056" s="18" t="n">
        <x:v>800</x:v>
      </x:c>
      <x:c r="F4056" s="21" t="n">
        <x:v>441.3301979929327</x:v>
      </x:c>
      <x:c r="G4056" s="21" t="n">
        <x:f>F4051</x:f>
        <x:v>409.90447262460236</x:v>
      </x:c>
      <x:c r="H4056" s="21" t="n">
        <x:f>F4056</x:f>
        <x:v>441.3301979929327</x:v>
      </x:c>
      <x:c r="I4056" s="27" t="n">
        <x:f>IF(AND(ISNUMBER(G4056),ISNUMBER(H4056),H4056&gt;0),G4056/H4056-1,"")</x:f>
        <x:v>-0.0712068322341124</x:v>
      </x:c>
      <x:c r="J4056" s="27" t="n">
        <x:f>IF(AND(ISNUMBER(G4056),F4056&gt;0),G4056/F4056-1,"")</x:f>
        <x:v>-0.0712068322341124</x:v>
      </x:c>
      <x:c r="K4056" s="19" t="str">
        <x:v>Weak/EXP248/results/seed459145281_Full.json</x:v>
      </x:c>
    </x:row>
    <x:row r="4057" ht="15" hidden="0" customHeight="1">
      <x:c r="A4057" s="3" t="str">
        <x:v>EXP248</x:v>
      </x:c>
      <x:c r="B4057" s="3" t="str">
        <x:v>Weak</x:v>
      </x:c>
      <x:c r="C4057" s="18" t="n">
        <x:v>459145281</x:v>
      </x:c>
      <x:c r="D4057" s="3" t="str">
        <x:v>Relative cutoff 1e-2</x:v>
      </x:c>
      <x:c r="E4057" s="18" t="n">
        <x:v>800</x:v>
      </x:c>
      <x:c r="F4057" s="21" t="n">
        <x:v>643.8131630016727</x:v>
      </x:c>
      <x:c r="G4057" s="21" t="n">
        <x:f>F4051</x:f>
        <x:v>409.90447262460236</x:v>
      </x:c>
      <x:c r="H4057" s="21" t="n">
        <x:f>F4056</x:f>
        <x:v>441.3301979929327</x:v>
      </x:c>
      <x:c r="I4057" s="27" t="n">
        <x:f>IF(AND(ISNUMBER(G4057),ISNUMBER(H4057),H4057&gt;0),G4057/H4057-1,"")</x:f>
        <x:v>-0.0712068322341124</x:v>
      </x:c>
      <x:c r="J4057" s="27" t="n">
        <x:f>IF(AND(ISNUMBER(G4057),F4057&gt;0),G4057/F4057-1,"")</x:f>
        <x:v>-0.36331765769825153</x:v>
      </x:c>
      <x:c r="K4057" s="19" t="str">
        <x:v>Weak/EXP248/results/seed459145281_Relative_cutoff_1e-2.json</x:v>
      </x:c>
    </x:row>
    <x:row r="4058" ht="15" hidden="0" customHeight="1">
      <x:c r="A4058" s="3" t="str">
        <x:v>EXP248</x:v>
      </x:c>
      <x:c r="B4058" s="3" t="str">
        <x:v>Weak</x:v>
      </x:c>
      <x:c r="C4058" s="18" t="n">
        <x:v>459145281</x:v>
      </x:c>
      <x:c r="D4058" s="3" t="str">
        <x:v>Relative cutoff 1e-4</x:v>
      </x:c>
      <x:c r="E4058" s="18" t="n">
        <x:v>800</x:v>
      </x:c>
      <x:c r="F4058" s="21" t="n">
        <x:v>361.9980692498207</x:v>
      </x:c>
      <x:c r="G4058" s="21" t="n">
        <x:f>F4051</x:f>
        <x:v>409.90447262460236</x:v>
      </x:c>
      <x:c r="H4058" s="21" t="n">
        <x:f>F4056</x:f>
        <x:v>441.3301979929327</x:v>
      </x:c>
      <x:c r="I4058" s="27" t="n">
        <x:f>IF(AND(ISNUMBER(G4058),ISNUMBER(H4058),H4058&gt;0),G4058/H4058-1,"")</x:f>
        <x:v>-0.0712068322341124</x:v>
      </x:c>
      <x:c r="J4058" s="27" t="n">
        <x:f>IF(AND(ISNUMBER(G4058),F4058&gt;0),G4058/F4058-1,"")</x:f>
        <x:v>0.13233883670722202</x:v>
      </x:c>
      <x:c r="K4058" s="19" t="str">
        <x:v>Weak/EXP248/results/seed459145281_Relative_cutoff_1e-4.json</x:v>
      </x:c>
    </x:row>
    <x:row r="4059" ht="15" hidden="0" customHeight="1">
      <x:c r="A4059" s="3" t="str">
        <x:v>EXP248</x:v>
      </x:c>
      <x:c r="B4059" s="3" t="str">
        <x:v>Weak</x:v>
      </x:c>
      <x:c r="C4059" s="18" t="n">
        <x:v>575884190</x:v>
      </x:c>
      <x:c r="D4059" s="3" t="str">
        <x:v>BBP</x:v>
      </x:c>
      <x:c r="E4059" s="18" t="n">
        <x:v>800</x:v>
      </x:c>
      <x:c r="F4059" s="21" t="n">
        <x:v>334.2574556229027</x:v>
      </x:c>
      <x:c r="G4059" s="21" t="n">
        <x:f>F4059</x:f>
        <x:v>334.2574556229027</x:v>
      </x:c>
      <x:c r="H4059" s="21" t="n">
        <x:f>F4064</x:f>
        <x:v>336.27309529862094</x:v>
      </x:c>
      <x:c r="I4059" s="27" t="n">
        <x:f>IF(AND(ISNUMBER(G4059),ISNUMBER(H4059),H4059&gt;0),G4059/H4059-1,"")</x:f>
        <x:v>-0.005994055735943804</x:v>
      </x:c>
      <x:c r="J4059" s="27" t="n">
        <x:f>IF(AND(ISNUMBER(G4059),F4059&gt;0),G4059/F4059-1,"")</x:f>
        <x:v>0</x:v>
      </x:c>
      <x:c r="K4059" s="19" t="str">
        <x:v>Weak/EXP248/results/seed575884190_BBP.json</x:v>
      </x:c>
    </x:row>
    <x:row r="4060" ht="15" hidden="0" customHeight="1">
      <x:c r="A4060" s="3" t="str">
        <x:v>EXP248</x:v>
      </x:c>
      <x:c r="B4060" s="3" t="str">
        <x:v>Weak</x:v>
      </x:c>
      <x:c r="C4060" s="18" t="n">
        <x:v>575884190</x:v>
      </x:c>
      <x:c r="D4060" s="3" t="str">
        <x:v>Relative cutoff 1e-5</x:v>
      </x:c>
      <x:c r="E4060" s="18" t="n">
        <x:v>800</x:v>
      </x:c>
      <x:c r="F4060" s="21" t="n">
        <x:v>325.43659015276853</x:v>
      </x:c>
      <x:c r="G4060" s="21" t="n">
        <x:f>F4059</x:f>
        <x:v>334.2574556229027</x:v>
      </x:c>
      <x:c r="H4060" s="21" t="n">
        <x:f>F4064</x:f>
        <x:v>336.27309529862094</x:v>
      </x:c>
      <x:c r="I4060" s="27" t="n">
        <x:f>IF(AND(ISNUMBER(G4060),ISNUMBER(H4060),H4060&gt;0),G4060/H4060-1,"")</x:f>
        <x:v>-0.005994055735943804</x:v>
      </x:c>
      <x:c r="J4060" s="27" t="n">
        <x:f>IF(AND(ISNUMBER(G4060),F4060&gt;0),G4060/F4060-1,"")</x:f>
        <x:v>0.02710471328990205</x:v>
      </x:c>
      <x:c r="K4060" s="19" t="str">
        <x:v>Weak/EXP248/results/seed575884190_Relative_cutoff_1e-5.json</x:v>
      </x:c>
    </x:row>
    <x:row r="4061" ht="15" hidden="0" customHeight="1">
      <x:c r="A4061" s="3" t="str">
        <x:v>EXP248</x:v>
      </x:c>
      <x:c r="B4061" s="3" t="str">
        <x:v>Weak</x:v>
      </x:c>
      <x:c r="C4061" s="18" t="n">
        <x:v>575884190</x:v>
      </x:c>
      <x:c r="D4061" s="3" t="str">
        <x:v>Fixed rank 10</x:v>
      </x:c>
      <x:c r="E4061" s="18" t="n">
        <x:v>800</x:v>
      </x:c>
      <x:c r="F4061" s="21" t="n">
        <x:v>360.5371937858788</x:v>
      </x:c>
      <x:c r="G4061" s="21" t="n">
        <x:f>F4059</x:f>
        <x:v>334.2574556229027</x:v>
      </x:c>
      <x:c r="H4061" s="21" t="n">
        <x:f>F4064</x:f>
        <x:v>336.27309529862094</x:v>
      </x:c>
      <x:c r="I4061" s="27" t="n">
        <x:f>IF(AND(ISNUMBER(G4061),ISNUMBER(H4061),H4061&gt;0),G4061/H4061-1,"")</x:f>
        <x:v>-0.005994055735943804</x:v>
      </x:c>
      <x:c r="J4061" s="27" t="n">
        <x:f>IF(AND(ISNUMBER(G4061),F4061&gt;0),G4061/F4061-1,"")</x:f>
        <x:v>-0.07289050510162765</x:v>
      </x:c>
      <x:c r="K4061" s="19" t="str">
        <x:v>Weak/EXP248/results/seed575884190_Fixed_rank_10.json</x:v>
      </x:c>
    </x:row>
    <x:row r="4062" ht="15" hidden="0" customHeight="1">
      <x:c r="A4062" s="3" t="str">
        <x:v>EXP248</x:v>
      </x:c>
      <x:c r="B4062" s="3" t="str">
        <x:v>Weak</x:v>
      </x:c>
      <x:c r="C4062" s="18" t="n">
        <x:v>575884190</x:v>
      </x:c>
      <x:c r="D4062" s="3" t="str">
        <x:v>Fixed rank 25</x:v>
      </x:c>
      <x:c r="E4062" s="18" t="n">
        <x:v>800</x:v>
      </x:c>
      <x:c r="F4062" s="21" t="n">
        <x:v>327.54948084420454</x:v>
      </x:c>
      <x:c r="G4062" s="21" t="n">
        <x:f>F4059</x:f>
        <x:v>334.2574556229027</x:v>
      </x:c>
      <x:c r="H4062" s="21" t="n">
        <x:f>F4064</x:f>
        <x:v>336.27309529862094</x:v>
      </x:c>
      <x:c r="I4062" s="27" t="n">
        <x:f>IF(AND(ISNUMBER(G4062),ISNUMBER(H4062),H4062&gt;0),G4062/H4062-1,"")</x:f>
        <x:v>-0.005994055735943804</x:v>
      </x:c>
      <x:c r="J4062" s="27" t="n">
        <x:f>IF(AND(ISNUMBER(G4062),F4062&gt;0),G4062/F4062-1,"")</x:f>
        <x:v>0.02047927159404872</x:v>
      </x:c>
      <x:c r="K4062" s="19" t="str">
        <x:v>Weak/EXP248/results/seed575884190_Fixed_rank_25.json</x:v>
      </x:c>
    </x:row>
    <x:row r="4063" ht="15" hidden="0" customHeight="1">
      <x:c r="A4063" s="3" t="str">
        <x:v>EXP248</x:v>
      </x:c>
      <x:c r="B4063" s="3" t="str">
        <x:v>Weak</x:v>
      </x:c>
      <x:c r="C4063" s="18" t="n">
        <x:v>575884190</x:v>
      </x:c>
      <x:c r="D4063" s="3" t="str">
        <x:v>Relative cutoff 1e-6</x:v>
      </x:c>
      <x:c r="E4063" s="18" t="n">
        <x:v>800</x:v>
      </x:c>
      <x:c r="F4063" s="21" t="n">
        <x:v>330.2641894308987</x:v>
      </x:c>
      <x:c r="G4063" s="21" t="n">
        <x:f>F4059</x:f>
        <x:v>334.2574556229027</x:v>
      </x:c>
      <x:c r="H4063" s="21" t="n">
        <x:f>F4064</x:f>
        <x:v>336.27309529862094</x:v>
      </x:c>
      <x:c r="I4063" s="27" t="n">
        <x:f>IF(AND(ISNUMBER(G4063),ISNUMBER(H4063),H4063&gt;0),G4063/H4063-1,"")</x:f>
        <x:v>-0.005994055735943804</x:v>
      </x:c>
      <x:c r="J4063" s="27" t="n">
        <x:f>IF(AND(ISNUMBER(G4063),F4063&gt;0),G4063/F4063-1,"")</x:f>
        <x:v>0.01209112680029012</x:v>
      </x:c>
      <x:c r="K4063" s="19" t="str">
        <x:v>Weak/EXP248/results/seed575884190_Relative_cutoff_1e-6.json</x:v>
      </x:c>
    </x:row>
    <x:row r="4064" ht="15" hidden="0" customHeight="1">
      <x:c r="A4064" s="3" t="str">
        <x:v>EXP248</x:v>
      </x:c>
      <x:c r="B4064" s="3" t="str">
        <x:v>Weak</x:v>
      </x:c>
      <x:c r="C4064" s="18" t="n">
        <x:v>575884190</x:v>
      </x:c>
      <x:c r="D4064" s="3" t="str">
        <x:v>Full</x:v>
      </x:c>
      <x:c r="E4064" s="18" t="n">
        <x:v>800</x:v>
      </x:c>
      <x:c r="F4064" s="21" t="n">
        <x:v>336.27309529862094</x:v>
      </x:c>
      <x:c r="G4064" s="21" t="n">
        <x:f>F4059</x:f>
        <x:v>334.2574556229027</x:v>
      </x:c>
      <x:c r="H4064" s="21" t="n">
        <x:f>F4064</x:f>
        <x:v>336.27309529862094</x:v>
      </x:c>
      <x:c r="I4064" s="27" t="n">
        <x:f>IF(AND(ISNUMBER(G4064),ISNUMBER(H4064),H4064&gt;0),G4064/H4064-1,"")</x:f>
        <x:v>-0.005994055735943804</x:v>
      </x:c>
      <x:c r="J4064" s="27" t="n">
        <x:f>IF(AND(ISNUMBER(G4064),F4064&gt;0),G4064/F4064-1,"")</x:f>
        <x:v>-0.005994055735943804</x:v>
      </x:c>
      <x:c r="K4064" s="19" t="str">
        <x:v>Weak/EXP248/results/seed575884190_Full.json</x:v>
      </x:c>
    </x:row>
    <x:row r="4065" ht="15" hidden="0" customHeight="1">
      <x:c r="A4065" s="3" t="str">
        <x:v>EXP248</x:v>
      </x:c>
      <x:c r="B4065" s="3" t="str">
        <x:v>Weak</x:v>
      </x:c>
      <x:c r="C4065" s="18" t="n">
        <x:v>575884190</x:v>
      </x:c>
      <x:c r="D4065" s="3" t="str">
        <x:v>Relative cutoff 1e-2</x:v>
      </x:c>
      <x:c r="E4065" s="18" t="n">
        <x:v>800</x:v>
      </x:c>
      <x:c r="F4065" s="21" t="n">
        <x:v>479.0142408651119</x:v>
      </x:c>
      <x:c r="G4065" s="21" t="n">
        <x:f>F4059</x:f>
        <x:v>334.2574556229027</x:v>
      </x:c>
      <x:c r="H4065" s="21" t="n">
        <x:f>F4064</x:f>
        <x:v>336.27309529862094</x:v>
      </x:c>
      <x:c r="I4065" s="27" t="n">
        <x:f>IF(AND(ISNUMBER(G4065),ISNUMBER(H4065),H4065&gt;0),G4065/H4065-1,"")</x:f>
        <x:v>-0.005994055735943804</x:v>
      </x:c>
      <x:c r="J4065" s="27" t="n">
        <x:f>IF(AND(ISNUMBER(G4065),F4065&gt;0),G4065/F4065-1,"")</x:f>
        <x:v>-0.3021972477911612</x:v>
      </x:c>
      <x:c r="K4065" s="19" t="str">
        <x:v>Weak/EXP248/results/seed575884190_Relative_cutoff_1e-2.json</x:v>
      </x:c>
    </x:row>
    <x:row r="4066" ht="15" hidden="0" customHeight="1">
      <x:c r="A4066" s="3" t="str">
        <x:v>EXP248</x:v>
      </x:c>
      <x:c r="B4066" s="3" t="str">
        <x:v>Weak</x:v>
      </x:c>
      <x:c r="C4066" s="18" t="n">
        <x:v>575884190</x:v>
      </x:c>
      <x:c r="D4066" s="3" t="str">
        <x:v>Relative cutoff 1e-4</x:v>
      </x:c>
      <x:c r="E4066" s="18" t="n">
        <x:v>800</x:v>
      </x:c>
      <x:c r="F4066" s="21" t="n">
        <x:v>314.4551454251577</x:v>
      </x:c>
      <x:c r="G4066" s="21" t="n">
        <x:f>F4059</x:f>
        <x:v>334.2574556229027</x:v>
      </x:c>
      <x:c r="H4066" s="21" t="n">
        <x:f>F4064</x:f>
        <x:v>336.27309529862094</x:v>
      </x:c>
      <x:c r="I4066" s="27" t="n">
        <x:f>IF(AND(ISNUMBER(G4066),ISNUMBER(H4066),H4066&gt;0),G4066/H4066-1,"")</x:f>
        <x:v>-0.005994055735943804</x:v>
      </x:c>
      <x:c r="J4066" s="27" t="n">
        <x:f>IF(AND(ISNUMBER(G4066),F4066&gt;0),G4066/F4066-1,"")</x:f>
        <x:v>0.06297340172625043</x:v>
      </x:c>
      <x:c r="K4066" s="19" t="str">
        <x:v>Weak/EXP248/results/seed575884190_Relative_cutoff_1e-4.json</x:v>
      </x:c>
    </x:row>
    <x:row r="4067" ht="15" hidden="0" customHeight="1">
      <x:c r="A4067" s="3" t="str">
        <x:v>EXP248</x:v>
      </x:c>
      <x:c r="B4067" s="3" t="str">
        <x:v>Weak</x:v>
      </x:c>
      <x:c r="C4067" s="18" t="n">
        <x:v>583359781</x:v>
      </x:c>
      <x:c r="D4067" s="3" t="str">
        <x:v>BBP</x:v>
      </x:c>
      <x:c r="E4067" s="18" t="n">
        <x:v>800</x:v>
      </x:c>
      <x:c r="F4067" s="21" t="n">
        <x:v>304.8183714768931</x:v>
      </x:c>
      <x:c r="G4067" s="21" t="n">
        <x:f>F4067</x:f>
        <x:v>304.8183714768931</x:v>
      </x:c>
      <x:c r="H4067" s="21" t="n">
        <x:f>F4072</x:f>
        <x:v>311.87426232207</x:v>
      </x:c>
      <x:c r="I4067" s="27" t="n">
        <x:f>IF(AND(ISNUMBER(G4067),ISNUMBER(H4067),H4067&gt;0),G4067/H4067-1,"")</x:f>
        <x:v>-0.022624152415278043</x:v>
      </x:c>
      <x:c r="J4067" s="27" t="n">
        <x:f>IF(AND(ISNUMBER(G4067),F4067&gt;0),G4067/F4067-1,"")</x:f>
        <x:v>0</x:v>
      </x:c>
      <x:c r="K4067" s="19" t="str">
        <x:v>Weak/EXP248/results/seed583359781_BBP.json</x:v>
      </x:c>
    </x:row>
    <x:row r="4068" ht="15" hidden="0" customHeight="1">
      <x:c r="A4068" s="3" t="str">
        <x:v>EXP248</x:v>
      </x:c>
      <x:c r="B4068" s="3" t="str">
        <x:v>Weak</x:v>
      </x:c>
      <x:c r="C4068" s="18" t="n">
        <x:v>583359781</x:v>
      </x:c>
      <x:c r="D4068" s="3" t="str">
        <x:v>Relative cutoff 1e-5</x:v>
      </x:c>
      <x:c r="E4068" s="18" t="n">
        <x:v>800</x:v>
      </x:c>
      <x:c r="F4068" s="21" t="n">
        <x:v>312.66956336194914</x:v>
      </x:c>
      <x:c r="G4068" s="21" t="n">
        <x:f>F4067</x:f>
        <x:v>304.8183714768931</x:v>
      </x:c>
      <x:c r="H4068" s="21" t="n">
        <x:f>F4072</x:f>
        <x:v>311.87426232207</x:v>
      </x:c>
      <x:c r="I4068" s="27" t="n">
        <x:f>IF(AND(ISNUMBER(G4068),ISNUMBER(H4068),H4068&gt;0),G4068/H4068-1,"")</x:f>
        <x:v>-0.022624152415278043</x:v>
      </x:c>
      <x:c r="J4068" s="27" t="n">
        <x:f>IF(AND(ISNUMBER(G4068),F4068&gt;0),G4068/F4068-1,"")</x:f>
        <x:v>-0.025110189174273545</x:v>
      </x:c>
      <x:c r="K4068" s="19" t="str">
        <x:v>Weak/EXP248/results/seed583359781_Relative_cutoff_1e-5.json</x:v>
      </x:c>
    </x:row>
    <x:row r="4069" ht="15" hidden="0" customHeight="1">
      <x:c r="A4069" s="3" t="str">
        <x:v>EXP248</x:v>
      </x:c>
      <x:c r="B4069" s="3" t="str">
        <x:v>Weak</x:v>
      </x:c>
      <x:c r="C4069" s="18" t="n">
        <x:v>583359781</x:v>
      </x:c>
      <x:c r="D4069" s="3" t="str">
        <x:v>Fixed rank 10</x:v>
      </x:c>
      <x:c r="E4069" s="18" t="n">
        <x:v>800</x:v>
      </x:c>
      <x:c r="F4069" s="21" t="n">
        <x:v>308.6958065552717</x:v>
      </x:c>
      <x:c r="G4069" s="21" t="n">
        <x:f>F4067</x:f>
        <x:v>304.8183714768931</x:v>
      </x:c>
      <x:c r="H4069" s="21" t="n">
        <x:f>F4072</x:f>
        <x:v>311.87426232207</x:v>
      </x:c>
      <x:c r="I4069" s="27" t="n">
        <x:f>IF(AND(ISNUMBER(G4069),ISNUMBER(H4069),H4069&gt;0),G4069/H4069-1,"")</x:f>
        <x:v>-0.022624152415278043</x:v>
      </x:c>
      <x:c r="J4069" s="27" t="n">
        <x:f>IF(AND(ISNUMBER(G4069),F4069&gt;0),G4069/F4069-1,"")</x:f>
        <x:v>-0.012560698901766032</x:v>
      </x:c>
      <x:c r="K4069" s="19" t="str">
        <x:v>Weak/EXP248/results/seed583359781_Fixed_rank_10.json</x:v>
      </x:c>
    </x:row>
    <x:row r="4070" ht="15" hidden="0" customHeight="1">
      <x:c r="A4070" s="3" t="str">
        <x:v>EXP248</x:v>
      </x:c>
      <x:c r="B4070" s="3" t="str">
        <x:v>Weak</x:v>
      </x:c>
      <x:c r="C4070" s="18" t="n">
        <x:v>583359781</x:v>
      </x:c>
      <x:c r="D4070" s="3" t="str">
        <x:v>Fixed rank 25</x:v>
      </x:c>
      <x:c r="E4070" s="18" t="n">
        <x:v>800</x:v>
      </x:c>
      <x:c r="F4070" s="21" t="n">
        <x:v>312.64385726820717</x:v>
      </x:c>
      <x:c r="G4070" s="21" t="n">
        <x:f>F4067</x:f>
        <x:v>304.8183714768931</x:v>
      </x:c>
      <x:c r="H4070" s="21" t="n">
        <x:f>F4072</x:f>
        <x:v>311.87426232207</x:v>
      </x:c>
      <x:c r="I4070" s="27" t="n">
        <x:f>IF(AND(ISNUMBER(G4070),ISNUMBER(H4070),H4070&gt;0),G4070/H4070-1,"")</x:f>
        <x:v>-0.022624152415278043</x:v>
      </x:c>
      <x:c r="J4070" s="27" t="n">
        <x:f>IF(AND(ISNUMBER(G4070),F4070&gt;0),G4070/F4070-1,"")</x:f>
        <x:v>-0.025030032125661905</x:v>
      </x:c>
      <x:c r="K4070" s="19" t="str">
        <x:v>Weak/EXP248/results/seed583359781_Fixed_rank_25.json</x:v>
      </x:c>
    </x:row>
    <x:row r="4071" ht="15" hidden="0" customHeight="1">
      <x:c r="A4071" s="3" t="str">
        <x:v>EXP248</x:v>
      </x:c>
      <x:c r="B4071" s="3" t="str">
        <x:v>Weak</x:v>
      </x:c>
      <x:c r="C4071" s="18" t="n">
        <x:v>583359781</x:v>
      </x:c>
      <x:c r="D4071" s="3" t="str">
        <x:v>Relative cutoff 1e-6</x:v>
      </x:c>
      <x:c r="E4071" s="18" t="n">
        <x:v>800</x:v>
      </x:c>
      <x:c r="F4071" s="21" t="n">
        <x:v>325.0955388894347</x:v>
      </x:c>
      <x:c r="G4071" s="21" t="n">
        <x:f>F4067</x:f>
        <x:v>304.8183714768931</x:v>
      </x:c>
      <x:c r="H4071" s="21" t="n">
        <x:f>F4072</x:f>
        <x:v>311.87426232207</x:v>
      </x:c>
      <x:c r="I4071" s="27" t="n">
        <x:f>IF(AND(ISNUMBER(G4071),ISNUMBER(H4071),H4071&gt;0),G4071/H4071-1,"")</x:f>
        <x:v>-0.022624152415278043</x:v>
      </x:c>
      <x:c r="J4071" s="27" t="n">
        <x:f>IF(AND(ISNUMBER(G4071),F4071&gt;0),G4071/F4071-1,"")</x:f>
        <x:v>-0.06237294883162903</x:v>
      </x:c>
      <x:c r="K4071" s="19" t="str">
        <x:v>Weak/EXP248/results/seed583359781_Relative_cutoff_1e-6.json</x:v>
      </x:c>
    </x:row>
    <x:row r="4072" ht="15" hidden="0" customHeight="1">
      <x:c r="A4072" s="3" t="str">
        <x:v>EXP248</x:v>
      </x:c>
      <x:c r="B4072" s="3" t="str">
        <x:v>Weak</x:v>
      </x:c>
      <x:c r="C4072" s="18" t="n">
        <x:v>583359781</x:v>
      </x:c>
      <x:c r="D4072" s="3" t="str">
        <x:v>Full</x:v>
      </x:c>
      <x:c r="E4072" s="18" t="n">
        <x:v>800</x:v>
      </x:c>
      <x:c r="F4072" s="21" t="n">
        <x:v>311.87426232207</x:v>
      </x:c>
      <x:c r="G4072" s="21" t="n">
        <x:f>F4067</x:f>
        <x:v>304.8183714768931</x:v>
      </x:c>
      <x:c r="H4072" s="21" t="n">
        <x:f>F4072</x:f>
        <x:v>311.87426232207</x:v>
      </x:c>
      <x:c r="I4072" s="27" t="n">
        <x:f>IF(AND(ISNUMBER(G4072),ISNUMBER(H4072),H4072&gt;0),G4072/H4072-1,"")</x:f>
        <x:v>-0.022624152415278043</x:v>
      </x:c>
      <x:c r="J4072" s="27" t="n">
        <x:f>IF(AND(ISNUMBER(G4072),F4072&gt;0),G4072/F4072-1,"")</x:f>
        <x:v>-0.022624152415278043</x:v>
      </x:c>
      <x:c r="K4072" s="19" t="str">
        <x:v>Weak/EXP248/results/seed583359781_Full.json</x:v>
      </x:c>
    </x:row>
    <x:row r="4073" ht="15" hidden="0" customHeight="1">
      <x:c r="A4073" s="3" t="str">
        <x:v>EXP248</x:v>
      </x:c>
      <x:c r="B4073" s="3" t="str">
        <x:v>Weak</x:v>
      </x:c>
      <x:c r="C4073" s="18" t="n">
        <x:v>583359781</x:v>
      </x:c>
      <x:c r="D4073" s="3" t="str">
        <x:v>Relative cutoff 1e-2</x:v>
      </x:c>
      <x:c r="E4073" s="18" t="n">
        <x:v>800</x:v>
      </x:c>
      <x:c r="F4073" s="21" t="n">
        <x:v>433.4223568791581</x:v>
      </x:c>
      <x:c r="G4073" s="21" t="n">
        <x:f>F4067</x:f>
        <x:v>304.8183714768931</x:v>
      </x:c>
      <x:c r="H4073" s="21" t="n">
        <x:f>F4072</x:f>
        <x:v>311.87426232207</x:v>
      </x:c>
      <x:c r="I4073" s="27" t="n">
        <x:f>IF(AND(ISNUMBER(G4073),ISNUMBER(H4073),H4073&gt;0),G4073/H4073-1,"")</x:f>
        <x:v>-0.022624152415278043</x:v>
      </x:c>
      <x:c r="J4073" s="27" t="n">
        <x:f>IF(AND(ISNUMBER(G4073),F4073&gt;0),G4073/F4073-1,"")</x:f>
        <x:v>-0.2967174705252247</x:v>
      </x:c>
      <x:c r="K4073" s="19" t="str">
        <x:v>Weak/EXP248/results/seed583359781_Relative_cutoff_1e-2.json</x:v>
      </x:c>
    </x:row>
    <x:row r="4074" ht="15" hidden="0" customHeight="1">
      <x:c r="A4074" s="3" t="str">
        <x:v>EXP248</x:v>
      </x:c>
      <x:c r="B4074" s="3" t="str">
        <x:v>Weak</x:v>
      </x:c>
      <x:c r="C4074" s="18" t="n">
        <x:v>583359781</x:v>
      </x:c>
      <x:c r="D4074" s="3" t="str">
        <x:v>Relative cutoff 1e-4</x:v>
      </x:c>
      <x:c r="E4074" s="18" t="n">
        <x:v>800</x:v>
      </x:c>
      <x:c r="F4074" s="21" t="n">
        <x:v>324.1543130679295</x:v>
      </x:c>
      <x:c r="G4074" s="21" t="n">
        <x:f>F4067</x:f>
        <x:v>304.8183714768931</x:v>
      </x:c>
      <x:c r="H4074" s="21" t="n">
        <x:f>F4072</x:f>
        <x:v>311.87426232207</x:v>
      </x:c>
      <x:c r="I4074" s="27" t="n">
        <x:f>IF(AND(ISNUMBER(G4074),ISNUMBER(H4074),H4074&gt;0),G4074/H4074-1,"")</x:f>
        <x:v>-0.022624152415278043</x:v>
      </x:c>
      <x:c r="J4074" s="27" t="n">
        <x:f>IF(AND(ISNUMBER(G4074),F4074&gt;0),G4074/F4074-1,"")</x:f>
        <x:v>-0.05965042207223181</x:v>
      </x:c>
      <x:c r="K4074" s="19" t="str">
        <x:v>Weak/EXP248/results/seed583359781_Relative_cutoff_1e-4.json</x:v>
      </x:c>
    </x:row>
    <x:row r="4075" ht="15" hidden="0" customHeight="1">
      <x:c r="A4075" s="3" t="str">
        <x:v>EXP248</x:v>
      </x:c>
      <x:c r="B4075" s="3" t="str">
        <x:v>Weak</x:v>
      </x:c>
      <x:c r="C4075" s="18" t="n">
        <x:v>596418390</x:v>
      </x:c>
      <x:c r="D4075" s="3" t="str">
        <x:v>BBP</x:v>
      </x:c>
      <x:c r="E4075" s="18" t="n">
        <x:v>800</x:v>
      </x:c>
      <x:c r="F4075" s="21" t="n">
        <x:v>355.2792103189031</x:v>
      </x:c>
      <x:c r="G4075" s="21" t="n">
        <x:f>F4075</x:f>
        <x:v>355.2792103189031</x:v>
      </x:c>
      <x:c r="H4075" s="21" t="n">
        <x:f>F4080</x:f>
        <x:v>361.5738357383164</x:v>
      </x:c>
      <x:c r="I4075" s="27" t="n">
        <x:f>IF(AND(ISNUMBER(G4075),ISNUMBER(H4075),H4075&gt;0),G4075/H4075-1,"")</x:f>
        <x:v>-0.01740896269930592</x:v>
      </x:c>
      <x:c r="J4075" s="27" t="n">
        <x:f>IF(AND(ISNUMBER(G4075),F4075&gt;0),G4075/F4075-1,"")</x:f>
        <x:v>0</x:v>
      </x:c>
      <x:c r="K4075" s="19" t="str">
        <x:v>Weak/EXP248/results/seed596418390_BBP.json</x:v>
      </x:c>
    </x:row>
    <x:row r="4076" ht="15" hidden="0" customHeight="1">
      <x:c r="A4076" s="3" t="str">
        <x:v>EXP248</x:v>
      </x:c>
      <x:c r="B4076" s="3" t="str">
        <x:v>Weak</x:v>
      </x:c>
      <x:c r="C4076" s="18" t="n">
        <x:v>596418390</x:v>
      </x:c>
      <x:c r="D4076" s="3" t="str">
        <x:v>Relative cutoff 1e-5</x:v>
      </x:c>
      <x:c r="E4076" s="18" t="n">
        <x:v>800</x:v>
      </x:c>
      <x:c r="F4076" s="21" t="n">
        <x:v>357.11593906315</x:v>
      </x:c>
      <x:c r="G4076" s="21" t="n">
        <x:f>F4075</x:f>
        <x:v>355.2792103189031</x:v>
      </x:c>
      <x:c r="H4076" s="21" t="n">
        <x:f>F4080</x:f>
        <x:v>361.5738357383164</x:v>
      </x:c>
      <x:c r="I4076" s="27" t="n">
        <x:f>IF(AND(ISNUMBER(G4076),ISNUMBER(H4076),H4076&gt;0),G4076/H4076-1,"")</x:f>
        <x:v>-0.01740896269930592</x:v>
      </x:c>
      <x:c r="J4076" s="27" t="n">
        <x:f>IF(AND(ISNUMBER(G4076),F4076&gt;0),G4076/F4076-1,"")</x:f>
        <x:v>-0.0051432281322008055</x:v>
      </x:c>
      <x:c r="K4076" s="19" t="str">
        <x:v>Weak/EXP248/results/seed596418390_Relative_cutoff_1e-5.json</x:v>
      </x:c>
    </x:row>
    <x:row r="4077" ht="15" hidden="0" customHeight="1">
      <x:c r="A4077" s="3" t="str">
        <x:v>EXP248</x:v>
      </x:c>
      <x:c r="B4077" s="3" t="str">
        <x:v>Weak</x:v>
      </x:c>
      <x:c r="C4077" s="18" t="n">
        <x:v>596418390</x:v>
      </x:c>
      <x:c r="D4077" s="3" t="str">
        <x:v>Fixed rank 10</x:v>
      </x:c>
      <x:c r="E4077" s="18" t="n">
        <x:v>800</x:v>
      </x:c>
      <x:c r="F4077" s="21" t="n">
        <x:v>327.63484203995233</x:v>
      </x:c>
      <x:c r="G4077" s="21" t="n">
        <x:f>F4075</x:f>
        <x:v>355.2792103189031</x:v>
      </x:c>
      <x:c r="H4077" s="21" t="n">
        <x:f>F4080</x:f>
        <x:v>361.5738357383164</x:v>
      </x:c>
      <x:c r="I4077" s="27" t="n">
        <x:f>IF(AND(ISNUMBER(G4077),ISNUMBER(H4077),H4077&gt;0),G4077/H4077-1,"")</x:f>
        <x:v>-0.01740896269930592</x:v>
      </x:c>
      <x:c r="J4077" s="27" t="n">
        <x:f>IF(AND(ISNUMBER(G4077),F4077&gt;0),G4077/F4077-1,"")</x:f>
        <x:v>0.08437554475839226</x:v>
      </x:c>
      <x:c r="K4077" s="19" t="str">
        <x:v>Weak/EXP248/results/seed596418390_Fixed_rank_10.json</x:v>
      </x:c>
    </x:row>
    <x:row r="4078" ht="15" hidden="0" customHeight="1">
      <x:c r="A4078" s="3" t="str">
        <x:v>EXP248</x:v>
      </x:c>
      <x:c r="B4078" s="3" t="str">
        <x:v>Weak</x:v>
      </x:c>
      <x:c r="C4078" s="18" t="n">
        <x:v>596418390</x:v>
      </x:c>
      <x:c r="D4078" s="3" t="str">
        <x:v>Fixed rank 25</x:v>
      </x:c>
      <x:c r="E4078" s="18" t="n">
        <x:v>800</x:v>
      </x:c>
      <x:c r="F4078" s="21" t="n">
        <x:v>353.48383957054233</x:v>
      </x:c>
      <x:c r="G4078" s="21" t="n">
        <x:f>F4075</x:f>
        <x:v>355.2792103189031</x:v>
      </x:c>
      <x:c r="H4078" s="21" t="n">
        <x:f>F4080</x:f>
        <x:v>361.5738357383164</x:v>
      </x:c>
      <x:c r="I4078" s="27" t="n">
        <x:f>IF(AND(ISNUMBER(G4078),ISNUMBER(H4078),H4078&gt;0),G4078/H4078-1,"")</x:f>
        <x:v>-0.01740896269930592</x:v>
      </x:c>
      <x:c r="J4078" s="27" t="n">
        <x:f>IF(AND(ISNUMBER(G4078),F4078&gt;0),G4078/F4078-1,"")</x:f>
        <x:v>0.005079074479167112</x:v>
      </x:c>
      <x:c r="K4078" s="19" t="str">
        <x:v>Weak/EXP248/results/seed596418390_Fixed_rank_25.json</x:v>
      </x:c>
    </x:row>
    <x:row r="4079" ht="15" hidden="0" customHeight="1">
      <x:c r="A4079" s="3" t="str">
        <x:v>EXP248</x:v>
      </x:c>
      <x:c r="B4079" s="3" t="str">
        <x:v>Weak</x:v>
      </x:c>
      <x:c r="C4079" s="18" t="n">
        <x:v>596418390</x:v>
      </x:c>
      <x:c r="D4079" s="3" t="str">
        <x:v>Relative cutoff 1e-6</x:v>
      </x:c>
      <x:c r="E4079" s="18" t="n">
        <x:v>800</x:v>
      </x:c>
      <x:c r="F4079" s="21" t="n">
        <x:v>374.99672775219875</x:v>
      </x:c>
      <x:c r="G4079" s="21" t="n">
        <x:f>F4075</x:f>
        <x:v>355.2792103189031</x:v>
      </x:c>
      <x:c r="H4079" s="21" t="n">
        <x:f>F4080</x:f>
        <x:v>361.5738357383164</x:v>
      </x:c>
      <x:c r="I4079" s="27" t="n">
        <x:f>IF(AND(ISNUMBER(G4079),ISNUMBER(H4079),H4079&gt;0),G4079/H4079-1,"")</x:f>
        <x:v>-0.01740896269930592</x:v>
      </x:c>
      <x:c r="J4079" s="27" t="n">
        <x:f>IF(AND(ISNUMBER(G4079),F4079&gt;0),G4079/F4079-1,"")</x:f>
        <x:v>-0.05258050530596936</x:v>
      </x:c>
      <x:c r="K4079" s="19" t="str">
        <x:v>Weak/EXP248/results/seed596418390_Relative_cutoff_1e-6.json</x:v>
      </x:c>
    </x:row>
    <x:row r="4080" ht="15" hidden="0" customHeight="1">
      <x:c r="A4080" s="3" t="str">
        <x:v>EXP248</x:v>
      </x:c>
      <x:c r="B4080" s="3" t="str">
        <x:v>Weak</x:v>
      </x:c>
      <x:c r="C4080" s="18" t="n">
        <x:v>596418390</x:v>
      </x:c>
      <x:c r="D4080" s="3" t="str">
        <x:v>Full</x:v>
      </x:c>
      <x:c r="E4080" s="18" t="n">
        <x:v>800</x:v>
      </x:c>
      <x:c r="F4080" s="21" t="n">
        <x:v>361.5738357383164</x:v>
      </x:c>
      <x:c r="G4080" s="21" t="n">
        <x:f>F4075</x:f>
        <x:v>355.2792103189031</x:v>
      </x:c>
      <x:c r="H4080" s="21" t="n">
        <x:f>F4080</x:f>
        <x:v>361.5738357383164</x:v>
      </x:c>
      <x:c r="I4080" s="27" t="n">
        <x:f>IF(AND(ISNUMBER(G4080),ISNUMBER(H4080),H4080&gt;0),G4080/H4080-1,"")</x:f>
        <x:v>-0.01740896269930592</x:v>
      </x:c>
      <x:c r="J4080" s="27" t="n">
        <x:f>IF(AND(ISNUMBER(G4080),F4080&gt;0),G4080/F4080-1,"")</x:f>
        <x:v>-0.01740896269930592</x:v>
      </x:c>
      <x:c r="K4080" s="19" t="str">
        <x:v>Weak/EXP248/results/seed596418390_Full.json</x:v>
      </x:c>
    </x:row>
    <x:row r="4081" ht="15" hidden="0" customHeight="1">
      <x:c r="A4081" s="3" t="str">
        <x:v>EXP248</x:v>
      </x:c>
      <x:c r="B4081" s="3" t="str">
        <x:v>Weak</x:v>
      </x:c>
      <x:c r="C4081" s="18" t="n">
        <x:v>596418390</x:v>
      </x:c>
      <x:c r="D4081" s="3" t="str">
        <x:v>Relative cutoff 1e-2</x:v>
      </x:c>
      <x:c r="E4081" s="18" t="n">
        <x:v>800</x:v>
      </x:c>
      <x:c r="F4081" s="21" t="n">
        <x:v>442.7691121109567</x:v>
      </x:c>
      <x:c r="G4081" s="21" t="n">
        <x:f>F4075</x:f>
        <x:v>355.2792103189031</x:v>
      </x:c>
      <x:c r="H4081" s="21" t="n">
        <x:f>F4080</x:f>
        <x:v>361.5738357383164</x:v>
      </x:c>
      <x:c r="I4081" s="27" t="n">
        <x:f>IF(AND(ISNUMBER(G4081),ISNUMBER(H4081),H4081&gt;0),G4081/H4081-1,"")</x:f>
        <x:v>-0.01740896269930592</x:v>
      </x:c>
      <x:c r="J4081" s="27" t="n">
        <x:f>IF(AND(ISNUMBER(G4081),F4081&gt;0),G4081/F4081-1,"")</x:f>
        <x:v>-0.19759712093496007</x:v>
      </x:c>
      <x:c r="K4081" s="19" t="str">
        <x:v>Weak/EXP248/results/seed596418390_Relative_cutoff_1e-2.json</x:v>
      </x:c>
    </x:row>
    <x:row r="4082" ht="15" hidden="0" customHeight="1">
      <x:c r="A4082" s="3" t="str">
        <x:v>EXP248</x:v>
      </x:c>
      <x:c r="B4082" s="3" t="str">
        <x:v>Weak</x:v>
      </x:c>
      <x:c r="C4082" s="18" t="n">
        <x:v>596418390</x:v>
      </x:c>
      <x:c r="D4082" s="3" t="str">
        <x:v>Relative cutoff 1e-4</x:v>
      </x:c>
      <x:c r="E4082" s="18" t="n">
        <x:v>800</x:v>
      </x:c>
      <x:c r="F4082" s="21" t="n">
        <x:v>347.23156463476647</x:v>
      </x:c>
      <x:c r="G4082" s="21" t="n">
        <x:f>F4075</x:f>
        <x:v>355.2792103189031</x:v>
      </x:c>
      <x:c r="H4082" s="21" t="n">
        <x:f>F4080</x:f>
        <x:v>361.5738357383164</x:v>
      </x:c>
      <x:c r="I4082" s="27" t="n">
        <x:f>IF(AND(ISNUMBER(G4082),ISNUMBER(H4082),H4082&gt;0),G4082/H4082-1,"")</x:f>
        <x:v>-0.01740896269930592</x:v>
      </x:c>
      <x:c r="J4082" s="27" t="n">
        <x:f>IF(AND(ISNUMBER(G4082),F4082&gt;0),G4082/F4082-1,"")</x:f>
        <x:v>0.02317659597738908</x:v>
      </x:c>
      <x:c r="K4082" s="19" t="str">
        <x:v>Weak/EXP248/results/seed596418390_Relative_cutoff_1e-4.json</x:v>
      </x:c>
    </x:row>
    <x:row r="4083" ht="15" hidden="0" customHeight="1">
      <x:c r="A4083" s="3" t="str">
        <x:v>EXP248</x:v>
      </x:c>
      <x:c r="B4083" s="3" t="str">
        <x:v>Weak</x:v>
      </x:c>
      <x:c r="C4083" s="18" t="n">
        <x:v>597427204</x:v>
      </x:c>
      <x:c r="D4083" s="3" t="str">
        <x:v>BBP</x:v>
      </x:c>
      <x:c r="E4083" s="18" t="n">
        <x:v>800</x:v>
      </x:c>
      <x:c r="F4083" s="21" t="n">
        <x:v>296.46527207295804</x:v>
      </x:c>
      <x:c r="G4083" s="21" t="n">
        <x:f>F4083</x:f>
        <x:v>296.46527207295804</x:v>
      </x:c>
      <x:c r="H4083" s="21" t="n">
        <x:f>F4088</x:f>
        <x:v>297.8903527697132</x:v>
      </x:c>
      <x:c r="I4083" s="27" t="n">
        <x:f>IF(AND(ISNUMBER(G4083),ISNUMBER(H4083),H4083&gt;0),G4083/H4083-1,"")</x:f>
        <x:v>-0.004783910198853714</x:v>
      </x:c>
      <x:c r="J4083" s="27" t="n">
        <x:f>IF(AND(ISNUMBER(G4083),F4083&gt;0),G4083/F4083-1,"")</x:f>
        <x:v>0</x:v>
      </x:c>
      <x:c r="K4083" s="19" t="str">
        <x:v>Weak/EXP248/results/seed597427204_BBP.json</x:v>
      </x:c>
    </x:row>
    <x:row r="4084" ht="15" hidden="0" customHeight="1">
      <x:c r="A4084" s="3" t="str">
        <x:v>EXP248</x:v>
      </x:c>
      <x:c r="B4084" s="3" t="str">
        <x:v>Weak</x:v>
      </x:c>
      <x:c r="C4084" s="18" t="n">
        <x:v>597427204</x:v>
      </x:c>
      <x:c r="D4084" s="3" t="str">
        <x:v>Relative cutoff 1e-5</x:v>
      </x:c>
      <x:c r="E4084" s="18" t="n">
        <x:v>800</x:v>
      </x:c>
      <x:c r="F4084" s="21" t="n">
        <x:v>327.029418017906</x:v>
      </x:c>
      <x:c r="G4084" s="21" t="n">
        <x:f>F4083</x:f>
        <x:v>296.46527207295804</x:v>
      </x:c>
      <x:c r="H4084" s="21" t="n">
        <x:f>F4088</x:f>
        <x:v>297.8903527697132</x:v>
      </x:c>
      <x:c r="I4084" s="27" t="n">
        <x:f>IF(AND(ISNUMBER(G4084),ISNUMBER(H4084),H4084&gt;0),G4084/H4084-1,"")</x:f>
        <x:v>-0.004783910198853714</x:v>
      </x:c>
      <x:c r="J4084" s="27" t="n">
        <x:f>IF(AND(ISNUMBER(G4084),F4084&gt;0),G4084/F4084-1,"")</x:f>
        <x:v>-0.09345992825414395</x:v>
      </x:c>
      <x:c r="K4084" s="19" t="str">
        <x:v>Weak/EXP248/results/seed597427204_Relative_cutoff_1e-5.json</x:v>
      </x:c>
    </x:row>
    <x:row r="4085" ht="15" hidden="0" customHeight="1">
      <x:c r="A4085" s="3" t="str">
        <x:v>EXP248</x:v>
      </x:c>
      <x:c r="B4085" s="3" t="str">
        <x:v>Weak</x:v>
      </x:c>
      <x:c r="C4085" s="18" t="n">
        <x:v>597427204</x:v>
      </x:c>
      <x:c r="D4085" s="3" t="str">
        <x:v>Fixed rank 10</x:v>
      </x:c>
      <x:c r="E4085" s="18" t="n">
        <x:v>800</x:v>
      </x:c>
      <x:c r="F4085" s="21" t="n">
        <x:v>275.3025439794304</x:v>
      </x:c>
      <x:c r="G4085" s="21" t="n">
        <x:f>F4083</x:f>
        <x:v>296.46527207295804</x:v>
      </x:c>
      <x:c r="H4085" s="21" t="n">
        <x:f>F4088</x:f>
        <x:v>297.8903527697132</x:v>
      </x:c>
      <x:c r="I4085" s="27" t="n">
        <x:f>IF(AND(ISNUMBER(G4085),ISNUMBER(H4085),H4085&gt;0),G4085/H4085-1,"")</x:f>
        <x:v>-0.004783910198853714</x:v>
      </x:c>
      <x:c r="J4085" s="27" t="n">
        <x:f>IF(AND(ISNUMBER(G4085),F4085&gt;0),G4085/F4085-1,"")</x:f>
        <x:v>0.07687080470679852</x:v>
      </x:c>
      <x:c r="K4085" s="19" t="str">
        <x:v>Weak/EXP248/results/seed597427204_Fixed_rank_10.json</x:v>
      </x:c>
    </x:row>
    <x:row r="4086" ht="15" hidden="0" customHeight="1">
      <x:c r="A4086" s="3" t="str">
        <x:v>EXP248</x:v>
      </x:c>
      <x:c r="B4086" s="3" t="str">
        <x:v>Weak</x:v>
      </x:c>
      <x:c r="C4086" s="18" t="n">
        <x:v>597427204</x:v>
      </x:c>
      <x:c r="D4086" s="3" t="str">
        <x:v>Fixed rank 25</x:v>
      </x:c>
      <x:c r="E4086" s="18" t="n">
        <x:v>800</x:v>
      </x:c>
      <x:c r="F4086" s="21" t="n">
        <x:v>298.2231526725046</x:v>
      </x:c>
      <x:c r="G4086" s="21" t="n">
        <x:f>F4083</x:f>
        <x:v>296.46527207295804</x:v>
      </x:c>
      <x:c r="H4086" s="21" t="n">
        <x:f>F4088</x:f>
        <x:v>297.8903527697132</x:v>
      </x:c>
      <x:c r="I4086" s="27" t="n">
        <x:f>IF(AND(ISNUMBER(G4086),ISNUMBER(H4086),H4086&gt;0),G4086/H4086-1,"")</x:f>
        <x:v>-0.004783910198853714</x:v>
      </x:c>
      <x:c r="J4086" s="27" t="n">
        <x:f>IF(AND(ISNUMBER(G4086),F4086&gt;0),G4086/F4086-1,"")</x:f>
        <x:v>-0.005894514170993959</x:v>
      </x:c>
      <x:c r="K4086" s="19" t="str">
        <x:v>Weak/EXP248/results/seed597427204_Fixed_rank_25.json</x:v>
      </x:c>
    </x:row>
    <x:row r="4087" ht="15" hidden="0" customHeight="1">
      <x:c r="A4087" s="3" t="str">
        <x:v>EXP248</x:v>
      </x:c>
      <x:c r="B4087" s="3" t="str">
        <x:v>Weak</x:v>
      </x:c>
      <x:c r="C4087" s="18" t="n">
        <x:v>597427204</x:v>
      </x:c>
      <x:c r="D4087" s="3" t="str">
        <x:v>Relative cutoff 1e-6</x:v>
      </x:c>
      <x:c r="E4087" s="18" t="n">
        <x:v>800</x:v>
      </x:c>
      <x:c r="F4087" s="21" t="n">
        <x:v>296.8929366571669</x:v>
      </x:c>
      <x:c r="G4087" s="21" t="n">
        <x:f>F4083</x:f>
        <x:v>296.46527207295804</x:v>
      </x:c>
      <x:c r="H4087" s="21" t="n">
        <x:f>F4088</x:f>
        <x:v>297.8903527697132</x:v>
      </x:c>
      <x:c r="I4087" s="27" t="n">
        <x:f>IF(AND(ISNUMBER(G4087),ISNUMBER(H4087),H4087&gt;0),G4087/H4087-1,"")</x:f>
        <x:v>-0.004783910198853714</x:v>
      </x:c>
      <x:c r="J4087" s="27" t="n">
        <x:f>IF(AND(ISNUMBER(G4087),F4087&gt;0),G4087/F4087-1,"")</x:f>
        <x:v>-0.0014404673584494931</x:v>
      </x:c>
      <x:c r="K4087" s="19" t="str">
        <x:v>Weak/EXP248/results/seed597427204_Relative_cutoff_1e-6.json</x:v>
      </x:c>
    </x:row>
    <x:row r="4088" ht="15" hidden="0" customHeight="1">
      <x:c r="A4088" s="3" t="str">
        <x:v>EXP248</x:v>
      </x:c>
      <x:c r="B4088" s="3" t="str">
        <x:v>Weak</x:v>
      </x:c>
      <x:c r="C4088" s="18" t="n">
        <x:v>597427204</x:v>
      </x:c>
      <x:c r="D4088" s="3" t="str">
        <x:v>Full</x:v>
      </x:c>
      <x:c r="E4088" s="18" t="n">
        <x:v>800</x:v>
      </x:c>
      <x:c r="F4088" s="21" t="n">
        <x:v>297.8903527697132</x:v>
      </x:c>
      <x:c r="G4088" s="21" t="n">
        <x:f>F4083</x:f>
        <x:v>296.46527207295804</x:v>
      </x:c>
      <x:c r="H4088" s="21" t="n">
        <x:f>F4088</x:f>
        <x:v>297.8903527697132</x:v>
      </x:c>
      <x:c r="I4088" s="27" t="n">
        <x:f>IF(AND(ISNUMBER(G4088),ISNUMBER(H4088),H4088&gt;0),G4088/H4088-1,"")</x:f>
        <x:v>-0.004783910198853714</x:v>
      </x:c>
      <x:c r="J4088" s="27" t="n">
        <x:f>IF(AND(ISNUMBER(G4088),F4088&gt;0),G4088/F4088-1,"")</x:f>
        <x:v>-0.004783910198853714</x:v>
      </x:c>
      <x:c r="K4088" s="19" t="str">
        <x:v>Weak/EXP248/results/seed597427204_Full.json</x:v>
      </x:c>
    </x:row>
    <x:row r="4089" ht="15" hidden="0" customHeight="1">
      <x:c r="A4089" s="3" t="str">
        <x:v>EXP248</x:v>
      </x:c>
      <x:c r="B4089" s="3" t="str">
        <x:v>Weak</x:v>
      </x:c>
      <x:c r="C4089" s="18" t="n">
        <x:v>597427204</x:v>
      </x:c>
      <x:c r="D4089" s="3" t="str">
        <x:v>Relative cutoff 1e-2</x:v>
      </x:c>
      <x:c r="E4089" s="18" t="n">
        <x:v>800</x:v>
      </x:c>
      <x:c r="F4089" s="21" t="n">
        <x:v>433.6678557341644</x:v>
      </x:c>
      <x:c r="G4089" s="21" t="n">
        <x:f>F4083</x:f>
        <x:v>296.46527207295804</x:v>
      </x:c>
      <x:c r="H4089" s="21" t="n">
        <x:f>F4088</x:f>
        <x:v>297.8903527697132</x:v>
      </x:c>
      <x:c r="I4089" s="27" t="n">
        <x:f>IF(AND(ISNUMBER(G4089),ISNUMBER(H4089),H4089&gt;0),G4089/H4089-1,"")</x:f>
        <x:v>-0.004783910198853714</x:v>
      </x:c>
      <x:c r="J4089" s="27" t="n">
        <x:f>IF(AND(ISNUMBER(G4089),F4089&gt;0),G4089/F4089-1,"")</x:f>
        <x:v>-0.3163771117620271</x:v>
      </x:c>
      <x:c r="K4089" s="19" t="str">
        <x:v>Weak/EXP248/results/seed597427204_Relative_cutoff_1e-2.json</x:v>
      </x:c>
    </x:row>
    <x:row r="4090" ht="15" hidden="0" customHeight="1">
      <x:c r="A4090" s="3" t="str">
        <x:v>EXP248</x:v>
      </x:c>
      <x:c r="B4090" s="3" t="str">
        <x:v>Weak</x:v>
      </x:c>
      <x:c r="C4090" s="18" t="n">
        <x:v>597427204</x:v>
      </x:c>
      <x:c r="D4090" s="3" t="str">
        <x:v>Relative cutoff 1e-4</x:v>
      </x:c>
      <x:c r="E4090" s="18" t="n">
        <x:v>800</x:v>
      </x:c>
      <x:c r="F4090" s="21" t="n">
        <x:v>300.4250300219221</x:v>
      </x:c>
      <x:c r="G4090" s="21" t="n">
        <x:f>F4083</x:f>
        <x:v>296.46527207295804</x:v>
      </x:c>
      <x:c r="H4090" s="21" t="n">
        <x:f>F4088</x:f>
        <x:v>297.8903527697132</x:v>
      </x:c>
      <x:c r="I4090" s="27" t="n">
        <x:f>IF(AND(ISNUMBER(G4090),ISNUMBER(H4090),H4090&gt;0),G4090/H4090-1,"")</x:f>
        <x:v>-0.004783910198853714</x:v>
      </x:c>
      <x:c r="J4090" s="27" t="n">
        <x:f>IF(AND(ISNUMBER(G4090),F4090&gt;0),G4090/F4090-1,"")</x:f>
        <x:v>-0.013180519441656102</x:v>
      </x:c>
      <x:c r="K4090" s="19" t="str">
        <x:v>Weak/EXP248/results/seed597427204_Relative_cutoff_1e-4.json</x:v>
      </x:c>
    </x:row>
    <x:row r="4091" ht="15" hidden="0" customHeight="1">
      <x:c r="A4091" s="3" t="str">
        <x:v>EXP248</x:v>
      </x:c>
      <x:c r="B4091" s="3" t="str">
        <x:v>Weak</x:v>
      </x:c>
      <x:c r="C4091" s="18" t="n">
        <x:v>690050934</x:v>
      </x:c>
      <x:c r="D4091" s="3" t="str">
        <x:v>BBP</x:v>
      </x:c>
      <x:c r="E4091" s="18" t="n">
        <x:v>800</x:v>
      </x:c>
      <x:c r="F4091" s="21" t="n">
        <x:v>665.4402084944851</x:v>
      </x:c>
      <x:c r="G4091" s="21" t="n">
        <x:f>F4091</x:f>
        <x:v>665.4402084944851</x:v>
      </x:c>
      <x:c r="H4091" s="21" t="n">
        <x:f>F4096</x:f>
        <x:v>746.6352024427206</x:v>
      </x:c>
      <x:c r="I4091" s="27" t="n">
        <x:f>IF(AND(ISNUMBER(G4091),ISNUMBER(H4091),H4091&gt;0),G4091/H4091-1,"")</x:f>
        <x:v>-0.10874787805690755</x:v>
      </x:c>
      <x:c r="J4091" s="27" t="n">
        <x:f>IF(AND(ISNUMBER(G4091),F4091&gt;0),G4091/F4091-1,"")</x:f>
        <x:v>0</x:v>
      </x:c>
      <x:c r="K4091" s="19" t="str">
        <x:v>Weak/EXP248/results/seed690050934_BBP.json</x:v>
      </x:c>
    </x:row>
    <x:row r="4092" ht="15" hidden="0" customHeight="1">
      <x:c r="A4092" s="3" t="str">
        <x:v>EXP248</x:v>
      </x:c>
      <x:c r="B4092" s="3" t="str">
        <x:v>Weak</x:v>
      </x:c>
      <x:c r="C4092" s="18" t="n">
        <x:v>690050934</x:v>
      </x:c>
      <x:c r="D4092" s="3" t="str">
        <x:v>Relative cutoff 1e-5</x:v>
      </x:c>
      <x:c r="E4092" s="18" t="n">
        <x:v>800</x:v>
      </x:c>
      <x:c r="F4092" s="21" t="n">
        <x:v>689.3500492626584</x:v>
      </x:c>
      <x:c r="G4092" s="21" t="n">
        <x:f>F4091</x:f>
        <x:v>665.4402084944851</x:v>
      </x:c>
      <x:c r="H4092" s="21" t="n">
        <x:f>F4096</x:f>
        <x:v>746.6352024427206</x:v>
      </x:c>
      <x:c r="I4092" s="27" t="n">
        <x:f>IF(AND(ISNUMBER(G4092),ISNUMBER(H4092),H4092&gt;0),G4092/H4092-1,"")</x:f>
        <x:v>-0.10874787805690755</x:v>
      </x:c>
      <x:c r="J4092" s="27" t="n">
        <x:f>IF(AND(ISNUMBER(G4092),F4092&gt;0),G4092/F4092-1,"")</x:f>
        <x:v>-0.03468461457825056</x:v>
      </x:c>
      <x:c r="K4092" s="19" t="str">
        <x:v>Weak/EXP248/results/seed690050934_Relative_cutoff_1e-5.json</x:v>
      </x:c>
    </x:row>
    <x:row r="4093" ht="15" hidden="0" customHeight="1">
      <x:c r="A4093" s="3" t="str">
        <x:v>EXP248</x:v>
      </x:c>
      <x:c r="B4093" s="3" t="str">
        <x:v>Weak</x:v>
      </x:c>
      <x:c r="C4093" s="18" t="n">
        <x:v>690050934</x:v>
      </x:c>
      <x:c r="D4093" s="3" t="str">
        <x:v>Fixed rank 10</x:v>
      </x:c>
      <x:c r="E4093" s="18" t="n">
        <x:v>800</x:v>
      </x:c>
      <x:c r="F4093" s="21" t="n">
        <x:v>737.7633176546816</x:v>
      </x:c>
      <x:c r="G4093" s="21" t="n">
        <x:f>F4091</x:f>
        <x:v>665.4402084944851</x:v>
      </x:c>
      <x:c r="H4093" s="21" t="n">
        <x:f>F4096</x:f>
        <x:v>746.6352024427206</x:v>
      </x:c>
      <x:c r="I4093" s="27" t="n">
        <x:f>IF(AND(ISNUMBER(G4093),ISNUMBER(H4093),H4093&gt;0),G4093/H4093-1,"")</x:f>
        <x:v>-0.10874787805690755</x:v>
      </x:c>
      <x:c r="J4093" s="27" t="n">
        <x:f>IF(AND(ISNUMBER(G4093),F4093&gt;0),G4093/F4093-1,"")</x:f>
        <x:v>-0.09803023195854821</x:v>
      </x:c>
      <x:c r="K4093" s="19" t="str">
        <x:v>Weak/EXP248/results/seed690050934_Fixed_rank_10.json</x:v>
      </x:c>
    </x:row>
    <x:row r="4094" ht="15" hidden="0" customHeight="1">
      <x:c r="A4094" s="3" t="str">
        <x:v>EXP248</x:v>
      </x:c>
      <x:c r="B4094" s="3" t="str">
        <x:v>Weak</x:v>
      </x:c>
      <x:c r="C4094" s="18" t="n">
        <x:v>690050934</x:v>
      </x:c>
      <x:c r="D4094" s="3" t="str">
        <x:v>Fixed rank 25</x:v>
      </x:c>
      <x:c r="E4094" s="18" t="n">
        <x:v>800</x:v>
      </x:c>
      <x:c r="F4094" s="21" t="n">
        <x:v>706.6775510637842</x:v>
      </x:c>
      <x:c r="G4094" s="21" t="n">
        <x:f>F4091</x:f>
        <x:v>665.4402084944851</x:v>
      </x:c>
      <x:c r="H4094" s="21" t="n">
        <x:f>F4096</x:f>
        <x:v>746.6352024427206</x:v>
      </x:c>
      <x:c r="I4094" s="27" t="n">
        <x:f>IF(AND(ISNUMBER(G4094),ISNUMBER(H4094),H4094&gt;0),G4094/H4094-1,"")</x:f>
        <x:v>-0.10874787805690755</x:v>
      </x:c>
      <x:c r="J4094" s="27" t="n">
        <x:f>IF(AND(ISNUMBER(G4094),F4094&gt;0),G4094/F4094-1,"")</x:f>
        <x:v>-0.05835383125899962</x:v>
      </x:c>
      <x:c r="K4094" s="19" t="str">
        <x:v>Weak/EXP248/results/seed690050934_Fixed_rank_25.json</x:v>
      </x:c>
    </x:row>
    <x:row r="4095" ht="15" hidden="0" customHeight="1">
      <x:c r="A4095" s="3" t="str">
        <x:v>EXP248</x:v>
      </x:c>
      <x:c r="B4095" s="3" t="str">
        <x:v>Weak</x:v>
      </x:c>
      <x:c r="C4095" s="18" t="n">
        <x:v>690050934</x:v>
      </x:c>
      <x:c r="D4095" s="3" t="str">
        <x:v>Relative cutoff 1e-6</x:v>
      </x:c>
      <x:c r="E4095" s="18" t="n">
        <x:v>800</x:v>
      </x:c>
      <x:c r="F4095" s="21" t="n">
        <x:v>663.2623317584653</x:v>
      </x:c>
      <x:c r="G4095" s="21" t="n">
        <x:f>F4091</x:f>
        <x:v>665.4402084944851</x:v>
      </x:c>
      <x:c r="H4095" s="21" t="n">
        <x:f>F4096</x:f>
        <x:v>746.6352024427206</x:v>
      </x:c>
      <x:c r="I4095" s="27" t="n">
        <x:f>IF(AND(ISNUMBER(G4095),ISNUMBER(H4095),H4095&gt;0),G4095/H4095-1,"")</x:f>
        <x:v>-0.10874787805690755</x:v>
      </x:c>
      <x:c r="J4095" s="27" t="n">
        <x:f>IF(AND(ISNUMBER(G4095),F4095&gt;0),G4095/F4095-1,"")</x:f>
        <x:v>0.003283582726981926</x:v>
      </x:c>
      <x:c r="K4095" s="19" t="str">
        <x:v>Weak/EXP248/results/seed690050934_Relative_cutoff_1e-6.json</x:v>
      </x:c>
    </x:row>
    <x:row r="4096" ht="15" hidden="0" customHeight="1">
      <x:c r="A4096" s="3" t="str">
        <x:v>EXP248</x:v>
      </x:c>
      <x:c r="B4096" s="3" t="str">
        <x:v>Weak</x:v>
      </x:c>
      <x:c r="C4096" s="18" t="n">
        <x:v>690050934</x:v>
      </x:c>
      <x:c r="D4096" s="3" t="str">
        <x:v>Full</x:v>
      </x:c>
      <x:c r="E4096" s="18" t="n">
        <x:v>800</x:v>
      </x:c>
      <x:c r="F4096" s="21" t="n">
        <x:v>746.6352024427206</x:v>
      </x:c>
      <x:c r="G4096" s="21" t="n">
        <x:f>F4091</x:f>
        <x:v>665.4402084944851</x:v>
      </x:c>
      <x:c r="H4096" s="21" t="n">
        <x:f>F4096</x:f>
        <x:v>746.6352024427206</x:v>
      </x:c>
      <x:c r="I4096" s="27" t="n">
        <x:f>IF(AND(ISNUMBER(G4096),ISNUMBER(H4096),H4096&gt;0),G4096/H4096-1,"")</x:f>
        <x:v>-0.10874787805690755</x:v>
      </x:c>
      <x:c r="J4096" s="27" t="n">
        <x:f>IF(AND(ISNUMBER(G4096),F4096&gt;0),G4096/F4096-1,"")</x:f>
        <x:v>-0.10874787805690755</x:v>
      </x:c>
      <x:c r="K4096" s="19" t="str">
        <x:v>Weak/EXP248/results/seed690050934_Full.json</x:v>
      </x:c>
    </x:row>
    <x:row r="4097" ht="15" hidden="0" customHeight="1">
      <x:c r="A4097" s="3" t="str">
        <x:v>EXP248</x:v>
      </x:c>
      <x:c r="B4097" s="3" t="str">
        <x:v>Weak</x:v>
      </x:c>
      <x:c r="C4097" s="18" t="n">
        <x:v>690050934</x:v>
      </x:c>
      <x:c r="D4097" s="3" t="str">
        <x:v>Relative cutoff 1e-2</x:v>
      </x:c>
      <x:c r="E4097" s="18" t="n">
        <x:v>800</x:v>
      </x:c>
      <x:c r="F4097" s="21" t="n">
        <x:v>658.6494375902358</x:v>
      </x:c>
      <x:c r="G4097" s="21" t="n">
        <x:f>F4091</x:f>
        <x:v>665.4402084944851</x:v>
      </x:c>
      <x:c r="H4097" s="21" t="n">
        <x:f>F4096</x:f>
        <x:v>746.6352024427206</x:v>
      </x:c>
      <x:c r="I4097" s="27" t="n">
        <x:f>IF(AND(ISNUMBER(G4097),ISNUMBER(H4097),H4097&gt;0),G4097/H4097-1,"")</x:f>
        <x:v>-0.10874787805690755</x:v>
      </x:c>
      <x:c r="J4097" s="27" t="n">
        <x:f>IF(AND(ISNUMBER(G4097),F4097&gt;0),G4097/F4097-1,"")</x:f>
        <x:v>0.010310144542283739</x:v>
      </x:c>
      <x:c r="K4097" s="19" t="str">
        <x:v>Weak/EXP248/results/seed690050934_Relative_cutoff_1e-2.json</x:v>
      </x:c>
    </x:row>
    <x:row r="4098" ht="15" hidden="0" customHeight="1">
      <x:c r="A4098" s="3" t="str">
        <x:v>EXP248</x:v>
      </x:c>
      <x:c r="B4098" s="3" t="str">
        <x:v>Weak</x:v>
      </x:c>
      <x:c r="C4098" s="18" t="n">
        <x:v>690050934</x:v>
      </x:c>
      <x:c r="D4098" s="3" t="str">
        <x:v>Relative cutoff 1e-4</x:v>
      </x:c>
      <x:c r="E4098" s="18" t="n">
        <x:v>800</x:v>
      </x:c>
      <x:c r="F4098" s="21" t="n">
        <x:v>690.37635637551</x:v>
      </x:c>
      <x:c r="G4098" s="21" t="n">
        <x:f>F4091</x:f>
        <x:v>665.4402084944851</x:v>
      </x:c>
      <x:c r="H4098" s="21" t="n">
        <x:f>F4096</x:f>
        <x:v>746.6352024427206</x:v>
      </x:c>
      <x:c r="I4098" s="27" t="n">
        <x:f>IF(AND(ISNUMBER(G4098),ISNUMBER(H4098),H4098&gt;0),G4098/H4098-1,"")</x:f>
        <x:v>-0.10874787805690755</x:v>
      </x:c>
      <x:c r="J4098" s="27" t="n">
        <x:f>IF(AND(ISNUMBER(G4098),F4098&gt;0),G4098/F4098-1,"")</x:f>
        <x:v>-0.03611964351146124</x:v>
      </x:c>
      <x:c r="K4098" s="19" t="str">
        <x:v>Weak/EXP248/results/seed690050934_Relative_cutoff_1e-4.json</x:v>
      </x:c>
    </x:row>
    <x:row r="4099" ht="15" hidden="0" customHeight="1">
      <x:c r="A4099" s="3" t="str">
        <x:v>EXP248</x:v>
      </x:c>
      <x:c r="B4099" s="3" t="str">
        <x:v>Weak</x:v>
      </x:c>
      <x:c r="C4099" s="18" t="n">
        <x:v>729426808</x:v>
      </x:c>
      <x:c r="D4099" s="3" t="str">
        <x:v>BBP</x:v>
      </x:c>
      <x:c r="E4099" s="18" t="n">
        <x:v>800</x:v>
      </x:c>
      <x:c r="F4099" s="21" t="n">
        <x:v>524.4205871123091</x:v>
      </x:c>
      <x:c r="G4099" s="21" t="n">
        <x:f>F4099</x:f>
        <x:v>524.4205871123091</x:v>
      </x:c>
      <x:c r="H4099" s="21" t="n">
        <x:f>F4104</x:f>
        <x:v>657.9933340814745</x:v>
      </x:c>
      <x:c r="I4099" s="27" t="n">
        <x:f>IF(AND(ISNUMBER(G4099),ISNUMBER(H4099),H4099&gt;0),G4099/H4099-1,"")</x:f>
        <x:v>-0.20300015220614076</x:v>
      </x:c>
      <x:c r="J4099" s="27" t="n">
        <x:f>IF(AND(ISNUMBER(G4099),F4099&gt;0),G4099/F4099-1,"")</x:f>
        <x:v>0</x:v>
      </x:c>
      <x:c r="K4099" s="19" t="str">
        <x:v>Weak/EXP248/results/seed729426808_BBP.json</x:v>
      </x:c>
    </x:row>
    <x:row r="4100" ht="15" hidden="0" customHeight="1">
      <x:c r="A4100" s="3" t="str">
        <x:v>EXP248</x:v>
      </x:c>
      <x:c r="B4100" s="3" t="str">
        <x:v>Weak</x:v>
      </x:c>
      <x:c r="C4100" s="18" t="n">
        <x:v>729426808</x:v>
      </x:c>
      <x:c r="D4100" s="3" t="str">
        <x:v>Relative cutoff 1e-5</x:v>
      </x:c>
      <x:c r="E4100" s="18" t="n">
        <x:v>800</x:v>
      </x:c>
      <x:c r="F4100" s="21" t="n">
        <x:v>603.3466770654062</x:v>
      </x:c>
      <x:c r="G4100" s="21" t="n">
        <x:f>F4099</x:f>
        <x:v>524.4205871123091</x:v>
      </x:c>
      <x:c r="H4100" s="21" t="n">
        <x:f>F4104</x:f>
        <x:v>657.9933340814745</x:v>
      </x:c>
      <x:c r="I4100" s="27" t="n">
        <x:f>IF(AND(ISNUMBER(G4100),ISNUMBER(H4100),H4100&gt;0),G4100/H4100-1,"")</x:f>
        <x:v>-0.20300015220614076</x:v>
      </x:c>
      <x:c r="J4100" s="27" t="n">
        <x:f>IF(AND(ISNUMBER(G4100),F4100&gt;0),G4100/F4100-1,"")</x:f>
        <x:v>-0.1308138305111458</x:v>
      </x:c>
      <x:c r="K4100" s="19" t="str">
        <x:v>Weak/EXP248/results/seed729426808_Relative_cutoff_1e-5.json</x:v>
      </x:c>
    </x:row>
    <x:row r="4101" ht="15" hidden="0" customHeight="1">
      <x:c r="A4101" s="3" t="str">
        <x:v>EXP248</x:v>
      </x:c>
      <x:c r="B4101" s="3" t="str">
        <x:v>Weak</x:v>
      </x:c>
      <x:c r="C4101" s="18" t="n">
        <x:v>729426808</x:v>
      </x:c>
      <x:c r="D4101" s="3" t="str">
        <x:v>Fixed rank 10</x:v>
      </x:c>
      <x:c r="E4101" s="18" t="n">
        <x:v>800</x:v>
      </x:c>
      <x:c r="F4101" s="21" t="n">
        <x:v>565.0208627752552</x:v>
      </x:c>
      <x:c r="G4101" s="21" t="n">
        <x:f>F4099</x:f>
        <x:v>524.4205871123091</x:v>
      </x:c>
      <x:c r="H4101" s="21" t="n">
        <x:f>F4104</x:f>
        <x:v>657.9933340814745</x:v>
      </x:c>
      <x:c r="I4101" s="27" t="n">
        <x:f>IF(AND(ISNUMBER(G4101),ISNUMBER(H4101),H4101&gt;0),G4101/H4101-1,"")</x:f>
        <x:v>-0.20300015220614076</x:v>
      </x:c>
      <x:c r="J4101" s="27" t="n">
        <x:f>IF(AND(ISNUMBER(G4101),F4101&gt;0),G4101/F4101-1,"")</x:f>
        <x:v>-0.07185624166783267</x:v>
      </x:c>
      <x:c r="K4101" s="19" t="str">
        <x:v>Weak/EXP248/results/seed729426808_Fixed_rank_10.json</x:v>
      </x:c>
    </x:row>
    <x:row r="4102" ht="15" hidden="0" customHeight="1">
      <x:c r="A4102" s="3" t="str">
        <x:v>EXP248</x:v>
      </x:c>
      <x:c r="B4102" s="3" t="str">
        <x:v>Weak</x:v>
      </x:c>
      <x:c r="C4102" s="18" t="n">
        <x:v>729426808</x:v>
      </x:c>
      <x:c r="D4102" s="3" t="str">
        <x:v>Fixed rank 25</x:v>
      </x:c>
      <x:c r="E4102" s="18" t="n">
        <x:v>800</x:v>
      </x:c>
      <x:c r="F4102" s="21" t="n">
        <x:v>600.9574582018191</x:v>
      </x:c>
      <x:c r="G4102" s="21" t="n">
        <x:f>F4099</x:f>
        <x:v>524.4205871123091</x:v>
      </x:c>
      <x:c r="H4102" s="21" t="n">
        <x:f>F4104</x:f>
        <x:v>657.9933340814745</x:v>
      </x:c>
      <x:c r="I4102" s="27" t="n">
        <x:f>IF(AND(ISNUMBER(G4102),ISNUMBER(H4102),H4102&gt;0),G4102/H4102-1,"")</x:f>
        <x:v>-0.20300015220614076</x:v>
      </x:c>
      <x:c r="J4102" s="27" t="n">
        <x:f>IF(AND(ISNUMBER(G4102),F4102&gt;0),G4102/F4102-1,"")</x:f>
        <x:v>-0.1273582181982117</x:v>
      </x:c>
      <x:c r="K4102" s="19" t="str">
        <x:v>Weak/EXP248/results/seed729426808_Fixed_rank_25.json</x:v>
      </x:c>
    </x:row>
    <x:row r="4103" ht="15" hidden="0" customHeight="1">
      <x:c r="A4103" s="3" t="str">
        <x:v>EXP248</x:v>
      </x:c>
      <x:c r="B4103" s="3" t="str">
        <x:v>Weak</x:v>
      </x:c>
      <x:c r="C4103" s="18" t="n">
        <x:v>729426808</x:v>
      </x:c>
      <x:c r="D4103" s="3" t="str">
        <x:v>Relative cutoff 1e-6</x:v>
      </x:c>
      <x:c r="E4103" s="18" t="n">
        <x:v>800</x:v>
      </x:c>
      <x:c r="F4103" s="21" t="n">
        <x:v>605.3797338693698</x:v>
      </x:c>
      <x:c r="G4103" s="21" t="n">
        <x:f>F4099</x:f>
        <x:v>524.4205871123091</x:v>
      </x:c>
      <x:c r="H4103" s="21" t="n">
        <x:f>F4104</x:f>
        <x:v>657.9933340814745</x:v>
      </x:c>
      <x:c r="I4103" s="27" t="n">
        <x:f>IF(AND(ISNUMBER(G4103),ISNUMBER(H4103),H4103&gt;0),G4103/H4103-1,"")</x:f>
        <x:v>-0.20300015220614076</x:v>
      </x:c>
      <x:c r="J4103" s="27" t="n">
        <x:f>IF(AND(ISNUMBER(G4103),F4103&gt;0),G4103/F4103-1,"")</x:f>
        <x:v>-0.1337328328445997</x:v>
      </x:c>
      <x:c r="K4103" s="19" t="str">
        <x:v>Weak/EXP248/results/seed729426808_Relative_cutoff_1e-6.json</x:v>
      </x:c>
    </x:row>
    <x:row r="4104" ht="15" hidden="0" customHeight="1">
      <x:c r="A4104" s="3" t="str">
        <x:v>EXP248</x:v>
      </x:c>
      <x:c r="B4104" s="3" t="str">
        <x:v>Weak</x:v>
      </x:c>
      <x:c r="C4104" s="18" t="n">
        <x:v>729426808</x:v>
      </x:c>
      <x:c r="D4104" s="3" t="str">
        <x:v>Full</x:v>
      </x:c>
      <x:c r="E4104" s="18" t="n">
        <x:v>800</x:v>
      </x:c>
      <x:c r="F4104" s="21" t="n">
        <x:v>657.9933340814745</x:v>
      </x:c>
      <x:c r="G4104" s="21" t="n">
        <x:f>F4099</x:f>
        <x:v>524.4205871123091</x:v>
      </x:c>
      <x:c r="H4104" s="21" t="n">
        <x:f>F4104</x:f>
        <x:v>657.9933340814745</x:v>
      </x:c>
      <x:c r="I4104" s="27" t="n">
        <x:f>IF(AND(ISNUMBER(G4104),ISNUMBER(H4104),H4104&gt;0),G4104/H4104-1,"")</x:f>
        <x:v>-0.20300015220614076</x:v>
      </x:c>
      <x:c r="J4104" s="27" t="n">
        <x:f>IF(AND(ISNUMBER(G4104),F4104&gt;0),G4104/F4104-1,"")</x:f>
        <x:v>-0.20300015220614076</x:v>
      </x:c>
      <x:c r="K4104" s="19" t="str">
        <x:v>Weak/EXP248/results/seed729426808_Full.json</x:v>
      </x:c>
    </x:row>
    <x:row r="4105" ht="15" hidden="0" customHeight="1">
      <x:c r="A4105" s="3" t="str">
        <x:v>EXP248</x:v>
      </x:c>
      <x:c r="B4105" s="3" t="str">
        <x:v>Weak</x:v>
      </x:c>
      <x:c r="C4105" s="18" t="n">
        <x:v>729426808</x:v>
      </x:c>
      <x:c r="D4105" s="3" t="str">
        <x:v>Relative cutoff 1e-2</x:v>
      </x:c>
      <x:c r="E4105" s="18" t="n">
        <x:v>800</x:v>
      </x:c>
      <x:c r="F4105" s="21" t="n">
        <x:v>600.1074316885155</x:v>
      </x:c>
      <x:c r="G4105" s="21" t="n">
        <x:f>F4099</x:f>
        <x:v>524.4205871123091</x:v>
      </x:c>
      <x:c r="H4105" s="21" t="n">
        <x:f>F4104</x:f>
        <x:v>657.9933340814745</x:v>
      </x:c>
      <x:c r="I4105" s="27" t="n">
        <x:f>IF(AND(ISNUMBER(G4105),ISNUMBER(H4105),H4105&gt;0),G4105/H4105-1,"")</x:f>
        <x:v>-0.20300015220614076</x:v>
      </x:c>
      <x:c r="J4105" s="27" t="n">
        <x:f>IF(AND(ISNUMBER(G4105),F4105&gt;0),G4105/F4105-1,"")</x:f>
        <x:v>-0.1261221584329445</x:v>
      </x:c>
      <x:c r="K4105" s="19" t="str">
        <x:v>Weak/EXP248/results/seed729426808_Relative_cutoff_1e-2.json</x:v>
      </x:c>
    </x:row>
    <x:row r="4106" ht="15" hidden="0" customHeight="1">
      <x:c r="A4106" s="3" t="str">
        <x:v>EXP248</x:v>
      </x:c>
      <x:c r="B4106" s="3" t="str">
        <x:v>Weak</x:v>
      </x:c>
      <x:c r="C4106" s="18" t="n">
        <x:v>729426808</x:v>
      </x:c>
      <x:c r="D4106" s="3" t="str">
        <x:v>Relative cutoff 1e-4</x:v>
      </x:c>
      <x:c r="E4106" s="18" t="n">
        <x:v>800</x:v>
      </x:c>
      <x:c r="F4106" s="21" t="n">
        <x:v>658.0685415824036</x:v>
      </x:c>
      <x:c r="G4106" s="21" t="n">
        <x:f>F4099</x:f>
        <x:v>524.4205871123091</x:v>
      </x:c>
      <x:c r="H4106" s="21" t="n">
        <x:f>F4104</x:f>
        <x:v>657.9933340814745</x:v>
      </x:c>
      <x:c r="I4106" s="27" t="n">
        <x:f>IF(AND(ISNUMBER(G4106),ISNUMBER(H4106),H4106&gt;0),G4106/H4106-1,"")</x:f>
        <x:v>-0.20300015220614076</x:v>
      </x:c>
      <x:c r="J4106" s="27" t="n">
        <x:f>IF(AND(ISNUMBER(G4106),F4106&gt;0),G4106/F4106-1,"")</x:f>
        <x:v>-0.20309123750046176</x:v>
      </x:c>
      <x:c r="K4106" s="19" t="str">
        <x:v>Weak/EXP248/results/seed729426808_Relative_cutoff_1e-4.json</x:v>
      </x:c>
    </x:row>
    <x:row r="4107" ht="15" hidden="0" customHeight="1">
      <x:c r="A4107" s="3" t="str">
        <x:v>EXP248</x:v>
      </x:c>
      <x:c r="B4107" s="3" t="str">
        <x:v>Weak</x:v>
      </x:c>
      <x:c r="C4107" s="18" t="n">
        <x:v>729963537</x:v>
      </x:c>
      <x:c r="D4107" s="3" t="str">
        <x:v>BBP</x:v>
      </x:c>
      <x:c r="E4107" s="18" t="n">
        <x:v>800</x:v>
      </x:c>
      <x:c r="F4107" s="21" t="n">
        <x:v>433.8073048778966</x:v>
      </x:c>
      <x:c r="G4107" s="21" t="n">
        <x:f>F4107</x:f>
        <x:v>433.8073048778966</x:v>
      </x:c>
      <x:c r="H4107" s="21" t="n">
        <x:f>F4112</x:f>
        <x:v>422.1999979183359</x:v>
      </x:c>
      <x:c r="I4107" s="27" t="n">
        <x:f>IF(AND(ISNUMBER(G4107),ISNUMBER(H4107),H4107&gt;0),G4107/H4107-1,"")</x:f>
        <x:v>0.0274924372733083</x:v>
      </x:c>
      <x:c r="J4107" s="27" t="n">
        <x:f>IF(AND(ISNUMBER(G4107),F4107&gt;0),G4107/F4107-1,"")</x:f>
        <x:v>0</x:v>
      </x:c>
      <x:c r="K4107" s="19" t="str">
        <x:v>Weak/EXP248/results/seed729963537_BBP.json</x:v>
      </x:c>
    </x:row>
    <x:row r="4108" ht="15" hidden="0" customHeight="1">
      <x:c r="A4108" s="3" t="str">
        <x:v>EXP248</x:v>
      </x:c>
      <x:c r="B4108" s="3" t="str">
        <x:v>Weak</x:v>
      </x:c>
      <x:c r="C4108" s="18" t="n">
        <x:v>729963537</x:v>
      </x:c>
      <x:c r="D4108" s="3" t="str">
        <x:v>Relative cutoff 1e-5</x:v>
      </x:c>
      <x:c r="E4108" s="18" t="n">
        <x:v>800</x:v>
      </x:c>
      <x:c r="F4108" s="21" t="n">
        <x:v>390.13621916609526</x:v>
      </x:c>
      <x:c r="G4108" s="21" t="n">
        <x:f>F4107</x:f>
        <x:v>433.8073048778966</x:v>
      </x:c>
      <x:c r="H4108" s="21" t="n">
        <x:f>F4112</x:f>
        <x:v>422.1999979183359</x:v>
      </x:c>
      <x:c r="I4108" s="27" t="n">
        <x:f>IF(AND(ISNUMBER(G4108),ISNUMBER(H4108),H4108&gt;0),G4108/H4108-1,"")</x:f>
        <x:v>0.0274924372733083</x:v>
      </x:c>
      <x:c r="J4108" s="27" t="n">
        <x:f>IF(AND(ISNUMBER(G4108),F4108&gt;0),G4108/F4108-1,"")</x:f>
        <x:v>0.11193804514009753</x:v>
      </x:c>
      <x:c r="K4108" s="19" t="str">
        <x:v>Weak/EXP248/results/seed729963537_Relative_cutoff_1e-5.json</x:v>
      </x:c>
    </x:row>
    <x:row r="4109" ht="15" hidden="0" customHeight="1">
      <x:c r="A4109" s="3" t="str">
        <x:v>EXP248</x:v>
      </x:c>
      <x:c r="B4109" s="3" t="str">
        <x:v>Weak</x:v>
      </x:c>
      <x:c r="C4109" s="18" t="n">
        <x:v>729963537</x:v>
      </x:c>
      <x:c r="D4109" s="3" t="str">
        <x:v>Fixed rank 10</x:v>
      </x:c>
      <x:c r="E4109" s="18" t="n">
        <x:v>800</x:v>
      </x:c>
      <x:c r="F4109" s="21" t="n">
        <x:v>429.6429155124004</x:v>
      </x:c>
      <x:c r="G4109" s="21" t="n">
        <x:f>F4107</x:f>
        <x:v>433.8073048778966</x:v>
      </x:c>
      <x:c r="H4109" s="21" t="n">
        <x:f>F4112</x:f>
        <x:v>422.1999979183359</x:v>
      </x:c>
      <x:c r="I4109" s="27" t="n">
        <x:f>IF(AND(ISNUMBER(G4109),ISNUMBER(H4109),H4109&gt;0),G4109/H4109-1,"")</x:f>
        <x:v>0.0274924372733083</x:v>
      </x:c>
      <x:c r="J4109" s="27" t="n">
        <x:f>IF(AND(ISNUMBER(G4109),F4109&gt;0),G4109/F4109-1,"")</x:f>
        <x:v>0.009692675510614812</x:v>
      </x:c>
      <x:c r="K4109" s="19" t="str">
        <x:v>Weak/EXP248/results/seed729963537_Fixed_rank_10.json</x:v>
      </x:c>
    </x:row>
    <x:row r="4110" ht="15" hidden="0" customHeight="1">
      <x:c r="A4110" s="3" t="str">
        <x:v>EXP248</x:v>
      </x:c>
      <x:c r="B4110" s="3" t="str">
        <x:v>Weak</x:v>
      </x:c>
      <x:c r="C4110" s="18" t="n">
        <x:v>729963537</x:v>
      </x:c>
      <x:c r="D4110" s="3" t="str">
        <x:v>Fixed rank 25</x:v>
      </x:c>
      <x:c r="E4110" s="18" t="n">
        <x:v>800</x:v>
      </x:c>
      <x:c r="F4110" s="21" t="n">
        <x:v>454.27543622447416</x:v>
      </x:c>
      <x:c r="G4110" s="21" t="n">
        <x:f>F4107</x:f>
        <x:v>433.8073048778966</x:v>
      </x:c>
      <x:c r="H4110" s="21" t="n">
        <x:f>F4112</x:f>
        <x:v>422.1999979183359</x:v>
      </x:c>
      <x:c r="I4110" s="27" t="n">
        <x:f>IF(AND(ISNUMBER(G4110),ISNUMBER(H4110),H4110&gt;0),G4110/H4110-1,"")</x:f>
        <x:v>0.0274924372733083</x:v>
      </x:c>
      <x:c r="J4110" s="27" t="n">
        <x:f>IF(AND(ISNUMBER(G4110),F4110&gt;0),G4110/F4110-1,"")</x:f>
        <x:v>-0.04505665443126328</x:v>
      </x:c>
      <x:c r="K4110" s="19" t="str">
        <x:v>Weak/EXP248/results/seed729963537_Fixed_rank_25.json</x:v>
      </x:c>
    </x:row>
    <x:row r="4111" ht="15" hidden="0" customHeight="1">
      <x:c r="A4111" s="3" t="str">
        <x:v>EXP248</x:v>
      </x:c>
      <x:c r="B4111" s="3" t="str">
        <x:v>Weak</x:v>
      </x:c>
      <x:c r="C4111" s="18" t="n">
        <x:v>729963537</x:v>
      </x:c>
      <x:c r="D4111" s="3" t="str">
        <x:v>Relative cutoff 1e-6</x:v>
      </x:c>
      <x:c r="E4111" s="18" t="n">
        <x:v>800</x:v>
      </x:c>
      <x:c r="F4111" s="21" t="n">
        <x:v>431.4435522931151</x:v>
      </x:c>
      <x:c r="G4111" s="21" t="n">
        <x:f>F4107</x:f>
        <x:v>433.8073048778966</x:v>
      </x:c>
      <x:c r="H4111" s="21" t="n">
        <x:f>F4112</x:f>
        <x:v>422.1999979183359</x:v>
      </x:c>
      <x:c r="I4111" s="27" t="n">
        <x:f>IF(AND(ISNUMBER(G4111),ISNUMBER(H4111),H4111&gt;0),G4111/H4111-1,"")</x:f>
        <x:v>0.0274924372733083</x:v>
      </x:c>
      <x:c r="J4111" s="27" t="n">
        <x:f>IF(AND(ISNUMBER(G4111),F4111&gt;0),G4111/F4111-1,"")</x:f>
        <x:v>0.005478706477865414</x:v>
      </x:c>
      <x:c r="K4111" s="19" t="str">
        <x:v>Weak/EXP248/results/seed729963537_Relative_cutoff_1e-6.json</x:v>
      </x:c>
    </x:row>
    <x:row r="4112" ht="15" hidden="0" customHeight="1">
      <x:c r="A4112" s="3" t="str">
        <x:v>EXP248</x:v>
      </x:c>
      <x:c r="B4112" s="3" t="str">
        <x:v>Weak</x:v>
      </x:c>
      <x:c r="C4112" s="18" t="n">
        <x:v>729963537</x:v>
      </x:c>
      <x:c r="D4112" s="3" t="str">
        <x:v>Full</x:v>
      </x:c>
      <x:c r="E4112" s="18" t="n">
        <x:v>800</x:v>
      </x:c>
      <x:c r="F4112" s="21" t="n">
        <x:v>422.1999979183359</x:v>
      </x:c>
      <x:c r="G4112" s="21" t="n">
        <x:f>F4107</x:f>
        <x:v>433.8073048778966</x:v>
      </x:c>
      <x:c r="H4112" s="21" t="n">
        <x:f>F4112</x:f>
        <x:v>422.1999979183359</x:v>
      </x:c>
      <x:c r="I4112" s="27" t="n">
        <x:f>IF(AND(ISNUMBER(G4112),ISNUMBER(H4112),H4112&gt;0),G4112/H4112-1,"")</x:f>
        <x:v>0.0274924372733083</x:v>
      </x:c>
      <x:c r="J4112" s="27" t="n">
        <x:f>IF(AND(ISNUMBER(G4112),F4112&gt;0),G4112/F4112-1,"")</x:f>
        <x:v>0.0274924372733083</x:v>
      </x:c>
      <x:c r="K4112" s="19" t="str">
        <x:v>Weak/EXP248/results/seed729963537_Full.json</x:v>
      </x:c>
    </x:row>
    <x:row r="4113" ht="15" hidden="0" customHeight="1">
      <x:c r="A4113" s="3" t="str">
        <x:v>EXP248</x:v>
      </x:c>
      <x:c r="B4113" s="3" t="str">
        <x:v>Weak</x:v>
      </x:c>
      <x:c r="C4113" s="18" t="n">
        <x:v>729963537</x:v>
      </x:c>
      <x:c r="D4113" s="3" t="str">
        <x:v>Relative cutoff 1e-2</x:v>
      </x:c>
      <x:c r="E4113" s="18" t="n">
        <x:v>800</x:v>
      </x:c>
      <x:c r="F4113" s="21" t="n">
        <x:v>565.4162193965237</x:v>
      </x:c>
      <x:c r="G4113" s="21" t="n">
        <x:f>F4107</x:f>
        <x:v>433.8073048778966</x:v>
      </x:c>
      <x:c r="H4113" s="21" t="n">
        <x:f>F4112</x:f>
        <x:v>422.1999979183359</x:v>
      </x:c>
      <x:c r="I4113" s="27" t="n">
        <x:f>IF(AND(ISNUMBER(G4113),ISNUMBER(H4113),H4113&gt;0),G4113/H4113-1,"")</x:f>
        <x:v>0.0274924372733083</x:v>
      </x:c>
      <x:c r="J4113" s="27" t="n">
        <x:f>IF(AND(ISNUMBER(G4113),F4113&gt;0),G4113/F4113-1,"")</x:f>
        <x:v>-0.23276466079995906</x:v>
      </x:c>
      <x:c r="K4113" s="19" t="str">
        <x:v>Weak/EXP248/results/seed729963537_Relative_cutoff_1e-2.json</x:v>
      </x:c>
    </x:row>
    <x:row r="4114" ht="15" hidden="0" customHeight="1">
      <x:c r="A4114" s="3" t="str">
        <x:v>EXP248</x:v>
      </x:c>
      <x:c r="B4114" s="3" t="str">
        <x:v>Weak</x:v>
      </x:c>
      <x:c r="C4114" s="18" t="n">
        <x:v>729963537</x:v>
      </x:c>
      <x:c r="D4114" s="3" t="str">
        <x:v>Relative cutoff 1e-4</x:v>
      </x:c>
      <x:c r="E4114" s="18" t="n">
        <x:v>800</x:v>
      </x:c>
      <x:c r="F4114" s="21" t="n">
        <x:v>393.22555594924637</x:v>
      </x:c>
      <x:c r="G4114" s="21" t="n">
        <x:f>F4107</x:f>
        <x:v>433.8073048778966</x:v>
      </x:c>
      <x:c r="H4114" s="21" t="n">
        <x:f>F4112</x:f>
        <x:v>422.1999979183359</x:v>
      </x:c>
      <x:c r="I4114" s="27" t="n">
        <x:f>IF(AND(ISNUMBER(G4114),ISNUMBER(H4114),H4114&gt;0),G4114/H4114-1,"")</x:f>
        <x:v>0.0274924372733083</x:v>
      </x:c>
      <x:c r="J4114" s="27" t="n">
        <x:f>IF(AND(ISNUMBER(G4114),F4114&gt;0),G4114/F4114-1,"")</x:f>
        <x:v>0.10320221642432648</x:v>
      </x:c>
      <x:c r="K4114" s="19" t="str">
        <x:v>Weak/EXP248/results/seed729963537_Relative_cutoff_1e-4.json</x:v>
      </x:c>
    </x:row>
    <x:row r="4115" ht="15" hidden="0" customHeight="1">
      <x:c r="A4115" s="3" t="str">
        <x:v>EXP248</x:v>
      </x:c>
      <x:c r="B4115" s="3" t="str">
        <x:v>Weak</x:v>
      </x:c>
      <x:c r="C4115" s="18" t="n">
        <x:v>798631754</x:v>
      </x:c>
      <x:c r="D4115" s="3" t="str">
        <x:v>BBP</x:v>
      </x:c>
      <x:c r="E4115" s="18" t="n">
        <x:v>800</x:v>
      </x:c>
      <x:c r="F4115" s="21" t="n">
        <x:v>344.38717091749254</x:v>
      </x:c>
      <x:c r="G4115" s="21" t="n">
        <x:f>F4115</x:f>
        <x:v>344.38717091749254</x:v>
      </x:c>
      <x:c r="H4115" s="21" t="n">
        <x:f>F4120</x:f>
        <x:v>336.8627351053755</x:v>
      </x:c>
      <x:c r="I4115" s="27" t="n">
        <x:f>IF(AND(ISNUMBER(G4115),ISNUMBER(H4115),H4115&gt;0),G4115/H4115-1,"")</x:f>
        <x:v>0.022336800803339774</x:v>
      </x:c>
      <x:c r="J4115" s="27" t="n">
        <x:f>IF(AND(ISNUMBER(G4115),F4115&gt;0),G4115/F4115-1,"")</x:f>
        <x:v>0</x:v>
      </x:c>
      <x:c r="K4115" s="19" t="str">
        <x:v>Weak/EXP248/results/seed798631754_BBP.json</x:v>
      </x:c>
    </x:row>
    <x:row r="4116" ht="15" hidden="0" customHeight="1">
      <x:c r="A4116" s="3" t="str">
        <x:v>EXP248</x:v>
      </x:c>
      <x:c r="B4116" s="3" t="str">
        <x:v>Weak</x:v>
      </x:c>
      <x:c r="C4116" s="18" t="n">
        <x:v>798631754</x:v>
      </x:c>
      <x:c r="D4116" s="3" t="str">
        <x:v>Relative cutoff 1e-5</x:v>
      </x:c>
      <x:c r="E4116" s="18" t="n">
        <x:v>800</x:v>
      </x:c>
      <x:c r="F4116" s="21" t="n">
        <x:v>336.2668934861551</x:v>
      </x:c>
      <x:c r="G4116" s="21" t="n">
        <x:f>F4115</x:f>
        <x:v>344.38717091749254</x:v>
      </x:c>
      <x:c r="H4116" s="21" t="n">
        <x:f>F4120</x:f>
        <x:v>336.8627351053755</x:v>
      </x:c>
      <x:c r="I4116" s="27" t="n">
        <x:f>IF(AND(ISNUMBER(G4116),ISNUMBER(H4116),H4116&gt;0),G4116/H4116-1,"")</x:f>
        <x:v>0.022336800803339774</x:v>
      </x:c>
      <x:c r="J4116" s="27" t="n">
        <x:f>IF(AND(ISNUMBER(G4116),F4116&gt;0),G4116/F4116-1,"")</x:f>
        <x:v>0.024148310727686306</x:v>
      </x:c>
      <x:c r="K4116" s="19" t="str">
        <x:v>Weak/EXP248/results/seed798631754_Relative_cutoff_1e-5.json</x:v>
      </x:c>
    </x:row>
    <x:row r="4117" ht="15" hidden="0" customHeight="1">
      <x:c r="A4117" s="3" t="str">
        <x:v>EXP248</x:v>
      </x:c>
      <x:c r="B4117" s="3" t="str">
        <x:v>Weak</x:v>
      </x:c>
      <x:c r="C4117" s="18" t="n">
        <x:v>798631754</x:v>
      </x:c>
      <x:c r="D4117" s="3" t="str">
        <x:v>Fixed rank 10</x:v>
      </x:c>
      <x:c r="E4117" s="18" t="n">
        <x:v>800</x:v>
      </x:c>
      <x:c r="F4117" s="21" t="n">
        <x:v>305.34599728512694</x:v>
      </x:c>
      <x:c r="G4117" s="21" t="n">
        <x:f>F4115</x:f>
        <x:v>344.38717091749254</x:v>
      </x:c>
      <x:c r="H4117" s="21" t="n">
        <x:f>F4120</x:f>
        <x:v>336.8627351053755</x:v>
      </x:c>
      <x:c r="I4117" s="27" t="n">
        <x:f>IF(AND(ISNUMBER(G4117),ISNUMBER(H4117),H4117&gt;0),G4117/H4117-1,"")</x:f>
        <x:v>0.022336800803339774</x:v>
      </x:c>
      <x:c r="J4117" s="27" t="n">
        <x:f>IF(AND(ISNUMBER(G4117),F4117&gt;0),G4117/F4117-1,"")</x:f>
        <x:v>0.12785880273357453</x:v>
      </x:c>
      <x:c r="K4117" s="19" t="str">
        <x:v>Weak/EXP248/results/seed798631754_Fixed_rank_10.json</x:v>
      </x:c>
    </x:row>
    <x:row r="4118" ht="15" hidden="0" customHeight="1">
      <x:c r="A4118" s="3" t="str">
        <x:v>EXP248</x:v>
      </x:c>
      <x:c r="B4118" s="3" t="str">
        <x:v>Weak</x:v>
      </x:c>
      <x:c r="C4118" s="18" t="n">
        <x:v>798631754</x:v>
      </x:c>
      <x:c r="D4118" s="3" t="str">
        <x:v>Fixed rank 25</x:v>
      </x:c>
      <x:c r="E4118" s="18" t="n">
        <x:v>800</x:v>
      </x:c>
      <x:c r="F4118" s="21" t="n">
        <x:v>328.6519448556975</x:v>
      </x:c>
      <x:c r="G4118" s="21" t="n">
        <x:f>F4115</x:f>
        <x:v>344.38717091749254</x:v>
      </x:c>
      <x:c r="H4118" s="21" t="n">
        <x:f>F4120</x:f>
        <x:v>336.8627351053755</x:v>
      </x:c>
      <x:c r="I4118" s="27" t="n">
        <x:f>IF(AND(ISNUMBER(G4118),ISNUMBER(H4118),H4118&gt;0),G4118/H4118-1,"")</x:f>
        <x:v>0.022336800803339774</x:v>
      </x:c>
      <x:c r="J4118" s="27" t="n">
        <x:f>IF(AND(ISNUMBER(G4118),F4118&gt;0),G4118/F4118-1,"")</x:f>
        <x:v>0.047878085945007864</x:v>
      </x:c>
      <x:c r="K4118" s="19" t="str">
        <x:v>Weak/EXP248/results/seed798631754_Fixed_rank_25.json</x:v>
      </x:c>
    </x:row>
    <x:row r="4119" ht="15" hidden="0" customHeight="1">
      <x:c r="A4119" s="3" t="str">
        <x:v>EXP248</x:v>
      </x:c>
      <x:c r="B4119" s="3" t="str">
        <x:v>Weak</x:v>
      </x:c>
      <x:c r="C4119" s="18" t="n">
        <x:v>798631754</x:v>
      </x:c>
      <x:c r="D4119" s="3" t="str">
        <x:v>Relative cutoff 1e-6</x:v>
      </x:c>
      <x:c r="E4119" s="18" t="n">
        <x:v>800</x:v>
      </x:c>
      <x:c r="F4119" s="21" t="n">
        <x:v>351.3178134537243</x:v>
      </x:c>
      <x:c r="G4119" s="21" t="n">
        <x:f>F4115</x:f>
        <x:v>344.38717091749254</x:v>
      </x:c>
      <x:c r="H4119" s="21" t="n">
        <x:f>F4120</x:f>
        <x:v>336.8627351053755</x:v>
      </x:c>
      <x:c r="I4119" s="27" t="n">
        <x:f>IF(AND(ISNUMBER(G4119),ISNUMBER(H4119),H4119&gt;0),G4119/H4119-1,"")</x:f>
        <x:v>0.022336800803339774</x:v>
      </x:c>
      <x:c r="J4119" s="27" t="n">
        <x:f>IF(AND(ISNUMBER(G4119),F4119&gt;0),G4119/F4119-1,"")</x:f>
        <x:v>-0.019727557985455335</x:v>
      </x:c>
      <x:c r="K4119" s="19" t="str">
        <x:v>Weak/EXP248/results/seed798631754_Relative_cutoff_1e-6.json</x:v>
      </x:c>
    </x:row>
    <x:row r="4120" ht="15" hidden="0" customHeight="1">
      <x:c r="A4120" s="3" t="str">
        <x:v>EXP248</x:v>
      </x:c>
      <x:c r="B4120" s="3" t="str">
        <x:v>Weak</x:v>
      </x:c>
      <x:c r="C4120" s="18" t="n">
        <x:v>798631754</x:v>
      </x:c>
      <x:c r="D4120" s="3" t="str">
        <x:v>Full</x:v>
      </x:c>
      <x:c r="E4120" s="18" t="n">
        <x:v>800</x:v>
      </x:c>
      <x:c r="F4120" s="21" t="n">
        <x:v>336.8627351053755</x:v>
      </x:c>
      <x:c r="G4120" s="21" t="n">
        <x:f>F4115</x:f>
        <x:v>344.38717091749254</x:v>
      </x:c>
      <x:c r="H4120" s="21" t="n">
        <x:f>F4120</x:f>
        <x:v>336.8627351053755</x:v>
      </x:c>
      <x:c r="I4120" s="27" t="n">
        <x:f>IF(AND(ISNUMBER(G4120),ISNUMBER(H4120),H4120&gt;0),G4120/H4120-1,"")</x:f>
        <x:v>0.022336800803339774</x:v>
      </x:c>
      <x:c r="J4120" s="27" t="n">
        <x:f>IF(AND(ISNUMBER(G4120),F4120&gt;0),G4120/F4120-1,"")</x:f>
        <x:v>0.022336800803339774</x:v>
      </x:c>
      <x:c r="K4120" s="19" t="str">
        <x:v>Weak/EXP248/results/seed798631754_Full.json</x:v>
      </x:c>
    </x:row>
    <x:row r="4121" ht="15" hidden="0" customHeight="1">
      <x:c r="A4121" s="3" t="str">
        <x:v>EXP248</x:v>
      </x:c>
      <x:c r="B4121" s="3" t="str">
        <x:v>Weak</x:v>
      </x:c>
      <x:c r="C4121" s="18" t="n">
        <x:v>798631754</x:v>
      </x:c>
      <x:c r="D4121" s="3" t="str">
        <x:v>Relative cutoff 1e-2</x:v>
      </x:c>
      <x:c r="E4121" s="18" t="n">
        <x:v>800</x:v>
      </x:c>
      <x:c r="F4121" s="21" t="n">
        <x:v>383.39700502549937</x:v>
      </x:c>
      <x:c r="G4121" s="21" t="n">
        <x:f>F4115</x:f>
        <x:v>344.38717091749254</x:v>
      </x:c>
      <x:c r="H4121" s="21" t="n">
        <x:f>F4120</x:f>
        <x:v>336.8627351053755</x:v>
      </x:c>
      <x:c r="I4121" s="27" t="n">
        <x:f>IF(AND(ISNUMBER(G4121),ISNUMBER(H4121),H4121&gt;0),G4121/H4121-1,"")</x:f>
        <x:v>0.022336800803339774</x:v>
      </x:c>
      <x:c r="J4121" s="27" t="n">
        <x:f>IF(AND(ISNUMBER(G4121),F4121&gt;0),G4121/F4121-1,"")</x:f>
        <x:v>-0.10174788429923265</x:v>
      </x:c>
      <x:c r="K4121" s="19" t="str">
        <x:v>Weak/EXP248/results/seed798631754_Relative_cutoff_1e-2.json</x:v>
      </x:c>
    </x:row>
    <x:row r="4122" ht="15" hidden="0" customHeight="1">
      <x:c r="A4122" s="3" t="str">
        <x:v>EXP248</x:v>
      </x:c>
      <x:c r="B4122" s="3" t="str">
        <x:v>Weak</x:v>
      </x:c>
      <x:c r="C4122" s="18" t="n">
        <x:v>798631754</x:v>
      </x:c>
      <x:c r="D4122" s="3" t="str">
        <x:v>Relative cutoff 1e-4</x:v>
      </x:c>
      <x:c r="E4122" s="18" t="n">
        <x:v>800</x:v>
      </x:c>
      <x:c r="F4122" s="21" t="n">
        <x:v>329.28801881095853</x:v>
      </x:c>
      <x:c r="G4122" s="21" t="n">
        <x:f>F4115</x:f>
        <x:v>344.38717091749254</x:v>
      </x:c>
      <x:c r="H4122" s="21" t="n">
        <x:f>F4120</x:f>
        <x:v>336.8627351053755</x:v>
      </x:c>
      <x:c r="I4122" s="27" t="n">
        <x:f>IF(AND(ISNUMBER(G4122),ISNUMBER(H4122),H4122&gt;0),G4122/H4122-1,"")</x:f>
        <x:v>0.022336800803339774</x:v>
      </x:c>
      <x:c r="J4122" s="27" t="n">
        <x:f>IF(AND(ISNUMBER(G4122),F4122&gt;0),G4122/F4122-1,"")</x:f>
        <x:v>0.04585393711273267</x:v>
      </x:c>
      <x:c r="K4122" s="19" t="str">
        <x:v>Weak/EXP248/results/seed798631754_Relative_cutoff_1e-4.json</x:v>
      </x:c>
    </x:row>
    <x:row r="4123" ht="15" hidden="0" customHeight="1">
      <x:c r="A4123" s="3" t="str">
        <x:v>EXP248</x:v>
      </x:c>
      <x:c r="B4123" s="3" t="str">
        <x:v>Weak</x:v>
      </x:c>
      <x:c r="C4123" s="18" t="n">
        <x:v>905354740</x:v>
      </x:c>
      <x:c r="D4123" s="3" t="str">
        <x:v>BBP</x:v>
      </x:c>
      <x:c r="E4123" s="18" t="n">
        <x:v>800</x:v>
      </x:c>
      <x:c r="F4123" s="21" t="n">
        <x:v>388.4707503411139</x:v>
      </x:c>
      <x:c r="G4123" s="21" t="n">
        <x:f>F4123</x:f>
        <x:v>388.4707503411139</x:v>
      </x:c>
      <x:c r="H4123" s="21" t="n">
        <x:f>F4128</x:f>
        <x:v>382.05844390603227</x:v>
      </x:c>
      <x:c r="I4123" s="27" t="n">
        <x:f>IF(AND(ISNUMBER(G4123),ISNUMBER(H4123),H4123&gt;0),G4123/H4123-1,"")</x:f>
        <x:v>0.016783574705284465</x:v>
      </x:c>
      <x:c r="J4123" s="27" t="n">
        <x:f>IF(AND(ISNUMBER(G4123),F4123&gt;0),G4123/F4123-1,"")</x:f>
        <x:v>0</x:v>
      </x:c>
      <x:c r="K4123" s="19" t="str">
        <x:v>Weak/EXP248/results/seed905354740_BBP.json</x:v>
      </x:c>
    </x:row>
    <x:row r="4124" ht="15" hidden="0" customHeight="1">
      <x:c r="A4124" s="3" t="str">
        <x:v>EXP248</x:v>
      </x:c>
      <x:c r="B4124" s="3" t="str">
        <x:v>Weak</x:v>
      </x:c>
      <x:c r="C4124" s="18" t="n">
        <x:v>905354740</x:v>
      </x:c>
      <x:c r="D4124" s="3" t="str">
        <x:v>Relative cutoff 1e-5</x:v>
      </x:c>
      <x:c r="E4124" s="18" t="n">
        <x:v>800</x:v>
      </x:c>
      <x:c r="F4124" s="21" t="n">
        <x:v>384.3114928604114</x:v>
      </x:c>
      <x:c r="G4124" s="21" t="n">
        <x:f>F4123</x:f>
        <x:v>388.4707503411139</x:v>
      </x:c>
      <x:c r="H4124" s="21" t="n">
        <x:f>F4128</x:f>
        <x:v>382.05844390603227</x:v>
      </x:c>
      <x:c r="I4124" s="27" t="n">
        <x:f>IF(AND(ISNUMBER(G4124),ISNUMBER(H4124),H4124&gt;0),G4124/H4124-1,"")</x:f>
        <x:v>0.016783574705284465</x:v>
      </x:c>
      <x:c r="J4124" s="27" t="n">
        <x:f>IF(AND(ISNUMBER(G4124),F4124&gt;0),G4124/F4124-1,"")</x:f>
        <x:v>0.010822620603264665</x:v>
      </x:c>
      <x:c r="K4124" s="19" t="str">
        <x:v>Weak/EXP248/results/seed905354740_Relative_cutoff_1e-5.json</x:v>
      </x:c>
    </x:row>
    <x:row r="4125" ht="15" hidden="0" customHeight="1">
      <x:c r="A4125" s="3" t="str">
        <x:v>EXP248</x:v>
      </x:c>
      <x:c r="B4125" s="3" t="str">
        <x:v>Weak</x:v>
      </x:c>
      <x:c r="C4125" s="18" t="n">
        <x:v>905354740</x:v>
      </x:c>
      <x:c r="D4125" s="3" t="str">
        <x:v>Fixed rank 10</x:v>
      </x:c>
      <x:c r="E4125" s="18" t="n">
        <x:v>800</x:v>
      </x:c>
      <x:c r="F4125" s="21" t="n">
        <x:v>396.53292545180796</x:v>
      </x:c>
      <x:c r="G4125" s="21" t="n">
        <x:f>F4123</x:f>
        <x:v>388.4707503411139</x:v>
      </x:c>
      <x:c r="H4125" s="21" t="n">
        <x:f>F4128</x:f>
        <x:v>382.05844390603227</x:v>
      </x:c>
      <x:c r="I4125" s="27" t="n">
        <x:f>IF(AND(ISNUMBER(G4125),ISNUMBER(H4125),H4125&gt;0),G4125/H4125-1,"")</x:f>
        <x:v>0.016783574705284465</x:v>
      </x:c>
      <x:c r="J4125" s="27" t="n">
        <x:f>IF(AND(ISNUMBER(G4125),F4125&gt;0),G4125/F4125-1,"")</x:f>
        <x:v>-0.020331666283469496</x:v>
      </x:c>
      <x:c r="K4125" s="19" t="str">
        <x:v>Weak/EXP248/results/seed905354740_Fixed_rank_10.json</x:v>
      </x:c>
    </x:row>
    <x:row r="4126" ht="15" hidden="0" customHeight="1">
      <x:c r="A4126" s="3" t="str">
        <x:v>EXP248</x:v>
      </x:c>
      <x:c r="B4126" s="3" t="str">
        <x:v>Weak</x:v>
      </x:c>
      <x:c r="C4126" s="18" t="n">
        <x:v>905354740</x:v>
      </x:c>
      <x:c r="D4126" s="3" t="str">
        <x:v>Fixed rank 25</x:v>
      </x:c>
      <x:c r="E4126" s="18" t="n">
        <x:v>800</x:v>
      </x:c>
      <x:c r="F4126" s="21" t="n">
        <x:v>387.4447400901299</x:v>
      </x:c>
      <x:c r="G4126" s="21" t="n">
        <x:f>F4123</x:f>
        <x:v>388.4707503411139</x:v>
      </x:c>
      <x:c r="H4126" s="21" t="n">
        <x:f>F4128</x:f>
        <x:v>382.05844390603227</x:v>
      </x:c>
      <x:c r="I4126" s="27" t="n">
        <x:f>IF(AND(ISNUMBER(G4126),ISNUMBER(H4126),H4126&gt;0),G4126/H4126-1,"")</x:f>
        <x:v>0.016783574705284465</x:v>
      </x:c>
      <x:c r="J4126" s="27" t="n">
        <x:f>IF(AND(ISNUMBER(G4126),F4126&gt;0),G4126/F4126-1,"")</x:f>
        <x:v>0.002648146031729137</x:v>
      </x:c>
      <x:c r="K4126" s="19" t="str">
        <x:v>Weak/EXP248/results/seed905354740_Fixed_rank_25.json</x:v>
      </x:c>
    </x:row>
    <x:row r="4127" ht="15" hidden="0" customHeight="1">
      <x:c r="A4127" s="3" t="str">
        <x:v>EXP248</x:v>
      </x:c>
      <x:c r="B4127" s="3" t="str">
        <x:v>Weak</x:v>
      </x:c>
      <x:c r="C4127" s="18" t="n">
        <x:v>905354740</x:v>
      </x:c>
      <x:c r="D4127" s="3" t="str">
        <x:v>Relative cutoff 1e-6</x:v>
      </x:c>
      <x:c r="E4127" s="18" t="n">
        <x:v>800</x:v>
      </x:c>
      <x:c r="F4127" s="21" t="n">
        <x:v>391.757071363807</x:v>
      </x:c>
      <x:c r="G4127" s="21" t="n">
        <x:f>F4123</x:f>
        <x:v>388.4707503411139</x:v>
      </x:c>
      <x:c r="H4127" s="21" t="n">
        <x:f>F4128</x:f>
        <x:v>382.05844390603227</x:v>
      </x:c>
      <x:c r="I4127" s="27" t="n">
        <x:f>IF(AND(ISNUMBER(G4127),ISNUMBER(H4127),H4127&gt;0),G4127/H4127-1,"")</x:f>
        <x:v>0.016783574705284465</x:v>
      </x:c>
      <x:c r="J4127" s="27" t="n">
        <x:f>IF(AND(ISNUMBER(G4127),F4127&gt;0),G4127/F4127-1,"")</x:f>
        <x:v>-0.00838867058928261</x:v>
      </x:c>
      <x:c r="K4127" s="19" t="str">
        <x:v>Weak/EXP248/results/seed905354740_Relative_cutoff_1e-6.json</x:v>
      </x:c>
    </x:row>
    <x:row r="4128" ht="15" hidden="0" customHeight="1">
      <x:c r="A4128" s="3" t="str">
        <x:v>EXP248</x:v>
      </x:c>
      <x:c r="B4128" s="3" t="str">
        <x:v>Weak</x:v>
      </x:c>
      <x:c r="C4128" s="18" t="n">
        <x:v>905354740</x:v>
      </x:c>
      <x:c r="D4128" s="3" t="str">
        <x:v>Full</x:v>
      </x:c>
      <x:c r="E4128" s="18" t="n">
        <x:v>800</x:v>
      </x:c>
      <x:c r="F4128" s="21" t="n">
        <x:v>382.05844390603227</x:v>
      </x:c>
      <x:c r="G4128" s="21" t="n">
        <x:f>F4123</x:f>
        <x:v>388.4707503411139</x:v>
      </x:c>
      <x:c r="H4128" s="21" t="n">
        <x:f>F4128</x:f>
        <x:v>382.05844390603227</x:v>
      </x:c>
      <x:c r="I4128" s="27" t="n">
        <x:f>IF(AND(ISNUMBER(G4128),ISNUMBER(H4128),H4128&gt;0),G4128/H4128-1,"")</x:f>
        <x:v>0.016783574705284465</x:v>
      </x:c>
      <x:c r="J4128" s="27" t="n">
        <x:f>IF(AND(ISNUMBER(G4128),F4128&gt;0),G4128/F4128-1,"")</x:f>
        <x:v>0.016783574705284465</x:v>
      </x:c>
      <x:c r="K4128" s="19" t="str">
        <x:v>Weak/EXP248/results/seed905354740_Full.json</x:v>
      </x:c>
    </x:row>
    <x:row r="4129" ht="15" hidden="0" customHeight="1">
      <x:c r="A4129" s="3" t="str">
        <x:v>EXP248</x:v>
      </x:c>
      <x:c r="B4129" s="3" t="str">
        <x:v>Weak</x:v>
      </x:c>
      <x:c r="C4129" s="18" t="n">
        <x:v>905354740</x:v>
      </x:c>
      <x:c r="D4129" s="3" t="str">
        <x:v>Relative cutoff 1e-2</x:v>
      </x:c>
      <x:c r="E4129" s="18" t="n">
        <x:v>800</x:v>
      </x:c>
      <x:c r="F4129" s="21" t="n">
        <x:v>458.7826315017476</x:v>
      </x:c>
      <x:c r="G4129" s="21" t="n">
        <x:f>F4123</x:f>
        <x:v>388.4707503411139</x:v>
      </x:c>
      <x:c r="H4129" s="21" t="n">
        <x:f>F4128</x:f>
        <x:v>382.05844390603227</x:v>
      </x:c>
      <x:c r="I4129" s="27" t="n">
        <x:f>IF(AND(ISNUMBER(G4129),ISNUMBER(H4129),H4129&gt;0),G4129/H4129-1,"")</x:f>
        <x:v>0.016783574705284465</x:v>
      </x:c>
      <x:c r="J4129" s="27" t="n">
        <x:f>IF(AND(ISNUMBER(G4129),F4129&gt;0),G4129/F4129-1,"")</x:f>
        <x:v>-0.1532575043882537</x:v>
      </x:c>
      <x:c r="K4129" s="19" t="str">
        <x:v>Weak/EXP248/results/seed905354740_Relative_cutoff_1e-2.json</x:v>
      </x:c>
    </x:row>
    <x:row r="4130" ht="15" hidden="0" customHeight="1">
      <x:c r="A4130" s="3" t="str">
        <x:v>EXP248</x:v>
      </x:c>
      <x:c r="B4130" s="3" t="str">
        <x:v>Weak</x:v>
      </x:c>
      <x:c r="C4130" s="18" t="n">
        <x:v>905354740</x:v>
      </x:c>
      <x:c r="D4130" s="3" t="str">
        <x:v>Relative cutoff 1e-4</x:v>
      </x:c>
      <x:c r="E4130" s="18" t="n">
        <x:v>800</x:v>
      </x:c>
      <x:c r="F4130" s="21" t="n">
        <x:v>385.7550271470234</x:v>
      </x:c>
      <x:c r="G4130" s="21" t="n">
        <x:f>F4123</x:f>
        <x:v>388.4707503411139</x:v>
      </x:c>
      <x:c r="H4130" s="21" t="n">
        <x:f>F4128</x:f>
        <x:v>382.05844390603227</x:v>
      </x:c>
      <x:c r="I4130" s="27" t="n">
        <x:f>IF(AND(ISNUMBER(G4130),ISNUMBER(H4130),H4130&gt;0),G4130/H4130-1,"")</x:f>
        <x:v>0.016783574705284465</x:v>
      </x:c>
      <x:c r="J4130" s="27" t="n">
        <x:f>IF(AND(ISNUMBER(G4130),F4130&gt;0),G4130/F4130-1,"")</x:f>
        <x:v>0.007040020227799815</x:v>
      </x:c>
      <x:c r="K4130" s="19" t="str">
        <x:v>Weak/EXP248/results/seed905354740_Relative_cutoff_1e-4.json</x:v>
      </x:c>
    </x:row>
    <x:row r="4131" ht="15" hidden="0" customHeight="1">
      <x:c r="A4131" s="3" t="str">
        <x:v>EXP248</x:v>
      </x:c>
      <x:c r="B4131" s="3" t="str">
        <x:v>Weak</x:v>
      </x:c>
      <x:c r="C4131" s="18" t="n">
        <x:v>928245824</x:v>
      </x:c>
      <x:c r="D4131" s="3" t="str">
        <x:v>BBP</x:v>
      </x:c>
      <x:c r="E4131" s="18" t="n">
        <x:v>800</x:v>
      </x:c>
      <x:c r="F4131" s="21" t="n">
        <x:v>387.3815252292628</x:v>
      </x:c>
      <x:c r="G4131" s="21" t="n">
        <x:f>F4131</x:f>
        <x:v>387.3815252292628</x:v>
      </x:c>
      <x:c r="H4131" s="21" t="n">
        <x:f>F4136</x:f>
        <x:v>386.3316875323162</x:v>
      </x:c>
      <x:c r="I4131" s="27" t="n">
        <x:f>IF(AND(ISNUMBER(G4131),ISNUMBER(H4131),H4131&gt;0),G4131/H4131-1,"")</x:f>
        <x:v>0.0027174516893822</x:v>
      </x:c>
      <x:c r="J4131" s="27" t="n">
        <x:f>IF(AND(ISNUMBER(G4131),F4131&gt;0),G4131/F4131-1,"")</x:f>
        <x:v>0</x:v>
      </x:c>
      <x:c r="K4131" s="19" t="str">
        <x:v>Weak/EXP248/results/seed928245824_BBP.json</x:v>
      </x:c>
    </x:row>
    <x:row r="4132" ht="15" hidden="0" customHeight="1">
      <x:c r="A4132" s="3" t="str">
        <x:v>EXP248</x:v>
      </x:c>
      <x:c r="B4132" s="3" t="str">
        <x:v>Weak</x:v>
      </x:c>
      <x:c r="C4132" s="18" t="n">
        <x:v>928245824</x:v>
      </x:c>
      <x:c r="D4132" s="3" t="str">
        <x:v>Relative cutoff 1e-5</x:v>
      </x:c>
      <x:c r="E4132" s="18" t="n">
        <x:v>800</x:v>
      </x:c>
      <x:c r="F4132" s="21" t="n">
        <x:v>399.2213636594688</x:v>
      </x:c>
      <x:c r="G4132" s="21" t="n">
        <x:f>F4131</x:f>
        <x:v>387.3815252292628</x:v>
      </x:c>
      <x:c r="H4132" s="21" t="n">
        <x:f>F4136</x:f>
        <x:v>386.3316875323162</x:v>
      </x:c>
      <x:c r="I4132" s="27" t="n">
        <x:f>IF(AND(ISNUMBER(G4132),ISNUMBER(H4132),H4132&gt;0),G4132/H4132-1,"")</x:f>
        <x:v>0.0027174516893822</x:v>
      </x:c>
      <x:c r="J4132" s="27" t="n">
        <x:f>IF(AND(ISNUMBER(G4132),F4132&gt;0),G4132/F4132-1,"")</x:f>
        <x:v>-0.02965732675645394</x:v>
      </x:c>
      <x:c r="K4132" s="19" t="str">
        <x:v>Weak/EXP248/results/seed928245824_Relative_cutoff_1e-5.json</x:v>
      </x:c>
    </x:row>
    <x:row r="4133" ht="15" hidden="0" customHeight="1">
      <x:c r="A4133" s="3" t="str">
        <x:v>EXP248</x:v>
      </x:c>
      <x:c r="B4133" s="3" t="str">
        <x:v>Weak</x:v>
      </x:c>
      <x:c r="C4133" s="18" t="n">
        <x:v>928245824</x:v>
      </x:c>
      <x:c r="D4133" s="3" t="str">
        <x:v>Fixed rank 10</x:v>
      </x:c>
      <x:c r="E4133" s="18" t="n">
        <x:v>800</x:v>
      </x:c>
      <x:c r="F4133" s="21" t="n">
        <x:v>390.8490481423854</x:v>
      </x:c>
      <x:c r="G4133" s="21" t="n">
        <x:f>F4131</x:f>
        <x:v>387.3815252292628</x:v>
      </x:c>
      <x:c r="H4133" s="21" t="n">
        <x:f>F4136</x:f>
        <x:v>386.3316875323162</x:v>
      </x:c>
      <x:c r="I4133" s="27" t="n">
        <x:f>IF(AND(ISNUMBER(G4133),ISNUMBER(H4133),H4133&gt;0),G4133/H4133-1,"")</x:f>
        <x:v>0.0027174516893822</x:v>
      </x:c>
      <x:c r="J4133" s="27" t="n">
        <x:f>IF(AND(ISNUMBER(G4133),F4133&gt;0),G4133/F4133-1,"")</x:f>
        <x:v>-0.008871770136329893</x:v>
      </x:c>
      <x:c r="K4133" s="19" t="str">
        <x:v>Weak/EXP248/results/seed928245824_Fixed_rank_10.json</x:v>
      </x:c>
    </x:row>
    <x:row r="4134" ht="15" hidden="0" customHeight="1">
      <x:c r="A4134" s="3" t="str">
        <x:v>EXP248</x:v>
      </x:c>
      <x:c r="B4134" s="3" t="str">
        <x:v>Weak</x:v>
      </x:c>
      <x:c r="C4134" s="18" t="n">
        <x:v>928245824</x:v>
      </x:c>
      <x:c r="D4134" s="3" t="str">
        <x:v>Fixed rank 25</x:v>
      </x:c>
      <x:c r="E4134" s="18" t="n">
        <x:v>800</x:v>
      </x:c>
      <x:c r="F4134" s="21" t="n">
        <x:v>353.98440495454804</x:v>
      </x:c>
      <x:c r="G4134" s="21" t="n">
        <x:f>F4131</x:f>
        <x:v>387.3815252292628</x:v>
      </x:c>
      <x:c r="H4134" s="21" t="n">
        <x:f>F4136</x:f>
        <x:v>386.3316875323162</x:v>
      </x:c>
      <x:c r="I4134" s="27" t="n">
        <x:f>IF(AND(ISNUMBER(G4134),ISNUMBER(H4134),H4134&gt;0),G4134/H4134-1,"")</x:f>
        <x:v>0.0027174516893822</x:v>
      </x:c>
      <x:c r="J4134" s="27" t="n">
        <x:f>IF(AND(ISNUMBER(G4134),F4134&gt;0),G4134/F4134-1,"")</x:f>
        <x:v>0.09434630398195942</x:v>
      </x:c>
      <x:c r="K4134" s="19" t="str">
        <x:v>Weak/EXP248/results/seed928245824_Fixed_rank_25.json</x:v>
      </x:c>
    </x:row>
    <x:row r="4135" ht="15" hidden="0" customHeight="1">
      <x:c r="A4135" s="3" t="str">
        <x:v>EXP248</x:v>
      </x:c>
      <x:c r="B4135" s="3" t="str">
        <x:v>Weak</x:v>
      </x:c>
      <x:c r="C4135" s="18" t="n">
        <x:v>928245824</x:v>
      </x:c>
      <x:c r="D4135" s="3" t="str">
        <x:v>Relative cutoff 1e-6</x:v>
      </x:c>
      <x:c r="E4135" s="18" t="n">
        <x:v>800</x:v>
      </x:c>
      <x:c r="F4135" s="21" t="n">
        <x:v>387.8045913843805</x:v>
      </x:c>
      <x:c r="G4135" s="21" t="n">
        <x:f>F4131</x:f>
        <x:v>387.3815252292628</x:v>
      </x:c>
      <x:c r="H4135" s="21" t="n">
        <x:f>F4136</x:f>
        <x:v>386.3316875323162</x:v>
      </x:c>
      <x:c r="I4135" s="27" t="n">
        <x:f>IF(AND(ISNUMBER(G4135),ISNUMBER(H4135),H4135&gt;0),G4135/H4135-1,"")</x:f>
        <x:v>0.0027174516893822</x:v>
      </x:c>
      <x:c r="J4135" s="27" t="n">
        <x:f>IF(AND(ISNUMBER(G4135),F4135&gt;0),G4135/F4135-1,"")</x:f>
        <x:v>-0.0010909261120591873</x:v>
      </x:c>
      <x:c r="K4135" s="19" t="str">
        <x:v>Weak/EXP248/results/seed928245824_Relative_cutoff_1e-6.json</x:v>
      </x:c>
    </x:row>
    <x:row r="4136" ht="15" hidden="0" customHeight="1">
      <x:c r="A4136" s="3" t="str">
        <x:v>EXP248</x:v>
      </x:c>
      <x:c r="B4136" s="3" t="str">
        <x:v>Weak</x:v>
      </x:c>
      <x:c r="C4136" s="18" t="n">
        <x:v>928245824</x:v>
      </x:c>
      <x:c r="D4136" s="3" t="str">
        <x:v>Full</x:v>
      </x:c>
      <x:c r="E4136" s="18" t="n">
        <x:v>800</x:v>
      </x:c>
      <x:c r="F4136" s="21" t="n">
        <x:v>386.3316875323162</x:v>
      </x:c>
      <x:c r="G4136" s="21" t="n">
        <x:f>F4131</x:f>
        <x:v>387.3815252292628</x:v>
      </x:c>
      <x:c r="H4136" s="21" t="n">
        <x:f>F4136</x:f>
        <x:v>386.3316875323162</x:v>
      </x:c>
      <x:c r="I4136" s="27" t="n">
        <x:f>IF(AND(ISNUMBER(G4136),ISNUMBER(H4136),H4136&gt;0),G4136/H4136-1,"")</x:f>
        <x:v>0.0027174516893822</x:v>
      </x:c>
      <x:c r="J4136" s="27" t="n">
        <x:f>IF(AND(ISNUMBER(G4136),F4136&gt;0),G4136/F4136-1,"")</x:f>
        <x:v>0.0027174516893822</x:v>
      </x:c>
      <x:c r="K4136" s="19" t="str">
        <x:v>Weak/EXP248/results/seed928245824_Full.json</x:v>
      </x:c>
    </x:row>
    <x:row r="4137" ht="15" hidden="0" customHeight="1">
      <x:c r="A4137" s="3" t="str">
        <x:v>EXP248</x:v>
      </x:c>
      <x:c r="B4137" s="3" t="str">
        <x:v>Weak</x:v>
      </x:c>
      <x:c r="C4137" s="18" t="n">
        <x:v>928245824</x:v>
      </x:c>
      <x:c r="D4137" s="3" t="str">
        <x:v>Relative cutoff 1e-2</x:v>
      </x:c>
      <x:c r="E4137" s="18" t="n">
        <x:v>800</x:v>
      </x:c>
      <x:c r="F4137" s="21" t="n">
        <x:v>502.0696024279263</x:v>
      </x:c>
      <x:c r="G4137" s="21" t="n">
        <x:f>F4131</x:f>
        <x:v>387.3815252292628</x:v>
      </x:c>
      <x:c r="H4137" s="21" t="n">
        <x:f>F4136</x:f>
        <x:v>386.3316875323162</x:v>
      </x:c>
      <x:c r="I4137" s="27" t="n">
        <x:f>IF(AND(ISNUMBER(G4137),ISNUMBER(H4137),H4137&gt;0),G4137/H4137-1,"")</x:f>
        <x:v>0.0027174516893822</x:v>
      </x:c>
      <x:c r="J4137" s="27" t="n">
        <x:f>IF(AND(ISNUMBER(G4137),F4137&gt;0),G4137/F4137-1,"")</x:f>
        <x:v>-0.22843063321111412</x:v>
      </x:c>
      <x:c r="K4137" s="19" t="str">
        <x:v>Weak/EXP248/results/seed928245824_Relative_cutoff_1e-2.json</x:v>
      </x:c>
    </x:row>
    <x:row r="4138" ht="15" hidden="0" customHeight="1">
      <x:c r="A4138" s="3" t="str">
        <x:v>EXP248</x:v>
      </x:c>
      <x:c r="B4138" s="3" t="str">
        <x:v>Weak</x:v>
      </x:c>
      <x:c r="C4138" s="18" t="n">
        <x:v>928245824</x:v>
      </x:c>
      <x:c r="D4138" s="3" t="str">
        <x:v>Relative cutoff 1e-4</x:v>
      </x:c>
      <x:c r="E4138" s="18" t="n">
        <x:v>800</x:v>
      </x:c>
      <x:c r="F4138" s="21" t="n">
        <x:v>369.66191264216025</x:v>
      </x:c>
      <x:c r="G4138" s="21" t="n">
        <x:f>F4131</x:f>
        <x:v>387.3815252292628</x:v>
      </x:c>
      <x:c r="H4138" s="21" t="n">
        <x:f>F4136</x:f>
        <x:v>386.3316875323162</x:v>
      </x:c>
      <x:c r="I4138" s="27" t="n">
        <x:f>IF(AND(ISNUMBER(G4138),ISNUMBER(H4138),H4138&gt;0),G4138/H4138-1,"")</x:f>
        <x:v>0.0027174516893822</x:v>
      </x:c>
      <x:c r="J4138" s="27" t="n">
        <x:f>IF(AND(ISNUMBER(G4138),F4138&gt;0),G4138/F4138-1,"")</x:f>
        <x:v>0.04793464509354384</x:v>
      </x:c>
      <x:c r="K4138" s="19" t="str">
        <x:v>Weak/EXP248/results/seed928245824_Relative_cutoff_1e-4.json</x:v>
      </x:c>
    </x:row>
    <x:row r="4139" ht="15" hidden="0" customHeight="1">
      <x:c r="A4139" s="3" t="str">
        <x:v>EXP248</x:v>
      </x:c>
      <x:c r="B4139" s="3" t="str">
        <x:v>Weak</x:v>
      </x:c>
      <x:c r="C4139" s="18" t="n">
        <x:v>945338736</x:v>
      </x:c>
      <x:c r="D4139" s="3" t="str">
        <x:v>BBP</x:v>
      </x:c>
      <x:c r="E4139" s="18" t="n">
        <x:v>800</x:v>
      </x:c>
      <x:c r="F4139" s="21" t="n">
        <x:v>400.3720247851615</x:v>
      </x:c>
      <x:c r="G4139" s="21" t="n">
        <x:f>F4139</x:f>
        <x:v>400.3720247851615</x:v>
      </x:c>
      <x:c r="H4139" s="21" t="n">
        <x:f>F4144</x:f>
        <x:v>393.60739676018966</x:v>
      </x:c>
      <x:c r="I4139" s="27" t="n">
        <x:f>IF(AND(ISNUMBER(G4139),ISNUMBER(H4139),H4139&gt;0),G4139/H4139-1,"")</x:f>
        <x:v>0.017186231967823762</x:v>
      </x:c>
      <x:c r="J4139" s="27" t="n">
        <x:f>IF(AND(ISNUMBER(G4139),F4139&gt;0),G4139/F4139-1,"")</x:f>
        <x:v>0</x:v>
      </x:c>
      <x:c r="K4139" s="19" t="str">
        <x:v>Weak/EXP248/results/seed945338736_BBP.json</x:v>
      </x:c>
    </x:row>
    <x:row r="4140" ht="15" hidden="0" customHeight="1">
      <x:c r="A4140" s="3" t="str">
        <x:v>EXP248</x:v>
      </x:c>
      <x:c r="B4140" s="3" t="str">
        <x:v>Weak</x:v>
      </x:c>
      <x:c r="C4140" s="18" t="n">
        <x:v>945338736</x:v>
      </x:c>
      <x:c r="D4140" s="3" t="str">
        <x:v>Relative cutoff 1e-5</x:v>
      </x:c>
      <x:c r="E4140" s="18" t="n">
        <x:v>800</x:v>
      </x:c>
      <x:c r="F4140" s="21" t="n">
        <x:v>375.07234223384086</x:v>
      </x:c>
      <x:c r="G4140" s="21" t="n">
        <x:f>F4139</x:f>
        <x:v>400.3720247851615</x:v>
      </x:c>
      <x:c r="H4140" s="21" t="n">
        <x:f>F4144</x:f>
        <x:v>393.60739676018966</x:v>
      </x:c>
      <x:c r="I4140" s="27" t="n">
        <x:f>IF(AND(ISNUMBER(G4140),ISNUMBER(H4140),H4140&gt;0),G4140/H4140-1,"")</x:f>
        <x:v>0.017186231967823762</x:v>
      </x:c>
      <x:c r="J4140" s="27" t="n">
        <x:f>IF(AND(ISNUMBER(G4140),F4140&gt;0),G4140/F4140-1,"")</x:f>
        <x:v>0.06745280763876593</x:v>
      </x:c>
      <x:c r="K4140" s="19" t="str">
        <x:v>Weak/EXP248/results/seed945338736_Relative_cutoff_1e-5.json</x:v>
      </x:c>
    </x:row>
    <x:row r="4141" ht="15" hidden="0" customHeight="1">
      <x:c r="A4141" s="3" t="str">
        <x:v>EXP248</x:v>
      </x:c>
      <x:c r="B4141" s="3" t="str">
        <x:v>Weak</x:v>
      </x:c>
      <x:c r="C4141" s="18" t="n">
        <x:v>945338736</x:v>
      </x:c>
      <x:c r="D4141" s="3" t="str">
        <x:v>Fixed rank 10</x:v>
      </x:c>
      <x:c r="E4141" s="18" t="n">
        <x:v>800</x:v>
      </x:c>
      <x:c r="F4141" s="21" t="n">
        <x:v>443.80819388288455</x:v>
      </x:c>
      <x:c r="G4141" s="21" t="n">
        <x:f>F4139</x:f>
        <x:v>400.3720247851615</x:v>
      </x:c>
      <x:c r="H4141" s="21" t="n">
        <x:f>F4144</x:f>
        <x:v>393.60739676018966</x:v>
      </x:c>
      <x:c r="I4141" s="27" t="n">
        <x:f>IF(AND(ISNUMBER(G4141),ISNUMBER(H4141),H4141&gt;0),G4141/H4141-1,"")</x:f>
        <x:v>0.017186231967823762</x:v>
      </x:c>
      <x:c r="J4141" s="27" t="n">
        <x:f>IF(AND(ISNUMBER(G4141),F4141&gt;0),G4141/F4141-1,"")</x:f>
        <x:v>-0.09787148974808091</x:v>
      </x:c>
      <x:c r="K4141" s="19" t="str">
        <x:v>Weak/EXP248/results/seed945338736_Fixed_rank_10.json</x:v>
      </x:c>
    </x:row>
    <x:row r="4142" ht="15" hidden="0" customHeight="1">
      <x:c r="A4142" s="3" t="str">
        <x:v>EXP248</x:v>
      </x:c>
      <x:c r="B4142" s="3" t="str">
        <x:v>Weak</x:v>
      </x:c>
      <x:c r="C4142" s="18" t="n">
        <x:v>945338736</x:v>
      </x:c>
      <x:c r="D4142" s="3" t="str">
        <x:v>Fixed rank 25</x:v>
      </x:c>
      <x:c r="E4142" s="18" t="n">
        <x:v>800</x:v>
      </x:c>
      <x:c r="F4142" s="21" t="n">
        <x:v>400.2570884445622</x:v>
      </x:c>
      <x:c r="G4142" s="21" t="n">
        <x:f>F4139</x:f>
        <x:v>400.3720247851615</x:v>
      </x:c>
      <x:c r="H4142" s="21" t="n">
        <x:f>F4144</x:f>
        <x:v>393.60739676018966</x:v>
      </x:c>
      <x:c r="I4142" s="27" t="n">
        <x:f>IF(AND(ISNUMBER(G4142),ISNUMBER(H4142),H4142&gt;0),G4142/H4142-1,"")</x:f>
        <x:v>0.017186231967823762</x:v>
      </x:c>
      <x:c r="J4142" s="27" t="n">
        <x:f>IF(AND(ISNUMBER(G4142),F4142&gt;0),G4142/F4142-1,"")</x:f>
        <x:v>0.00028715629008835286</x:v>
      </x:c>
      <x:c r="K4142" s="19" t="str">
        <x:v>Weak/EXP248/results/seed945338736_Fixed_rank_25.json</x:v>
      </x:c>
    </x:row>
    <x:row r="4143" ht="15" hidden="0" customHeight="1">
      <x:c r="A4143" s="3" t="str">
        <x:v>EXP248</x:v>
      </x:c>
      <x:c r="B4143" s="3" t="str">
        <x:v>Weak</x:v>
      </x:c>
      <x:c r="C4143" s="18" t="n">
        <x:v>945338736</x:v>
      </x:c>
      <x:c r="D4143" s="3" t="str">
        <x:v>Relative cutoff 1e-6</x:v>
      </x:c>
      <x:c r="E4143" s="18" t="n">
        <x:v>800</x:v>
      </x:c>
      <x:c r="F4143" s="21" t="n">
        <x:v>388.6069816184156</x:v>
      </x:c>
      <x:c r="G4143" s="21" t="n">
        <x:f>F4139</x:f>
        <x:v>400.3720247851615</x:v>
      </x:c>
      <x:c r="H4143" s="21" t="n">
        <x:f>F4144</x:f>
        <x:v>393.60739676018966</x:v>
      </x:c>
      <x:c r="I4143" s="27" t="n">
        <x:f>IF(AND(ISNUMBER(G4143),ISNUMBER(H4143),H4143&gt;0),G4143/H4143-1,"")</x:f>
        <x:v>0.017186231967823762</x:v>
      </x:c>
      <x:c r="J4143" s="27" t="n">
        <x:f>IF(AND(ISNUMBER(G4143),F4143&gt;0),G4143/F4143-1,"")</x:f>
        <x:v>0.03027491456213305</x:v>
      </x:c>
      <x:c r="K4143" s="19" t="str">
        <x:v>Weak/EXP248/results/seed945338736_Relative_cutoff_1e-6.json</x:v>
      </x:c>
    </x:row>
    <x:row r="4144" ht="15" hidden="0" customHeight="1">
      <x:c r="A4144" s="3" t="str">
        <x:v>EXP248</x:v>
      </x:c>
      <x:c r="B4144" s="3" t="str">
        <x:v>Weak</x:v>
      </x:c>
      <x:c r="C4144" s="18" t="n">
        <x:v>945338736</x:v>
      </x:c>
      <x:c r="D4144" s="3" t="str">
        <x:v>Full</x:v>
      </x:c>
      <x:c r="E4144" s="18" t="n">
        <x:v>800</x:v>
      </x:c>
      <x:c r="F4144" s="21" t="n">
        <x:v>393.60739676018966</x:v>
      </x:c>
      <x:c r="G4144" s="21" t="n">
        <x:f>F4139</x:f>
        <x:v>400.3720247851615</x:v>
      </x:c>
      <x:c r="H4144" s="21" t="n">
        <x:f>F4144</x:f>
        <x:v>393.60739676018966</x:v>
      </x:c>
      <x:c r="I4144" s="27" t="n">
        <x:f>IF(AND(ISNUMBER(G4144),ISNUMBER(H4144),H4144&gt;0),G4144/H4144-1,"")</x:f>
        <x:v>0.017186231967823762</x:v>
      </x:c>
      <x:c r="J4144" s="27" t="n">
        <x:f>IF(AND(ISNUMBER(G4144),F4144&gt;0),G4144/F4144-1,"")</x:f>
        <x:v>0.017186231967823762</x:v>
      </x:c>
      <x:c r="K4144" s="19" t="str">
        <x:v>Weak/EXP248/results/seed945338736_Full.json</x:v>
      </x:c>
    </x:row>
    <x:row r="4145" ht="15" hidden="0" customHeight="1">
      <x:c r="A4145" s="3" t="str">
        <x:v>EXP248</x:v>
      </x:c>
      <x:c r="B4145" s="3" t="str">
        <x:v>Weak</x:v>
      </x:c>
      <x:c r="C4145" s="18" t="n">
        <x:v>945338736</x:v>
      </x:c>
      <x:c r="D4145" s="3" t="str">
        <x:v>Relative cutoff 1e-2</x:v>
      </x:c>
      <x:c r="E4145" s="18" t="n">
        <x:v>800</x:v>
      </x:c>
      <x:c r="F4145" s="21" t="n">
        <x:v>484.8751331547595</x:v>
      </x:c>
      <x:c r="G4145" s="21" t="n">
        <x:f>F4139</x:f>
        <x:v>400.3720247851615</x:v>
      </x:c>
      <x:c r="H4145" s="21" t="n">
        <x:f>F4144</x:f>
        <x:v>393.60739676018966</x:v>
      </x:c>
      <x:c r="I4145" s="27" t="n">
        <x:f>IF(AND(ISNUMBER(G4145),ISNUMBER(H4145),H4145&gt;0),G4145/H4145-1,"")</x:f>
        <x:v>0.017186231967823762</x:v>
      </x:c>
      <x:c r="J4145" s="27" t="n">
        <x:f>IF(AND(ISNUMBER(G4145),F4145&gt;0),G4145/F4145-1,"")</x:f>
        <x:v>-0.17427808231738462</x:v>
      </x:c>
      <x:c r="K4145" s="19" t="str">
        <x:v>Weak/EXP248/results/seed945338736_Relative_cutoff_1e-2.json</x:v>
      </x:c>
    </x:row>
    <x:row r="4146" ht="15" hidden="0" customHeight="1">
      <x:c r="A4146" s="3" t="str">
        <x:v>EXP248</x:v>
      </x:c>
      <x:c r="B4146" s="3" t="str">
        <x:v>Weak</x:v>
      </x:c>
      <x:c r="C4146" s="18" t="n">
        <x:v>945338736</x:v>
      </x:c>
      <x:c r="D4146" s="3" t="str">
        <x:v>Relative cutoff 1e-4</x:v>
      </x:c>
      <x:c r="E4146" s="18" t="n">
        <x:v>800</x:v>
      </x:c>
      <x:c r="F4146" s="21" t="n">
        <x:v>407.6270517275008</x:v>
      </x:c>
      <x:c r="G4146" s="21" t="n">
        <x:f>F4139</x:f>
        <x:v>400.3720247851615</x:v>
      </x:c>
      <x:c r="H4146" s="21" t="n">
        <x:f>F4144</x:f>
        <x:v>393.60739676018966</x:v>
      </x:c>
      <x:c r="I4146" s="27" t="n">
        <x:f>IF(AND(ISNUMBER(G4146),ISNUMBER(H4146),H4146&gt;0),G4146/H4146-1,"")</x:f>
        <x:v>0.017186231967823762</x:v>
      </x:c>
      <x:c r="J4146" s="27" t="n">
        <x:f>IF(AND(ISNUMBER(G4146),F4146&gt;0),G4146/F4146-1,"")</x:f>
        <x:v>-0.017798197915454672</x:v>
      </x:c>
      <x:c r="K4146" s="19" t="str">
        <x:v>Weak/EXP248/results/seed945338736_Relative_cutoff_1e-4.json</x:v>
      </x:c>
    </x:row>
    <x:row r="4147" ht="15" hidden="0" customHeight="1">
      <x:c r="A4147" s="3" t="str">
        <x:v>EXP248</x:v>
      </x:c>
      <x:c r="B4147" s="3" t="str">
        <x:v>Weak</x:v>
      </x:c>
      <x:c r="C4147" s="18" t="n">
        <x:v>999739978</x:v>
      </x:c>
      <x:c r="D4147" s="3" t="str">
        <x:v>BBP</x:v>
      </x:c>
      <x:c r="E4147" s="18" t="n">
        <x:v>800</x:v>
      </x:c>
      <x:c r="F4147" s="21" t="n">
        <x:v>290.38683637517147</x:v>
      </x:c>
      <x:c r="G4147" s="21" t="n">
        <x:f>F4147</x:f>
        <x:v>290.38683637517147</x:v>
      </x:c>
      <x:c r="H4147" s="21" t="n">
        <x:f>F4152</x:f>
        <x:v>284.6657502054273</x:v>
      </x:c>
      <x:c r="I4147" s="27" t="n">
        <x:f>IF(AND(ISNUMBER(G4147),ISNUMBER(H4147),H4147&gt;0),G4147/H4147-1,"")</x:f>
        <x:v>0.02009755710202432</x:v>
      </x:c>
      <x:c r="J4147" s="27" t="n">
        <x:f>IF(AND(ISNUMBER(G4147),F4147&gt;0),G4147/F4147-1,"")</x:f>
        <x:v>0</x:v>
      </x:c>
      <x:c r="K4147" s="19" t="str">
        <x:v>Weak/EXP248/results/seed999739978_BBP.json</x:v>
      </x:c>
    </x:row>
    <x:row r="4148" ht="15" hidden="0" customHeight="1">
      <x:c r="A4148" s="3" t="str">
        <x:v>EXP248</x:v>
      </x:c>
      <x:c r="B4148" s="3" t="str">
        <x:v>Weak</x:v>
      </x:c>
      <x:c r="C4148" s="18" t="n">
        <x:v>999739978</x:v>
      </x:c>
      <x:c r="D4148" s="3" t="str">
        <x:v>Relative cutoff 1e-5</x:v>
      </x:c>
      <x:c r="E4148" s="18" t="n">
        <x:v>800</x:v>
      </x:c>
      <x:c r="F4148" s="21" t="n">
        <x:v>298.6350352844457</x:v>
      </x:c>
      <x:c r="G4148" s="21" t="n">
        <x:f>F4147</x:f>
        <x:v>290.38683637517147</x:v>
      </x:c>
      <x:c r="H4148" s="21" t="n">
        <x:f>F4152</x:f>
        <x:v>284.6657502054273</x:v>
      </x:c>
      <x:c r="I4148" s="27" t="n">
        <x:f>IF(AND(ISNUMBER(G4148),ISNUMBER(H4148),H4148&gt;0),G4148/H4148-1,"")</x:f>
        <x:v>0.02009755710202432</x:v>
      </x:c>
      <x:c r="J4148" s="27" t="n">
        <x:f>IF(AND(ISNUMBER(G4148),F4148&gt;0),G4148/F4148-1,"")</x:f>
        <x:v>-0.027619662580507076</x:v>
      </x:c>
      <x:c r="K4148" s="19" t="str">
        <x:v>Weak/EXP248/results/seed999739978_Relative_cutoff_1e-5.json</x:v>
      </x:c>
    </x:row>
    <x:row r="4149" ht="15" hidden="0" customHeight="1">
      <x:c r="A4149" s="3" t="str">
        <x:v>EXP248</x:v>
      </x:c>
      <x:c r="B4149" s="3" t="str">
        <x:v>Weak</x:v>
      </x:c>
      <x:c r="C4149" s="18" t="n">
        <x:v>999739978</x:v>
      </x:c>
      <x:c r="D4149" s="3" t="str">
        <x:v>Fixed rank 10</x:v>
      </x:c>
      <x:c r="E4149" s="18" t="n">
        <x:v>800</x:v>
      </x:c>
      <x:c r="F4149" s="21" t="n">
        <x:v>288.8507911248817</x:v>
      </x:c>
      <x:c r="G4149" s="21" t="n">
        <x:f>F4147</x:f>
        <x:v>290.38683637517147</x:v>
      </x:c>
      <x:c r="H4149" s="21" t="n">
        <x:f>F4152</x:f>
        <x:v>284.6657502054273</x:v>
      </x:c>
      <x:c r="I4149" s="27" t="n">
        <x:f>IF(AND(ISNUMBER(G4149),ISNUMBER(H4149),H4149&gt;0),G4149/H4149-1,"")</x:f>
        <x:v>0.02009755710202432</x:v>
      </x:c>
      <x:c r="J4149" s="27" t="n">
        <x:f>IF(AND(ISNUMBER(G4149),F4149&gt;0),G4149/F4149-1,"")</x:f>
        <x:v>0.005317781004884559</x:v>
      </x:c>
      <x:c r="K4149" s="19" t="str">
        <x:v>Weak/EXP248/results/seed999739978_Fixed_rank_10.json</x:v>
      </x:c>
    </x:row>
    <x:row r="4150" ht="15" hidden="0" customHeight="1">
      <x:c r="A4150" s="3" t="str">
        <x:v>EXP248</x:v>
      </x:c>
      <x:c r="B4150" s="3" t="str">
        <x:v>Weak</x:v>
      </x:c>
      <x:c r="C4150" s="18" t="n">
        <x:v>999739978</x:v>
      </x:c>
      <x:c r="D4150" s="3" t="str">
        <x:v>Fixed rank 25</x:v>
      </x:c>
      <x:c r="E4150" s="18" t="n">
        <x:v>800</x:v>
      </x:c>
      <x:c r="F4150" s="21" t="n">
        <x:v>287.4095845711742</x:v>
      </x:c>
      <x:c r="G4150" s="21" t="n">
        <x:f>F4147</x:f>
        <x:v>290.38683637517147</x:v>
      </x:c>
      <x:c r="H4150" s="21" t="n">
        <x:f>F4152</x:f>
        <x:v>284.6657502054273</x:v>
      </x:c>
      <x:c r="I4150" s="27" t="n">
        <x:f>IF(AND(ISNUMBER(G4150),ISNUMBER(H4150),H4150&gt;0),G4150/H4150-1,"")</x:f>
        <x:v>0.02009755710202432</x:v>
      </x:c>
      <x:c r="J4150" s="27" t="n">
        <x:f>IF(AND(ISNUMBER(G4150),F4150&gt;0),G4150/F4150-1,"")</x:f>
        <x:v>0.010358916208168312</x:v>
      </x:c>
      <x:c r="K4150" s="19" t="str">
        <x:v>Weak/EXP248/results/seed999739978_Fixed_rank_25.json</x:v>
      </x:c>
    </x:row>
    <x:row r="4151" ht="15" hidden="0" customHeight="1">
      <x:c r="A4151" s="3" t="str">
        <x:v>EXP248</x:v>
      </x:c>
      <x:c r="B4151" s="3" t="str">
        <x:v>Weak</x:v>
      </x:c>
      <x:c r="C4151" s="18" t="n">
        <x:v>999739978</x:v>
      </x:c>
      <x:c r="D4151" s="3" t="str">
        <x:v>Relative cutoff 1e-6</x:v>
      </x:c>
      <x:c r="E4151" s="18" t="n">
        <x:v>800</x:v>
      </x:c>
      <x:c r="F4151" s="21" t="n">
        <x:v>273.28981876527246</x:v>
      </x:c>
      <x:c r="G4151" s="21" t="n">
        <x:f>F4147</x:f>
        <x:v>290.38683637517147</x:v>
      </x:c>
      <x:c r="H4151" s="21" t="n">
        <x:f>F4152</x:f>
        <x:v>284.6657502054273</x:v>
      </x:c>
      <x:c r="I4151" s="27" t="n">
        <x:f>IF(AND(ISNUMBER(G4151),ISNUMBER(H4151),H4151&gt;0),G4151/H4151-1,"")</x:f>
        <x:v>0.02009755710202432</x:v>
      </x:c>
      <x:c r="J4151" s="27" t="n">
        <x:f>IF(AND(ISNUMBER(G4151),F4151&gt;0),G4151/F4151-1,"")</x:f>
        <x:v>0.0625600239597055</x:v>
      </x:c>
      <x:c r="K4151" s="19" t="str">
        <x:v>Weak/EXP248/results/seed999739978_Relative_cutoff_1e-6.json</x:v>
      </x:c>
    </x:row>
    <x:row r="4152" ht="15" hidden="0" customHeight="1">
      <x:c r="A4152" s="3" t="str">
        <x:v>EXP248</x:v>
      </x:c>
      <x:c r="B4152" s="3" t="str">
        <x:v>Weak</x:v>
      </x:c>
      <x:c r="C4152" s="18" t="n">
        <x:v>999739978</x:v>
      </x:c>
      <x:c r="D4152" s="3" t="str">
        <x:v>Full</x:v>
      </x:c>
      <x:c r="E4152" s="18" t="n">
        <x:v>800</x:v>
      </x:c>
      <x:c r="F4152" s="21" t="n">
        <x:v>284.6657502054273</x:v>
      </x:c>
      <x:c r="G4152" s="21" t="n">
        <x:f>F4147</x:f>
        <x:v>290.38683637517147</x:v>
      </x:c>
      <x:c r="H4152" s="21" t="n">
        <x:f>F4152</x:f>
        <x:v>284.6657502054273</x:v>
      </x:c>
      <x:c r="I4152" s="27" t="n">
        <x:f>IF(AND(ISNUMBER(G4152),ISNUMBER(H4152),H4152&gt;0),G4152/H4152-1,"")</x:f>
        <x:v>0.02009755710202432</x:v>
      </x:c>
      <x:c r="J4152" s="27" t="n">
        <x:f>IF(AND(ISNUMBER(G4152),F4152&gt;0),G4152/F4152-1,"")</x:f>
        <x:v>0.02009755710202432</x:v>
      </x:c>
      <x:c r="K4152" s="19" t="str">
        <x:v>Weak/EXP248/results/seed999739978_Full.json</x:v>
      </x:c>
    </x:row>
    <x:row r="4153" ht="15" hidden="0" customHeight="1">
      <x:c r="A4153" s="3" t="str">
        <x:v>EXP248</x:v>
      </x:c>
      <x:c r="B4153" s="3" t="str">
        <x:v>Weak</x:v>
      </x:c>
      <x:c r="C4153" s="18" t="n">
        <x:v>999739978</x:v>
      </x:c>
      <x:c r="D4153" s="3" t="str">
        <x:v>Relative cutoff 1e-2</x:v>
      </x:c>
      <x:c r="E4153" s="18" t="n">
        <x:v>800</x:v>
      </x:c>
      <x:c r="F4153" s="21" t="n">
        <x:v>382.1082357923255</x:v>
      </x:c>
      <x:c r="G4153" s="21" t="n">
        <x:f>F4147</x:f>
        <x:v>290.38683637517147</x:v>
      </x:c>
      <x:c r="H4153" s="21" t="n">
        <x:f>F4152</x:f>
        <x:v>284.6657502054273</x:v>
      </x:c>
      <x:c r="I4153" s="27" t="n">
        <x:f>IF(AND(ISNUMBER(G4153),ISNUMBER(H4153),H4153&gt;0),G4153/H4153-1,"")</x:f>
        <x:v>0.02009755710202432</x:v>
      </x:c>
      <x:c r="J4153" s="27" t="n">
        <x:f>IF(AND(ISNUMBER(G4153),F4153&gt;0),G4153/F4153-1,"")</x:f>
        <x:v>-0.24004036245637028</x:v>
      </x:c>
      <x:c r="K4153" s="19" t="str">
        <x:v>Weak/EXP248/results/seed999739978_Relative_cutoff_1e-2.json</x:v>
      </x:c>
    </x:row>
    <x:row r="4154" ht="15" hidden="0" customHeight="1">
      <x:c r="A4154" s="3" t="str">
        <x:v>EXP248</x:v>
      </x:c>
      <x:c r="B4154" s="3" t="str">
        <x:v>Weak</x:v>
      </x:c>
      <x:c r="C4154" s="18" t="n">
        <x:v>999739978</x:v>
      </x:c>
      <x:c r="D4154" s="3" t="str">
        <x:v>Relative cutoff 1e-4</x:v>
      </x:c>
      <x:c r="E4154" s="18" t="n">
        <x:v>800</x:v>
      </x:c>
      <x:c r="F4154" s="21" t="n">
        <x:v>300.0316400480936</x:v>
      </x:c>
      <x:c r="G4154" s="21" t="n">
        <x:f>F4147</x:f>
        <x:v>290.38683637517147</x:v>
      </x:c>
      <x:c r="H4154" s="21" t="n">
        <x:f>F4152</x:f>
        <x:v>284.6657502054273</x:v>
      </x:c>
      <x:c r="I4154" s="27" t="n">
        <x:f>IF(AND(ISNUMBER(G4154),ISNUMBER(H4154),H4154&gt;0),G4154/H4154-1,"")</x:f>
        <x:v>0.02009755710202432</x:v>
      </x:c>
      <x:c r="J4154" s="27" t="n">
        <x:f>IF(AND(ISNUMBER(G4154),F4154&gt;0),G4154/F4154-1,"")</x:f>
        <x:v>-0.03214595524450725</x:v>
      </x:c>
      <x:c r="K4154" s="19" t="str">
        <x:v>Weak/EXP248/results/seed999739978_Relative_cutoff_1e-4.json</x:v>
      </x:c>
    </x:row>
    <x:row r="4155" ht="15" hidden="0" customHeight="1">
      <x:c r="A4155" s="3" t="str">
        <x:v>EXP248</x:v>
      </x:c>
      <x:c r="B4155" s="3" t="str">
        <x:v>Weak</x:v>
      </x:c>
      <x:c r="C4155" s="18" t="n">
        <x:v>1011245401</x:v>
      </x:c>
      <x:c r="D4155" s="3" t="str">
        <x:v>BBP</x:v>
      </x:c>
      <x:c r="E4155" s="18" t="n">
        <x:v>800</x:v>
      </x:c>
      <x:c r="F4155" s="21" t="n">
        <x:v>314.18229832811096</x:v>
      </x:c>
      <x:c r="G4155" s="21" t="n">
        <x:f>F4155</x:f>
        <x:v>314.18229832811096</x:v>
      </x:c>
      <x:c r="H4155" s="21" t="n">
        <x:f>F4160</x:f>
        <x:v>306.37543945649116</x:v>
      </x:c>
      <x:c r="I4155" s="27" t="n">
        <x:f>IF(AND(ISNUMBER(G4155),ISNUMBER(H4155),H4155&gt;0),G4155/H4155-1,"")</x:f>
        <x:v>0.025481346956104378</x:v>
      </x:c>
      <x:c r="J4155" s="27" t="n">
        <x:f>IF(AND(ISNUMBER(G4155),F4155&gt;0),G4155/F4155-1,"")</x:f>
        <x:v>0</x:v>
      </x:c>
      <x:c r="K4155" s="19" t="str">
        <x:v>Weak/EXP248/results/seed1011245401_BBP.json</x:v>
      </x:c>
    </x:row>
    <x:row r="4156" ht="15" hidden="0" customHeight="1">
      <x:c r="A4156" s="3" t="str">
        <x:v>EXP248</x:v>
      </x:c>
      <x:c r="B4156" s="3" t="str">
        <x:v>Weak</x:v>
      </x:c>
      <x:c r="C4156" s="18" t="n">
        <x:v>1011245401</x:v>
      </x:c>
      <x:c r="D4156" s="3" t="str">
        <x:v>Relative cutoff 1e-5</x:v>
      </x:c>
      <x:c r="E4156" s="18" t="n">
        <x:v>800</x:v>
      </x:c>
      <x:c r="F4156" s="21" t="n">
        <x:v>316.8052817493589</x:v>
      </x:c>
      <x:c r="G4156" s="21" t="n">
        <x:f>F4155</x:f>
        <x:v>314.18229832811096</x:v>
      </x:c>
      <x:c r="H4156" s="21" t="n">
        <x:f>F4160</x:f>
        <x:v>306.37543945649116</x:v>
      </x:c>
      <x:c r="I4156" s="27" t="n">
        <x:f>IF(AND(ISNUMBER(G4156),ISNUMBER(H4156),H4156&gt;0),G4156/H4156-1,"")</x:f>
        <x:v>0.025481346956104378</x:v>
      </x:c>
      <x:c r="J4156" s="27" t="n">
        <x:f>IF(AND(ISNUMBER(G4156),F4156&gt;0),G4156/F4156-1,"")</x:f>
        <x:v>-0.008279481348177575</x:v>
      </x:c>
      <x:c r="K4156" s="19" t="str">
        <x:v>Weak/EXP248/results/seed1011245401_Relative_cutoff_1e-5.json</x:v>
      </x:c>
    </x:row>
    <x:row r="4157" ht="15" hidden="0" customHeight="1">
      <x:c r="A4157" s="3" t="str">
        <x:v>EXP248</x:v>
      </x:c>
      <x:c r="B4157" s="3" t="str">
        <x:v>Weak</x:v>
      </x:c>
      <x:c r="C4157" s="18" t="n">
        <x:v>1011245401</x:v>
      </x:c>
      <x:c r="D4157" s="3" t="str">
        <x:v>Fixed rank 10</x:v>
      </x:c>
      <x:c r="E4157" s="18" t="n">
        <x:v>800</x:v>
      </x:c>
      <x:c r="F4157" s="21" t="n">
        <x:v>302.8682143220913</x:v>
      </x:c>
      <x:c r="G4157" s="21" t="n">
        <x:f>F4155</x:f>
        <x:v>314.18229832811096</x:v>
      </x:c>
      <x:c r="H4157" s="21" t="n">
        <x:f>F4160</x:f>
        <x:v>306.37543945649116</x:v>
      </x:c>
      <x:c r="I4157" s="27" t="n">
        <x:f>IF(AND(ISNUMBER(G4157),ISNUMBER(H4157),H4157&gt;0),G4157/H4157-1,"")</x:f>
        <x:v>0.025481346956104378</x:v>
      </x:c>
      <x:c r="J4157" s="27" t="n">
        <x:f>IF(AND(ISNUMBER(G4157),F4157&gt;0),G4157/F4157-1,"")</x:f>
        <x:v>0.037356458918424096</x:v>
      </x:c>
      <x:c r="K4157" s="19" t="str">
        <x:v>Weak/EXP248/results/seed1011245401_Fixed_rank_10.json</x:v>
      </x:c>
    </x:row>
    <x:row r="4158" ht="15" hidden="0" customHeight="1">
      <x:c r="A4158" s="3" t="str">
        <x:v>EXP248</x:v>
      </x:c>
      <x:c r="B4158" s="3" t="str">
        <x:v>Weak</x:v>
      </x:c>
      <x:c r="C4158" s="18" t="n">
        <x:v>1011245401</x:v>
      </x:c>
      <x:c r="D4158" s="3" t="str">
        <x:v>Fixed rank 25</x:v>
      </x:c>
      <x:c r="E4158" s="18" t="n">
        <x:v>800</x:v>
      </x:c>
      <x:c r="F4158" s="21" t="n">
        <x:v>319.8155519657147</x:v>
      </x:c>
      <x:c r="G4158" s="21" t="n">
        <x:f>F4155</x:f>
        <x:v>314.18229832811096</x:v>
      </x:c>
      <x:c r="H4158" s="21" t="n">
        <x:f>F4160</x:f>
        <x:v>306.37543945649116</x:v>
      </x:c>
      <x:c r="I4158" s="27" t="n">
        <x:f>IF(AND(ISNUMBER(G4158),ISNUMBER(H4158),H4158&gt;0),G4158/H4158-1,"")</x:f>
        <x:v>0.025481346956104378</x:v>
      </x:c>
      <x:c r="J4158" s="27" t="n">
        <x:f>IF(AND(ISNUMBER(G4158),F4158&gt;0),G4158/F4158-1,"")</x:f>
        <x:v>-0.017614070369559864</x:v>
      </x:c>
      <x:c r="K4158" s="19" t="str">
        <x:v>Weak/EXP248/results/seed1011245401_Fixed_rank_25.json</x:v>
      </x:c>
    </x:row>
    <x:row r="4159" ht="15" hidden="0" customHeight="1">
      <x:c r="A4159" s="3" t="str">
        <x:v>EXP248</x:v>
      </x:c>
      <x:c r="B4159" s="3" t="str">
        <x:v>Weak</x:v>
      </x:c>
      <x:c r="C4159" s="18" t="n">
        <x:v>1011245401</x:v>
      </x:c>
      <x:c r="D4159" s="3" t="str">
        <x:v>Relative cutoff 1e-6</x:v>
      </x:c>
      <x:c r="E4159" s="18" t="n">
        <x:v>800</x:v>
      </x:c>
      <x:c r="F4159" s="21" t="n">
        <x:v>334.08385181157695</x:v>
      </x:c>
      <x:c r="G4159" s="21" t="n">
        <x:f>F4155</x:f>
        <x:v>314.18229832811096</x:v>
      </x:c>
      <x:c r="H4159" s="21" t="n">
        <x:f>F4160</x:f>
        <x:v>306.37543945649116</x:v>
      </x:c>
      <x:c r="I4159" s="27" t="n">
        <x:f>IF(AND(ISNUMBER(G4159),ISNUMBER(H4159),H4159&gt;0),G4159/H4159-1,"")</x:f>
        <x:v>0.025481346956104378</x:v>
      </x:c>
      <x:c r="J4159" s="27" t="n">
        <x:f>IF(AND(ISNUMBER(G4159),F4159&gt;0),G4159/F4159-1,"")</x:f>
        <x:v>-0.05957053409061641</x:v>
      </x:c>
      <x:c r="K4159" s="19" t="str">
        <x:v>Weak/EXP248/results/seed1011245401_Relative_cutoff_1e-6.json</x:v>
      </x:c>
    </x:row>
    <x:row r="4160" ht="15" hidden="0" customHeight="1">
      <x:c r="A4160" s="3" t="str">
        <x:v>EXP248</x:v>
      </x:c>
      <x:c r="B4160" s="3" t="str">
        <x:v>Weak</x:v>
      </x:c>
      <x:c r="C4160" s="18" t="n">
        <x:v>1011245401</x:v>
      </x:c>
      <x:c r="D4160" s="3" t="str">
        <x:v>Full</x:v>
      </x:c>
      <x:c r="E4160" s="18" t="n">
        <x:v>800</x:v>
      </x:c>
      <x:c r="F4160" s="21" t="n">
        <x:v>306.37543945649116</x:v>
      </x:c>
      <x:c r="G4160" s="21" t="n">
        <x:f>F4155</x:f>
        <x:v>314.18229832811096</x:v>
      </x:c>
      <x:c r="H4160" s="21" t="n">
        <x:f>F4160</x:f>
        <x:v>306.37543945649116</x:v>
      </x:c>
      <x:c r="I4160" s="27" t="n">
        <x:f>IF(AND(ISNUMBER(G4160),ISNUMBER(H4160),H4160&gt;0),G4160/H4160-1,"")</x:f>
        <x:v>0.025481346956104378</x:v>
      </x:c>
      <x:c r="J4160" s="27" t="n">
        <x:f>IF(AND(ISNUMBER(G4160),F4160&gt;0),G4160/F4160-1,"")</x:f>
        <x:v>0.025481346956104378</x:v>
      </x:c>
      <x:c r="K4160" s="19" t="str">
        <x:v>Weak/EXP248/results/seed1011245401_Full.json</x:v>
      </x:c>
    </x:row>
    <x:row r="4161" ht="15" hidden="0" customHeight="1">
      <x:c r="A4161" s="3" t="str">
        <x:v>EXP248</x:v>
      </x:c>
      <x:c r="B4161" s="3" t="str">
        <x:v>Weak</x:v>
      </x:c>
      <x:c r="C4161" s="18" t="n">
        <x:v>1011245401</x:v>
      </x:c>
      <x:c r="D4161" s="3" t="str">
        <x:v>Relative cutoff 1e-2</x:v>
      </x:c>
      <x:c r="E4161" s="18" t="n">
        <x:v>800</x:v>
      </x:c>
      <x:c r="F4161" s="21" t="n">
        <x:v>423.0650261955569</x:v>
      </x:c>
      <x:c r="G4161" s="21" t="n">
        <x:f>F4155</x:f>
        <x:v>314.18229832811096</x:v>
      </x:c>
      <x:c r="H4161" s="21" t="n">
        <x:f>F4160</x:f>
        <x:v>306.37543945649116</x:v>
      </x:c>
      <x:c r="I4161" s="27" t="n">
        <x:f>IF(AND(ISNUMBER(G4161),ISNUMBER(H4161),H4161&gt;0),G4161/H4161-1,"")</x:f>
        <x:v>0.025481346956104378</x:v>
      </x:c>
      <x:c r="J4161" s="27" t="n">
        <x:f>IF(AND(ISNUMBER(G4161),F4161&gt;0),G4161/F4161-1,"")</x:f>
        <x:v>-0.25736641207755184</x:v>
      </x:c>
      <x:c r="K4161" s="19" t="str">
        <x:v>Weak/EXP248/results/seed1011245401_Relative_cutoff_1e-2.json</x:v>
      </x:c>
    </x:row>
    <x:row r="4162" ht="15" hidden="0" customHeight="1">
      <x:c r="A4162" s="3" t="str">
        <x:v>EXP248</x:v>
      </x:c>
      <x:c r="B4162" s="3" t="str">
        <x:v>Weak</x:v>
      </x:c>
      <x:c r="C4162" s="18" t="n">
        <x:v>1011245401</x:v>
      </x:c>
      <x:c r="D4162" s="3" t="str">
        <x:v>Relative cutoff 1e-4</x:v>
      </x:c>
      <x:c r="E4162" s="18" t="n">
        <x:v>800</x:v>
      </x:c>
      <x:c r="F4162" s="21" t="n">
        <x:v>300.0479202811671</x:v>
      </x:c>
      <x:c r="G4162" s="21" t="n">
        <x:f>F4155</x:f>
        <x:v>314.18229832811096</x:v>
      </x:c>
      <x:c r="H4162" s="21" t="n">
        <x:f>F4160</x:f>
        <x:v>306.37543945649116</x:v>
      </x:c>
      <x:c r="I4162" s="27" t="n">
        <x:f>IF(AND(ISNUMBER(G4162),ISNUMBER(H4162),H4162&gt;0),G4162/H4162-1,"")</x:f>
        <x:v>0.025481346956104378</x:v>
      </x:c>
      <x:c r="J4162" s="27" t="n">
        <x:f>IF(AND(ISNUMBER(G4162),F4162&gt;0),G4162/F4162-1,"")</x:f>
        <x:v>0.047107068876527824</x:v>
      </x:c>
      <x:c r="K4162" s="19" t="str">
        <x:v>Weak/EXP248/results/seed1011245401_Relative_cutoff_1e-4.json</x:v>
      </x:c>
    </x:row>
    <x:row r="4163" ht="15" hidden="0" customHeight="1">
      <x:c r="A4163" s="3" t="str">
        <x:v>EXP248</x:v>
      </x:c>
      <x:c r="B4163" s="3" t="str">
        <x:v>Weak</x:v>
      </x:c>
      <x:c r="C4163" s="18" t="n">
        <x:v>1061958827</x:v>
      </x:c>
      <x:c r="D4163" s="3" t="str">
        <x:v>BBP</x:v>
      </x:c>
      <x:c r="E4163" s="18" t="n">
        <x:v>800</x:v>
      </x:c>
      <x:c r="F4163" s="21" t="n">
        <x:v>349.454946550258</x:v>
      </x:c>
      <x:c r="G4163" s="21" t="n">
        <x:f>F4163</x:f>
        <x:v>349.454946550258</x:v>
      </x:c>
      <x:c r="H4163" s="21" t="n">
        <x:f>F4168</x:f>
        <x:v>349.4595467733644</x:v>
      </x:c>
      <x:c r="I4163" s="27" t="n">
        <x:f>IF(AND(ISNUMBER(G4163),ISNUMBER(H4163),H4163&gt;0),G4163/H4163-1,"")</x:f>
        <x:v>-0.000013163821532158337</x:v>
      </x:c>
      <x:c r="J4163" s="27" t="n">
        <x:f>IF(AND(ISNUMBER(G4163),F4163&gt;0),G4163/F4163-1,"")</x:f>
        <x:v>0</x:v>
      </x:c>
      <x:c r="K4163" s="19" t="str">
        <x:v>Weak/EXP248/results/seed1061958827_BBP.json</x:v>
      </x:c>
    </x:row>
    <x:row r="4164" ht="15" hidden="0" customHeight="1">
      <x:c r="A4164" s="3" t="str">
        <x:v>EXP248</x:v>
      </x:c>
      <x:c r="B4164" s="3" t="str">
        <x:v>Weak</x:v>
      </x:c>
      <x:c r="C4164" s="18" t="n">
        <x:v>1061958827</x:v>
      </x:c>
      <x:c r="D4164" s="3" t="str">
        <x:v>Relative cutoff 1e-5</x:v>
      </x:c>
      <x:c r="E4164" s="18" t="n">
        <x:v>800</x:v>
      </x:c>
      <x:c r="F4164" s="21" t="n">
        <x:v>342.56351065728893</x:v>
      </x:c>
      <x:c r="G4164" s="21" t="n">
        <x:f>F4163</x:f>
        <x:v>349.454946550258</x:v>
      </x:c>
      <x:c r="H4164" s="21" t="n">
        <x:f>F4168</x:f>
        <x:v>349.4595467733644</x:v>
      </x:c>
      <x:c r="I4164" s="27" t="n">
        <x:f>IF(AND(ISNUMBER(G4164),ISNUMBER(H4164),H4164&gt;0),G4164/H4164-1,"")</x:f>
        <x:v>-0.000013163821532158337</x:v>
      </x:c>
      <x:c r="J4164" s="27" t="n">
        <x:f>IF(AND(ISNUMBER(G4164),F4164&gt;0),G4164/F4164-1,"")</x:f>
        <x:v>0.02011725031585021</x:v>
      </x:c>
      <x:c r="K4164" s="19" t="str">
        <x:v>Weak/EXP248/results/seed1061958827_Relative_cutoff_1e-5.json</x:v>
      </x:c>
    </x:row>
    <x:row r="4165" ht="15" hidden="0" customHeight="1">
      <x:c r="A4165" s="3" t="str">
        <x:v>EXP248</x:v>
      </x:c>
      <x:c r="B4165" s="3" t="str">
        <x:v>Weak</x:v>
      </x:c>
      <x:c r="C4165" s="18" t="n">
        <x:v>1061958827</x:v>
      </x:c>
      <x:c r="D4165" s="3" t="str">
        <x:v>Fixed rank 10</x:v>
      </x:c>
      <x:c r="E4165" s="18" t="n">
        <x:v>800</x:v>
      </x:c>
      <x:c r="F4165" s="21" t="n">
        <x:v>331.66393591044016</x:v>
      </x:c>
      <x:c r="G4165" s="21" t="n">
        <x:f>F4163</x:f>
        <x:v>349.454946550258</x:v>
      </x:c>
      <x:c r="H4165" s="21" t="n">
        <x:f>F4168</x:f>
        <x:v>349.4595467733644</x:v>
      </x:c>
      <x:c r="I4165" s="27" t="n">
        <x:f>IF(AND(ISNUMBER(G4165),ISNUMBER(H4165),H4165&gt;0),G4165/H4165-1,"")</x:f>
        <x:v>-0.000013163821532158337</x:v>
      </x:c>
      <x:c r="J4165" s="27" t="n">
        <x:f>IF(AND(ISNUMBER(G4165),F4165&gt;0),G4165/F4165-1,"")</x:f>
        <x:v>0.05364167976533318</x:v>
      </x:c>
      <x:c r="K4165" s="19" t="str">
        <x:v>Weak/EXP248/results/seed1061958827_Fixed_rank_10.json</x:v>
      </x:c>
    </x:row>
    <x:row r="4166" ht="15" hidden="0" customHeight="1">
      <x:c r="A4166" s="3" t="str">
        <x:v>EXP248</x:v>
      </x:c>
      <x:c r="B4166" s="3" t="str">
        <x:v>Weak</x:v>
      </x:c>
      <x:c r="C4166" s="18" t="n">
        <x:v>1061958827</x:v>
      </x:c>
      <x:c r="D4166" s="3" t="str">
        <x:v>Fixed rank 25</x:v>
      </x:c>
      <x:c r="E4166" s="18" t="n">
        <x:v>800</x:v>
      </x:c>
      <x:c r="F4166" s="21" t="n">
        <x:v>346.59782416717337</x:v>
      </x:c>
      <x:c r="G4166" s="21" t="n">
        <x:f>F4163</x:f>
        <x:v>349.454946550258</x:v>
      </x:c>
      <x:c r="H4166" s="21" t="n">
        <x:f>F4168</x:f>
        <x:v>349.4595467733644</x:v>
      </x:c>
      <x:c r="I4166" s="27" t="n">
        <x:f>IF(AND(ISNUMBER(G4166),ISNUMBER(H4166),H4166&gt;0),G4166/H4166-1,"")</x:f>
        <x:v>-0.000013163821532158337</x:v>
      </x:c>
      <x:c r="J4166" s="27" t="n">
        <x:f>IF(AND(ISNUMBER(G4166),F4166&gt;0),G4166/F4166-1,"")</x:f>
        <x:v>0.008243336177744087</x:v>
      </x:c>
      <x:c r="K4166" s="19" t="str">
        <x:v>Weak/EXP248/results/seed1061958827_Fixed_rank_25.json</x:v>
      </x:c>
    </x:row>
    <x:row r="4167" ht="15" hidden="0" customHeight="1">
      <x:c r="A4167" s="3" t="str">
        <x:v>EXP248</x:v>
      </x:c>
      <x:c r="B4167" s="3" t="str">
        <x:v>Weak</x:v>
      </x:c>
      <x:c r="C4167" s="18" t="n">
        <x:v>1061958827</x:v>
      </x:c>
      <x:c r="D4167" s="3" t="str">
        <x:v>Relative cutoff 1e-6</x:v>
      </x:c>
      <x:c r="E4167" s="18" t="n">
        <x:v>800</x:v>
      </x:c>
      <x:c r="F4167" s="21" t="n">
        <x:v>361.02106191536785</x:v>
      </x:c>
      <x:c r="G4167" s="21" t="n">
        <x:f>F4163</x:f>
        <x:v>349.454946550258</x:v>
      </x:c>
      <x:c r="H4167" s="21" t="n">
        <x:f>F4168</x:f>
        <x:v>349.4595467733644</x:v>
      </x:c>
      <x:c r="I4167" s="27" t="n">
        <x:f>IF(AND(ISNUMBER(G4167),ISNUMBER(H4167),H4167&gt;0),G4167/H4167-1,"")</x:f>
        <x:v>-0.000013163821532158337</x:v>
      </x:c>
      <x:c r="J4167" s="27" t="n">
        <x:f>IF(AND(ISNUMBER(G4167),F4167&gt;0),G4167/F4167-1,"")</x:f>
        <x:v>-0.03203723157797711</x:v>
      </x:c>
      <x:c r="K4167" s="19" t="str">
        <x:v>Weak/EXP248/results/seed1061958827_Relative_cutoff_1e-6.json</x:v>
      </x:c>
    </x:row>
    <x:row r="4168" ht="15" hidden="0" customHeight="1">
      <x:c r="A4168" s="3" t="str">
        <x:v>EXP248</x:v>
      </x:c>
      <x:c r="B4168" s="3" t="str">
        <x:v>Weak</x:v>
      </x:c>
      <x:c r="C4168" s="18" t="n">
        <x:v>1061958827</x:v>
      </x:c>
      <x:c r="D4168" s="3" t="str">
        <x:v>Full</x:v>
      </x:c>
      <x:c r="E4168" s="18" t="n">
        <x:v>800</x:v>
      </x:c>
      <x:c r="F4168" s="21" t="n">
        <x:v>349.4595467733644</x:v>
      </x:c>
      <x:c r="G4168" s="21" t="n">
        <x:f>F4163</x:f>
        <x:v>349.454946550258</x:v>
      </x:c>
      <x:c r="H4168" s="21" t="n">
        <x:f>F4168</x:f>
        <x:v>349.4595467733644</x:v>
      </x:c>
      <x:c r="I4168" s="27" t="n">
        <x:f>IF(AND(ISNUMBER(G4168),ISNUMBER(H4168),H4168&gt;0),G4168/H4168-1,"")</x:f>
        <x:v>-0.000013163821532158337</x:v>
      </x:c>
      <x:c r="J4168" s="27" t="n">
        <x:f>IF(AND(ISNUMBER(G4168),F4168&gt;0),G4168/F4168-1,"")</x:f>
        <x:v>-0.000013163821532158337</x:v>
      </x:c>
      <x:c r="K4168" s="19" t="str">
        <x:v>Weak/EXP248/results/seed1061958827_Full.json</x:v>
      </x:c>
    </x:row>
    <x:row r="4169" ht="15" hidden="0" customHeight="1">
      <x:c r="A4169" s="3" t="str">
        <x:v>EXP248</x:v>
      </x:c>
      <x:c r="B4169" s="3" t="str">
        <x:v>Weak</x:v>
      </x:c>
      <x:c r="C4169" s="18" t="n">
        <x:v>1061958827</x:v>
      </x:c>
      <x:c r="D4169" s="3" t="str">
        <x:v>Relative cutoff 1e-2</x:v>
      </x:c>
      <x:c r="E4169" s="18" t="n">
        <x:v>800</x:v>
      </x:c>
      <x:c r="F4169" s="21" t="n">
        <x:v>464.65563266190077</x:v>
      </x:c>
      <x:c r="G4169" s="21" t="n">
        <x:f>F4163</x:f>
        <x:v>349.454946550258</x:v>
      </x:c>
      <x:c r="H4169" s="21" t="n">
        <x:f>F4168</x:f>
        <x:v>349.4595467733644</x:v>
      </x:c>
      <x:c r="I4169" s="27" t="n">
        <x:f>IF(AND(ISNUMBER(G4169),ISNUMBER(H4169),H4169&gt;0),G4169/H4169-1,"")</x:f>
        <x:v>-0.000013163821532158337</x:v>
      </x:c>
      <x:c r="J4169" s="27" t="n">
        <x:f>IF(AND(ISNUMBER(G4169),F4169&gt;0),G4169/F4169-1,"")</x:f>
        <x:v>-0.2479270195255907</x:v>
      </x:c>
      <x:c r="K4169" s="19" t="str">
        <x:v>Weak/EXP248/results/seed1061958827_Relative_cutoff_1e-2.json</x:v>
      </x:c>
    </x:row>
    <x:row r="4170" ht="15" hidden="0" customHeight="1">
      <x:c r="A4170" s="3" t="str">
        <x:v>EXP248</x:v>
      </x:c>
      <x:c r="B4170" s="3" t="str">
        <x:v>Weak</x:v>
      </x:c>
      <x:c r="C4170" s="18" t="n">
        <x:v>1061958827</x:v>
      </x:c>
      <x:c r="D4170" s="3" t="str">
        <x:v>Relative cutoff 1e-4</x:v>
      </x:c>
      <x:c r="E4170" s="18" t="n">
        <x:v>800</x:v>
      </x:c>
      <x:c r="F4170" s="21" t="n">
        <x:v>345.74524790986817</x:v>
      </x:c>
      <x:c r="G4170" s="21" t="n">
        <x:f>F4163</x:f>
        <x:v>349.454946550258</x:v>
      </x:c>
      <x:c r="H4170" s="21" t="n">
        <x:f>F4168</x:f>
        <x:v>349.4595467733644</x:v>
      </x:c>
      <x:c r="I4170" s="27" t="n">
        <x:f>IF(AND(ISNUMBER(G4170),ISNUMBER(H4170),H4170&gt;0),G4170/H4170-1,"")</x:f>
        <x:v>-0.000013163821532158337</x:v>
      </x:c>
      <x:c r="J4170" s="27" t="n">
        <x:f>IF(AND(ISNUMBER(G4170),F4170&gt;0),G4170/F4170-1,"")</x:f>
        <x:v>0.010729572316079627</x:v>
      </x:c>
      <x:c r="K4170" s="19" t="str">
        <x:v>Weak/EXP248/results/seed1061958827_Relative_cutoff_1e-4.json</x:v>
      </x:c>
    </x:row>
    <x:row r="4171" ht="15" hidden="0" customHeight="1">
      <x:c r="A4171" s="3" t="str">
        <x:v>EXP248</x:v>
      </x:c>
      <x:c r="B4171" s="3" t="str">
        <x:v>Weak</x:v>
      </x:c>
      <x:c r="C4171" s="18" t="n">
        <x:v>1107616411</x:v>
      </x:c>
      <x:c r="D4171" s="3" t="str">
        <x:v>BBP</x:v>
      </x:c>
      <x:c r="E4171" s="18" t="n">
        <x:v>800</x:v>
      </x:c>
      <x:c r="F4171" s="21" t="n">
        <x:v>418.8024974849986</x:v>
      </x:c>
      <x:c r="G4171" s="21" t="n">
        <x:f>F4171</x:f>
        <x:v>418.8024974849986</x:v>
      </x:c>
      <x:c r="H4171" s="21" t="n">
        <x:f>F4176</x:f>
        <x:v>402.1632296890548</x:v>
      </x:c>
      <x:c r="I4171" s="27" t="n">
        <x:f>IF(AND(ISNUMBER(G4171),ISNUMBER(H4171),H4171&gt;0),G4171/H4171-1,"")</x:f>
        <x:v>0.04137441359024541</x:v>
      </x:c>
      <x:c r="J4171" s="27" t="n">
        <x:f>IF(AND(ISNUMBER(G4171),F4171&gt;0),G4171/F4171-1,"")</x:f>
        <x:v>0</x:v>
      </x:c>
      <x:c r="K4171" s="19" t="str">
        <x:v>Weak/EXP248/results/seed1107616411_BBP.json</x:v>
      </x:c>
    </x:row>
    <x:row r="4172" ht="15" hidden="0" customHeight="1">
      <x:c r="A4172" s="3" t="str">
        <x:v>EXP248</x:v>
      </x:c>
      <x:c r="B4172" s="3" t="str">
        <x:v>Weak</x:v>
      </x:c>
      <x:c r="C4172" s="18" t="n">
        <x:v>1107616411</x:v>
      </x:c>
      <x:c r="D4172" s="3" t="str">
        <x:v>Relative cutoff 1e-5</x:v>
      </x:c>
      <x:c r="E4172" s="18" t="n">
        <x:v>800</x:v>
      </x:c>
      <x:c r="F4172" s="21" t="n">
        <x:v>359.5515370357302</x:v>
      </x:c>
      <x:c r="G4172" s="21" t="n">
        <x:f>F4171</x:f>
        <x:v>418.8024974849986</x:v>
      </x:c>
      <x:c r="H4172" s="21" t="n">
        <x:f>F4176</x:f>
        <x:v>402.1632296890548</x:v>
      </x:c>
      <x:c r="I4172" s="27" t="n">
        <x:f>IF(AND(ISNUMBER(G4172),ISNUMBER(H4172),H4172&gt;0),G4172/H4172-1,"")</x:f>
        <x:v>0.04137441359024541</x:v>
      </x:c>
      <x:c r="J4172" s="27" t="n">
        <x:f>IF(AND(ISNUMBER(G4172),F4172&gt;0),G4172/F4172-1,"")</x:f>
        <x:v>0.1647912867728345</x:v>
      </x:c>
      <x:c r="K4172" s="19" t="str">
        <x:v>Weak/EXP248/results/seed1107616411_Relative_cutoff_1e-5.json</x:v>
      </x:c>
    </x:row>
    <x:row r="4173" ht="15" hidden="0" customHeight="1">
      <x:c r="A4173" s="3" t="str">
        <x:v>EXP248</x:v>
      </x:c>
      <x:c r="B4173" s="3" t="str">
        <x:v>Weak</x:v>
      </x:c>
      <x:c r="C4173" s="18" t="n">
        <x:v>1107616411</x:v>
      </x:c>
      <x:c r="D4173" s="3" t="str">
        <x:v>Fixed rank 10</x:v>
      </x:c>
      <x:c r="E4173" s="18" t="n">
        <x:v>800</x:v>
      </x:c>
      <x:c r="F4173" s="21" t="n">
        <x:v>377.94448401234183</x:v>
      </x:c>
      <x:c r="G4173" s="21" t="n">
        <x:f>F4171</x:f>
        <x:v>418.8024974849986</x:v>
      </x:c>
      <x:c r="H4173" s="21" t="n">
        <x:f>F4176</x:f>
        <x:v>402.1632296890548</x:v>
      </x:c>
      <x:c r="I4173" s="27" t="n">
        <x:f>IF(AND(ISNUMBER(G4173),ISNUMBER(H4173),H4173&gt;0),G4173/H4173-1,"")</x:f>
        <x:v>0.04137441359024541</x:v>
      </x:c>
      <x:c r="J4173" s="27" t="n">
        <x:f>IF(AND(ISNUMBER(G4173),F4173&gt;0),G4173/F4173-1,"")</x:f>
        <x:v>0.10810585999006816</x:v>
      </x:c>
      <x:c r="K4173" s="19" t="str">
        <x:v>Weak/EXP248/results/seed1107616411_Fixed_rank_10.json</x:v>
      </x:c>
    </x:row>
    <x:row r="4174" ht="15" hidden="0" customHeight="1">
      <x:c r="A4174" s="3" t="str">
        <x:v>EXP248</x:v>
      </x:c>
      <x:c r="B4174" s="3" t="str">
        <x:v>Weak</x:v>
      </x:c>
      <x:c r="C4174" s="18" t="n">
        <x:v>1107616411</x:v>
      </x:c>
      <x:c r="D4174" s="3" t="str">
        <x:v>Fixed rank 25</x:v>
      </x:c>
      <x:c r="E4174" s="18" t="n">
        <x:v>800</x:v>
      </x:c>
      <x:c r="F4174" s="21" t="n">
        <x:v>417.74484630929504</x:v>
      </x:c>
      <x:c r="G4174" s="21" t="n">
        <x:f>F4171</x:f>
        <x:v>418.8024974849986</x:v>
      </x:c>
      <x:c r="H4174" s="21" t="n">
        <x:f>F4176</x:f>
        <x:v>402.1632296890548</x:v>
      </x:c>
      <x:c r="I4174" s="27" t="n">
        <x:f>IF(AND(ISNUMBER(G4174),ISNUMBER(H4174),H4174&gt;0),G4174/H4174-1,"")</x:f>
        <x:v>0.04137441359024541</x:v>
      </x:c>
      <x:c r="J4174" s="27" t="n">
        <x:f>IF(AND(ISNUMBER(G4174),F4174&gt;0),G4174/F4174-1,"")</x:f>
        <x:v>0.002531811427592068</x:v>
      </x:c>
      <x:c r="K4174" s="19" t="str">
        <x:v>Weak/EXP248/results/seed1107616411_Fixed_rank_25.json</x:v>
      </x:c>
    </x:row>
    <x:row r="4175" ht="15" hidden="0" customHeight="1">
      <x:c r="A4175" s="3" t="str">
        <x:v>EXP248</x:v>
      </x:c>
      <x:c r="B4175" s="3" t="str">
        <x:v>Weak</x:v>
      </x:c>
      <x:c r="C4175" s="18" t="n">
        <x:v>1107616411</x:v>
      </x:c>
      <x:c r="D4175" s="3" t="str">
        <x:v>Relative cutoff 1e-6</x:v>
      </x:c>
      <x:c r="E4175" s="18" t="n">
        <x:v>800</x:v>
      </x:c>
      <x:c r="F4175" s="21" t="n">
        <x:v>375.5982040218605</x:v>
      </x:c>
      <x:c r="G4175" s="21" t="n">
        <x:f>F4171</x:f>
        <x:v>418.8024974849986</x:v>
      </x:c>
      <x:c r="H4175" s="21" t="n">
        <x:f>F4176</x:f>
        <x:v>402.1632296890548</x:v>
      </x:c>
      <x:c r="I4175" s="27" t="n">
        <x:f>IF(AND(ISNUMBER(G4175),ISNUMBER(H4175),H4175&gt;0),G4175/H4175-1,"")</x:f>
        <x:v>0.04137441359024541</x:v>
      </x:c>
      <x:c r="J4175" s="27" t="n">
        <x:f>IF(AND(ISNUMBER(G4175),F4175&gt;0),G4175/F4175-1,"")</x:f>
        <x:v>0.11502795540689936</x:v>
      </x:c>
      <x:c r="K4175" s="19" t="str">
        <x:v>Weak/EXP248/results/seed1107616411_Relative_cutoff_1e-6.json</x:v>
      </x:c>
    </x:row>
    <x:row r="4176" ht="15" hidden="0" customHeight="1">
      <x:c r="A4176" s="3" t="str">
        <x:v>EXP248</x:v>
      </x:c>
      <x:c r="B4176" s="3" t="str">
        <x:v>Weak</x:v>
      </x:c>
      <x:c r="C4176" s="18" t="n">
        <x:v>1107616411</x:v>
      </x:c>
      <x:c r="D4176" s="3" t="str">
        <x:v>Full</x:v>
      </x:c>
      <x:c r="E4176" s="18" t="n">
        <x:v>800</x:v>
      </x:c>
      <x:c r="F4176" s="21" t="n">
        <x:v>402.1632296890548</x:v>
      </x:c>
      <x:c r="G4176" s="21" t="n">
        <x:f>F4171</x:f>
        <x:v>418.8024974849986</x:v>
      </x:c>
      <x:c r="H4176" s="21" t="n">
        <x:f>F4176</x:f>
        <x:v>402.1632296890548</x:v>
      </x:c>
      <x:c r="I4176" s="27" t="n">
        <x:f>IF(AND(ISNUMBER(G4176),ISNUMBER(H4176),H4176&gt;0),G4176/H4176-1,"")</x:f>
        <x:v>0.04137441359024541</x:v>
      </x:c>
      <x:c r="J4176" s="27" t="n">
        <x:f>IF(AND(ISNUMBER(G4176),F4176&gt;0),G4176/F4176-1,"")</x:f>
        <x:v>0.04137441359024541</x:v>
      </x:c>
      <x:c r="K4176" s="19" t="str">
        <x:v>Weak/EXP248/results/seed1107616411_Full.json</x:v>
      </x:c>
    </x:row>
    <x:row r="4177" ht="15" hidden="0" customHeight="1">
      <x:c r="A4177" s="3" t="str">
        <x:v>EXP248</x:v>
      </x:c>
      <x:c r="B4177" s="3" t="str">
        <x:v>Weak</x:v>
      </x:c>
      <x:c r="C4177" s="18" t="n">
        <x:v>1107616411</x:v>
      </x:c>
      <x:c r="D4177" s="3" t="str">
        <x:v>Relative cutoff 1e-2</x:v>
      </x:c>
      <x:c r="E4177" s="18" t="n">
        <x:v>800</x:v>
      </x:c>
      <x:c r="F4177" s="21" t="n">
        <x:v>399.5000454878185</x:v>
      </x:c>
      <x:c r="G4177" s="21" t="n">
        <x:f>F4171</x:f>
        <x:v>418.8024974849986</x:v>
      </x:c>
      <x:c r="H4177" s="21" t="n">
        <x:f>F4176</x:f>
        <x:v>402.1632296890548</x:v>
      </x:c>
      <x:c r="I4177" s="27" t="n">
        <x:f>IF(AND(ISNUMBER(G4177),ISNUMBER(H4177),H4177&gt;0),G4177/H4177-1,"")</x:f>
        <x:v>0.04137441359024541</x:v>
      </x:c>
      <x:c r="J4177" s="27" t="n">
        <x:f>IF(AND(ISNUMBER(G4177),F4177&gt;0),G4177/F4177-1,"")</x:f>
        <x:v>0.048316520148603104</x:v>
      </x:c>
      <x:c r="K4177" s="19" t="str">
        <x:v>Weak/EXP248/results/seed1107616411_Relative_cutoff_1e-2.json</x:v>
      </x:c>
    </x:row>
    <x:row r="4178" ht="15" hidden="0" customHeight="1">
      <x:c r="A4178" s="3" t="str">
        <x:v>EXP248</x:v>
      </x:c>
      <x:c r="B4178" s="3" t="str">
        <x:v>Weak</x:v>
      </x:c>
      <x:c r="C4178" s="18" t="n">
        <x:v>1107616411</x:v>
      </x:c>
      <x:c r="D4178" s="3" t="str">
        <x:v>Relative cutoff 1e-4</x:v>
      </x:c>
      <x:c r="E4178" s="18" t="n">
        <x:v>800</x:v>
      </x:c>
      <x:c r="F4178" s="21" t="n">
        <x:v>389.90533975839105</x:v>
      </x:c>
      <x:c r="G4178" s="21" t="n">
        <x:f>F4171</x:f>
        <x:v>418.8024974849986</x:v>
      </x:c>
      <x:c r="H4178" s="21" t="n">
        <x:f>F4176</x:f>
        <x:v>402.1632296890548</x:v>
      </x:c>
      <x:c r="I4178" s="27" t="n">
        <x:f>IF(AND(ISNUMBER(G4178),ISNUMBER(H4178),H4178&gt;0),G4178/H4178-1,"")</x:f>
        <x:v>0.04137441359024541</x:v>
      </x:c>
      <x:c r="J4178" s="27" t="n">
        <x:f>IF(AND(ISNUMBER(G4178),F4178&gt;0),G4178/F4178-1,"")</x:f>
        <x:v>0.07411326488761083</x:v>
      </x:c>
      <x:c r="K4178" s="19" t="str">
        <x:v>Weak/EXP248/results/seed1107616411_Relative_cutoff_1e-4.json</x:v>
      </x:c>
    </x:row>
    <x:row r="4179" ht="15" hidden="0" customHeight="1">
      <x:c r="A4179" s="3" t="str">
        <x:v>EXP248</x:v>
      </x:c>
      <x:c r="B4179" s="3" t="str">
        <x:v>Weak</x:v>
      </x:c>
      <x:c r="C4179" s="18" t="n">
        <x:v>1135955073</x:v>
      </x:c>
      <x:c r="D4179" s="3" t="str">
        <x:v>BBP</x:v>
      </x:c>
      <x:c r="E4179" s="18" t="n">
        <x:v>800</x:v>
      </x:c>
      <x:c r="F4179" s="21" t="n">
        <x:v>537.8628931325571</x:v>
      </x:c>
      <x:c r="G4179" s="21" t="n">
        <x:f>F4179</x:f>
        <x:v>537.8628931325571</x:v>
      </x:c>
      <x:c r="H4179" s="21" t="n">
        <x:f>F4184</x:f>
        <x:v>587.7216121170324</x:v>
      </x:c>
      <x:c r="I4179" s="27" t="n">
        <x:f>IF(AND(ISNUMBER(G4179),ISNUMBER(H4179),H4179&gt;0),G4179/H4179-1,"")</x:f>
        <x:v>-0.08483390427804605</x:v>
      </x:c>
      <x:c r="J4179" s="27" t="n">
        <x:f>IF(AND(ISNUMBER(G4179),F4179&gt;0),G4179/F4179-1,"")</x:f>
        <x:v>0</x:v>
      </x:c>
      <x:c r="K4179" s="19" t="str">
        <x:v>Weak/EXP248/results/seed1135955073_BBP.json</x:v>
      </x:c>
    </x:row>
    <x:row r="4180" ht="15" hidden="0" customHeight="1">
      <x:c r="A4180" s="3" t="str">
        <x:v>EXP248</x:v>
      </x:c>
      <x:c r="B4180" s="3" t="str">
        <x:v>Weak</x:v>
      </x:c>
      <x:c r="C4180" s="18" t="n">
        <x:v>1135955073</x:v>
      </x:c>
      <x:c r="D4180" s="3" t="str">
        <x:v>Relative cutoff 1e-5</x:v>
      </x:c>
      <x:c r="E4180" s="18" t="n">
        <x:v>800</x:v>
      </x:c>
      <x:c r="F4180" s="21" t="n">
        <x:v>567.4587624931016</x:v>
      </x:c>
      <x:c r="G4180" s="21" t="n">
        <x:f>F4179</x:f>
        <x:v>537.8628931325571</x:v>
      </x:c>
      <x:c r="H4180" s="21" t="n">
        <x:f>F4184</x:f>
        <x:v>587.7216121170324</x:v>
      </x:c>
      <x:c r="I4180" s="27" t="n">
        <x:f>IF(AND(ISNUMBER(G4180),ISNUMBER(H4180),H4180&gt;0),G4180/H4180-1,"")</x:f>
        <x:v>-0.08483390427804605</x:v>
      </x:c>
      <x:c r="J4180" s="27" t="n">
        <x:f>IF(AND(ISNUMBER(G4180),F4180&gt;0),G4180/F4180-1,"")</x:f>
        <x:v>-0.05215510150996083</x:v>
      </x:c>
      <x:c r="K4180" s="19" t="str">
        <x:v>Weak/EXP248/results/seed1135955073_Relative_cutoff_1e-5.json</x:v>
      </x:c>
    </x:row>
    <x:row r="4181" ht="15" hidden="0" customHeight="1">
      <x:c r="A4181" s="3" t="str">
        <x:v>EXP248</x:v>
      </x:c>
      <x:c r="B4181" s="3" t="str">
        <x:v>Weak</x:v>
      </x:c>
      <x:c r="C4181" s="18" t="n">
        <x:v>1135955073</x:v>
      </x:c>
      <x:c r="D4181" s="3" t="str">
        <x:v>Fixed rank 10</x:v>
      </x:c>
      <x:c r="E4181" s="18" t="n">
        <x:v>800</x:v>
      </x:c>
      <x:c r="F4181" s="21" t="n">
        <x:v>717.6378479734476</x:v>
      </x:c>
      <x:c r="G4181" s="21" t="n">
        <x:f>F4179</x:f>
        <x:v>537.8628931325571</x:v>
      </x:c>
      <x:c r="H4181" s="21" t="n">
        <x:f>F4184</x:f>
        <x:v>587.7216121170324</x:v>
      </x:c>
      <x:c r="I4181" s="27" t="n">
        <x:f>IF(AND(ISNUMBER(G4181),ISNUMBER(H4181),H4181&gt;0),G4181/H4181-1,"")</x:f>
        <x:v>-0.08483390427804605</x:v>
      </x:c>
      <x:c r="J4181" s="27" t="n">
        <x:f>IF(AND(ISNUMBER(G4181),F4181&gt;0),G4181/F4181-1,"")</x:f>
        <x:v>-0.25050929984888715</x:v>
      </x:c>
      <x:c r="K4181" s="19" t="str">
        <x:v>Weak/EXP248/results/seed1135955073_Fixed_rank_10.json</x:v>
      </x:c>
    </x:row>
    <x:row r="4182" ht="15" hidden="0" customHeight="1">
      <x:c r="A4182" s="3" t="str">
        <x:v>EXP248</x:v>
      </x:c>
      <x:c r="B4182" s="3" t="str">
        <x:v>Weak</x:v>
      </x:c>
      <x:c r="C4182" s="18" t="n">
        <x:v>1135955073</x:v>
      </x:c>
      <x:c r="D4182" s="3" t="str">
        <x:v>Fixed rank 25</x:v>
      </x:c>
      <x:c r="E4182" s="18" t="n">
        <x:v>800</x:v>
      </x:c>
      <x:c r="F4182" s="21" t="n">
        <x:v>576.1273071815574</x:v>
      </x:c>
      <x:c r="G4182" s="21" t="n">
        <x:f>F4179</x:f>
        <x:v>537.8628931325571</x:v>
      </x:c>
      <x:c r="H4182" s="21" t="n">
        <x:f>F4184</x:f>
        <x:v>587.7216121170324</x:v>
      </x:c>
      <x:c r="I4182" s="27" t="n">
        <x:f>IF(AND(ISNUMBER(G4182),ISNUMBER(H4182),H4182&gt;0),G4182/H4182-1,"")</x:f>
        <x:v>-0.08483390427804605</x:v>
      </x:c>
      <x:c r="J4182" s="27" t="n">
        <x:f>IF(AND(ISNUMBER(G4182),F4182&gt;0),G4182/F4182-1,"")</x:f>
        <x:v>-0.0664165950338157</x:v>
      </x:c>
      <x:c r="K4182" s="19" t="str">
        <x:v>Weak/EXP248/results/seed1135955073_Fixed_rank_25.json</x:v>
      </x:c>
    </x:row>
    <x:row r="4183" ht="15" hidden="0" customHeight="1">
      <x:c r="A4183" s="3" t="str">
        <x:v>EXP248</x:v>
      </x:c>
      <x:c r="B4183" s="3" t="str">
        <x:v>Weak</x:v>
      </x:c>
      <x:c r="C4183" s="18" t="n">
        <x:v>1135955073</x:v>
      </x:c>
      <x:c r="D4183" s="3" t="str">
        <x:v>Relative cutoff 1e-6</x:v>
      </x:c>
      <x:c r="E4183" s="18" t="n">
        <x:v>800</x:v>
      </x:c>
      <x:c r="F4183" s="21" t="n">
        <x:v>660.1341359333983</x:v>
      </x:c>
      <x:c r="G4183" s="21" t="n">
        <x:f>F4179</x:f>
        <x:v>537.8628931325571</x:v>
      </x:c>
      <x:c r="H4183" s="21" t="n">
        <x:f>F4184</x:f>
        <x:v>587.7216121170324</x:v>
      </x:c>
      <x:c r="I4183" s="27" t="n">
        <x:f>IF(AND(ISNUMBER(G4183),ISNUMBER(H4183),H4183&gt;0),G4183/H4183-1,"")</x:f>
        <x:v>-0.08483390427804605</x:v>
      </x:c>
      <x:c r="J4183" s="27" t="n">
        <x:f>IF(AND(ISNUMBER(G4183),F4183&gt;0),G4183/F4183-1,"")</x:f>
        <x:v>-0.1852218149996976</x:v>
      </x:c>
      <x:c r="K4183" s="19" t="str">
        <x:v>Weak/EXP248/results/seed1135955073_Relative_cutoff_1e-6.json</x:v>
      </x:c>
    </x:row>
    <x:row r="4184" ht="15" hidden="0" customHeight="1">
      <x:c r="A4184" s="3" t="str">
        <x:v>EXP248</x:v>
      </x:c>
      <x:c r="B4184" s="3" t="str">
        <x:v>Weak</x:v>
      </x:c>
      <x:c r="C4184" s="18" t="n">
        <x:v>1135955073</x:v>
      </x:c>
      <x:c r="D4184" s="3" t="str">
        <x:v>Full</x:v>
      </x:c>
      <x:c r="E4184" s="18" t="n">
        <x:v>800</x:v>
      </x:c>
      <x:c r="F4184" s="21" t="n">
        <x:v>587.7216121170324</x:v>
      </x:c>
      <x:c r="G4184" s="21" t="n">
        <x:f>F4179</x:f>
        <x:v>537.8628931325571</x:v>
      </x:c>
      <x:c r="H4184" s="21" t="n">
        <x:f>F4184</x:f>
        <x:v>587.7216121170324</x:v>
      </x:c>
      <x:c r="I4184" s="27" t="n">
        <x:f>IF(AND(ISNUMBER(G4184),ISNUMBER(H4184),H4184&gt;0),G4184/H4184-1,"")</x:f>
        <x:v>-0.08483390427804605</x:v>
      </x:c>
      <x:c r="J4184" s="27" t="n">
        <x:f>IF(AND(ISNUMBER(G4184),F4184&gt;0),G4184/F4184-1,"")</x:f>
        <x:v>-0.08483390427804605</x:v>
      </x:c>
      <x:c r="K4184" s="19" t="str">
        <x:v>Weak/EXP248/results/seed1135955073_Full.json</x:v>
      </x:c>
    </x:row>
    <x:row r="4185" ht="15" hidden="0" customHeight="1">
      <x:c r="A4185" s="3" t="str">
        <x:v>EXP248</x:v>
      </x:c>
      <x:c r="B4185" s="3" t="str">
        <x:v>Weak</x:v>
      </x:c>
      <x:c r="C4185" s="18" t="n">
        <x:v>1135955073</x:v>
      </x:c>
      <x:c r="D4185" s="3" t="str">
        <x:v>Relative cutoff 1e-2</x:v>
      </x:c>
      <x:c r="E4185" s="18" t="n">
        <x:v>800</x:v>
      </x:c>
      <x:c r="F4185" s="21" t="n">
        <x:v>779.5064359910517</x:v>
      </x:c>
      <x:c r="G4185" s="21" t="n">
        <x:f>F4179</x:f>
        <x:v>537.8628931325571</x:v>
      </x:c>
      <x:c r="H4185" s="21" t="n">
        <x:f>F4184</x:f>
        <x:v>587.7216121170324</x:v>
      </x:c>
      <x:c r="I4185" s="27" t="n">
        <x:f>IF(AND(ISNUMBER(G4185),ISNUMBER(H4185),H4185&gt;0),G4185/H4185-1,"")</x:f>
        <x:v>-0.08483390427804605</x:v>
      </x:c>
      <x:c r="J4185" s="27" t="n">
        <x:f>IF(AND(ISNUMBER(G4185),F4185&gt;0),G4185/F4185-1,"")</x:f>
        <x:v>-0.3099955711735375</x:v>
      </x:c>
      <x:c r="K4185" s="19" t="str">
        <x:v>Weak/EXP248/results/seed1135955073_Relative_cutoff_1e-2.json</x:v>
      </x:c>
    </x:row>
    <x:row r="4186" ht="15" hidden="0" customHeight="1">
      <x:c r="A4186" s="3" t="str">
        <x:v>EXP248</x:v>
      </x:c>
      <x:c r="B4186" s="3" t="str">
        <x:v>Weak</x:v>
      </x:c>
      <x:c r="C4186" s="18" t="n">
        <x:v>1135955073</x:v>
      </x:c>
      <x:c r="D4186" s="3" t="str">
        <x:v>Relative cutoff 1e-4</x:v>
      </x:c>
      <x:c r="E4186" s="18" t="n">
        <x:v>800</x:v>
      </x:c>
      <x:c r="F4186" s="21" t="n">
        <x:v>699.3368223195909</x:v>
      </x:c>
      <x:c r="G4186" s="21" t="n">
        <x:f>F4179</x:f>
        <x:v>537.8628931325571</x:v>
      </x:c>
      <x:c r="H4186" s="21" t="n">
        <x:f>F4184</x:f>
        <x:v>587.7216121170324</x:v>
      </x:c>
      <x:c r="I4186" s="27" t="n">
        <x:f>IF(AND(ISNUMBER(G4186),ISNUMBER(H4186),H4186&gt;0),G4186/H4186-1,"")</x:f>
        <x:v>-0.08483390427804605</x:v>
      </x:c>
      <x:c r="J4186" s="27" t="n">
        <x:f>IF(AND(ISNUMBER(G4186),F4186&gt;0),G4186/F4186-1,"")</x:f>
        <x:v>-0.23089579160360807</x:v>
      </x:c>
      <x:c r="K4186" s="19" t="str">
        <x:v>Weak/EXP248/results/seed1135955073_Relative_cutoff_1e-4.json</x:v>
      </x:c>
    </x:row>
    <x:row r="4187" ht="15" hidden="0" customHeight="1">
      <x:c r="A4187" s="3" t="str">
        <x:v>EXP248</x:v>
      </x:c>
      <x:c r="B4187" s="3" t="str">
        <x:v>Weak</x:v>
      </x:c>
      <x:c r="C4187" s="18" t="n">
        <x:v>1192868589</x:v>
      </x:c>
      <x:c r="D4187" s="3" t="str">
        <x:v>BBP</x:v>
      </x:c>
      <x:c r="E4187" s="18" t="n">
        <x:v>800</x:v>
      </x:c>
      <x:c r="F4187" s="21" t="n">
        <x:v>292.1537824539921</x:v>
      </x:c>
      <x:c r="G4187" s="21" t="n">
        <x:f>F4187</x:f>
        <x:v>292.1537824539921</x:v>
      </x:c>
      <x:c r="H4187" s="21" t="n">
        <x:f>F4192</x:f>
        <x:v>433.07522581485904</x:v>
      </x:c>
      <x:c r="I4187" s="27" t="n">
        <x:f>IF(AND(ISNUMBER(G4187),ISNUMBER(H4187),H4187&gt;0),G4187/H4187-1,"")</x:f>
        <x:v>-0.3253971480259905</x:v>
      </x:c>
      <x:c r="J4187" s="27" t="n">
        <x:f>IF(AND(ISNUMBER(G4187),F4187&gt;0),G4187/F4187-1,"")</x:f>
        <x:v>0</x:v>
      </x:c>
      <x:c r="K4187" s="19" t="str">
        <x:v>Weak/EXP248/results/seed1192868589_BBP.json</x:v>
      </x:c>
    </x:row>
    <x:row r="4188" ht="15" hidden="0" customHeight="1">
      <x:c r="A4188" s="3" t="str">
        <x:v>EXP248</x:v>
      </x:c>
      <x:c r="B4188" s="3" t="str">
        <x:v>Weak</x:v>
      </x:c>
      <x:c r="C4188" s="18" t="n">
        <x:v>1192868589</x:v>
      </x:c>
      <x:c r="D4188" s="3" t="str">
        <x:v>Relative cutoff 1e-5</x:v>
      </x:c>
      <x:c r="E4188" s="18" t="n">
        <x:v>800</x:v>
      </x:c>
      <x:c r="F4188" s="21" t="n">
        <x:v>325.1536350754324</x:v>
      </x:c>
      <x:c r="G4188" s="21" t="n">
        <x:f>F4187</x:f>
        <x:v>292.1537824539921</x:v>
      </x:c>
      <x:c r="H4188" s="21" t="n">
        <x:f>F4192</x:f>
        <x:v>433.07522581485904</x:v>
      </x:c>
      <x:c r="I4188" s="27" t="n">
        <x:f>IF(AND(ISNUMBER(G4188),ISNUMBER(H4188),H4188&gt;0),G4188/H4188-1,"")</x:f>
        <x:v>-0.3253971480259905</x:v>
      </x:c>
      <x:c r="J4188" s="27" t="n">
        <x:f>IF(AND(ISNUMBER(G4188),F4188&gt;0),G4188/F4188-1,"")</x:f>
        <x:v>-0.10149003136251167</x:v>
      </x:c>
      <x:c r="K4188" s="19" t="str">
        <x:v>Weak/EXP248/results/seed1192868589_Relative_cutoff_1e-5.json</x:v>
      </x:c>
    </x:row>
    <x:row r="4189" ht="15" hidden="0" customHeight="1">
      <x:c r="A4189" s="3" t="str">
        <x:v>EXP248</x:v>
      </x:c>
      <x:c r="B4189" s="3" t="str">
        <x:v>Weak</x:v>
      </x:c>
      <x:c r="C4189" s="18" t="n">
        <x:v>1192868589</x:v>
      </x:c>
      <x:c r="D4189" s="3" t="str">
        <x:v>Fixed rank 10</x:v>
      </x:c>
      <x:c r="E4189" s="18" t="n">
        <x:v>800</x:v>
      </x:c>
      <x:c r="F4189" s="21" t="n">
        <x:v>424.46416838360085</x:v>
      </x:c>
      <x:c r="G4189" s="21" t="n">
        <x:f>F4187</x:f>
        <x:v>292.1537824539921</x:v>
      </x:c>
      <x:c r="H4189" s="21" t="n">
        <x:f>F4192</x:f>
        <x:v>433.07522581485904</x:v>
      </x:c>
      <x:c r="I4189" s="27" t="n">
        <x:f>IF(AND(ISNUMBER(G4189),ISNUMBER(H4189),H4189&gt;0),G4189/H4189-1,"")</x:f>
        <x:v>-0.3253971480259905</x:v>
      </x:c>
      <x:c r="J4189" s="27" t="n">
        <x:f>IF(AND(ISNUMBER(G4189),F4189&gt;0),G4189/F4189-1,"")</x:f>
        <x:v>-0.3117115549080598</x:v>
      </x:c>
      <x:c r="K4189" s="19" t="str">
        <x:v>Weak/EXP248/results/seed1192868589_Fixed_rank_10.json</x:v>
      </x:c>
    </x:row>
    <x:row r="4190" ht="15" hidden="0" customHeight="1">
      <x:c r="A4190" s="3" t="str">
        <x:v>EXP248</x:v>
      </x:c>
      <x:c r="B4190" s="3" t="str">
        <x:v>Weak</x:v>
      </x:c>
      <x:c r="C4190" s="18" t="n">
        <x:v>1192868589</x:v>
      </x:c>
      <x:c r="D4190" s="3" t="str">
        <x:v>Fixed rank 25</x:v>
      </x:c>
      <x:c r="E4190" s="18" t="n">
        <x:v>800</x:v>
      </x:c>
      <x:c r="F4190" s="21" t="n">
        <x:v>298.43697213022995</x:v>
      </x:c>
      <x:c r="G4190" s="21" t="n">
        <x:f>F4187</x:f>
        <x:v>292.1537824539921</x:v>
      </x:c>
      <x:c r="H4190" s="21" t="n">
        <x:f>F4192</x:f>
        <x:v>433.07522581485904</x:v>
      </x:c>
      <x:c r="I4190" s="27" t="n">
        <x:f>IF(AND(ISNUMBER(G4190),ISNUMBER(H4190),H4190&gt;0),G4190/H4190-1,"")</x:f>
        <x:v>-0.3253971480259905</x:v>
      </x:c>
      <x:c r="J4190" s="27" t="n">
        <x:f>IF(AND(ISNUMBER(G4190),F4190&gt;0),G4190/F4190-1,"")</x:f>
        <x:v>-0.021053657096802403</x:v>
      </x:c>
      <x:c r="K4190" s="19" t="str">
        <x:v>Weak/EXP248/results/seed1192868589_Fixed_rank_25.json</x:v>
      </x:c>
    </x:row>
    <x:row r="4191" ht="15" hidden="0" customHeight="1">
      <x:c r="A4191" s="3" t="str">
        <x:v>EXP248</x:v>
      </x:c>
      <x:c r="B4191" s="3" t="str">
        <x:v>Weak</x:v>
      </x:c>
      <x:c r="C4191" s="18" t="n">
        <x:v>1192868589</x:v>
      </x:c>
      <x:c r="D4191" s="3" t="str">
        <x:v>Relative cutoff 1e-6</x:v>
      </x:c>
      <x:c r="E4191" s="18" t="n">
        <x:v>800</x:v>
      </x:c>
      <x:c r="F4191" s="21" t="n">
        <x:v>292.5819962449591</x:v>
      </x:c>
      <x:c r="G4191" s="21" t="n">
        <x:f>F4187</x:f>
        <x:v>292.1537824539921</x:v>
      </x:c>
      <x:c r="H4191" s="21" t="n">
        <x:f>F4192</x:f>
        <x:v>433.07522581485904</x:v>
      </x:c>
      <x:c r="I4191" s="27" t="n">
        <x:f>IF(AND(ISNUMBER(G4191),ISNUMBER(H4191),H4191&gt;0),G4191/H4191-1,"")</x:f>
        <x:v>-0.3253971480259905</x:v>
      </x:c>
      <x:c r="J4191" s="27" t="n">
        <x:f>IF(AND(ISNUMBER(G4191),F4191&gt;0),G4191/F4191-1,"")</x:f>
        <x:v>-0.0014635684917826408</x:v>
      </x:c>
      <x:c r="K4191" s="19" t="str">
        <x:v>Weak/EXP248/results/seed1192868589_Relative_cutoff_1e-6.json</x:v>
      </x:c>
    </x:row>
    <x:row r="4192" ht="15" hidden="0" customHeight="1">
      <x:c r="A4192" s="3" t="str">
        <x:v>EXP248</x:v>
      </x:c>
      <x:c r="B4192" s="3" t="str">
        <x:v>Weak</x:v>
      </x:c>
      <x:c r="C4192" s="18" t="n">
        <x:v>1192868589</x:v>
      </x:c>
      <x:c r="D4192" s="3" t="str">
        <x:v>Full</x:v>
      </x:c>
      <x:c r="E4192" s="18" t="n">
        <x:v>800</x:v>
      </x:c>
      <x:c r="F4192" s="21" t="n">
        <x:v>433.07522581485904</x:v>
      </x:c>
      <x:c r="G4192" s="21" t="n">
        <x:f>F4187</x:f>
        <x:v>292.1537824539921</x:v>
      </x:c>
      <x:c r="H4192" s="21" t="n">
        <x:f>F4192</x:f>
        <x:v>433.07522581485904</x:v>
      </x:c>
      <x:c r="I4192" s="27" t="n">
        <x:f>IF(AND(ISNUMBER(G4192),ISNUMBER(H4192),H4192&gt;0),G4192/H4192-1,"")</x:f>
        <x:v>-0.3253971480259905</x:v>
      </x:c>
      <x:c r="J4192" s="27" t="n">
        <x:f>IF(AND(ISNUMBER(G4192),F4192&gt;0),G4192/F4192-1,"")</x:f>
        <x:v>-0.3253971480259905</x:v>
      </x:c>
      <x:c r="K4192" s="19" t="str">
        <x:v>Weak/EXP248/results/seed1192868589_Full.json</x:v>
      </x:c>
    </x:row>
    <x:row r="4193" ht="15" hidden="0" customHeight="1">
      <x:c r="A4193" s="3" t="str">
        <x:v>EXP248</x:v>
      </x:c>
      <x:c r="B4193" s="3" t="str">
        <x:v>Weak</x:v>
      </x:c>
      <x:c r="C4193" s="18" t="n">
        <x:v>1192868589</x:v>
      </x:c>
      <x:c r="D4193" s="3" t="str">
        <x:v>Relative cutoff 1e-2</x:v>
      </x:c>
      <x:c r="E4193" s="18" t="n">
        <x:v>800</x:v>
      </x:c>
      <x:c r="F4193" s="21" t="n">
        <x:v>443.1665567910479</x:v>
      </x:c>
      <x:c r="G4193" s="21" t="n">
        <x:f>F4187</x:f>
        <x:v>292.1537824539921</x:v>
      </x:c>
      <x:c r="H4193" s="21" t="n">
        <x:f>F4192</x:f>
        <x:v>433.07522581485904</x:v>
      </x:c>
      <x:c r="I4193" s="27" t="n">
        <x:f>IF(AND(ISNUMBER(G4193),ISNUMBER(H4193),H4193&gt;0),G4193/H4193-1,"")</x:f>
        <x:v>-0.3253971480259905</x:v>
      </x:c>
      <x:c r="J4193" s="27" t="n">
        <x:f>IF(AND(ISNUMBER(G4193),F4193&gt;0),G4193/F4193-1,"")</x:f>
        <x:v>-0.34075850720896794</x:v>
      </x:c>
      <x:c r="K4193" s="19" t="str">
        <x:v>Weak/EXP248/results/seed1192868589_Relative_cutoff_1e-2.json</x:v>
      </x:c>
    </x:row>
    <x:row r="4194" ht="15" hidden="0" customHeight="1">
      <x:c r="A4194" s="3" t="str">
        <x:v>EXP248</x:v>
      </x:c>
      <x:c r="B4194" s="3" t="str">
        <x:v>Weak</x:v>
      </x:c>
      <x:c r="C4194" s="18" t="n">
        <x:v>1192868589</x:v>
      </x:c>
      <x:c r="D4194" s="3" t="str">
        <x:v>Relative cutoff 1e-4</x:v>
      </x:c>
      <x:c r="E4194" s="18" t="n">
        <x:v>800</x:v>
      </x:c>
      <x:c r="F4194" s="21" t="n">
        <x:v>456.12979286887156</x:v>
      </x:c>
      <x:c r="G4194" s="21" t="n">
        <x:f>F4187</x:f>
        <x:v>292.1537824539921</x:v>
      </x:c>
      <x:c r="H4194" s="21" t="n">
        <x:f>F4192</x:f>
        <x:v>433.07522581485904</x:v>
      </x:c>
      <x:c r="I4194" s="27" t="n">
        <x:f>IF(AND(ISNUMBER(G4194),ISNUMBER(H4194),H4194&gt;0),G4194/H4194-1,"")</x:f>
        <x:v>-0.3253971480259905</x:v>
      </x:c>
      <x:c r="J4194" s="27" t="n">
        <x:f>IF(AND(ISNUMBER(G4194),F4194&gt;0),G4194/F4194-1,"")</x:f>
        <x:v>-0.3594941899838131</x:v>
      </x:c>
      <x:c r="K4194" s="19" t="str">
        <x:v>Weak/EXP248/results/seed1192868589_Relative_cutoff_1e-4.json</x:v>
      </x:c>
    </x:row>
    <x:row r="4195" ht="15" hidden="0" customHeight="1">
      <x:c r="A4195" s="3" t="str">
        <x:v>EXP248</x:v>
      </x:c>
      <x:c r="B4195" s="3" t="str">
        <x:v>Weak</x:v>
      </x:c>
      <x:c r="C4195" s="18" t="n">
        <x:v>1223219438</x:v>
      </x:c>
      <x:c r="D4195" s="3" t="str">
        <x:v>BBP</x:v>
      </x:c>
      <x:c r="E4195" s="18" t="n">
        <x:v>800</x:v>
      </x:c>
      <x:c r="F4195" s="21" t="n">
        <x:v>331.08331446747707</x:v>
      </x:c>
      <x:c r="G4195" s="21" t="n">
        <x:f>F4195</x:f>
        <x:v>331.08331446747707</x:v>
      </x:c>
      <x:c r="H4195" s="21" t="n">
        <x:f>F4200</x:f>
        <x:v>321.654866192915</x:v>
      </x:c>
      <x:c r="I4195" s="27" t="n">
        <x:f>IF(AND(ISNUMBER(G4195),ISNUMBER(H4195),H4195&gt;0),G4195/H4195-1,"")</x:f>
        <x:v>0.029312313493517372</x:v>
      </x:c>
      <x:c r="J4195" s="27" t="n">
        <x:f>IF(AND(ISNUMBER(G4195),F4195&gt;0),G4195/F4195-1,"")</x:f>
        <x:v>0</x:v>
      </x:c>
      <x:c r="K4195" s="19" t="str">
        <x:v>Weak/EXP248/results/seed1223219438_BBP.json</x:v>
      </x:c>
    </x:row>
    <x:row r="4196" ht="15" hidden="0" customHeight="1">
      <x:c r="A4196" s="3" t="str">
        <x:v>EXP248</x:v>
      </x:c>
      <x:c r="B4196" s="3" t="str">
        <x:v>Weak</x:v>
      </x:c>
      <x:c r="C4196" s="18" t="n">
        <x:v>1223219438</x:v>
      </x:c>
      <x:c r="D4196" s="3" t="str">
        <x:v>Relative cutoff 1e-5</x:v>
      </x:c>
      <x:c r="E4196" s="18" t="n">
        <x:v>800</x:v>
      </x:c>
      <x:c r="F4196" s="21" t="n">
        <x:v>312.49036265513894</x:v>
      </x:c>
      <x:c r="G4196" s="21" t="n">
        <x:f>F4195</x:f>
        <x:v>331.08331446747707</x:v>
      </x:c>
      <x:c r="H4196" s="21" t="n">
        <x:f>F4200</x:f>
        <x:v>321.654866192915</x:v>
      </x:c>
      <x:c r="I4196" s="27" t="n">
        <x:f>IF(AND(ISNUMBER(G4196),ISNUMBER(H4196),H4196&gt;0),G4196/H4196-1,"")</x:f>
        <x:v>0.029312313493517372</x:v>
      </x:c>
      <x:c r="J4196" s="27" t="n">
        <x:f>IF(AND(ISNUMBER(G4196),F4196&gt;0),G4196/F4196-1,"")</x:f>
        <x:v>0.05949928072776145</x:v>
      </x:c>
      <x:c r="K4196" s="19" t="str">
        <x:v>Weak/EXP248/results/seed1223219438_Relative_cutoff_1e-5.json</x:v>
      </x:c>
    </x:row>
    <x:row r="4197" ht="15" hidden="0" customHeight="1">
      <x:c r="A4197" s="3" t="str">
        <x:v>EXP248</x:v>
      </x:c>
      <x:c r="B4197" s="3" t="str">
        <x:v>Weak</x:v>
      </x:c>
      <x:c r="C4197" s="18" t="n">
        <x:v>1223219438</x:v>
      </x:c>
      <x:c r="D4197" s="3" t="str">
        <x:v>Fixed rank 10</x:v>
      </x:c>
      <x:c r="E4197" s="18" t="n">
        <x:v>800</x:v>
      </x:c>
      <x:c r="F4197" s="21" t="n">
        <x:v>405.1237889894763</x:v>
      </x:c>
      <x:c r="G4197" s="21" t="n">
        <x:f>F4195</x:f>
        <x:v>331.08331446747707</x:v>
      </x:c>
      <x:c r="H4197" s="21" t="n">
        <x:f>F4200</x:f>
        <x:v>321.654866192915</x:v>
      </x:c>
      <x:c r="I4197" s="27" t="n">
        <x:f>IF(AND(ISNUMBER(G4197),ISNUMBER(H4197),H4197&gt;0),G4197/H4197-1,"")</x:f>
        <x:v>0.029312313493517372</x:v>
      </x:c>
      <x:c r="J4197" s="27" t="n">
        <x:f>IF(AND(ISNUMBER(G4197),F4197&gt;0),G4197/F4197-1,"")</x:f>
        <x:v>-0.1827601255080149</x:v>
      </x:c>
      <x:c r="K4197" s="19" t="str">
        <x:v>Weak/EXP248/results/seed1223219438_Fixed_rank_10.json</x:v>
      </x:c>
    </x:row>
    <x:row r="4198" ht="15" hidden="0" customHeight="1">
      <x:c r="A4198" s="3" t="str">
        <x:v>EXP248</x:v>
      </x:c>
      <x:c r="B4198" s="3" t="str">
        <x:v>Weak</x:v>
      </x:c>
      <x:c r="C4198" s="18" t="n">
        <x:v>1223219438</x:v>
      </x:c>
      <x:c r="D4198" s="3" t="str">
        <x:v>Fixed rank 25</x:v>
      </x:c>
      <x:c r="E4198" s="18" t="n">
        <x:v>800</x:v>
      </x:c>
      <x:c r="F4198" s="21" t="n">
        <x:v>330.01935269848104</x:v>
      </x:c>
      <x:c r="G4198" s="21" t="n">
        <x:f>F4195</x:f>
        <x:v>331.08331446747707</x:v>
      </x:c>
      <x:c r="H4198" s="21" t="n">
        <x:f>F4200</x:f>
        <x:v>321.654866192915</x:v>
      </x:c>
      <x:c r="I4198" s="27" t="n">
        <x:f>IF(AND(ISNUMBER(G4198),ISNUMBER(H4198),H4198&gt;0),G4198/H4198-1,"")</x:f>
        <x:v>0.029312313493517372</x:v>
      </x:c>
      <x:c r="J4198" s="27" t="n">
        <x:f>IF(AND(ISNUMBER(G4198),F4198&gt;0),G4198/F4198-1,"")</x:f>
        <x:v>0.003223937506380503</x:v>
      </x:c>
      <x:c r="K4198" s="19" t="str">
        <x:v>Weak/EXP248/results/seed1223219438_Fixed_rank_25.json</x:v>
      </x:c>
    </x:row>
    <x:row r="4199" ht="15" hidden="0" customHeight="1">
      <x:c r="A4199" s="3" t="str">
        <x:v>EXP248</x:v>
      </x:c>
      <x:c r="B4199" s="3" t="str">
        <x:v>Weak</x:v>
      </x:c>
      <x:c r="C4199" s="18" t="n">
        <x:v>1223219438</x:v>
      </x:c>
      <x:c r="D4199" s="3" t="str">
        <x:v>Relative cutoff 1e-6</x:v>
      </x:c>
      <x:c r="E4199" s="18" t="n">
        <x:v>800</x:v>
      </x:c>
      <x:c r="F4199" s="21" t="n">
        <x:v>329.7692802180558</x:v>
      </x:c>
      <x:c r="G4199" s="21" t="n">
        <x:f>F4195</x:f>
        <x:v>331.08331446747707</x:v>
      </x:c>
      <x:c r="H4199" s="21" t="n">
        <x:f>F4200</x:f>
        <x:v>321.654866192915</x:v>
      </x:c>
      <x:c r="I4199" s="27" t="n">
        <x:f>IF(AND(ISNUMBER(G4199),ISNUMBER(H4199),H4199&gt;0),G4199/H4199-1,"")</x:f>
        <x:v>0.029312313493517372</x:v>
      </x:c>
      <x:c r="J4199" s="27" t="n">
        <x:f>IF(AND(ISNUMBER(G4199),F4199&gt;0),G4199/F4199-1,"")</x:f>
        <x:v>0.003984707879861826</x:v>
      </x:c>
      <x:c r="K4199" s="19" t="str">
        <x:v>Weak/EXP248/results/seed1223219438_Relative_cutoff_1e-6.json</x:v>
      </x:c>
    </x:row>
    <x:row r="4200" ht="15" hidden="0" customHeight="1">
      <x:c r="A4200" s="3" t="str">
        <x:v>EXP248</x:v>
      </x:c>
      <x:c r="B4200" s="3" t="str">
        <x:v>Weak</x:v>
      </x:c>
      <x:c r="C4200" s="18" t="n">
        <x:v>1223219438</x:v>
      </x:c>
      <x:c r="D4200" s="3" t="str">
        <x:v>Full</x:v>
      </x:c>
      <x:c r="E4200" s="18" t="n">
        <x:v>800</x:v>
      </x:c>
      <x:c r="F4200" s="21" t="n">
        <x:v>321.654866192915</x:v>
      </x:c>
      <x:c r="G4200" s="21" t="n">
        <x:f>F4195</x:f>
        <x:v>331.08331446747707</x:v>
      </x:c>
      <x:c r="H4200" s="21" t="n">
        <x:f>F4200</x:f>
        <x:v>321.654866192915</x:v>
      </x:c>
      <x:c r="I4200" s="27" t="n">
        <x:f>IF(AND(ISNUMBER(G4200),ISNUMBER(H4200),H4200&gt;0),G4200/H4200-1,"")</x:f>
        <x:v>0.029312313493517372</x:v>
      </x:c>
      <x:c r="J4200" s="27" t="n">
        <x:f>IF(AND(ISNUMBER(G4200),F4200&gt;0),G4200/F4200-1,"")</x:f>
        <x:v>0.029312313493517372</x:v>
      </x:c>
      <x:c r="K4200" s="19" t="str">
        <x:v>Weak/EXP248/results/seed1223219438_Full.json</x:v>
      </x:c>
    </x:row>
    <x:row r="4201" ht="15" hidden="0" customHeight="1">
      <x:c r="A4201" s="3" t="str">
        <x:v>EXP248</x:v>
      </x:c>
      <x:c r="B4201" s="3" t="str">
        <x:v>Weak</x:v>
      </x:c>
      <x:c r="C4201" s="18" t="n">
        <x:v>1223219438</x:v>
      </x:c>
      <x:c r="D4201" s="3" t="str">
        <x:v>Relative cutoff 1e-2</x:v>
      </x:c>
      <x:c r="E4201" s="18" t="n">
        <x:v>800</x:v>
      </x:c>
      <x:c r="F4201" s="21" t="n">
        <x:v>528.6928816791199</x:v>
      </x:c>
      <x:c r="G4201" s="21" t="n">
        <x:f>F4195</x:f>
        <x:v>331.08331446747707</x:v>
      </x:c>
      <x:c r="H4201" s="21" t="n">
        <x:f>F4200</x:f>
        <x:v>321.654866192915</x:v>
      </x:c>
      <x:c r="I4201" s="27" t="n">
        <x:f>IF(AND(ISNUMBER(G4201),ISNUMBER(H4201),H4201&gt;0),G4201/H4201-1,"")</x:f>
        <x:v>0.029312313493517372</x:v>
      </x:c>
      <x:c r="J4201" s="27" t="n">
        <x:f>IF(AND(ISNUMBER(G4201),F4201&gt;0),G4201/F4201-1,"")</x:f>
        <x:v>-0.3737700545239764</x:v>
      </x:c>
      <x:c r="K4201" s="19" t="str">
        <x:v>Weak/EXP248/results/seed1223219438_Relative_cutoff_1e-2.json</x:v>
      </x:c>
    </x:row>
    <x:row r="4202" ht="15" hidden="0" customHeight="1">
      <x:c r="A4202" s="3" t="str">
        <x:v>EXP248</x:v>
      </x:c>
      <x:c r="B4202" s="3" t="str">
        <x:v>Weak</x:v>
      </x:c>
      <x:c r="C4202" s="18" t="n">
        <x:v>1223219438</x:v>
      </x:c>
      <x:c r="D4202" s="3" t="str">
        <x:v>Relative cutoff 1e-4</x:v>
      </x:c>
      <x:c r="E4202" s="18" t="n">
        <x:v>800</x:v>
      </x:c>
      <x:c r="F4202" s="21" t="n">
        <x:v>409.40127386164835</x:v>
      </x:c>
      <x:c r="G4202" s="21" t="n">
        <x:f>F4195</x:f>
        <x:v>331.08331446747707</x:v>
      </x:c>
      <x:c r="H4202" s="21" t="n">
        <x:f>F4200</x:f>
        <x:v>321.654866192915</x:v>
      </x:c>
      <x:c r="I4202" s="27" t="n">
        <x:f>IF(AND(ISNUMBER(G4202),ISNUMBER(H4202),H4202&gt;0),G4202/H4202-1,"")</x:f>
        <x:v>0.029312313493517372</x:v>
      </x:c>
      <x:c r="J4202" s="27" t="n">
        <x:f>IF(AND(ISNUMBER(G4202),F4202&gt;0),G4202/F4202-1,"")</x:f>
        <x:v>-0.19129876821203484</x:v>
      </x:c>
      <x:c r="K4202" s="19" t="str">
        <x:v>Weak/EXP248/results/seed1223219438_Relative_cutoff_1e-4.json</x:v>
      </x:c>
    </x:row>
    <x:row r="4203" ht="15" hidden="0" customHeight="1">
      <x:c r="A4203" s="3" t="str">
        <x:v>EXP248</x:v>
      </x:c>
      <x:c r="B4203" s="3" t="str">
        <x:v>Weak</x:v>
      </x:c>
      <x:c r="C4203" s="18" t="n">
        <x:v>1258145485</x:v>
      </x:c>
      <x:c r="D4203" s="3" t="str">
        <x:v>BBP</x:v>
      </x:c>
      <x:c r="E4203" s="18" t="n">
        <x:v>800</x:v>
      </x:c>
      <x:c r="F4203" s="21" t="n">
        <x:v>438.4452888316073</x:v>
      </x:c>
      <x:c r="G4203" s="21" t="n">
        <x:f>F4203</x:f>
        <x:v>438.4452888316073</x:v>
      </x:c>
      <x:c r="H4203" s="21" t="n">
        <x:f>F4208</x:f>
        <x:v>481.39977969415764</x:v>
      </x:c>
      <x:c r="I4203" s="27" t="n">
        <x:f>IF(AND(ISNUMBER(G4203),ISNUMBER(H4203),H4203&gt;0),G4203/H4203-1,"")</x:f>
        <x:v>-0.08922831433333878</x:v>
      </x:c>
      <x:c r="J4203" s="27" t="n">
        <x:f>IF(AND(ISNUMBER(G4203),F4203&gt;0),G4203/F4203-1,"")</x:f>
        <x:v>0</x:v>
      </x:c>
      <x:c r="K4203" s="19" t="str">
        <x:v>Weak/EXP248/results/seed1258145485_BBP.json</x:v>
      </x:c>
    </x:row>
    <x:row r="4204" ht="15" hidden="0" customHeight="1">
      <x:c r="A4204" s="3" t="str">
        <x:v>EXP248</x:v>
      </x:c>
      <x:c r="B4204" s="3" t="str">
        <x:v>Weak</x:v>
      </x:c>
      <x:c r="C4204" s="18" t="n">
        <x:v>1258145485</x:v>
      </x:c>
      <x:c r="D4204" s="3" t="str">
        <x:v>Relative cutoff 1e-5</x:v>
      </x:c>
      <x:c r="E4204" s="18" t="n">
        <x:v>800</x:v>
      </x:c>
      <x:c r="F4204" s="21" t="n">
        <x:v>467.1895066809452</x:v>
      </x:c>
      <x:c r="G4204" s="21" t="n">
        <x:f>F4203</x:f>
        <x:v>438.4452888316073</x:v>
      </x:c>
      <x:c r="H4204" s="21" t="n">
        <x:f>F4208</x:f>
        <x:v>481.39977969415764</x:v>
      </x:c>
      <x:c r="I4204" s="27" t="n">
        <x:f>IF(AND(ISNUMBER(G4204),ISNUMBER(H4204),H4204&gt;0),G4204/H4204-1,"")</x:f>
        <x:v>-0.08922831433333878</x:v>
      </x:c>
      <x:c r="J4204" s="27" t="n">
        <x:f>IF(AND(ISNUMBER(G4204),F4204&gt;0),G4204/F4204-1,"")</x:f>
        <x:v>-0.061525820760713335</x:v>
      </x:c>
      <x:c r="K4204" s="19" t="str">
        <x:v>Weak/EXP248/results/seed1258145485_Relative_cutoff_1e-5.json</x:v>
      </x:c>
    </x:row>
    <x:row r="4205" ht="15" hidden="0" customHeight="1">
      <x:c r="A4205" s="3" t="str">
        <x:v>EXP248</x:v>
      </x:c>
      <x:c r="B4205" s="3" t="str">
        <x:v>Weak</x:v>
      </x:c>
      <x:c r="C4205" s="18" t="n">
        <x:v>1258145485</x:v>
      </x:c>
      <x:c r="D4205" s="3" t="str">
        <x:v>Fixed rank 10</x:v>
      </x:c>
      <x:c r="E4205" s="18" t="n">
        <x:v>800</x:v>
      </x:c>
      <x:c r="F4205" s="21" t="n">
        <x:v>418.61156946241675</x:v>
      </x:c>
      <x:c r="G4205" s="21" t="n">
        <x:f>F4203</x:f>
        <x:v>438.4452888316073</x:v>
      </x:c>
      <x:c r="H4205" s="21" t="n">
        <x:f>F4208</x:f>
        <x:v>481.39977969415764</x:v>
      </x:c>
      <x:c r="I4205" s="27" t="n">
        <x:f>IF(AND(ISNUMBER(G4205),ISNUMBER(H4205),H4205&gt;0),G4205/H4205-1,"")</x:f>
        <x:v>-0.08922831433333878</x:v>
      </x:c>
      <x:c r="J4205" s="27" t="n">
        <x:f>IF(AND(ISNUMBER(G4205),F4205&gt;0),G4205/F4205-1,"")</x:f>
        <x:v>0.04737976877863437</x:v>
      </x:c>
      <x:c r="K4205" s="19" t="str">
        <x:v>Weak/EXP248/results/seed1258145485_Fixed_rank_10.json</x:v>
      </x:c>
    </x:row>
    <x:row r="4206" ht="15" hidden="0" customHeight="1">
      <x:c r="A4206" s="3" t="str">
        <x:v>EXP248</x:v>
      </x:c>
      <x:c r="B4206" s="3" t="str">
        <x:v>Weak</x:v>
      </x:c>
      <x:c r="C4206" s="18" t="n">
        <x:v>1258145485</x:v>
      </x:c>
      <x:c r="D4206" s="3" t="str">
        <x:v>Fixed rank 25</x:v>
      </x:c>
      <x:c r="E4206" s="18" t="n">
        <x:v>800</x:v>
      </x:c>
      <x:c r="F4206" s="21" t="n">
        <x:v>437.12507006327223</x:v>
      </x:c>
      <x:c r="G4206" s="21" t="n">
        <x:f>F4203</x:f>
        <x:v>438.4452888316073</x:v>
      </x:c>
      <x:c r="H4206" s="21" t="n">
        <x:f>F4208</x:f>
        <x:v>481.39977969415764</x:v>
      </x:c>
      <x:c r="I4206" s="27" t="n">
        <x:f>IF(AND(ISNUMBER(G4206),ISNUMBER(H4206),H4206&gt;0),G4206/H4206-1,"")</x:f>
        <x:v>-0.08922831433333878</x:v>
      </x:c>
      <x:c r="J4206" s="27" t="n">
        <x:f>IF(AND(ISNUMBER(G4206),F4206&gt;0),G4206/F4206-1,"")</x:f>
        <x:v>0.003020231184964972</x:v>
      </x:c>
      <x:c r="K4206" s="19" t="str">
        <x:v>Weak/EXP248/results/seed1258145485_Fixed_rank_25.json</x:v>
      </x:c>
    </x:row>
    <x:row r="4207" ht="15" hidden="0" customHeight="1">
      <x:c r="A4207" s="3" t="str">
        <x:v>EXP248</x:v>
      </x:c>
      <x:c r="B4207" s="3" t="str">
        <x:v>Weak</x:v>
      </x:c>
      <x:c r="C4207" s="18" t="n">
        <x:v>1258145485</x:v>
      </x:c>
      <x:c r="D4207" s="3" t="str">
        <x:v>Relative cutoff 1e-6</x:v>
      </x:c>
      <x:c r="E4207" s="18" t="n">
        <x:v>800</x:v>
      </x:c>
      <x:c r="F4207" s="21" t="n">
        <x:v>540.1068838555603</x:v>
      </x:c>
      <x:c r="G4207" s="21" t="n">
        <x:f>F4203</x:f>
        <x:v>438.4452888316073</x:v>
      </x:c>
      <x:c r="H4207" s="21" t="n">
        <x:f>F4208</x:f>
        <x:v>481.39977969415764</x:v>
      </x:c>
      <x:c r="I4207" s="27" t="n">
        <x:f>IF(AND(ISNUMBER(G4207),ISNUMBER(H4207),H4207&gt;0),G4207/H4207-1,"")</x:f>
        <x:v>-0.08922831433333878</x:v>
      </x:c>
      <x:c r="J4207" s="27" t="n">
        <x:f>IF(AND(ISNUMBER(G4207),F4207&gt;0),G4207/F4207-1,"")</x:f>
        <x:v>-0.1882249570644987</x:v>
      </x:c>
      <x:c r="K4207" s="19" t="str">
        <x:v>Weak/EXP248/results/seed1258145485_Relative_cutoff_1e-6.json</x:v>
      </x:c>
    </x:row>
    <x:row r="4208" ht="15" hidden="0" customHeight="1">
      <x:c r="A4208" s="3" t="str">
        <x:v>EXP248</x:v>
      </x:c>
      <x:c r="B4208" s="3" t="str">
        <x:v>Weak</x:v>
      </x:c>
      <x:c r="C4208" s="18" t="n">
        <x:v>1258145485</x:v>
      </x:c>
      <x:c r="D4208" s="3" t="str">
        <x:v>Full</x:v>
      </x:c>
      <x:c r="E4208" s="18" t="n">
        <x:v>800</x:v>
      </x:c>
      <x:c r="F4208" s="21" t="n">
        <x:v>481.39977969415764</x:v>
      </x:c>
      <x:c r="G4208" s="21" t="n">
        <x:f>F4203</x:f>
        <x:v>438.4452888316073</x:v>
      </x:c>
      <x:c r="H4208" s="21" t="n">
        <x:f>F4208</x:f>
        <x:v>481.39977969415764</x:v>
      </x:c>
      <x:c r="I4208" s="27" t="n">
        <x:f>IF(AND(ISNUMBER(G4208),ISNUMBER(H4208),H4208&gt;0),G4208/H4208-1,"")</x:f>
        <x:v>-0.08922831433333878</x:v>
      </x:c>
      <x:c r="J4208" s="27" t="n">
        <x:f>IF(AND(ISNUMBER(G4208),F4208&gt;0),G4208/F4208-1,"")</x:f>
        <x:v>-0.08922831433333878</x:v>
      </x:c>
      <x:c r="K4208" s="19" t="str">
        <x:v>Weak/EXP248/results/seed1258145485_Full.json</x:v>
      </x:c>
    </x:row>
    <x:row r="4209" ht="15" hidden="0" customHeight="1">
      <x:c r="A4209" s="3" t="str">
        <x:v>EXP248</x:v>
      </x:c>
      <x:c r="B4209" s="3" t="str">
        <x:v>Weak</x:v>
      </x:c>
      <x:c r="C4209" s="18" t="n">
        <x:v>1258145485</x:v>
      </x:c>
      <x:c r="D4209" s="3" t="str">
        <x:v>Relative cutoff 1e-2</x:v>
      </x:c>
      <x:c r="E4209" s="18" t="n">
        <x:v>800</x:v>
      </x:c>
      <x:c r="F4209" s="21" t="n">
        <x:v>516.4405748023277</x:v>
      </x:c>
      <x:c r="G4209" s="21" t="n">
        <x:f>F4203</x:f>
        <x:v>438.4452888316073</x:v>
      </x:c>
      <x:c r="H4209" s="21" t="n">
        <x:f>F4208</x:f>
        <x:v>481.39977969415764</x:v>
      </x:c>
      <x:c r="I4209" s="27" t="n">
        <x:f>IF(AND(ISNUMBER(G4209),ISNUMBER(H4209),H4209&gt;0),G4209/H4209-1,"")</x:f>
        <x:v>-0.08922831433333878</x:v>
      </x:c>
      <x:c r="J4209" s="27" t="n">
        <x:f>IF(AND(ISNUMBER(G4209),F4209&gt;0),G4209/F4209-1,"")</x:f>
        <x:v>-0.15102470598979134</x:v>
      </x:c>
      <x:c r="K4209" s="19" t="str">
        <x:v>Weak/EXP248/results/seed1258145485_Relative_cutoff_1e-2.json</x:v>
      </x:c>
    </x:row>
    <x:row r="4210" ht="15" hidden="0" customHeight="1">
      <x:c r="A4210" s="3" t="str">
        <x:v>EXP248</x:v>
      </x:c>
      <x:c r="B4210" s="3" t="str">
        <x:v>Weak</x:v>
      </x:c>
      <x:c r="C4210" s="18" t="n">
        <x:v>1258145485</x:v>
      </x:c>
      <x:c r="D4210" s="3" t="str">
        <x:v>Relative cutoff 1e-4</x:v>
      </x:c>
      <x:c r="E4210" s="18" t="n">
        <x:v>800</x:v>
      </x:c>
      <x:c r="F4210" s="21" t="n">
        <x:v>421.2429110612336</x:v>
      </x:c>
      <x:c r="G4210" s="21" t="n">
        <x:f>F4203</x:f>
        <x:v>438.4452888316073</x:v>
      </x:c>
      <x:c r="H4210" s="21" t="n">
        <x:f>F4208</x:f>
        <x:v>481.39977969415764</x:v>
      </x:c>
      <x:c r="I4210" s="27" t="n">
        <x:f>IF(AND(ISNUMBER(G4210),ISNUMBER(H4210),H4210&gt;0),G4210/H4210-1,"")</x:f>
        <x:v>-0.08922831433333878</x:v>
      </x:c>
      <x:c r="J4210" s="27" t="n">
        <x:f>IF(AND(ISNUMBER(G4210),F4210&gt;0),G4210/F4210-1,"")</x:f>
        <x:v>0.040837192315084536</x:v>
      </x:c>
      <x:c r="K4210" s="19" t="str">
        <x:v>Weak/EXP248/results/seed1258145485_Relative_cutoff_1e-4.json</x:v>
      </x:c>
    </x:row>
    <x:row r="4211" ht="15" hidden="0" customHeight="1">
      <x:c r="A4211" s="3" t="str">
        <x:v>EXP248</x:v>
      </x:c>
      <x:c r="B4211" s="3" t="str">
        <x:v>Weak</x:v>
      </x:c>
      <x:c r="C4211" s="18" t="n">
        <x:v>1317353170</x:v>
      </x:c>
      <x:c r="D4211" s="3" t="str">
        <x:v>BBP</x:v>
      </x:c>
      <x:c r="E4211" s="18" t="n">
        <x:v>800</x:v>
      </x:c>
      <x:c r="F4211" s="21" t="n">
        <x:v>381.50429603263103</x:v>
      </x:c>
      <x:c r="G4211" s="21" t="n">
        <x:f>F4211</x:f>
        <x:v>381.50429603263103</x:v>
      </x:c>
      <x:c r="H4211" s="21" t="n">
        <x:f>F4216</x:f>
        <x:v>416.75842828693214</x:v>
      </x:c>
      <x:c r="I4211" s="27" t="n">
        <x:f>IF(AND(ISNUMBER(G4211),ISNUMBER(H4211),H4211&gt;0),G4211/H4211-1,"")</x:f>
        <x:v>-0.0845912880495584</x:v>
      </x:c>
      <x:c r="J4211" s="27" t="n">
        <x:f>IF(AND(ISNUMBER(G4211),F4211&gt;0),G4211/F4211-1,"")</x:f>
        <x:v>0</x:v>
      </x:c>
      <x:c r="K4211" s="19" t="str">
        <x:v>Weak/EXP248/results/seed1317353170_BBP.json</x:v>
      </x:c>
    </x:row>
    <x:row r="4212" ht="15" hidden="0" customHeight="1">
      <x:c r="A4212" s="3" t="str">
        <x:v>EXP248</x:v>
      </x:c>
      <x:c r="B4212" s="3" t="str">
        <x:v>Weak</x:v>
      </x:c>
      <x:c r="C4212" s="18" t="n">
        <x:v>1317353170</x:v>
      </x:c>
      <x:c r="D4212" s="3" t="str">
        <x:v>Relative cutoff 1e-5</x:v>
      </x:c>
      <x:c r="E4212" s="18" t="n">
        <x:v>800</x:v>
      </x:c>
      <x:c r="F4212" s="21" t="n">
        <x:v>409.8405896371284</x:v>
      </x:c>
      <x:c r="G4212" s="21" t="n">
        <x:f>F4211</x:f>
        <x:v>381.50429603263103</x:v>
      </x:c>
      <x:c r="H4212" s="21" t="n">
        <x:f>F4216</x:f>
        <x:v>416.75842828693214</x:v>
      </x:c>
      <x:c r="I4212" s="27" t="n">
        <x:f>IF(AND(ISNUMBER(G4212),ISNUMBER(H4212),H4212&gt;0),G4212/H4212-1,"")</x:f>
        <x:v>-0.0845912880495584</x:v>
      </x:c>
      <x:c r="J4212" s="27" t="n">
        <x:f>IF(AND(ISNUMBER(G4212),F4212&gt;0),G4212/F4212-1,"")</x:f>
        <x:v>-0.06913979318052965</x:v>
      </x:c>
      <x:c r="K4212" s="19" t="str">
        <x:v>Weak/EXP248/results/seed1317353170_Relative_cutoff_1e-5.json</x:v>
      </x:c>
    </x:row>
    <x:row r="4213" ht="15" hidden="0" customHeight="1">
      <x:c r="A4213" s="3" t="str">
        <x:v>EXP248</x:v>
      </x:c>
      <x:c r="B4213" s="3" t="str">
        <x:v>Weak</x:v>
      </x:c>
      <x:c r="C4213" s="18" t="n">
        <x:v>1317353170</x:v>
      </x:c>
      <x:c r="D4213" s="3" t="str">
        <x:v>Fixed rank 10</x:v>
      </x:c>
      <x:c r="E4213" s="18" t="n">
        <x:v>800</x:v>
      </x:c>
      <x:c r="F4213" s="21" t="n">
        <x:v>424.90049664076645</x:v>
      </x:c>
      <x:c r="G4213" s="21" t="n">
        <x:f>F4211</x:f>
        <x:v>381.50429603263103</x:v>
      </x:c>
      <x:c r="H4213" s="21" t="n">
        <x:f>F4216</x:f>
        <x:v>416.75842828693214</x:v>
      </x:c>
      <x:c r="I4213" s="27" t="n">
        <x:f>IF(AND(ISNUMBER(G4213),ISNUMBER(H4213),H4213&gt;0),G4213/H4213-1,"")</x:f>
        <x:v>-0.0845912880495584</x:v>
      </x:c>
      <x:c r="J4213" s="27" t="n">
        <x:f>IF(AND(ISNUMBER(G4213),F4213&gt;0),G4213/F4213-1,"")</x:f>
        <x:v>-0.10213261916901184</x:v>
      </x:c>
      <x:c r="K4213" s="19" t="str">
        <x:v>Weak/EXP248/results/seed1317353170_Fixed_rank_10.json</x:v>
      </x:c>
    </x:row>
    <x:row r="4214" ht="15" hidden="0" customHeight="1">
      <x:c r="A4214" s="3" t="str">
        <x:v>EXP248</x:v>
      </x:c>
      <x:c r="B4214" s="3" t="str">
        <x:v>Weak</x:v>
      </x:c>
      <x:c r="C4214" s="18" t="n">
        <x:v>1317353170</x:v>
      </x:c>
      <x:c r="D4214" s="3" t="str">
        <x:v>Fixed rank 25</x:v>
      </x:c>
      <x:c r="E4214" s="18" t="n">
        <x:v>800</x:v>
      </x:c>
      <x:c r="F4214" s="21" t="n">
        <x:v>384.67691006740677</x:v>
      </x:c>
      <x:c r="G4214" s="21" t="n">
        <x:f>F4211</x:f>
        <x:v>381.50429603263103</x:v>
      </x:c>
      <x:c r="H4214" s="21" t="n">
        <x:f>F4216</x:f>
        <x:v>416.75842828693214</x:v>
      </x:c>
      <x:c r="I4214" s="27" t="n">
        <x:f>IF(AND(ISNUMBER(G4214),ISNUMBER(H4214),H4214&gt;0),G4214/H4214-1,"")</x:f>
        <x:v>-0.0845912880495584</x:v>
      </x:c>
      <x:c r="J4214" s="27" t="n">
        <x:f>IF(AND(ISNUMBER(G4214),F4214&gt;0),G4214/F4214-1,"")</x:f>
        <x:v>-0.008247477173037976</x:v>
      </x:c>
      <x:c r="K4214" s="19" t="str">
        <x:v>Weak/EXP248/results/seed1317353170_Fixed_rank_25.json</x:v>
      </x:c>
    </x:row>
    <x:row r="4215" ht="15" hidden="0" customHeight="1">
      <x:c r="A4215" s="3" t="str">
        <x:v>EXP248</x:v>
      </x:c>
      <x:c r="B4215" s="3" t="str">
        <x:v>Weak</x:v>
      </x:c>
      <x:c r="C4215" s="18" t="n">
        <x:v>1317353170</x:v>
      </x:c>
      <x:c r="D4215" s="3" t="str">
        <x:v>Relative cutoff 1e-6</x:v>
      </x:c>
      <x:c r="E4215" s="18" t="n">
        <x:v>800</x:v>
      </x:c>
      <x:c r="F4215" s="21" t="n">
        <x:v>391.77697196105817</x:v>
      </x:c>
      <x:c r="G4215" s="21" t="n">
        <x:f>F4211</x:f>
        <x:v>381.50429603263103</x:v>
      </x:c>
      <x:c r="H4215" s="21" t="n">
        <x:f>F4216</x:f>
        <x:v>416.75842828693214</x:v>
      </x:c>
      <x:c r="I4215" s="27" t="n">
        <x:f>IF(AND(ISNUMBER(G4215),ISNUMBER(H4215),H4215&gt;0),G4215/H4215-1,"")</x:f>
        <x:v>-0.0845912880495584</x:v>
      </x:c>
      <x:c r="J4215" s="27" t="n">
        <x:f>IF(AND(ISNUMBER(G4215),F4215&gt;0),G4215/F4215-1,"")</x:f>
        <x:v>-0.026220724196745815</x:v>
      </x:c>
      <x:c r="K4215" s="19" t="str">
        <x:v>Weak/EXP248/results/seed1317353170_Relative_cutoff_1e-6.json</x:v>
      </x:c>
    </x:row>
    <x:row r="4216" ht="15" hidden="0" customHeight="1">
      <x:c r="A4216" s="3" t="str">
        <x:v>EXP248</x:v>
      </x:c>
      <x:c r="B4216" s="3" t="str">
        <x:v>Weak</x:v>
      </x:c>
      <x:c r="C4216" s="18" t="n">
        <x:v>1317353170</x:v>
      </x:c>
      <x:c r="D4216" s="3" t="str">
        <x:v>Full</x:v>
      </x:c>
      <x:c r="E4216" s="18" t="n">
        <x:v>800</x:v>
      </x:c>
      <x:c r="F4216" s="21" t="n">
        <x:v>416.75842828693214</x:v>
      </x:c>
      <x:c r="G4216" s="21" t="n">
        <x:f>F4211</x:f>
        <x:v>381.50429603263103</x:v>
      </x:c>
      <x:c r="H4216" s="21" t="n">
        <x:f>F4216</x:f>
        <x:v>416.75842828693214</x:v>
      </x:c>
      <x:c r="I4216" s="27" t="n">
        <x:f>IF(AND(ISNUMBER(G4216),ISNUMBER(H4216),H4216&gt;0),G4216/H4216-1,"")</x:f>
        <x:v>-0.0845912880495584</x:v>
      </x:c>
      <x:c r="J4216" s="27" t="n">
        <x:f>IF(AND(ISNUMBER(G4216),F4216&gt;0),G4216/F4216-1,"")</x:f>
        <x:v>-0.0845912880495584</x:v>
      </x:c>
      <x:c r="K4216" s="19" t="str">
        <x:v>Weak/EXP248/results/seed1317353170_Full.json</x:v>
      </x:c>
    </x:row>
    <x:row r="4217" ht="15" hidden="0" customHeight="1">
      <x:c r="A4217" s="3" t="str">
        <x:v>EXP248</x:v>
      </x:c>
      <x:c r="B4217" s="3" t="str">
        <x:v>Weak</x:v>
      </x:c>
      <x:c r="C4217" s="18" t="n">
        <x:v>1317353170</x:v>
      </x:c>
      <x:c r="D4217" s="3" t="str">
        <x:v>Relative cutoff 1e-2</x:v>
      </x:c>
      <x:c r="E4217" s="18" t="n">
        <x:v>800</x:v>
      </x:c>
      <x:c r="F4217" s="21" t="n">
        <x:v>544.6693358257639</x:v>
      </x:c>
      <x:c r="G4217" s="21" t="n">
        <x:f>F4211</x:f>
        <x:v>381.50429603263103</x:v>
      </x:c>
      <x:c r="H4217" s="21" t="n">
        <x:f>F4216</x:f>
        <x:v>416.75842828693214</x:v>
      </x:c>
      <x:c r="I4217" s="27" t="n">
        <x:f>IF(AND(ISNUMBER(G4217),ISNUMBER(H4217),H4217&gt;0),G4217/H4217-1,"")</x:f>
        <x:v>-0.0845912880495584</x:v>
      </x:c>
      <x:c r="J4217" s="27" t="n">
        <x:f>IF(AND(ISNUMBER(G4217),F4217&gt;0),G4217/F4217-1,"")</x:f>
        <x:v>-0.2995671484713953</x:v>
      </x:c>
      <x:c r="K4217" s="19" t="str">
        <x:v>Weak/EXP248/results/seed1317353170_Relative_cutoff_1e-2.json</x:v>
      </x:c>
    </x:row>
    <x:row r="4218" ht="15" hidden="0" customHeight="1">
      <x:c r="A4218" s="3" t="str">
        <x:v>EXP248</x:v>
      </x:c>
      <x:c r="B4218" s="3" t="str">
        <x:v>Weak</x:v>
      </x:c>
      <x:c r="C4218" s="18" t="n">
        <x:v>1317353170</x:v>
      </x:c>
      <x:c r="D4218" s="3" t="str">
        <x:v>Relative cutoff 1e-4</x:v>
      </x:c>
      <x:c r="E4218" s="18" t="n">
        <x:v>800</x:v>
      </x:c>
      <x:c r="F4218" s="21" t="n">
        <x:v>419.3018629032878</x:v>
      </x:c>
      <x:c r="G4218" s="21" t="n">
        <x:f>F4211</x:f>
        <x:v>381.50429603263103</x:v>
      </x:c>
      <x:c r="H4218" s="21" t="n">
        <x:f>F4216</x:f>
        <x:v>416.75842828693214</x:v>
      </x:c>
      <x:c r="I4218" s="27" t="n">
        <x:f>IF(AND(ISNUMBER(G4218),ISNUMBER(H4218),H4218&gt;0),G4218/H4218-1,"")</x:f>
        <x:v>-0.0845912880495584</x:v>
      </x:c>
      <x:c r="J4218" s="27" t="n">
        <x:f>IF(AND(ISNUMBER(G4218),F4218&gt;0),G4218/F4218-1,"")</x:f>
        <x:v>-0.09014404708088508</x:v>
      </x:c>
      <x:c r="K4218" s="19" t="str">
        <x:v>Weak/EXP248/results/seed1317353170_Relative_cutoff_1e-4.json</x:v>
      </x:c>
    </x:row>
    <x:row r="4219" ht="15" hidden="0" customHeight="1">
      <x:c r="A4219" s="3" t="str">
        <x:v>EXP248</x:v>
      </x:c>
      <x:c r="B4219" s="3" t="str">
        <x:v>Weak</x:v>
      </x:c>
      <x:c r="C4219" s="18" t="n">
        <x:v>1352005525</x:v>
      </x:c>
      <x:c r="D4219" s="3" t="str">
        <x:v>BBP</x:v>
      </x:c>
      <x:c r="E4219" s="18" t="n">
        <x:v>800</x:v>
      </x:c>
      <x:c r="F4219" s="21" t="n">
        <x:v>660.1789352381593</x:v>
      </x:c>
      <x:c r="G4219" s="21" t="n">
        <x:f>F4219</x:f>
        <x:v>660.1789352381593</x:v>
      </x:c>
      <x:c r="H4219" s="21" t="n">
        <x:f>F4224</x:f>
        <x:v>805.1191278677152</x:v>
      </x:c>
      <x:c r="I4219" s="27" t="n">
        <x:f>IF(AND(ISNUMBER(G4219),ISNUMBER(H4219),H4219&gt;0),G4219/H4219-1,"")</x:f>
        <x:v>-0.18002328799890377</x:v>
      </x:c>
      <x:c r="J4219" s="27" t="n">
        <x:f>IF(AND(ISNUMBER(G4219),F4219&gt;0),G4219/F4219-1,"")</x:f>
        <x:v>0</x:v>
      </x:c>
      <x:c r="K4219" s="19" t="str">
        <x:v>Weak/EXP248/results/seed1352005525_BBP.json</x:v>
      </x:c>
    </x:row>
    <x:row r="4220" ht="15" hidden="0" customHeight="1">
      <x:c r="A4220" s="3" t="str">
        <x:v>EXP248</x:v>
      </x:c>
      <x:c r="B4220" s="3" t="str">
        <x:v>Weak</x:v>
      </x:c>
      <x:c r="C4220" s="18" t="n">
        <x:v>1352005525</x:v>
      </x:c>
      <x:c r="D4220" s="3" t="str">
        <x:v>Relative cutoff 1e-5</x:v>
      </x:c>
      <x:c r="E4220" s="18" t="n">
        <x:v>800</x:v>
      </x:c>
      <x:c r="F4220" s="21" t="n">
        <x:v>690.7046762987623</x:v>
      </x:c>
      <x:c r="G4220" s="21" t="n">
        <x:f>F4219</x:f>
        <x:v>660.1789352381593</x:v>
      </x:c>
      <x:c r="H4220" s="21" t="n">
        <x:f>F4224</x:f>
        <x:v>805.1191278677152</x:v>
      </x:c>
      <x:c r="I4220" s="27" t="n">
        <x:f>IF(AND(ISNUMBER(G4220),ISNUMBER(H4220),H4220&gt;0),G4220/H4220-1,"")</x:f>
        <x:v>-0.18002328799890377</x:v>
      </x:c>
      <x:c r="J4220" s="27" t="n">
        <x:f>IF(AND(ISNUMBER(G4220),F4220&gt;0),G4220/F4220-1,"")</x:f>
        <x:v>-0.044195069337273685</x:v>
      </x:c>
      <x:c r="K4220" s="19" t="str">
        <x:v>Weak/EXP248/results/seed1352005525_Relative_cutoff_1e-5.json</x:v>
      </x:c>
    </x:row>
    <x:row r="4221" ht="15" hidden="0" customHeight="1">
      <x:c r="A4221" s="3" t="str">
        <x:v>EXP248</x:v>
      </x:c>
      <x:c r="B4221" s="3" t="str">
        <x:v>Weak</x:v>
      </x:c>
      <x:c r="C4221" s="18" t="n">
        <x:v>1352005525</x:v>
      </x:c>
      <x:c r="D4221" s="3" t="str">
        <x:v>Fixed rank 10</x:v>
      </x:c>
      <x:c r="E4221" s="18" t="n">
        <x:v>800</x:v>
      </x:c>
      <x:c r="F4221" s="21" t="n">
        <x:v>567.2119171478728</x:v>
      </x:c>
      <x:c r="G4221" s="21" t="n">
        <x:f>F4219</x:f>
        <x:v>660.1789352381593</x:v>
      </x:c>
      <x:c r="H4221" s="21" t="n">
        <x:f>F4224</x:f>
        <x:v>805.1191278677152</x:v>
      </x:c>
      <x:c r="I4221" s="27" t="n">
        <x:f>IF(AND(ISNUMBER(G4221),ISNUMBER(H4221),H4221&gt;0),G4221/H4221-1,"")</x:f>
        <x:v>-0.18002328799890377</x:v>
      </x:c>
      <x:c r="J4221" s="27" t="n">
        <x:f>IF(AND(ISNUMBER(G4221),F4221&gt;0),G4221/F4221-1,"")</x:f>
        <x:v>0.16390173633472838</x:v>
      </x:c>
      <x:c r="K4221" s="19" t="str">
        <x:v>Weak/EXP248/results/seed1352005525_Fixed_rank_10.json</x:v>
      </x:c>
    </x:row>
    <x:row r="4222" ht="15" hidden="0" customHeight="1">
      <x:c r="A4222" s="3" t="str">
        <x:v>EXP248</x:v>
      </x:c>
      <x:c r="B4222" s="3" t="str">
        <x:v>Weak</x:v>
      </x:c>
      <x:c r="C4222" s="18" t="n">
        <x:v>1352005525</x:v>
      </x:c>
      <x:c r="D4222" s="3" t="str">
        <x:v>Fixed rank 25</x:v>
      </x:c>
      <x:c r="E4222" s="18" t="n">
        <x:v>800</x:v>
      </x:c>
      <x:c r="F4222" s="21" t="n">
        <x:v>745.8727430564614</x:v>
      </x:c>
      <x:c r="G4222" s="21" t="n">
        <x:f>F4219</x:f>
        <x:v>660.1789352381593</x:v>
      </x:c>
      <x:c r="H4222" s="21" t="n">
        <x:f>F4224</x:f>
        <x:v>805.1191278677152</x:v>
      </x:c>
      <x:c r="I4222" s="27" t="n">
        <x:f>IF(AND(ISNUMBER(G4222),ISNUMBER(H4222),H4222&gt;0),G4222/H4222-1,"")</x:f>
        <x:v>-0.18002328799890377</x:v>
      </x:c>
      <x:c r="J4222" s="27" t="n">
        <x:f>IF(AND(ISNUMBER(G4222),F4222&gt;0),G4222/F4222-1,"")</x:f>
        <x:v>-0.1148906547612174</x:v>
      </x:c>
      <x:c r="K4222" s="19" t="str">
        <x:v>Weak/EXP248/results/seed1352005525_Fixed_rank_25.json</x:v>
      </x:c>
    </x:row>
    <x:row r="4223" ht="15" hidden="0" customHeight="1">
      <x:c r="A4223" s="3" t="str">
        <x:v>EXP248</x:v>
      </x:c>
      <x:c r="B4223" s="3" t="str">
        <x:v>Weak</x:v>
      </x:c>
      <x:c r="C4223" s="18" t="n">
        <x:v>1352005525</x:v>
      </x:c>
      <x:c r="D4223" s="3" t="str">
        <x:v>Relative cutoff 1e-6</x:v>
      </x:c>
      <x:c r="E4223" s="18" t="n">
        <x:v>800</x:v>
      </x:c>
      <x:c r="F4223" s="21" t="n">
        <x:v>754.745682638852</x:v>
      </x:c>
      <x:c r="G4223" s="21" t="n">
        <x:f>F4219</x:f>
        <x:v>660.1789352381593</x:v>
      </x:c>
      <x:c r="H4223" s="21" t="n">
        <x:f>F4224</x:f>
        <x:v>805.1191278677152</x:v>
      </x:c>
      <x:c r="I4223" s="27" t="n">
        <x:f>IF(AND(ISNUMBER(G4223),ISNUMBER(H4223),H4223&gt;0),G4223/H4223-1,"")</x:f>
        <x:v>-0.18002328799890377</x:v>
      </x:c>
      <x:c r="J4223" s="27" t="n">
        <x:f>IF(AND(ISNUMBER(G4223),F4223&gt;0),G4223/F4223-1,"")</x:f>
        <x:v>-0.12529617535545834</x:v>
      </x:c>
      <x:c r="K4223" s="19" t="str">
        <x:v>Weak/EXP248/results/seed1352005525_Relative_cutoff_1e-6.json</x:v>
      </x:c>
    </x:row>
    <x:row r="4224" ht="15" hidden="0" customHeight="1">
      <x:c r="A4224" s="3" t="str">
        <x:v>EXP248</x:v>
      </x:c>
      <x:c r="B4224" s="3" t="str">
        <x:v>Weak</x:v>
      </x:c>
      <x:c r="C4224" s="18" t="n">
        <x:v>1352005525</x:v>
      </x:c>
      <x:c r="D4224" s="3" t="str">
        <x:v>Full</x:v>
      </x:c>
      <x:c r="E4224" s="18" t="n">
        <x:v>800</x:v>
      </x:c>
      <x:c r="F4224" s="21" t="n">
        <x:v>805.1191278677152</x:v>
      </x:c>
      <x:c r="G4224" s="21" t="n">
        <x:f>F4219</x:f>
        <x:v>660.1789352381593</x:v>
      </x:c>
      <x:c r="H4224" s="21" t="n">
        <x:f>F4224</x:f>
        <x:v>805.1191278677152</x:v>
      </x:c>
      <x:c r="I4224" s="27" t="n">
        <x:f>IF(AND(ISNUMBER(G4224),ISNUMBER(H4224),H4224&gt;0),G4224/H4224-1,"")</x:f>
        <x:v>-0.18002328799890377</x:v>
      </x:c>
      <x:c r="J4224" s="27" t="n">
        <x:f>IF(AND(ISNUMBER(G4224),F4224&gt;0),G4224/F4224-1,"")</x:f>
        <x:v>-0.18002328799890377</x:v>
      </x:c>
      <x:c r="K4224" s="19" t="str">
        <x:v>Weak/EXP248/results/seed1352005525_Full.json</x:v>
      </x:c>
    </x:row>
    <x:row r="4225" ht="15" hidden="0" customHeight="1">
      <x:c r="A4225" s="3" t="str">
        <x:v>EXP248</x:v>
      </x:c>
      <x:c r="B4225" s="3" t="str">
        <x:v>Weak</x:v>
      </x:c>
      <x:c r="C4225" s="18" t="n">
        <x:v>1352005525</x:v>
      </x:c>
      <x:c r="D4225" s="3" t="str">
        <x:v>Relative cutoff 1e-2</x:v>
      </x:c>
      <x:c r="E4225" s="18" t="n">
        <x:v>800</x:v>
      </x:c>
      <x:c r="F4225" s="21" t="n">
        <x:v>683.3461498222206</x:v>
      </x:c>
      <x:c r="G4225" s="21" t="n">
        <x:f>F4219</x:f>
        <x:v>660.1789352381593</x:v>
      </x:c>
      <x:c r="H4225" s="21" t="n">
        <x:f>F4224</x:f>
        <x:v>805.1191278677152</x:v>
      </x:c>
      <x:c r="I4225" s="27" t="n">
        <x:f>IF(AND(ISNUMBER(G4225),ISNUMBER(H4225),H4225&gt;0),G4225/H4225-1,"")</x:f>
        <x:v>-0.18002328799890377</x:v>
      </x:c>
      <x:c r="J4225" s="27" t="n">
        <x:f>IF(AND(ISNUMBER(G4225),F4225&gt;0),G4225/F4225-1,"")</x:f>
        <x:v>-0.03390260498297748</x:v>
      </x:c>
      <x:c r="K4225" s="19" t="str">
        <x:v>Weak/EXP248/results/seed1352005525_Relative_cutoff_1e-2.json</x:v>
      </x:c>
    </x:row>
    <x:row r="4226" ht="15" hidden="0" customHeight="1">
      <x:c r="A4226" s="3" t="str">
        <x:v>EXP248</x:v>
      </x:c>
      <x:c r="B4226" s="3" t="str">
        <x:v>Weak</x:v>
      </x:c>
      <x:c r="C4226" s="18" t="n">
        <x:v>1352005525</x:v>
      </x:c>
      <x:c r="D4226" s="3" t="str">
        <x:v>Relative cutoff 1e-4</x:v>
      </x:c>
      <x:c r="E4226" s="18" t="n">
        <x:v>800</x:v>
      </x:c>
      <x:c r="F4226" s="21" t="n">
        <x:v>853.6332223396951</x:v>
      </x:c>
      <x:c r="G4226" s="21" t="n">
        <x:f>F4219</x:f>
        <x:v>660.1789352381593</x:v>
      </x:c>
      <x:c r="H4226" s="21" t="n">
        <x:f>F4224</x:f>
        <x:v>805.1191278677152</x:v>
      </x:c>
      <x:c r="I4226" s="27" t="n">
        <x:f>IF(AND(ISNUMBER(G4226),ISNUMBER(H4226),H4226&gt;0),G4226/H4226-1,"")</x:f>
        <x:v>-0.18002328799890377</x:v>
      </x:c>
      <x:c r="J4226" s="27" t="n">
        <x:f>IF(AND(ISNUMBER(G4226),F4226&gt;0),G4226/F4226-1,"")</x:f>
        <x:v>-0.22662459946357683</x:v>
      </x:c>
      <x:c r="K4226" s="19" t="str">
        <x:v>Weak/EXP248/results/seed1352005525_Relative_cutoff_1e-4.json</x:v>
      </x:c>
    </x:row>
    <x:row r="4227" ht="15" hidden="0" customHeight="1">
      <x:c r="A4227" s="3" t="str">
        <x:v>EXP248</x:v>
      </x:c>
      <x:c r="B4227" s="3" t="str">
        <x:v>Weak</x:v>
      </x:c>
      <x:c r="C4227" s="18" t="n">
        <x:v>1373151461</x:v>
      </x:c>
      <x:c r="D4227" s="3" t="str">
        <x:v>BBP</x:v>
      </x:c>
      <x:c r="E4227" s="18" t="n">
        <x:v>800</x:v>
      </x:c>
      <x:c r="F4227" s="21" t="n">
        <x:v>392.47522668989063</x:v>
      </x:c>
      <x:c r="G4227" s="21" t="n">
        <x:f>F4227</x:f>
        <x:v>392.47522668989063</x:v>
      </x:c>
      <x:c r="H4227" s="21" t="n">
        <x:f>F4232</x:f>
        <x:v>392.57546431259794</x:v>
      </x:c>
      <x:c r="I4227" s="27" t="n">
        <x:f>IF(AND(ISNUMBER(G4227),ISNUMBER(H4227),H4227&gt;0),G4227/H4227-1,"")</x:f>
        <x:v>-0.00025533338636640757</x:v>
      </x:c>
      <x:c r="J4227" s="27" t="n">
        <x:f>IF(AND(ISNUMBER(G4227),F4227&gt;0),G4227/F4227-1,"")</x:f>
        <x:v>0</x:v>
      </x:c>
      <x:c r="K4227" s="19" t="str">
        <x:v>Weak/EXP248/results/seed1373151461_BBP.json</x:v>
      </x:c>
    </x:row>
    <x:row r="4228" ht="15" hidden="0" customHeight="1">
      <x:c r="A4228" s="3" t="str">
        <x:v>EXP248</x:v>
      </x:c>
      <x:c r="B4228" s="3" t="str">
        <x:v>Weak</x:v>
      </x:c>
      <x:c r="C4228" s="18" t="n">
        <x:v>1373151461</x:v>
      </x:c>
      <x:c r="D4228" s="3" t="str">
        <x:v>Relative cutoff 1e-5</x:v>
      </x:c>
      <x:c r="E4228" s="18" t="n">
        <x:v>800</x:v>
      </x:c>
      <x:c r="F4228" s="21" t="n">
        <x:v>379.5699915800734</x:v>
      </x:c>
      <x:c r="G4228" s="21" t="n">
        <x:f>F4227</x:f>
        <x:v>392.47522668989063</x:v>
      </x:c>
      <x:c r="H4228" s="21" t="n">
        <x:f>F4232</x:f>
        <x:v>392.57546431259794</x:v>
      </x:c>
      <x:c r="I4228" s="27" t="n">
        <x:f>IF(AND(ISNUMBER(G4228),ISNUMBER(H4228),H4228&gt;0),G4228/H4228-1,"")</x:f>
        <x:v>-0.00025533338636640757</x:v>
      </x:c>
      <x:c r="J4228" s="27" t="n">
        <x:f>IF(AND(ISNUMBER(G4228),F4228&gt;0),G4228/F4228-1,"")</x:f>
        <x:v>0.03399961903230375</x:v>
      </x:c>
      <x:c r="K4228" s="19" t="str">
        <x:v>Weak/EXP248/results/seed1373151461_Relative_cutoff_1e-5.json</x:v>
      </x:c>
    </x:row>
    <x:row r="4229" ht="15" hidden="0" customHeight="1">
      <x:c r="A4229" s="3" t="str">
        <x:v>EXP248</x:v>
      </x:c>
      <x:c r="B4229" s="3" t="str">
        <x:v>Weak</x:v>
      </x:c>
      <x:c r="C4229" s="18" t="n">
        <x:v>1373151461</x:v>
      </x:c>
      <x:c r="D4229" s="3" t="str">
        <x:v>Fixed rank 10</x:v>
      </x:c>
      <x:c r="E4229" s="18" t="n">
        <x:v>800</x:v>
      </x:c>
      <x:c r="F4229" s="21" t="n">
        <x:v>446.873548614448</x:v>
      </x:c>
      <x:c r="G4229" s="21" t="n">
        <x:f>F4227</x:f>
        <x:v>392.47522668989063</x:v>
      </x:c>
      <x:c r="H4229" s="21" t="n">
        <x:f>F4232</x:f>
        <x:v>392.57546431259794</x:v>
      </x:c>
      <x:c r="I4229" s="27" t="n">
        <x:f>IF(AND(ISNUMBER(G4229),ISNUMBER(H4229),H4229&gt;0),G4229/H4229-1,"")</x:f>
        <x:v>-0.00025533338636640757</x:v>
      </x:c>
      <x:c r="J4229" s="27" t="n">
        <x:f>IF(AND(ISNUMBER(G4229),F4229&gt;0),G4229/F4229-1,"")</x:f>
        <x:v>-0.12173090596483471</x:v>
      </x:c>
      <x:c r="K4229" s="19" t="str">
        <x:v>Weak/EXP248/results/seed1373151461_Fixed_rank_10.json</x:v>
      </x:c>
    </x:row>
    <x:row r="4230" ht="15" hidden="0" customHeight="1">
      <x:c r="A4230" s="3" t="str">
        <x:v>EXP248</x:v>
      </x:c>
      <x:c r="B4230" s="3" t="str">
        <x:v>Weak</x:v>
      </x:c>
      <x:c r="C4230" s="18" t="n">
        <x:v>1373151461</x:v>
      </x:c>
      <x:c r="D4230" s="3" t="str">
        <x:v>Fixed rank 25</x:v>
      </x:c>
      <x:c r="E4230" s="18" t="n">
        <x:v>800</x:v>
      </x:c>
      <x:c r="F4230" s="21" t="n">
        <x:v>388.85399814070513</x:v>
      </x:c>
      <x:c r="G4230" s="21" t="n">
        <x:f>F4227</x:f>
        <x:v>392.47522668989063</x:v>
      </x:c>
      <x:c r="H4230" s="21" t="n">
        <x:f>F4232</x:f>
        <x:v>392.57546431259794</x:v>
      </x:c>
      <x:c r="I4230" s="27" t="n">
        <x:f>IF(AND(ISNUMBER(G4230),ISNUMBER(H4230),H4230&gt;0),G4230/H4230-1,"")</x:f>
        <x:v>-0.00025533338636640757</x:v>
      </x:c>
      <x:c r="J4230" s="27" t="n">
        <x:f>IF(AND(ISNUMBER(G4230),F4230&gt;0),G4230/F4230-1,"")</x:f>
        <x:v>0.009312566069785255</x:v>
      </x:c>
      <x:c r="K4230" s="19" t="str">
        <x:v>Weak/EXP248/results/seed1373151461_Fixed_rank_25.json</x:v>
      </x:c>
    </x:row>
    <x:row r="4231" ht="15" hidden="0" customHeight="1">
      <x:c r="A4231" s="3" t="str">
        <x:v>EXP248</x:v>
      </x:c>
      <x:c r="B4231" s="3" t="str">
        <x:v>Weak</x:v>
      </x:c>
      <x:c r="C4231" s="18" t="n">
        <x:v>1373151461</x:v>
      </x:c>
      <x:c r="D4231" s="3" t="str">
        <x:v>Relative cutoff 1e-6</x:v>
      </x:c>
      <x:c r="E4231" s="18" t="n">
        <x:v>800</x:v>
      </x:c>
      <x:c r="F4231" s="21" t="n">
        <x:v>412.80057092918014</x:v>
      </x:c>
      <x:c r="G4231" s="21" t="n">
        <x:f>F4227</x:f>
        <x:v>392.47522668989063</x:v>
      </x:c>
      <x:c r="H4231" s="21" t="n">
        <x:f>F4232</x:f>
        <x:v>392.57546431259794</x:v>
      </x:c>
      <x:c r="I4231" s="27" t="n">
        <x:f>IF(AND(ISNUMBER(G4231),ISNUMBER(H4231),H4231&gt;0),G4231/H4231-1,"")</x:f>
        <x:v>-0.00025533338636640757</x:v>
      </x:c>
      <x:c r="J4231" s="27" t="n">
        <x:f>IF(AND(ISNUMBER(G4231),F4231&gt;0),G4231/F4231-1,"")</x:f>
        <x:v>-0.049237684418746874</x:v>
      </x:c>
      <x:c r="K4231" s="19" t="str">
        <x:v>Weak/EXP248/results/seed1373151461_Relative_cutoff_1e-6.json</x:v>
      </x:c>
    </x:row>
    <x:row r="4232" ht="15" hidden="0" customHeight="1">
      <x:c r="A4232" s="3" t="str">
        <x:v>EXP248</x:v>
      </x:c>
      <x:c r="B4232" s="3" t="str">
        <x:v>Weak</x:v>
      </x:c>
      <x:c r="C4232" s="18" t="n">
        <x:v>1373151461</x:v>
      </x:c>
      <x:c r="D4232" s="3" t="str">
        <x:v>Full</x:v>
      </x:c>
      <x:c r="E4232" s="18" t="n">
        <x:v>800</x:v>
      </x:c>
      <x:c r="F4232" s="21" t="n">
        <x:v>392.57546431259794</x:v>
      </x:c>
      <x:c r="G4232" s="21" t="n">
        <x:f>F4227</x:f>
        <x:v>392.47522668989063</x:v>
      </x:c>
      <x:c r="H4232" s="21" t="n">
        <x:f>F4232</x:f>
        <x:v>392.57546431259794</x:v>
      </x:c>
      <x:c r="I4232" s="27" t="n">
        <x:f>IF(AND(ISNUMBER(G4232),ISNUMBER(H4232),H4232&gt;0),G4232/H4232-1,"")</x:f>
        <x:v>-0.00025533338636640757</x:v>
      </x:c>
      <x:c r="J4232" s="27" t="n">
        <x:f>IF(AND(ISNUMBER(G4232),F4232&gt;0),G4232/F4232-1,"")</x:f>
        <x:v>-0.00025533338636640757</x:v>
      </x:c>
      <x:c r="K4232" s="19" t="str">
        <x:v>Weak/EXP248/results/seed1373151461_Full.json</x:v>
      </x:c>
    </x:row>
    <x:row r="4233" ht="15" hidden="0" customHeight="1">
      <x:c r="A4233" s="3" t="str">
        <x:v>EXP248</x:v>
      </x:c>
      <x:c r="B4233" s="3" t="str">
        <x:v>Weak</x:v>
      </x:c>
      <x:c r="C4233" s="18" t="n">
        <x:v>1373151461</x:v>
      </x:c>
      <x:c r="D4233" s="3" t="str">
        <x:v>Relative cutoff 1e-2</x:v>
      </x:c>
      <x:c r="E4233" s="18" t="n">
        <x:v>800</x:v>
      </x:c>
      <x:c r="F4233" s="21" t="n">
        <x:v>496.6228715247682</x:v>
      </x:c>
      <x:c r="G4233" s="21" t="n">
        <x:f>F4227</x:f>
        <x:v>392.47522668989063</x:v>
      </x:c>
      <x:c r="H4233" s="21" t="n">
        <x:f>F4232</x:f>
        <x:v>392.57546431259794</x:v>
      </x:c>
      <x:c r="I4233" s="27" t="n">
        <x:f>IF(AND(ISNUMBER(G4233),ISNUMBER(H4233),H4233&gt;0),G4233/H4233-1,"")</x:f>
        <x:v>-0.00025533338636640757</x:v>
      </x:c>
      <x:c r="J4233" s="27" t="n">
        <x:f>IF(AND(ISNUMBER(G4233),F4233&gt;0),G4233/F4233-1,"")</x:f>
        <x:v>-0.20971173662444453</x:v>
      </x:c>
      <x:c r="K4233" s="19" t="str">
        <x:v>Weak/EXP248/results/seed1373151461_Relative_cutoff_1e-2.json</x:v>
      </x:c>
    </x:row>
    <x:row r="4234" ht="15" hidden="0" customHeight="1">
      <x:c r="A4234" s="3" t="str">
        <x:v>EXP248</x:v>
      </x:c>
      <x:c r="B4234" s="3" t="str">
        <x:v>Weak</x:v>
      </x:c>
      <x:c r="C4234" s="18" t="n">
        <x:v>1373151461</x:v>
      </x:c>
      <x:c r="D4234" s="3" t="str">
        <x:v>Relative cutoff 1e-4</x:v>
      </x:c>
      <x:c r="E4234" s="18" t="n">
        <x:v>800</x:v>
      </x:c>
      <x:c r="F4234" s="21" t="n">
        <x:v>412.72971014568986</x:v>
      </x:c>
      <x:c r="G4234" s="21" t="n">
        <x:f>F4227</x:f>
        <x:v>392.47522668989063</x:v>
      </x:c>
      <x:c r="H4234" s="21" t="n">
        <x:f>F4232</x:f>
        <x:v>392.57546431259794</x:v>
      </x:c>
      <x:c r="I4234" s="27" t="n">
        <x:f>IF(AND(ISNUMBER(G4234),ISNUMBER(H4234),H4234&gt;0),G4234/H4234-1,"")</x:f>
        <x:v>-0.00025533338636640757</x:v>
      </x:c>
      <x:c r="J4234" s="27" t="n">
        <x:f>IF(AND(ISNUMBER(G4234),F4234&gt;0),G4234/F4234-1,"")</x:f>
        <x:v>-0.04907444983461351</x:v>
      </x:c>
      <x:c r="K4234" s="19" t="str">
        <x:v>Weak/EXP248/results/seed1373151461_Relative_cutoff_1e-4.json</x:v>
      </x:c>
    </x:row>
    <x:row r="4235" ht="15" hidden="0" customHeight="1">
      <x:c r="A4235" s="3" t="str">
        <x:v>EXP248</x:v>
      </x:c>
      <x:c r="B4235" s="3" t="str">
        <x:v>Weak</x:v>
      </x:c>
      <x:c r="C4235" s="18" t="n">
        <x:v>1446157167</x:v>
      </x:c>
      <x:c r="D4235" s="3" t="str">
        <x:v>BBP</x:v>
      </x:c>
      <x:c r="E4235" s="18" t="n">
        <x:v>800</x:v>
      </x:c>
      <x:c r="F4235" s="21" t="n">
        <x:v>336.5380029477288</x:v>
      </x:c>
      <x:c r="G4235" s="21" t="n">
        <x:f>F4235</x:f>
        <x:v>336.5380029477288</x:v>
      </x:c>
      <x:c r="H4235" s="21" t="n">
        <x:f>F4240</x:f>
        <x:v>335.90002849673067</x:v>
      </x:c>
      <x:c r="I4235" s="27" t="n">
        <x:f>IF(AND(ISNUMBER(G4235),ISNUMBER(H4235),H4235&gt;0),G4235/H4235-1,"")</x:f>
        <x:v>0.0018992985914685345</x:v>
      </x:c>
      <x:c r="J4235" s="27" t="n">
        <x:f>IF(AND(ISNUMBER(G4235),F4235&gt;0),G4235/F4235-1,"")</x:f>
        <x:v>0</x:v>
      </x:c>
      <x:c r="K4235" s="19" t="str">
        <x:v>Weak/EXP248/results/seed1446157167_BBP.json</x:v>
      </x:c>
    </x:row>
    <x:row r="4236" ht="15" hidden="0" customHeight="1">
      <x:c r="A4236" s="3" t="str">
        <x:v>EXP248</x:v>
      </x:c>
      <x:c r="B4236" s="3" t="str">
        <x:v>Weak</x:v>
      </x:c>
      <x:c r="C4236" s="18" t="n">
        <x:v>1446157167</x:v>
      </x:c>
      <x:c r="D4236" s="3" t="str">
        <x:v>Relative cutoff 1e-5</x:v>
      </x:c>
      <x:c r="E4236" s="18" t="n">
        <x:v>800</x:v>
      </x:c>
      <x:c r="F4236" s="21" t="n">
        <x:v>334.332887382647</x:v>
      </x:c>
      <x:c r="G4236" s="21" t="n">
        <x:f>F4235</x:f>
        <x:v>336.5380029477288</x:v>
      </x:c>
      <x:c r="H4236" s="21" t="n">
        <x:f>F4240</x:f>
        <x:v>335.90002849673067</x:v>
      </x:c>
      <x:c r="I4236" s="27" t="n">
        <x:f>IF(AND(ISNUMBER(G4236),ISNUMBER(H4236),H4236&gt;0),G4236/H4236-1,"")</x:f>
        <x:v>0.0018992985914685345</x:v>
      </x:c>
      <x:c r="J4236" s="27" t="n">
        <x:f>IF(AND(ISNUMBER(G4236),F4236&gt;0),G4236/F4236-1,"")</x:f>
        <x:v>0.0065955688127026235</x:v>
      </x:c>
      <x:c r="K4236" s="19" t="str">
        <x:v>Weak/EXP248/results/seed1446157167_Relative_cutoff_1e-5.json</x:v>
      </x:c>
    </x:row>
    <x:row r="4237" ht="15" hidden="0" customHeight="1">
      <x:c r="A4237" s="3" t="str">
        <x:v>EXP248</x:v>
      </x:c>
      <x:c r="B4237" s="3" t="str">
        <x:v>Weak</x:v>
      </x:c>
      <x:c r="C4237" s="18" t="n">
        <x:v>1446157167</x:v>
      </x:c>
      <x:c r="D4237" s="3" t="str">
        <x:v>Fixed rank 10</x:v>
      </x:c>
      <x:c r="E4237" s="18" t="n">
        <x:v>800</x:v>
      </x:c>
      <x:c r="F4237" s="21" t="n">
        <x:v>334.7394166531993</x:v>
      </x:c>
      <x:c r="G4237" s="21" t="n">
        <x:f>F4235</x:f>
        <x:v>336.5380029477288</x:v>
      </x:c>
      <x:c r="H4237" s="21" t="n">
        <x:f>F4240</x:f>
        <x:v>335.90002849673067</x:v>
      </x:c>
      <x:c r="I4237" s="27" t="n">
        <x:f>IF(AND(ISNUMBER(G4237),ISNUMBER(H4237),H4237&gt;0),G4237/H4237-1,"")</x:f>
        <x:v>0.0018992985914685345</x:v>
      </x:c>
      <x:c r="J4237" s="27" t="n">
        <x:f>IF(AND(ISNUMBER(G4237),F4237&gt;0),G4237/F4237-1,"")</x:f>
        <x:v>0.0053730938307539056</x:v>
      </x:c>
      <x:c r="K4237" s="19" t="str">
        <x:v>Weak/EXP248/results/seed1446157167_Fixed_rank_10.json</x:v>
      </x:c>
    </x:row>
    <x:row r="4238" ht="15" hidden="0" customHeight="1">
      <x:c r="A4238" s="3" t="str">
        <x:v>EXP248</x:v>
      </x:c>
      <x:c r="B4238" s="3" t="str">
        <x:v>Weak</x:v>
      </x:c>
      <x:c r="C4238" s="18" t="n">
        <x:v>1446157167</x:v>
      </x:c>
      <x:c r="D4238" s="3" t="str">
        <x:v>Fixed rank 25</x:v>
      </x:c>
      <x:c r="E4238" s="18" t="n">
        <x:v>800</x:v>
      </x:c>
      <x:c r="F4238" s="21" t="n">
        <x:v>334.29341792658903</x:v>
      </x:c>
      <x:c r="G4238" s="21" t="n">
        <x:f>F4235</x:f>
        <x:v>336.5380029477288</x:v>
      </x:c>
      <x:c r="H4238" s="21" t="n">
        <x:f>F4240</x:f>
        <x:v>335.90002849673067</x:v>
      </x:c>
      <x:c r="I4238" s="27" t="n">
        <x:f>IF(AND(ISNUMBER(G4238),ISNUMBER(H4238),H4238&gt;0),G4238/H4238-1,"")</x:f>
        <x:v>0.0018992985914685345</x:v>
      </x:c>
      <x:c r="J4238" s="27" t="n">
        <x:f>IF(AND(ISNUMBER(G4238),F4238&gt;0),G4238/F4238-1,"")</x:f>
        <x:v>0.006714415841811983</x:v>
      </x:c>
      <x:c r="K4238" s="19" t="str">
        <x:v>Weak/EXP248/results/seed1446157167_Fixed_rank_25.json</x:v>
      </x:c>
    </x:row>
    <x:row r="4239" ht="15" hidden="0" customHeight="1">
      <x:c r="A4239" s="3" t="str">
        <x:v>EXP248</x:v>
      </x:c>
      <x:c r="B4239" s="3" t="str">
        <x:v>Weak</x:v>
      </x:c>
      <x:c r="C4239" s="18" t="n">
        <x:v>1446157167</x:v>
      </x:c>
      <x:c r="D4239" s="3" t="str">
        <x:v>Relative cutoff 1e-6</x:v>
      </x:c>
      <x:c r="E4239" s="18" t="n">
        <x:v>800</x:v>
      </x:c>
      <x:c r="F4239" s="21" t="n">
        <x:v>353.9483347616644</x:v>
      </x:c>
      <x:c r="G4239" s="21" t="n">
        <x:f>F4235</x:f>
        <x:v>336.5380029477288</x:v>
      </x:c>
      <x:c r="H4239" s="21" t="n">
        <x:f>F4240</x:f>
        <x:v>335.90002849673067</x:v>
      </x:c>
      <x:c r="I4239" s="27" t="n">
        <x:f>IF(AND(ISNUMBER(G4239),ISNUMBER(H4239),H4239&gt;0),G4239/H4239-1,"")</x:f>
        <x:v>0.0018992985914685345</x:v>
      </x:c>
      <x:c r="J4239" s="27" t="n">
        <x:f>IF(AND(ISNUMBER(G4239),F4239&gt;0),G4239/F4239-1,"")</x:f>
        <x:v>-0.04918890726144842</x:v>
      </x:c>
      <x:c r="K4239" s="19" t="str">
        <x:v>Weak/EXP248/results/seed1446157167_Relative_cutoff_1e-6.json</x:v>
      </x:c>
    </x:row>
    <x:row r="4240" ht="15" hidden="0" customHeight="1">
      <x:c r="A4240" s="3" t="str">
        <x:v>EXP248</x:v>
      </x:c>
      <x:c r="B4240" s="3" t="str">
        <x:v>Weak</x:v>
      </x:c>
      <x:c r="C4240" s="18" t="n">
        <x:v>1446157167</x:v>
      </x:c>
      <x:c r="D4240" s="3" t="str">
        <x:v>Full</x:v>
      </x:c>
      <x:c r="E4240" s="18" t="n">
        <x:v>800</x:v>
      </x:c>
      <x:c r="F4240" s="21" t="n">
        <x:v>335.90002849673067</x:v>
      </x:c>
      <x:c r="G4240" s="21" t="n">
        <x:f>F4235</x:f>
        <x:v>336.5380029477288</x:v>
      </x:c>
      <x:c r="H4240" s="21" t="n">
        <x:f>F4240</x:f>
        <x:v>335.90002849673067</x:v>
      </x:c>
      <x:c r="I4240" s="27" t="n">
        <x:f>IF(AND(ISNUMBER(G4240),ISNUMBER(H4240),H4240&gt;0),G4240/H4240-1,"")</x:f>
        <x:v>0.0018992985914685345</x:v>
      </x:c>
      <x:c r="J4240" s="27" t="n">
        <x:f>IF(AND(ISNUMBER(G4240),F4240&gt;0),G4240/F4240-1,"")</x:f>
        <x:v>0.0018992985914685345</x:v>
      </x:c>
      <x:c r="K4240" s="19" t="str">
        <x:v>Weak/EXP248/results/seed1446157167_Full.json</x:v>
      </x:c>
    </x:row>
    <x:row r="4241" ht="15" hidden="0" customHeight="1">
      <x:c r="A4241" s="3" t="str">
        <x:v>EXP248</x:v>
      </x:c>
      <x:c r="B4241" s="3" t="str">
        <x:v>Weak</x:v>
      </x:c>
      <x:c r="C4241" s="18" t="n">
        <x:v>1446157167</x:v>
      </x:c>
      <x:c r="D4241" s="3" t="str">
        <x:v>Relative cutoff 1e-2</x:v>
      </x:c>
      <x:c r="E4241" s="18" t="n">
        <x:v>800</x:v>
      </x:c>
      <x:c r="F4241" s="21" t="n">
        <x:v>504.3615331070986</x:v>
      </x:c>
      <x:c r="G4241" s="21" t="n">
        <x:f>F4235</x:f>
        <x:v>336.5380029477288</x:v>
      </x:c>
      <x:c r="H4241" s="21" t="n">
        <x:f>F4240</x:f>
        <x:v>335.90002849673067</x:v>
      </x:c>
      <x:c r="I4241" s="27" t="n">
        <x:f>IF(AND(ISNUMBER(G4241),ISNUMBER(H4241),H4241&gt;0),G4241/H4241-1,"")</x:f>
        <x:v>0.0018992985914685345</x:v>
      </x:c>
      <x:c r="J4241" s="27" t="n">
        <x:f>IF(AND(ISNUMBER(G4241),F4241&gt;0),G4241/F4241-1,"")</x:f>
        <x:v>-0.3327445079435376</x:v>
      </x:c>
      <x:c r="K4241" s="19" t="str">
        <x:v>Weak/EXP248/results/seed1446157167_Relative_cutoff_1e-2.json</x:v>
      </x:c>
    </x:row>
    <x:row r="4242" ht="15" hidden="0" customHeight="1">
      <x:c r="A4242" s="3" t="str">
        <x:v>EXP248</x:v>
      </x:c>
      <x:c r="B4242" s="3" t="str">
        <x:v>Weak</x:v>
      </x:c>
      <x:c r="C4242" s="18" t="n">
        <x:v>1446157167</x:v>
      </x:c>
      <x:c r="D4242" s="3" t="str">
        <x:v>Relative cutoff 1e-4</x:v>
      </x:c>
      <x:c r="E4242" s="18" t="n">
        <x:v>800</x:v>
      </x:c>
      <x:c r="F4242" s="21" t="n">
        <x:v>370.90468109743483</x:v>
      </x:c>
      <x:c r="G4242" s="21" t="n">
        <x:f>F4235</x:f>
        <x:v>336.5380029477288</x:v>
      </x:c>
      <x:c r="H4242" s="21" t="n">
        <x:f>F4240</x:f>
        <x:v>335.90002849673067</x:v>
      </x:c>
      <x:c r="I4242" s="27" t="n">
        <x:f>IF(AND(ISNUMBER(G4242),ISNUMBER(H4242),H4242&gt;0),G4242/H4242-1,"")</x:f>
        <x:v>0.0018992985914685345</x:v>
      </x:c>
      <x:c r="J4242" s="27" t="n">
        <x:f>IF(AND(ISNUMBER(G4242),F4242&gt;0),G4242/F4242-1,"")</x:f>
        <x:v>-0.09265636132717903</x:v>
      </x:c>
      <x:c r="K4242" s="19" t="str">
        <x:v>Weak/EXP248/results/seed1446157167_Relative_cutoff_1e-4.json</x:v>
      </x:c>
    </x:row>
    <x:row r="4243" ht="15" hidden="0" customHeight="1">
      <x:c r="A4243" s="3" t="str">
        <x:v>EXP248</x:v>
      </x:c>
      <x:c r="B4243" s="3" t="str">
        <x:v>Weak</x:v>
      </x:c>
      <x:c r="C4243" s="18" t="n">
        <x:v>1469207545</x:v>
      </x:c>
      <x:c r="D4243" s="3" t="str">
        <x:v>BBP</x:v>
      </x:c>
      <x:c r="E4243" s="18" t="n">
        <x:v>800</x:v>
      </x:c>
      <x:c r="F4243" s="21" t="n">
        <x:v>251.33570347371992</x:v>
      </x:c>
      <x:c r="G4243" s="21" t="n">
        <x:f>F4243</x:f>
        <x:v>251.33570347371992</x:v>
      </x:c>
      <x:c r="H4243" s="21" t="n">
        <x:f>F4248</x:f>
        <x:v>244.04063842951498</x:v>
      </x:c>
      <x:c r="I4243" s="27" t="n">
        <x:f>IF(AND(ISNUMBER(G4243),ISNUMBER(H4243),H4243&gt;0),G4243/H4243-1,"")</x:f>
        <x:v>0.029892828879448885</x:v>
      </x:c>
      <x:c r="J4243" s="27" t="n">
        <x:f>IF(AND(ISNUMBER(G4243),F4243&gt;0),G4243/F4243-1,"")</x:f>
        <x:v>0</x:v>
      </x:c>
      <x:c r="K4243" s="19" t="str">
        <x:v>Weak/EXP248/results/seed1469207545_BBP.json</x:v>
      </x:c>
    </x:row>
    <x:row r="4244" ht="15" hidden="0" customHeight="1">
      <x:c r="A4244" s="3" t="str">
        <x:v>EXP248</x:v>
      </x:c>
      <x:c r="B4244" s="3" t="str">
        <x:v>Weak</x:v>
      </x:c>
      <x:c r="C4244" s="18" t="n">
        <x:v>1469207545</x:v>
      </x:c>
      <x:c r="D4244" s="3" t="str">
        <x:v>Relative cutoff 1e-5</x:v>
      </x:c>
      <x:c r="E4244" s="18" t="n">
        <x:v>800</x:v>
      </x:c>
      <x:c r="F4244" s="21" t="n">
        <x:v>247.37260430137565</x:v>
      </x:c>
      <x:c r="G4244" s="21" t="n">
        <x:f>F4243</x:f>
        <x:v>251.33570347371992</x:v>
      </x:c>
      <x:c r="H4244" s="21" t="n">
        <x:f>F4248</x:f>
        <x:v>244.04063842951498</x:v>
      </x:c>
      <x:c r="I4244" s="27" t="n">
        <x:f>IF(AND(ISNUMBER(G4244),ISNUMBER(H4244),H4244&gt;0),G4244/H4244-1,"")</x:f>
        <x:v>0.029892828879448885</x:v>
      </x:c>
      <x:c r="J4244" s="27" t="n">
        <x:f>IF(AND(ISNUMBER(G4244),F4244&gt;0),G4244/F4244-1,"")</x:f>
        <x:v>0.016020768280047726</x:v>
      </x:c>
      <x:c r="K4244" s="19" t="str">
        <x:v>Weak/EXP248/results/seed1469207545_Relative_cutoff_1e-5.json</x:v>
      </x:c>
    </x:row>
    <x:row r="4245" ht="15" hidden="0" customHeight="1">
      <x:c r="A4245" s="3" t="str">
        <x:v>EXP248</x:v>
      </x:c>
      <x:c r="B4245" s="3" t="str">
        <x:v>Weak</x:v>
      </x:c>
      <x:c r="C4245" s="18" t="n">
        <x:v>1469207545</x:v>
      </x:c>
      <x:c r="D4245" s="3" t="str">
        <x:v>Fixed rank 10</x:v>
      </x:c>
      <x:c r="E4245" s="18" t="n">
        <x:v>800</x:v>
      </x:c>
      <x:c r="F4245" s="21" t="n">
        <x:v>260.4709444563727</x:v>
      </x:c>
      <x:c r="G4245" s="21" t="n">
        <x:f>F4243</x:f>
        <x:v>251.33570347371992</x:v>
      </x:c>
      <x:c r="H4245" s="21" t="n">
        <x:f>F4248</x:f>
        <x:v>244.04063842951498</x:v>
      </x:c>
      <x:c r="I4245" s="27" t="n">
        <x:f>IF(AND(ISNUMBER(G4245),ISNUMBER(H4245),H4245&gt;0),G4245/H4245-1,"")</x:f>
        <x:v>0.029892828879448885</x:v>
      </x:c>
      <x:c r="J4245" s="27" t="n">
        <x:f>IF(AND(ISNUMBER(G4245),F4245&gt;0),G4245/F4245-1,"")</x:f>
        <x:v>-0.03507201542851124</x:v>
      </x:c>
      <x:c r="K4245" s="19" t="str">
        <x:v>Weak/EXP248/results/seed1469207545_Fixed_rank_10.json</x:v>
      </x:c>
    </x:row>
    <x:row r="4246" ht="15" hidden="0" customHeight="1">
      <x:c r="A4246" s="3" t="str">
        <x:v>EXP248</x:v>
      </x:c>
      <x:c r="B4246" s="3" t="str">
        <x:v>Weak</x:v>
      </x:c>
      <x:c r="C4246" s="18" t="n">
        <x:v>1469207545</x:v>
      </x:c>
      <x:c r="D4246" s="3" t="str">
        <x:v>Fixed rank 25</x:v>
      </x:c>
      <x:c r="E4246" s="18" t="n">
        <x:v>800</x:v>
      </x:c>
      <x:c r="F4246" s="21" t="n">
        <x:v>233.33020488784555</x:v>
      </x:c>
      <x:c r="G4246" s="21" t="n">
        <x:f>F4243</x:f>
        <x:v>251.33570347371992</x:v>
      </x:c>
      <x:c r="H4246" s="21" t="n">
        <x:f>F4248</x:f>
        <x:v>244.04063842951498</x:v>
      </x:c>
      <x:c r="I4246" s="27" t="n">
        <x:f>IF(AND(ISNUMBER(G4246),ISNUMBER(H4246),H4246&gt;0),G4246/H4246-1,"")</x:f>
        <x:v>0.029892828879448885</x:v>
      </x:c>
      <x:c r="J4246" s="27" t="n">
        <x:f>IF(AND(ISNUMBER(G4246),F4246&gt;0),G4246/F4246-1,"")</x:f>
        <x:v>0.07716745714310336</x:v>
      </x:c>
      <x:c r="K4246" s="19" t="str">
        <x:v>Weak/EXP248/results/seed1469207545_Fixed_rank_25.json</x:v>
      </x:c>
    </x:row>
    <x:row r="4247" ht="15" hidden="0" customHeight="1">
      <x:c r="A4247" s="3" t="str">
        <x:v>EXP248</x:v>
      </x:c>
      <x:c r="B4247" s="3" t="str">
        <x:v>Weak</x:v>
      </x:c>
      <x:c r="C4247" s="18" t="n">
        <x:v>1469207545</x:v>
      </x:c>
      <x:c r="D4247" s="3" t="str">
        <x:v>Relative cutoff 1e-6</x:v>
      </x:c>
      <x:c r="E4247" s="18" t="n">
        <x:v>800</x:v>
      </x:c>
      <x:c r="F4247" s="21" t="n">
        <x:v>245.29973874434742</x:v>
      </x:c>
      <x:c r="G4247" s="21" t="n">
        <x:f>F4243</x:f>
        <x:v>251.33570347371992</x:v>
      </x:c>
      <x:c r="H4247" s="21" t="n">
        <x:f>F4248</x:f>
        <x:v>244.04063842951498</x:v>
      </x:c>
      <x:c r="I4247" s="27" t="n">
        <x:f>IF(AND(ISNUMBER(G4247),ISNUMBER(H4247),H4247&gt;0),G4247/H4247-1,"")</x:f>
        <x:v>0.029892828879448885</x:v>
      </x:c>
      <x:c r="J4247" s="27" t="n">
        <x:f>IF(AND(ISNUMBER(G4247),F4247&gt;0),G4247/F4247-1,"")</x:f>
        <x:v>0.024606486579519693</x:v>
      </x:c>
      <x:c r="K4247" s="19" t="str">
        <x:v>Weak/EXP248/results/seed1469207545_Relative_cutoff_1e-6.json</x:v>
      </x:c>
    </x:row>
    <x:row r="4248" ht="15" hidden="0" customHeight="1">
      <x:c r="A4248" s="3" t="str">
        <x:v>EXP248</x:v>
      </x:c>
      <x:c r="B4248" s="3" t="str">
        <x:v>Weak</x:v>
      </x:c>
      <x:c r="C4248" s="18" t="n">
        <x:v>1469207545</x:v>
      </x:c>
      <x:c r="D4248" s="3" t="str">
        <x:v>Full</x:v>
      </x:c>
      <x:c r="E4248" s="18" t="n">
        <x:v>800</x:v>
      </x:c>
      <x:c r="F4248" s="21" t="n">
        <x:v>244.04063842951498</x:v>
      </x:c>
      <x:c r="G4248" s="21" t="n">
        <x:f>F4243</x:f>
        <x:v>251.33570347371992</x:v>
      </x:c>
      <x:c r="H4248" s="21" t="n">
        <x:f>F4248</x:f>
        <x:v>244.04063842951498</x:v>
      </x:c>
      <x:c r="I4248" s="27" t="n">
        <x:f>IF(AND(ISNUMBER(G4248),ISNUMBER(H4248),H4248&gt;0),G4248/H4248-1,"")</x:f>
        <x:v>0.029892828879448885</x:v>
      </x:c>
      <x:c r="J4248" s="27" t="n">
        <x:f>IF(AND(ISNUMBER(G4248),F4248&gt;0),G4248/F4248-1,"")</x:f>
        <x:v>0.029892828879448885</x:v>
      </x:c>
      <x:c r="K4248" s="19" t="str">
        <x:v>Weak/EXP248/results/seed1469207545_Full.json</x:v>
      </x:c>
    </x:row>
    <x:row r="4249" ht="15" hidden="0" customHeight="1">
      <x:c r="A4249" s="3" t="str">
        <x:v>EXP248</x:v>
      </x:c>
      <x:c r="B4249" s="3" t="str">
        <x:v>Weak</x:v>
      </x:c>
      <x:c r="C4249" s="18" t="n">
        <x:v>1469207545</x:v>
      </x:c>
      <x:c r="D4249" s="3" t="str">
        <x:v>Relative cutoff 1e-2</x:v>
      </x:c>
      <x:c r="E4249" s="18" t="n">
        <x:v>800</x:v>
      </x:c>
      <x:c r="F4249" s="21" t="n">
        <x:v>436.09093891190184</x:v>
      </x:c>
      <x:c r="G4249" s="21" t="n">
        <x:f>F4243</x:f>
        <x:v>251.33570347371992</x:v>
      </x:c>
      <x:c r="H4249" s="21" t="n">
        <x:f>F4248</x:f>
        <x:v>244.04063842951498</x:v>
      </x:c>
      <x:c r="I4249" s="27" t="n">
        <x:f>IF(AND(ISNUMBER(G4249),ISNUMBER(H4249),H4249&gt;0),G4249/H4249-1,"")</x:f>
        <x:v>0.029892828879448885</x:v>
      </x:c>
      <x:c r="J4249" s="27" t="n">
        <x:f>IF(AND(ISNUMBER(G4249),F4249&gt;0),G4249/F4249-1,"")</x:f>
        <x:v>-0.42366217445188836</x:v>
      </x:c>
      <x:c r="K4249" s="19" t="str">
        <x:v>Weak/EXP248/results/seed1469207545_Relative_cutoff_1e-2.json</x:v>
      </x:c>
    </x:row>
    <x:row r="4250" ht="15" hidden="0" customHeight="1">
      <x:c r="A4250" s="3" t="str">
        <x:v>EXP248</x:v>
      </x:c>
      <x:c r="B4250" s="3" t="str">
        <x:v>Weak</x:v>
      </x:c>
      <x:c r="C4250" s="18" t="n">
        <x:v>1469207545</x:v>
      </x:c>
      <x:c r="D4250" s="3" t="str">
        <x:v>Relative cutoff 1e-4</x:v>
      </x:c>
      <x:c r="E4250" s="18" t="n">
        <x:v>800</x:v>
      </x:c>
      <x:c r="F4250" s="21" t="n">
        <x:v>269.22529701089275</x:v>
      </x:c>
      <x:c r="G4250" s="21" t="n">
        <x:f>F4243</x:f>
        <x:v>251.33570347371992</x:v>
      </x:c>
      <x:c r="H4250" s="21" t="n">
        <x:f>F4248</x:f>
        <x:v>244.04063842951498</x:v>
      </x:c>
      <x:c r="I4250" s="27" t="n">
        <x:f>IF(AND(ISNUMBER(G4250),ISNUMBER(H4250),H4250&gt;0),G4250/H4250-1,"")</x:f>
        <x:v>0.029892828879448885</x:v>
      </x:c>
      <x:c r="J4250" s="27" t="n">
        <x:f>IF(AND(ISNUMBER(G4250),F4250&gt;0),G4250/F4250-1,"")</x:f>
        <x:v>-0.06644841229926857</x:v>
      </x:c>
      <x:c r="K4250" s="19" t="str">
        <x:v>Weak/EXP248/results/seed1469207545_Relative_cutoff_1e-4.json</x:v>
      </x:c>
    </x:row>
    <x:row r="4251" ht="15" hidden="0" customHeight="1">
      <x:c r="A4251" s="3" t="str">
        <x:v>EXP248</x:v>
      </x:c>
      <x:c r="B4251" s="3" t="str">
        <x:v>Weak</x:v>
      </x:c>
      <x:c r="C4251" s="18" t="n">
        <x:v>1579669718</x:v>
      </x:c>
      <x:c r="D4251" s="3" t="str">
        <x:v>BBP</x:v>
      </x:c>
      <x:c r="E4251" s="18" t="n">
        <x:v>800</x:v>
      </x:c>
      <x:c r="F4251" s="21" t="n">
        <x:v>352.8275557086513</x:v>
      </x:c>
      <x:c r="G4251" s="21" t="n">
        <x:f>F4251</x:f>
        <x:v>352.8275557086513</x:v>
      </x:c>
      <x:c r="H4251" s="21" t="n">
        <x:f>F4256</x:f>
        <x:v>348.06622330325126</x:v>
      </x:c>
      <x:c r="I4251" s="27" t="n">
        <x:f>IF(AND(ISNUMBER(G4251),ISNUMBER(H4251),H4251&gt;0),G4251/H4251-1,"")</x:f>
        <x:v>0.013679386526545434</x:v>
      </x:c>
      <x:c r="J4251" s="27" t="n">
        <x:f>IF(AND(ISNUMBER(G4251),F4251&gt;0),G4251/F4251-1,"")</x:f>
        <x:v>0</x:v>
      </x:c>
      <x:c r="K4251" s="19" t="str">
        <x:v>Weak/EXP248/results/seed1579669718_BBP.json</x:v>
      </x:c>
    </x:row>
    <x:row r="4252" ht="15" hidden="0" customHeight="1">
      <x:c r="A4252" s="3" t="str">
        <x:v>EXP248</x:v>
      </x:c>
      <x:c r="B4252" s="3" t="str">
        <x:v>Weak</x:v>
      </x:c>
      <x:c r="C4252" s="18" t="n">
        <x:v>1579669718</x:v>
      </x:c>
      <x:c r="D4252" s="3" t="str">
        <x:v>Relative cutoff 1e-5</x:v>
      </x:c>
      <x:c r="E4252" s="18" t="n">
        <x:v>800</x:v>
      </x:c>
      <x:c r="F4252" s="21" t="n">
        <x:v>369.7888000264493</x:v>
      </x:c>
      <x:c r="G4252" s="21" t="n">
        <x:f>F4251</x:f>
        <x:v>352.8275557086513</x:v>
      </x:c>
      <x:c r="H4252" s="21" t="n">
        <x:f>F4256</x:f>
        <x:v>348.06622330325126</x:v>
      </x:c>
      <x:c r="I4252" s="27" t="n">
        <x:f>IF(AND(ISNUMBER(G4252),ISNUMBER(H4252),H4252&gt;0),G4252/H4252-1,"")</x:f>
        <x:v>0.013679386526545434</x:v>
      </x:c>
      <x:c r="J4252" s="27" t="n">
        <x:f>IF(AND(ISNUMBER(G4252),F4252&gt;0),G4252/F4252-1,"")</x:f>
        <x:v>-0.045867382453402716</x:v>
      </x:c>
      <x:c r="K4252" s="19" t="str">
        <x:v>Weak/EXP248/results/seed1579669718_Relative_cutoff_1e-5.json</x:v>
      </x:c>
    </x:row>
    <x:row r="4253" ht="15" hidden="0" customHeight="1">
      <x:c r="A4253" s="3" t="str">
        <x:v>EXP248</x:v>
      </x:c>
      <x:c r="B4253" s="3" t="str">
        <x:v>Weak</x:v>
      </x:c>
      <x:c r="C4253" s="18" t="n">
        <x:v>1579669718</x:v>
      </x:c>
      <x:c r="D4253" s="3" t="str">
        <x:v>Fixed rank 10</x:v>
      </x:c>
      <x:c r="E4253" s="18" t="n">
        <x:v>800</x:v>
      </x:c>
      <x:c r="F4253" s="21" t="n">
        <x:v>345.29624129125807</x:v>
      </x:c>
      <x:c r="G4253" s="21" t="n">
        <x:f>F4251</x:f>
        <x:v>352.8275557086513</x:v>
      </x:c>
      <x:c r="H4253" s="21" t="n">
        <x:f>F4256</x:f>
        <x:v>348.06622330325126</x:v>
      </x:c>
      <x:c r="I4253" s="27" t="n">
        <x:f>IF(AND(ISNUMBER(G4253),ISNUMBER(H4253),H4253&gt;0),G4253/H4253-1,"")</x:f>
        <x:v>0.013679386526545434</x:v>
      </x:c>
      <x:c r="J4253" s="27" t="n">
        <x:f>IF(AND(ISNUMBER(G4253),F4253&gt;0),G4253/F4253-1,"")</x:f>
        <x:v>0.021811168257231506</x:v>
      </x:c>
      <x:c r="K4253" s="19" t="str">
        <x:v>Weak/EXP248/results/seed1579669718_Fixed_rank_10.json</x:v>
      </x:c>
    </x:row>
    <x:row r="4254" ht="15" hidden="0" customHeight="1">
      <x:c r="A4254" s="3" t="str">
        <x:v>EXP248</x:v>
      </x:c>
      <x:c r="B4254" s="3" t="str">
        <x:v>Weak</x:v>
      </x:c>
      <x:c r="C4254" s="18" t="n">
        <x:v>1579669718</x:v>
      </x:c>
      <x:c r="D4254" s="3" t="str">
        <x:v>Fixed rank 25</x:v>
      </x:c>
      <x:c r="E4254" s="18" t="n">
        <x:v>800</x:v>
      </x:c>
      <x:c r="F4254" s="21" t="n">
        <x:v>336.3116557700808</x:v>
      </x:c>
      <x:c r="G4254" s="21" t="n">
        <x:f>F4251</x:f>
        <x:v>352.8275557086513</x:v>
      </x:c>
      <x:c r="H4254" s="21" t="n">
        <x:f>F4256</x:f>
        <x:v>348.06622330325126</x:v>
      </x:c>
      <x:c r="I4254" s="27" t="n">
        <x:f>IF(AND(ISNUMBER(G4254),ISNUMBER(H4254),H4254&gt;0),G4254/H4254-1,"")</x:f>
        <x:v>0.013679386526545434</x:v>
      </x:c>
      <x:c r="J4254" s="27" t="n">
        <x:f>IF(AND(ISNUMBER(G4254),F4254&gt;0),G4254/F4254-1,"")</x:f>
        <x:v>0.04910891328090505</x:v>
      </x:c>
      <x:c r="K4254" s="19" t="str">
        <x:v>Weak/EXP248/results/seed1579669718_Fixed_rank_25.json</x:v>
      </x:c>
    </x:row>
    <x:row r="4255" ht="15" hidden="0" customHeight="1">
      <x:c r="A4255" s="3" t="str">
        <x:v>EXP248</x:v>
      </x:c>
      <x:c r="B4255" s="3" t="str">
        <x:v>Weak</x:v>
      </x:c>
      <x:c r="C4255" s="18" t="n">
        <x:v>1579669718</x:v>
      </x:c>
      <x:c r="D4255" s="3" t="str">
        <x:v>Relative cutoff 1e-6</x:v>
      </x:c>
      <x:c r="E4255" s="18" t="n">
        <x:v>800</x:v>
      </x:c>
      <x:c r="F4255" s="21" t="n">
        <x:v>349.9203088363077</x:v>
      </x:c>
      <x:c r="G4255" s="21" t="n">
        <x:f>F4251</x:f>
        <x:v>352.8275557086513</x:v>
      </x:c>
      <x:c r="H4255" s="21" t="n">
        <x:f>F4256</x:f>
        <x:v>348.06622330325126</x:v>
      </x:c>
      <x:c r="I4255" s="27" t="n">
        <x:f>IF(AND(ISNUMBER(G4255),ISNUMBER(H4255),H4255&gt;0),G4255/H4255-1,"")</x:f>
        <x:v>0.013679386526545434</x:v>
      </x:c>
      <x:c r="J4255" s="27" t="n">
        <x:f>IF(AND(ISNUMBER(G4255),F4255&gt;0),G4255/F4255-1,"")</x:f>
        <x:v>0.00830831134669463</x:v>
      </x:c>
      <x:c r="K4255" s="19" t="str">
        <x:v>Weak/EXP248/results/seed1579669718_Relative_cutoff_1e-6.json</x:v>
      </x:c>
    </x:row>
    <x:row r="4256" ht="15" hidden="0" customHeight="1">
      <x:c r="A4256" s="3" t="str">
        <x:v>EXP248</x:v>
      </x:c>
      <x:c r="B4256" s="3" t="str">
        <x:v>Weak</x:v>
      </x:c>
      <x:c r="C4256" s="18" t="n">
        <x:v>1579669718</x:v>
      </x:c>
      <x:c r="D4256" s="3" t="str">
        <x:v>Full</x:v>
      </x:c>
      <x:c r="E4256" s="18" t="n">
        <x:v>800</x:v>
      </x:c>
      <x:c r="F4256" s="21" t="n">
        <x:v>348.06622330325126</x:v>
      </x:c>
      <x:c r="G4256" s="21" t="n">
        <x:f>F4251</x:f>
        <x:v>352.8275557086513</x:v>
      </x:c>
      <x:c r="H4256" s="21" t="n">
        <x:f>F4256</x:f>
        <x:v>348.06622330325126</x:v>
      </x:c>
      <x:c r="I4256" s="27" t="n">
        <x:f>IF(AND(ISNUMBER(G4256),ISNUMBER(H4256),H4256&gt;0),G4256/H4256-1,"")</x:f>
        <x:v>0.013679386526545434</x:v>
      </x:c>
      <x:c r="J4256" s="27" t="n">
        <x:f>IF(AND(ISNUMBER(G4256),F4256&gt;0),G4256/F4256-1,"")</x:f>
        <x:v>0.013679386526545434</x:v>
      </x:c>
      <x:c r="K4256" s="19" t="str">
        <x:v>Weak/EXP248/results/seed1579669718_Full.json</x:v>
      </x:c>
    </x:row>
    <x:row r="4257" ht="15" hidden="0" customHeight="1">
      <x:c r="A4257" s="3" t="str">
        <x:v>EXP248</x:v>
      </x:c>
      <x:c r="B4257" s="3" t="str">
        <x:v>Weak</x:v>
      </x:c>
      <x:c r="C4257" s="18" t="n">
        <x:v>1579669718</x:v>
      </x:c>
      <x:c r="D4257" s="3" t="str">
        <x:v>Relative cutoff 1e-2</x:v>
      </x:c>
      <x:c r="E4257" s="18" t="n">
        <x:v>800</x:v>
      </x:c>
      <x:c r="F4257" s="21" t="n">
        <x:v>530.1337440566325</x:v>
      </x:c>
      <x:c r="G4257" s="21" t="n">
        <x:f>F4251</x:f>
        <x:v>352.8275557086513</x:v>
      </x:c>
      <x:c r="H4257" s="21" t="n">
        <x:f>F4256</x:f>
        <x:v>348.06622330325126</x:v>
      </x:c>
      <x:c r="I4257" s="27" t="n">
        <x:f>IF(AND(ISNUMBER(G4257),ISNUMBER(H4257),H4257&gt;0),G4257/H4257-1,"")</x:f>
        <x:v>0.013679386526545434</x:v>
      </x:c>
      <x:c r="J4257" s="27" t="n">
        <x:f>IF(AND(ISNUMBER(G4257),F4257&gt;0),G4257/F4257-1,"")</x:f>
        <x:v>-0.3344555790605175</x:v>
      </x:c>
      <x:c r="K4257" s="19" t="str">
        <x:v>Weak/EXP248/results/seed1579669718_Relative_cutoff_1e-2.json</x:v>
      </x:c>
    </x:row>
    <x:row r="4258" ht="15" hidden="0" customHeight="1">
      <x:c r="A4258" s="3" t="str">
        <x:v>EXP248</x:v>
      </x:c>
      <x:c r="B4258" s="3" t="str">
        <x:v>Weak</x:v>
      </x:c>
      <x:c r="C4258" s="18" t="n">
        <x:v>1579669718</x:v>
      </x:c>
      <x:c r="D4258" s="3" t="str">
        <x:v>Relative cutoff 1e-4</x:v>
      </x:c>
      <x:c r="E4258" s="18" t="n">
        <x:v>800</x:v>
      </x:c>
      <x:c r="F4258" s="21" t="n">
        <x:v>348.3034752669765</x:v>
      </x:c>
      <x:c r="G4258" s="21" t="n">
        <x:f>F4251</x:f>
        <x:v>352.8275557086513</x:v>
      </x:c>
      <x:c r="H4258" s="21" t="n">
        <x:f>F4256</x:f>
        <x:v>348.06622330325126</x:v>
      </x:c>
      <x:c r="I4258" s="27" t="n">
        <x:f>IF(AND(ISNUMBER(G4258),ISNUMBER(H4258),H4258&gt;0),G4258/H4258-1,"")</x:f>
        <x:v>0.013679386526545434</x:v>
      </x:c>
      <x:c r="J4258" s="27" t="n">
        <x:f>IF(AND(ISNUMBER(G4258),F4258&gt;0),G4258/F4258-1,"")</x:f>
        <x:v>0.012988904110724286</x:v>
      </x:c>
      <x:c r="K4258" s="19" t="str">
        <x:v>Weak/EXP248/results/seed1579669718_Relative_cutoff_1e-4.json</x:v>
      </x:c>
    </x:row>
    <x:row r="4259" ht="15" hidden="0" customHeight="1">
      <x:c r="A4259" s="3" t="str">
        <x:v>EXP248</x:v>
      </x:c>
      <x:c r="B4259" s="3" t="str">
        <x:v>Weak</x:v>
      </x:c>
      <x:c r="C4259" s="18" t="n">
        <x:v>1604682005</x:v>
      </x:c>
      <x:c r="D4259" s="3" t="str">
        <x:v>BBP</x:v>
      </x:c>
      <x:c r="E4259" s="18" t="n">
        <x:v>800</x:v>
      </x:c>
      <x:c r="F4259" s="21" t="n">
        <x:v>490.6296948263416</x:v>
      </x:c>
      <x:c r="G4259" s="21" t="n">
        <x:f>F4259</x:f>
        <x:v>490.6296948263416</x:v>
      </x:c>
      <x:c r="H4259" s="21" t="n">
        <x:f>F4264</x:f>
        <x:v>517.690544590392</x:v>
      </x:c>
      <x:c r="I4259" s="27" t="n">
        <x:f>IF(AND(ISNUMBER(G4259),ISNUMBER(H4259),H4259&gt;0),G4259/H4259-1,"")</x:f>
        <x:v>-0.05227225037587191</x:v>
      </x:c>
      <x:c r="J4259" s="27" t="n">
        <x:f>IF(AND(ISNUMBER(G4259),F4259&gt;0),G4259/F4259-1,"")</x:f>
        <x:v>0</x:v>
      </x:c>
      <x:c r="K4259" s="19" t="str">
        <x:v>Weak/EXP248/results/seed1604682005_BBP.json</x:v>
      </x:c>
    </x:row>
    <x:row r="4260" ht="15" hidden="0" customHeight="1">
      <x:c r="A4260" s="3" t="str">
        <x:v>EXP248</x:v>
      </x:c>
      <x:c r="B4260" s="3" t="str">
        <x:v>Weak</x:v>
      </x:c>
      <x:c r="C4260" s="18" t="n">
        <x:v>1604682005</x:v>
      </x:c>
      <x:c r="D4260" s="3" t="str">
        <x:v>Relative cutoff 1e-5</x:v>
      </x:c>
      <x:c r="E4260" s="18" t="n">
        <x:v>800</x:v>
      </x:c>
      <x:c r="F4260" s="21" t="n">
        <x:v>460.1135001395555</x:v>
      </x:c>
      <x:c r="G4260" s="21" t="n">
        <x:f>F4259</x:f>
        <x:v>490.6296948263416</x:v>
      </x:c>
      <x:c r="H4260" s="21" t="n">
        <x:f>F4264</x:f>
        <x:v>517.690544590392</x:v>
      </x:c>
      <x:c r="I4260" s="27" t="n">
        <x:f>IF(AND(ISNUMBER(G4260),ISNUMBER(H4260),H4260&gt;0),G4260/H4260-1,"")</x:f>
        <x:v>-0.05227225037587191</x:v>
      </x:c>
      <x:c r="J4260" s="27" t="n">
        <x:f>IF(AND(ISNUMBER(G4260),F4260&gt;0),G4260/F4260-1,"")</x:f>
        <x:v>0.06632318912079382</x:v>
      </x:c>
      <x:c r="K4260" s="19" t="str">
        <x:v>Weak/EXP248/results/seed1604682005_Relative_cutoff_1e-5.json</x:v>
      </x:c>
    </x:row>
    <x:row r="4261" ht="15" hidden="0" customHeight="1">
      <x:c r="A4261" s="3" t="str">
        <x:v>EXP248</x:v>
      </x:c>
      <x:c r="B4261" s="3" t="str">
        <x:v>Weak</x:v>
      </x:c>
      <x:c r="C4261" s="18" t="n">
        <x:v>1604682005</x:v>
      </x:c>
      <x:c r="D4261" s="3" t="str">
        <x:v>Fixed rank 10</x:v>
      </x:c>
      <x:c r="E4261" s="18" t="n">
        <x:v>800</x:v>
      </x:c>
      <x:c r="F4261" s="21" t="n">
        <x:v>489.0808163161739</x:v>
      </x:c>
      <x:c r="G4261" s="21" t="n">
        <x:f>F4259</x:f>
        <x:v>490.6296948263416</x:v>
      </x:c>
      <x:c r="H4261" s="21" t="n">
        <x:f>F4264</x:f>
        <x:v>517.690544590392</x:v>
      </x:c>
      <x:c r="I4261" s="27" t="n">
        <x:f>IF(AND(ISNUMBER(G4261),ISNUMBER(H4261),H4261&gt;0),G4261/H4261-1,"")</x:f>
        <x:v>-0.05227225037587191</x:v>
      </x:c>
      <x:c r="J4261" s="27" t="n">
        <x:f>IF(AND(ISNUMBER(G4261),F4261&gt;0),G4261/F4261-1,"")</x:f>
        <x:v>0.0031669173242860893</x:v>
      </x:c>
      <x:c r="K4261" s="19" t="str">
        <x:v>Weak/EXP248/results/seed1604682005_Fixed_rank_10.json</x:v>
      </x:c>
    </x:row>
    <x:row r="4262" ht="15" hidden="0" customHeight="1">
      <x:c r="A4262" s="3" t="str">
        <x:v>EXP248</x:v>
      </x:c>
      <x:c r="B4262" s="3" t="str">
        <x:v>Weak</x:v>
      </x:c>
      <x:c r="C4262" s="18" t="n">
        <x:v>1604682005</x:v>
      </x:c>
      <x:c r="D4262" s="3" t="str">
        <x:v>Fixed rank 25</x:v>
      </x:c>
      <x:c r="E4262" s="18" t="n">
        <x:v>800</x:v>
      </x:c>
      <x:c r="F4262" s="21" t="n">
        <x:v>476.48972019267467</x:v>
      </x:c>
      <x:c r="G4262" s="21" t="n">
        <x:f>F4259</x:f>
        <x:v>490.6296948263416</x:v>
      </x:c>
      <x:c r="H4262" s="21" t="n">
        <x:f>F4264</x:f>
        <x:v>517.690544590392</x:v>
      </x:c>
      <x:c r="I4262" s="27" t="n">
        <x:f>IF(AND(ISNUMBER(G4262),ISNUMBER(H4262),H4262&gt;0),G4262/H4262-1,"")</x:f>
        <x:v>-0.05227225037587191</x:v>
      </x:c>
      <x:c r="J4262" s="27" t="n">
        <x:f>IF(AND(ISNUMBER(G4262),F4262&gt;0),G4262/F4262-1,"")</x:f>
        <x:v>0.029675298405072104</x:v>
      </x:c>
      <x:c r="K4262" s="19" t="str">
        <x:v>Weak/EXP248/results/seed1604682005_Fixed_rank_25.json</x:v>
      </x:c>
    </x:row>
    <x:row r="4263" ht="15" hidden="0" customHeight="1">
      <x:c r="A4263" s="3" t="str">
        <x:v>EXP248</x:v>
      </x:c>
      <x:c r="B4263" s="3" t="str">
        <x:v>Weak</x:v>
      </x:c>
      <x:c r="C4263" s="18" t="n">
        <x:v>1604682005</x:v>
      </x:c>
      <x:c r="D4263" s="3" t="str">
        <x:v>Relative cutoff 1e-6</x:v>
      </x:c>
      <x:c r="E4263" s="18" t="n">
        <x:v>800</x:v>
      </x:c>
      <x:c r="F4263" s="21" t="n">
        <x:v>482.4323285263979</x:v>
      </x:c>
      <x:c r="G4263" s="21" t="n">
        <x:f>F4259</x:f>
        <x:v>490.6296948263416</x:v>
      </x:c>
      <x:c r="H4263" s="21" t="n">
        <x:f>F4264</x:f>
        <x:v>517.690544590392</x:v>
      </x:c>
      <x:c r="I4263" s="27" t="n">
        <x:f>IF(AND(ISNUMBER(G4263),ISNUMBER(H4263),H4263&gt;0),G4263/H4263-1,"")</x:f>
        <x:v>-0.05227225037587191</x:v>
      </x:c>
      <x:c r="J4263" s="27" t="n">
        <x:f>IF(AND(ISNUMBER(G4263),F4263&gt;0),G4263/F4263-1,"")</x:f>
        <x:v>0.016991743329023645</x:v>
      </x:c>
      <x:c r="K4263" s="19" t="str">
        <x:v>Weak/EXP248/results/seed1604682005_Relative_cutoff_1e-6.json</x:v>
      </x:c>
    </x:row>
    <x:row r="4264" ht="15" hidden="0" customHeight="1">
      <x:c r="A4264" s="3" t="str">
        <x:v>EXP248</x:v>
      </x:c>
      <x:c r="B4264" s="3" t="str">
        <x:v>Weak</x:v>
      </x:c>
      <x:c r="C4264" s="18" t="n">
        <x:v>1604682005</x:v>
      </x:c>
      <x:c r="D4264" s="3" t="str">
        <x:v>Full</x:v>
      </x:c>
      <x:c r="E4264" s="18" t="n">
        <x:v>800</x:v>
      </x:c>
      <x:c r="F4264" s="21" t="n">
        <x:v>517.690544590392</x:v>
      </x:c>
      <x:c r="G4264" s="21" t="n">
        <x:f>F4259</x:f>
        <x:v>490.6296948263416</x:v>
      </x:c>
      <x:c r="H4264" s="21" t="n">
        <x:f>F4264</x:f>
        <x:v>517.690544590392</x:v>
      </x:c>
      <x:c r="I4264" s="27" t="n">
        <x:f>IF(AND(ISNUMBER(G4264),ISNUMBER(H4264),H4264&gt;0),G4264/H4264-1,"")</x:f>
        <x:v>-0.05227225037587191</x:v>
      </x:c>
      <x:c r="J4264" s="27" t="n">
        <x:f>IF(AND(ISNUMBER(G4264),F4264&gt;0),G4264/F4264-1,"")</x:f>
        <x:v>-0.05227225037587191</x:v>
      </x:c>
      <x:c r="K4264" s="19" t="str">
        <x:v>Weak/EXP248/results/seed1604682005_Full.json</x:v>
      </x:c>
    </x:row>
    <x:row r="4265" ht="15" hidden="0" customHeight="1">
      <x:c r="A4265" s="3" t="str">
        <x:v>EXP248</x:v>
      </x:c>
      <x:c r="B4265" s="3" t="str">
        <x:v>Weak</x:v>
      </x:c>
      <x:c r="C4265" s="18" t="n">
        <x:v>1604682005</x:v>
      </x:c>
      <x:c r="D4265" s="3" t="str">
        <x:v>Relative cutoff 1e-2</x:v>
      </x:c>
      <x:c r="E4265" s="18" t="n">
        <x:v>800</x:v>
      </x:c>
      <x:c r="F4265" s="21" t="n">
        <x:v>522.5518374868632</x:v>
      </x:c>
      <x:c r="G4265" s="21" t="n">
        <x:f>F4259</x:f>
        <x:v>490.6296948263416</x:v>
      </x:c>
      <x:c r="H4265" s="21" t="n">
        <x:f>F4264</x:f>
        <x:v>517.690544590392</x:v>
      </x:c>
      <x:c r="I4265" s="27" t="n">
        <x:f>IF(AND(ISNUMBER(G4265),ISNUMBER(H4265),H4265&gt;0),G4265/H4265-1,"")</x:f>
        <x:v>-0.05227225037587191</x:v>
      </x:c>
      <x:c r="J4265" s="27" t="n">
        <x:f>IF(AND(ISNUMBER(G4265),F4265&gt;0),G4265/F4265-1,"")</x:f>
        <x:v>-0.0610889492113289</x:v>
      </x:c>
      <x:c r="K4265" s="19" t="str">
        <x:v>Weak/EXP248/results/seed1604682005_Relative_cutoff_1e-2.json</x:v>
      </x:c>
    </x:row>
    <x:row r="4266" ht="15" hidden="0" customHeight="1">
      <x:c r="A4266" s="3" t="str">
        <x:v>EXP248</x:v>
      </x:c>
      <x:c r="B4266" s="3" t="str">
        <x:v>Weak</x:v>
      </x:c>
      <x:c r="C4266" s="18" t="n">
        <x:v>1604682005</x:v>
      </x:c>
      <x:c r="D4266" s="3" t="str">
        <x:v>Relative cutoff 1e-4</x:v>
      </x:c>
      <x:c r="E4266" s="18" t="n">
        <x:v>800</x:v>
      </x:c>
      <x:c r="F4266" s="21" t="n">
        <x:v>428.9212892639164</x:v>
      </x:c>
      <x:c r="G4266" s="21" t="n">
        <x:f>F4259</x:f>
        <x:v>490.6296948263416</x:v>
      </x:c>
      <x:c r="H4266" s="21" t="n">
        <x:f>F4264</x:f>
        <x:v>517.690544590392</x:v>
      </x:c>
      <x:c r="I4266" s="27" t="n">
        <x:f>IF(AND(ISNUMBER(G4266),ISNUMBER(H4266),H4266&gt;0),G4266/H4266-1,"")</x:f>
        <x:v>-0.05227225037587191</x:v>
      </x:c>
      <x:c r="J4266" s="27" t="n">
        <x:f>IF(AND(ISNUMBER(G4266),F4266&gt;0),G4266/F4266-1,"")</x:f>
        <x:v>0.14386883352963142</x:v>
      </x:c>
      <x:c r="K4266" s="19" t="str">
        <x:v>Weak/EXP248/results/seed1604682005_Relative_cutoff_1e-4.json</x:v>
      </x:c>
    </x:row>
    <x:row r="4267" ht="15" hidden="0" customHeight="1">
      <x:c r="A4267" s="3" t="str">
        <x:v>EXP248</x:v>
      </x:c>
      <x:c r="B4267" s="3" t="str">
        <x:v>Weak</x:v>
      </x:c>
      <x:c r="C4267" s="18" t="n">
        <x:v>1698458911</x:v>
      </x:c>
      <x:c r="D4267" s="3" t="str">
        <x:v>BBP</x:v>
      </x:c>
      <x:c r="E4267" s="18" t="n">
        <x:v>800</x:v>
      </x:c>
      <x:c r="F4267" s="21" t="n">
        <x:v>447.18014266291567</x:v>
      </x:c>
      <x:c r="G4267" s="21" t="n">
        <x:f>F4267</x:f>
        <x:v>447.18014266291567</x:v>
      </x:c>
      <x:c r="H4267" s="21" t="n">
        <x:f>F4272</x:f>
        <x:v>474.90210947997025</x:v>
      </x:c>
      <x:c r="I4267" s="27" t="n">
        <x:f>IF(AND(ISNUMBER(G4267),ISNUMBER(H4267),H4267&gt;0),G4267/H4267-1,"")</x:f>
        <x:v>-0.05837406544142498</x:v>
      </x:c>
      <x:c r="J4267" s="27" t="n">
        <x:f>IF(AND(ISNUMBER(G4267),F4267&gt;0),G4267/F4267-1,"")</x:f>
        <x:v>0</x:v>
      </x:c>
      <x:c r="K4267" s="19" t="str">
        <x:v>Weak/EXP248/results/seed1698458911_BBP.json</x:v>
      </x:c>
    </x:row>
    <x:row r="4268" ht="15" hidden="0" customHeight="1">
      <x:c r="A4268" s="3" t="str">
        <x:v>EXP248</x:v>
      </x:c>
      <x:c r="B4268" s="3" t="str">
        <x:v>Weak</x:v>
      </x:c>
      <x:c r="C4268" s="18" t="n">
        <x:v>1698458911</x:v>
      </x:c>
      <x:c r="D4268" s="3" t="str">
        <x:v>Relative cutoff 1e-5</x:v>
      </x:c>
      <x:c r="E4268" s="18" t="n">
        <x:v>800</x:v>
      </x:c>
      <x:c r="F4268" s="21" t="n">
        <x:v>396.2926600883088</x:v>
      </x:c>
      <x:c r="G4268" s="21" t="n">
        <x:f>F4267</x:f>
        <x:v>447.18014266291567</x:v>
      </x:c>
      <x:c r="H4268" s="21" t="n">
        <x:f>F4272</x:f>
        <x:v>474.90210947997025</x:v>
      </x:c>
      <x:c r="I4268" s="27" t="n">
        <x:f>IF(AND(ISNUMBER(G4268),ISNUMBER(H4268),H4268&gt;0),G4268/H4268-1,"")</x:f>
        <x:v>-0.05837406544142498</x:v>
      </x:c>
      <x:c r="J4268" s="27" t="n">
        <x:f>IF(AND(ISNUMBER(G4268),F4268&gt;0),G4268/F4268-1,"")</x:f>
        <x:v>0.12840884452229617</x:v>
      </x:c>
      <x:c r="K4268" s="19" t="str">
        <x:v>Weak/EXP248/results/seed1698458911_Relative_cutoff_1e-5.json</x:v>
      </x:c>
    </x:row>
    <x:row r="4269" ht="15" hidden="0" customHeight="1">
      <x:c r="A4269" s="3" t="str">
        <x:v>EXP248</x:v>
      </x:c>
      <x:c r="B4269" s="3" t="str">
        <x:v>Weak</x:v>
      </x:c>
      <x:c r="C4269" s="18" t="n">
        <x:v>1698458911</x:v>
      </x:c>
      <x:c r="D4269" s="3" t="str">
        <x:v>Fixed rank 10</x:v>
      </x:c>
      <x:c r="E4269" s="18" t="n">
        <x:v>800</x:v>
      </x:c>
      <x:c r="F4269" s="21" t="n">
        <x:v>577.1681550167201</x:v>
      </x:c>
      <x:c r="G4269" s="21" t="n">
        <x:f>F4267</x:f>
        <x:v>447.18014266291567</x:v>
      </x:c>
      <x:c r="H4269" s="21" t="n">
        <x:f>F4272</x:f>
        <x:v>474.90210947997025</x:v>
      </x:c>
      <x:c r="I4269" s="27" t="n">
        <x:f>IF(AND(ISNUMBER(G4269),ISNUMBER(H4269),H4269&gt;0),G4269/H4269-1,"")</x:f>
        <x:v>-0.05837406544142498</x:v>
      </x:c>
      <x:c r="J4269" s="27" t="n">
        <x:f>IF(AND(ISNUMBER(G4269),F4269&gt;0),G4269/F4269-1,"")</x:f>
        <x:v>-0.22521688215809266</x:v>
      </x:c>
      <x:c r="K4269" s="19" t="str">
        <x:v>Weak/EXP248/results/seed1698458911_Fixed_rank_10.json</x:v>
      </x:c>
    </x:row>
    <x:row r="4270" ht="15" hidden="0" customHeight="1">
      <x:c r="A4270" s="3" t="str">
        <x:v>EXP248</x:v>
      </x:c>
      <x:c r="B4270" s="3" t="str">
        <x:v>Weak</x:v>
      </x:c>
      <x:c r="C4270" s="18" t="n">
        <x:v>1698458911</x:v>
      </x:c>
      <x:c r="D4270" s="3" t="str">
        <x:v>Fixed rank 25</x:v>
      </x:c>
      <x:c r="E4270" s="18" t="n">
        <x:v>800</x:v>
      </x:c>
      <x:c r="F4270" s="21" t="n">
        <x:v>610.7088402136824</x:v>
      </x:c>
      <x:c r="G4270" s="21" t="n">
        <x:f>F4267</x:f>
        <x:v>447.18014266291567</x:v>
      </x:c>
      <x:c r="H4270" s="21" t="n">
        <x:f>F4272</x:f>
        <x:v>474.90210947997025</x:v>
      </x:c>
      <x:c r="I4270" s="27" t="n">
        <x:f>IF(AND(ISNUMBER(G4270),ISNUMBER(H4270),H4270&gt;0),G4270/H4270-1,"")</x:f>
        <x:v>-0.05837406544142498</x:v>
      </x:c>
      <x:c r="J4270" s="27" t="n">
        <x:f>IF(AND(ISNUMBER(G4270),F4270&gt;0),G4270/F4270-1,"")</x:f>
        <x:v>-0.2677686759758533</x:v>
      </x:c>
      <x:c r="K4270" s="19" t="str">
        <x:v>Weak/EXP248/results/seed1698458911_Fixed_rank_25.json</x:v>
      </x:c>
    </x:row>
    <x:row r="4271" ht="15" hidden="0" customHeight="1">
      <x:c r="A4271" s="3" t="str">
        <x:v>EXP248</x:v>
      </x:c>
      <x:c r="B4271" s="3" t="str">
        <x:v>Weak</x:v>
      </x:c>
      <x:c r="C4271" s="18" t="n">
        <x:v>1698458911</x:v>
      </x:c>
      <x:c r="D4271" s="3" t="str">
        <x:v>Relative cutoff 1e-6</x:v>
      </x:c>
      <x:c r="E4271" s="18" t="n">
        <x:v>800</x:v>
      </x:c>
      <x:c r="F4271" s="21" t="n">
        <x:v>477.2371519885233</x:v>
      </x:c>
      <x:c r="G4271" s="21" t="n">
        <x:f>F4267</x:f>
        <x:v>447.18014266291567</x:v>
      </x:c>
      <x:c r="H4271" s="21" t="n">
        <x:f>F4272</x:f>
        <x:v>474.90210947997025</x:v>
      </x:c>
      <x:c r="I4271" s="27" t="n">
        <x:f>IF(AND(ISNUMBER(G4271),ISNUMBER(H4271),H4271&gt;0),G4271/H4271-1,"")</x:f>
        <x:v>-0.05837406544142498</x:v>
      </x:c>
      <x:c r="J4271" s="27" t="n">
        <x:f>IF(AND(ISNUMBER(G4271),F4271&gt;0),G4271/F4271-1,"")</x:f>
        <x:v>-0.0629812855105012</x:v>
      </x:c>
      <x:c r="K4271" s="19" t="str">
        <x:v>Weak/EXP248/results/seed1698458911_Relative_cutoff_1e-6.json</x:v>
      </x:c>
    </x:row>
    <x:row r="4272" ht="15" hidden="0" customHeight="1">
      <x:c r="A4272" s="3" t="str">
        <x:v>EXP248</x:v>
      </x:c>
      <x:c r="B4272" s="3" t="str">
        <x:v>Weak</x:v>
      </x:c>
      <x:c r="C4272" s="18" t="n">
        <x:v>1698458911</x:v>
      </x:c>
      <x:c r="D4272" s="3" t="str">
        <x:v>Full</x:v>
      </x:c>
      <x:c r="E4272" s="18" t="n">
        <x:v>800</x:v>
      </x:c>
      <x:c r="F4272" s="21" t="n">
        <x:v>474.90210947997025</x:v>
      </x:c>
      <x:c r="G4272" s="21" t="n">
        <x:f>F4267</x:f>
        <x:v>447.18014266291567</x:v>
      </x:c>
      <x:c r="H4272" s="21" t="n">
        <x:f>F4272</x:f>
        <x:v>474.90210947997025</x:v>
      </x:c>
      <x:c r="I4272" s="27" t="n">
        <x:f>IF(AND(ISNUMBER(G4272),ISNUMBER(H4272),H4272&gt;0),G4272/H4272-1,"")</x:f>
        <x:v>-0.05837406544142498</x:v>
      </x:c>
      <x:c r="J4272" s="27" t="n">
        <x:f>IF(AND(ISNUMBER(G4272),F4272&gt;0),G4272/F4272-1,"")</x:f>
        <x:v>-0.05837406544142498</x:v>
      </x:c>
      <x:c r="K4272" s="19" t="str">
        <x:v>Weak/EXP248/results/seed1698458911_Full.json</x:v>
      </x:c>
    </x:row>
    <x:row r="4273" ht="15" hidden="0" customHeight="1">
      <x:c r="A4273" s="3" t="str">
        <x:v>EXP248</x:v>
      </x:c>
      <x:c r="B4273" s="3" t="str">
        <x:v>Weak</x:v>
      </x:c>
      <x:c r="C4273" s="18" t="n">
        <x:v>1698458911</x:v>
      </x:c>
      <x:c r="D4273" s="3" t="str">
        <x:v>Relative cutoff 1e-2</x:v>
      </x:c>
      <x:c r="E4273" s="18" t="n">
        <x:v>800</x:v>
      </x:c>
      <x:c r="F4273" s="21" t="n">
        <x:v>726.4343049498422</x:v>
      </x:c>
      <x:c r="G4273" s="21" t="n">
        <x:f>F4267</x:f>
        <x:v>447.18014266291567</x:v>
      </x:c>
      <x:c r="H4273" s="21" t="n">
        <x:f>F4272</x:f>
        <x:v>474.90210947997025</x:v>
      </x:c>
      <x:c r="I4273" s="27" t="n">
        <x:f>IF(AND(ISNUMBER(G4273),ISNUMBER(H4273),H4273&gt;0),G4273/H4273-1,"")</x:f>
        <x:v>-0.05837406544142498</x:v>
      </x:c>
      <x:c r="J4273" s="27" t="n">
        <x:f>IF(AND(ISNUMBER(G4273),F4273&gt;0),G4273/F4273-1,"")</x:f>
        <x:v>-0.38441764160106406</x:v>
      </x:c>
      <x:c r="K4273" s="19" t="str">
        <x:v>Weak/EXP248/results/seed1698458911_Relative_cutoff_1e-2.json</x:v>
      </x:c>
    </x:row>
    <x:row r="4274" ht="15" hidden="0" customHeight="1">
      <x:c r="A4274" s="3" t="str">
        <x:v>EXP248</x:v>
      </x:c>
      <x:c r="B4274" s="3" t="str">
        <x:v>Weak</x:v>
      </x:c>
      <x:c r="C4274" s="18" t="n">
        <x:v>1698458911</x:v>
      </x:c>
      <x:c r="D4274" s="3" t="str">
        <x:v>Relative cutoff 1e-4</x:v>
      </x:c>
      <x:c r="E4274" s="18" t="n">
        <x:v>800</x:v>
      </x:c>
      <x:c r="F4274" s="21" t="n">
        <x:v>421.43752946287077</x:v>
      </x:c>
      <x:c r="G4274" s="21" t="n">
        <x:f>F4267</x:f>
        <x:v>447.18014266291567</x:v>
      </x:c>
      <x:c r="H4274" s="21" t="n">
        <x:f>F4272</x:f>
        <x:v>474.90210947997025</x:v>
      </x:c>
      <x:c r="I4274" s="27" t="n">
        <x:f>IF(AND(ISNUMBER(G4274),ISNUMBER(H4274),H4274&gt;0),G4274/H4274-1,"")</x:f>
        <x:v>-0.05837406544142498</x:v>
      </x:c>
      <x:c r="J4274" s="27" t="n">
        <x:f>IF(AND(ISNUMBER(G4274),F4274&gt;0),G4274/F4274-1,"")</x:f>
        <x:v>0.06108286851637135</x:v>
      </x:c>
      <x:c r="K4274" s="19" t="str">
        <x:v>Weak/EXP248/results/seed1698458911_Relative_cutoff_1e-4.json</x:v>
      </x:c>
    </x:row>
    <x:row r="4275" ht="15" hidden="0" customHeight="1">
      <x:c r="A4275" s="3" t="str">
        <x:v>EXP248</x:v>
      </x:c>
      <x:c r="B4275" s="3" t="str">
        <x:v>Weak</x:v>
      </x:c>
      <x:c r="C4275" s="18" t="n">
        <x:v>1703948672</x:v>
      </x:c>
      <x:c r="D4275" s="3" t="str">
        <x:v>BBP</x:v>
      </x:c>
      <x:c r="E4275" s="18" t="n">
        <x:v>800</x:v>
      </x:c>
      <x:c r="F4275" s="21" t="n">
        <x:v>285.6305775566359</x:v>
      </x:c>
      <x:c r="G4275" s="21" t="n">
        <x:f>F4275</x:f>
        <x:v>285.6305775566359</x:v>
      </x:c>
      <x:c r="H4275" s="21" t="n">
        <x:f>F4280</x:f>
        <x:v>270.0581691701451</x:v>
      </x:c>
      <x:c r="I4275" s="27" t="n">
        <x:f>IF(AND(ISNUMBER(G4275),ISNUMBER(H4275),H4275&gt;0),G4275/H4275-1,"")</x:f>
        <x:v>0.05766316358561885</x:v>
      </x:c>
      <x:c r="J4275" s="27" t="n">
        <x:f>IF(AND(ISNUMBER(G4275),F4275&gt;0),G4275/F4275-1,"")</x:f>
        <x:v>0</x:v>
      </x:c>
      <x:c r="K4275" s="19" t="str">
        <x:v>Weak/EXP248/results/seed1703948672_BBP.json</x:v>
      </x:c>
    </x:row>
    <x:row r="4276" ht="15" hidden="0" customHeight="1">
      <x:c r="A4276" s="3" t="str">
        <x:v>EXP248</x:v>
      </x:c>
      <x:c r="B4276" s="3" t="str">
        <x:v>Weak</x:v>
      </x:c>
      <x:c r="C4276" s="18" t="n">
        <x:v>1703948672</x:v>
      </x:c>
      <x:c r="D4276" s="3" t="str">
        <x:v>Relative cutoff 1e-5</x:v>
      </x:c>
      <x:c r="E4276" s="18" t="n">
        <x:v>800</x:v>
      </x:c>
      <x:c r="F4276" s="21" t="n">
        <x:v>285.62917014592483</x:v>
      </x:c>
      <x:c r="G4276" s="21" t="n">
        <x:f>F4275</x:f>
        <x:v>285.6305775566359</x:v>
      </x:c>
      <x:c r="H4276" s="21" t="n">
        <x:f>F4280</x:f>
        <x:v>270.0581691701451</x:v>
      </x:c>
      <x:c r="I4276" s="27" t="n">
        <x:f>IF(AND(ISNUMBER(G4276),ISNUMBER(H4276),H4276&gt;0),G4276/H4276-1,"")</x:f>
        <x:v>0.05766316358561885</x:v>
      </x:c>
      <x:c r="J4276" s="27" t="n">
        <x:f>IF(AND(ISNUMBER(G4276),F4276&gt;0),G4276/F4276-1,"")</x:f>
        <x:v>0.0000049274053848247235</x:v>
      </x:c>
      <x:c r="K4276" s="19" t="str">
        <x:v>Weak/EXP248/results/seed1703948672_Relative_cutoff_1e-5.json</x:v>
      </x:c>
    </x:row>
    <x:row r="4277" ht="15" hidden="0" customHeight="1">
      <x:c r="A4277" s="3" t="str">
        <x:v>EXP248</x:v>
      </x:c>
      <x:c r="B4277" s="3" t="str">
        <x:v>Weak</x:v>
      </x:c>
      <x:c r="C4277" s="18" t="n">
        <x:v>1703948672</x:v>
      </x:c>
      <x:c r="D4277" s="3" t="str">
        <x:v>Fixed rank 10</x:v>
      </x:c>
      <x:c r="E4277" s="18" t="n">
        <x:v>800</x:v>
      </x:c>
      <x:c r="F4277" s="21" t="n">
        <x:v>290.0546676544544</x:v>
      </x:c>
      <x:c r="G4277" s="21" t="n">
        <x:f>F4275</x:f>
        <x:v>285.6305775566359</x:v>
      </x:c>
      <x:c r="H4277" s="21" t="n">
        <x:f>F4280</x:f>
        <x:v>270.0581691701451</x:v>
      </x:c>
      <x:c r="I4277" s="27" t="n">
        <x:f>IF(AND(ISNUMBER(G4277),ISNUMBER(H4277),H4277&gt;0),G4277/H4277-1,"")</x:f>
        <x:v>0.05766316358561885</x:v>
      </x:c>
      <x:c r="J4277" s="27" t="n">
        <x:f>IF(AND(ISNUMBER(G4277),F4277&gt;0),G4277/F4277-1,"")</x:f>
        <x:v>-0.015252607839736587</x:v>
      </x:c>
      <x:c r="K4277" s="19" t="str">
        <x:v>Weak/EXP248/results/seed1703948672_Fixed_rank_10.json</x:v>
      </x:c>
    </x:row>
    <x:row r="4278" ht="15" hidden="0" customHeight="1">
      <x:c r="A4278" s="3" t="str">
        <x:v>EXP248</x:v>
      </x:c>
      <x:c r="B4278" s="3" t="str">
        <x:v>Weak</x:v>
      </x:c>
      <x:c r="C4278" s="18" t="n">
        <x:v>1703948672</x:v>
      </x:c>
      <x:c r="D4278" s="3" t="str">
        <x:v>Fixed rank 25</x:v>
      </x:c>
      <x:c r="E4278" s="18" t="n">
        <x:v>800</x:v>
      </x:c>
      <x:c r="F4278" s="21" t="n">
        <x:v>278.57194432120195</x:v>
      </x:c>
      <x:c r="G4278" s="21" t="n">
        <x:f>F4275</x:f>
        <x:v>285.6305775566359</x:v>
      </x:c>
      <x:c r="H4278" s="21" t="n">
        <x:f>F4280</x:f>
        <x:v>270.0581691701451</x:v>
      </x:c>
      <x:c r="I4278" s="27" t="n">
        <x:f>IF(AND(ISNUMBER(G4278),ISNUMBER(H4278),H4278&gt;0),G4278/H4278-1,"")</x:f>
        <x:v>0.05766316358561885</x:v>
      </x:c>
      <x:c r="J4278" s="27" t="n">
        <x:f>IF(AND(ISNUMBER(G4278),F4278&gt;0),G4278/F4278-1,"")</x:f>
        <x:v>0.02533863649705914</x:v>
      </x:c>
      <x:c r="K4278" s="19" t="str">
        <x:v>Weak/EXP248/results/seed1703948672_Fixed_rank_25.json</x:v>
      </x:c>
    </x:row>
    <x:row r="4279" ht="15" hidden="0" customHeight="1">
      <x:c r="A4279" s="3" t="str">
        <x:v>EXP248</x:v>
      </x:c>
      <x:c r="B4279" s="3" t="str">
        <x:v>Weak</x:v>
      </x:c>
      <x:c r="C4279" s="18" t="n">
        <x:v>1703948672</x:v>
      </x:c>
      <x:c r="D4279" s="3" t="str">
        <x:v>Relative cutoff 1e-6</x:v>
      </x:c>
      <x:c r="E4279" s="18" t="n">
        <x:v>800</x:v>
      </x:c>
      <x:c r="F4279" s="21" t="n">
        <x:v>287.27031641324913</x:v>
      </x:c>
      <x:c r="G4279" s="21" t="n">
        <x:f>F4275</x:f>
        <x:v>285.6305775566359</x:v>
      </x:c>
      <x:c r="H4279" s="21" t="n">
        <x:f>F4280</x:f>
        <x:v>270.0581691701451</x:v>
      </x:c>
      <x:c r="I4279" s="27" t="n">
        <x:f>IF(AND(ISNUMBER(G4279),ISNUMBER(H4279),H4279&gt;0),G4279/H4279-1,"")</x:f>
        <x:v>0.05766316358561885</x:v>
      </x:c>
      <x:c r="J4279" s="27" t="n">
        <x:f>IF(AND(ISNUMBER(G4279),F4279&gt;0),G4279/F4279-1,"")</x:f>
        <x:v>-0.0057079996189178805</x:v>
      </x:c>
      <x:c r="K4279" s="19" t="str">
        <x:v>Weak/EXP248/results/seed1703948672_Relative_cutoff_1e-6.json</x:v>
      </x:c>
    </x:row>
    <x:row r="4280" ht="15" hidden="0" customHeight="1">
      <x:c r="A4280" s="3" t="str">
        <x:v>EXP248</x:v>
      </x:c>
      <x:c r="B4280" s="3" t="str">
        <x:v>Weak</x:v>
      </x:c>
      <x:c r="C4280" s="18" t="n">
        <x:v>1703948672</x:v>
      </x:c>
      <x:c r="D4280" s="3" t="str">
        <x:v>Full</x:v>
      </x:c>
      <x:c r="E4280" s="18" t="n">
        <x:v>800</x:v>
      </x:c>
      <x:c r="F4280" s="21" t="n">
        <x:v>270.0581691701451</x:v>
      </x:c>
      <x:c r="G4280" s="21" t="n">
        <x:f>F4275</x:f>
        <x:v>285.6305775566359</x:v>
      </x:c>
      <x:c r="H4280" s="21" t="n">
        <x:f>F4280</x:f>
        <x:v>270.0581691701451</x:v>
      </x:c>
      <x:c r="I4280" s="27" t="n">
        <x:f>IF(AND(ISNUMBER(G4280),ISNUMBER(H4280),H4280&gt;0),G4280/H4280-1,"")</x:f>
        <x:v>0.05766316358561885</x:v>
      </x:c>
      <x:c r="J4280" s="27" t="n">
        <x:f>IF(AND(ISNUMBER(G4280),F4280&gt;0),G4280/F4280-1,"")</x:f>
        <x:v>0.05766316358561885</x:v>
      </x:c>
      <x:c r="K4280" s="19" t="str">
        <x:v>Weak/EXP248/results/seed1703948672_Full.json</x:v>
      </x:c>
    </x:row>
    <x:row r="4281" ht="15" hidden="0" customHeight="1">
      <x:c r="A4281" s="3" t="str">
        <x:v>EXP248</x:v>
      </x:c>
      <x:c r="B4281" s="3" t="str">
        <x:v>Weak</x:v>
      </x:c>
      <x:c r="C4281" s="18" t="n">
        <x:v>1703948672</x:v>
      </x:c>
      <x:c r="D4281" s="3" t="str">
        <x:v>Relative cutoff 1e-2</x:v>
      </x:c>
      <x:c r="E4281" s="18" t="n">
        <x:v>800</x:v>
      </x:c>
      <x:c r="F4281" s="21" t="n">
        <x:v>301.1431143421929</x:v>
      </x:c>
      <x:c r="G4281" s="21" t="n">
        <x:f>F4275</x:f>
        <x:v>285.6305775566359</x:v>
      </x:c>
      <x:c r="H4281" s="21" t="n">
        <x:f>F4280</x:f>
        <x:v>270.0581691701451</x:v>
      </x:c>
      <x:c r="I4281" s="27" t="n">
        <x:f>IF(AND(ISNUMBER(G4281),ISNUMBER(H4281),H4281&gt;0),G4281/H4281-1,"")</x:f>
        <x:v>0.05766316358561885</x:v>
      </x:c>
      <x:c r="J4281" s="27" t="n">
        <x:f>IF(AND(ISNUMBER(G4281),F4281&gt;0),G4281/F4281-1,"")</x:f>
        <x:v>-0.051512174931982346</x:v>
      </x:c>
      <x:c r="K4281" s="19" t="str">
        <x:v>Weak/EXP248/results/seed1703948672_Relative_cutoff_1e-2.json</x:v>
      </x:c>
    </x:row>
    <x:row r="4282" ht="15" hidden="0" customHeight="1">
      <x:c r="A4282" s="3" t="str">
        <x:v>EXP248</x:v>
      </x:c>
      <x:c r="B4282" s="3" t="str">
        <x:v>Weak</x:v>
      </x:c>
      <x:c r="C4282" s="18" t="n">
        <x:v>1703948672</x:v>
      </x:c>
      <x:c r="D4282" s="3" t="str">
        <x:v>Relative cutoff 1e-4</x:v>
      </x:c>
      <x:c r="E4282" s="18" t="n">
        <x:v>800</x:v>
      </x:c>
      <x:c r="F4282" s="21" t="n">
        <x:v>308.5007166930416</x:v>
      </x:c>
      <x:c r="G4282" s="21" t="n">
        <x:f>F4275</x:f>
        <x:v>285.6305775566359</x:v>
      </x:c>
      <x:c r="H4282" s="21" t="n">
        <x:f>F4280</x:f>
        <x:v>270.0581691701451</x:v>
      </x:c>
      <x:c r="I4282" s="27" t="n">
        <x:f>IF(AND(ISNUMBER(G4282),ISNUMBER(H4282),H4282&gt;0),G4282/H4282-1,"")</x:f>
        <x:v>0.05766316358561885</x:v>
      </x:c>
      <x:c r="J4282" s="27" t="n">
        <x:f>IF(AND(ISNUMBER(G4282),F4282&gt;0),G4282/F4282-1,"")</x:f>
        <x:v>-0.07413317992113944</x:v>
      </x:c>
      <x:c r="K4282" s="19" t="str">
        <x:v>Weak/EXP248/results/seed1703948672_Relative_cutoff_1e-4.json</x:v>
      </x:c>
    </x:row>
    <x:row r="4283" ht="15" hidden="0" customHeight="1">
      <x:c r="A4283" s="3" t="str">
        <x:v>EXP248</x:v>
      </x:c>
      <x:c r="B4283" s="3" t="str">
        <x:v>Weak</x:v>
      </x:c>
      <x:c r="C4283" s="18" t="n">
        <x:v>1706141618</x:v>
      </x:c>
      <x:c r="D4283" s="3" t="str">
        <x:v>BBP</x:v>
      </x:c>
      <x:c r="E4283" s="18" t="n">
        <x:v>800</x:v>
      </x:c>
      <x:c r="F4283" s="21" t="n">
        <x:v>304.4708636445998</x:v>
      </x:c>
      <x:c r="G4283" s="21" t="n">
        <x:f>F4283</x:f>
        <x:v>304.4708636445998</x:v>
      </x:c>
      <x:c r="H4283" s="21" t="n">
        <x:f>F4288</x:f>
        <x:v>311.3803559103042</x:v>
      </x:c>
      <x:c r="I4283" s="27" t="n">
        <x:f>IF(AND(ISNUMBER(G4283),ISNUMBER(H4283),H4283&gt;0),G4283/H4283-1,"")</x:f>
        <x:v>-0.022189878502466565</x:v>
      </x:c>
      <x:c r="J4283" s="27" t="n">
        <x:f>IF(AND(ISNUMBER(G4283),F4283&gt;0),G4283/F4283-1,"")</x:f>
        <x:v>0</x:v>
      </x:c>
      <x:c r="K4283" s="19" t="str">
        <x:v>Weak/EXP248/results/seed1706141618_BBP.json</x:v>
      </x:c>
    </x:row>
    <x:row r="4284" ht="15" hidden="0" customHeight="1">
      <x:c r="A4284" s="3" t="str">
        <x:v>EXP248</x:v>
      </x:c>
      <x:c r="B4284" s="3" t="str">
        <x:v>Weak</x:v>
      </x:c>
      <x:c r="C4284" s="18" t="n">
        <x:v>1706141618</x:v>
      </x:c>
      <x:c r="D4284" s="3" t="str">
        <x:v>Relative cutoff 1e-5</x:v>
      </x:c>
      <x:c r="E4284" s="18" t="n">
        <x:v>800</x:v>
      </x:c>
      <x:c r="F4284" s="21" t="n">
        <x:v>311.709503941656</x:v>
      </x:c>
      <x:c r="G4284" s="21" t="n">
        <x:f>F4283</x:f>
        <x:v>304.4708636445998</x:v>
      </x:c>
      <x:c r="H4284" s="21" t="n">
        <x:f>F4288</x:f>
        <x:v>311.3803559103042</x:v>
      </x:c>
      <x:c r="I4284" s="27" t="n">
        <x:f>IF(AND(ISNUMBER(G4284),ISNUMBER(H4284),H4284&gt;0),G4284/H4284-1,"")</x:f>
        <x:v>-0.022189878502466565</x:v>
      </x:c>
      <x:c r="J4284" s="27" t="n">
        <x:f>IF(AND(ISNUMBER(G4284),F4284&gt;0),G4284/F4284-1,"")</x:f>
        <x:v>-0.02322239202052412</x:v>
      </x:c>
      <x:c r="K4284" s="19" t="str">
        <x:v>Weak/EXP248/results/seed1706141618_Relative_cutoff_1e-5.json</x:v>
      </x:c>
    </x:row>
    <x:row r="4285" ht="15" hidden="0" customHeight="1">
      <x:c r="A4285" s="3" t="str">
        <x:v>EXP248</x:v>
      </x:c>
      <x:c r="B4285" s="3" t="str">
        <x:v>Weak</x:v>
      </x:c>
      <x:c r="C4285" s="18" t="n">
        <x:v>1706141618</x:v>
      </x:c>
      <x:c r="D4285" s="3" t="str">
        <x:v>Fixed rank 10</x:v>
      </x:c>
      <x:c r="E4285" s="18" t="n">
        <x:v>800</x:v>
      </x:c>
      <x:c r="F4285" s="21" t="n">
        <x:v>308.7443690392289</x:v>
      </x:c>
      <x:c r="G4285" s="21" t="n">
        <x:f>F4283</x:f>
        <x:v>304.4708636445998</x:v>
      </x:c>
      <x:c r="H4285" s="21" t="n">
        <x:f>F4288</x:f>
        <x:v>311.3803559103042</x:v>
      </x:c>
      <x:c r="I4285" s="27" t="n">
        <x:f>IF(AND(ISNUMBER(G4285),ISNUMBER(H4285),H4285&gt;0),G4285/H4285-1,"")</x:f>
        <x:v>-0.022189878502466565</x:v>
      </x:c>
      <x:c r="J4285" s="27" t="n">
        <x:f>IF(AND(ISNUMBER(G4285),F4285&gt;0),G4285/F4285-1,"")</x:f>
        <x:v>-0.013841565460538496</x:v>
      </x:c>
      <x:c r="K4285" s="19" t="str">
        <x:v>Weak/EXP248/results/seed1706141618_Fixed_rank_10.json</x:v>
      </x:c>
    </x:row>
    <x:row r="4286" ht="15" hidden="0" customHeight="1">
      <x:c r="A4286" s="3" t="str">
        <x:v>EXP248</x:v>
      </x:c>
      <x:c r="B4286" s="3" t="str">
        <x:v>Weak</x:v>
      </x:c>
      <x:c r="C4286" s="18" t="n">
        <x:v>1706141618</x:v>
      </x:c>
      <x:c r="D4286" s="3" t="str">
        <x:v>Fixed rank 25</x:v>
      </x:c>
      <x:c r="E4286" s="18" t="n">
        <x:v>800</x:v>
      </x:c>
      <x:c r="F4286" s="21" t="n">
        <x:v>300.5405496293129</x:v>
      </x:c>
      <x:c r="G4286" s="21" t="n">
        <x:f>F4283</x:f>
        <x:v>304.4708636445998</x:v>
      </x:c>
      <x:c r="H4286" s="21" t="n">
        <x:f>F4288</x:f>
        <x:v>311.3803559103042</x:v>
      </x:c>
      <x:c r="I4286" s="27" t="n">
        <x:f>IF(AND(ISNUMBER(G4286),ISNUMBER(H4286),H4286&gt;0),G4286/H4286-1,"")</x:f>
        <x:v>-0.022189878502466565</x:v>
      </x:c>
      <x:c r="J4286" s="27" t="n">
        <x:f>IF(AND(ISNUMBER(G4286),F4286&gt;0),G4286/F4286-1,"")</x:f>
        <x:v>0.013077483288476355</x:v>
      </x:c>
      <x:c r="K4286" s="19" t="str">
        <x:v>Weak/EXP248/results/seed1706141618_Fixed_rank_25.json</x:v>
      </x:c>
    </x:row>
    <x:row r="4287" ht="15" hidden="0" customHeight="1">
      <x:c r="A4287" s="3" t="str">
        <x:v>EXP248</x:v>
      </x:c>
      <x:c r="B4287" s="3" t="str">
        <x:v>Weak</x:v>
      </x:c>
      <x:c r="C4287" s="18" t="n">
        <x:v>1706141618</x:v>
      </x:c>
      <x:c r="D4287" s="3" t="str">
        <x:v>Relative cutoff 1e-6</x:v>
      </x:c>
      <x:c r="E4287" s="18" t="n">
        <x:v>800</x:v>
      </x:c>
      <x:c r="F4287" s="21" t="n">
        <x:v>298.91518437638825</x:v>
      </x:c>
      <x:c r="G4287" s="21" t="n">
        <x:f>F4283</x:f>
        <x:v>304.4708636445998</x:v>
      </x:c>
      <x:c r="H4287" s="21" t="n">
        <x:f>F4288</x:f>
        <x:v>311.3803559103042</x:v>
      </x:c>
      <x:c r="I4287" s="27" t="n">
        <x:f>IF(AND(ISNUMBER(G4287),ISNUMBER(H4287),H4287&gt;0),G4287/H4287-1,"")</x:f>
        <x:v>-0.022189878502466565</x:v>
      </x:c>
      <x:c r="J4287" s="27" t="n">
        <x:f>IF(AND(ISNUMBER(G4287),F4287&gt;0),G4287/F4287-1,"")</x:f>
        <x:v>0.018586139341840502</x:v>
      </x:c>
      <x:c r="K4287" s="19" t="str">
        <x:v>Weak/EXP248/results/seed1706141618_Relative_cutoff_1e-6.json</x:v>
      </x:c>
    </x:row>
    <x:row r="4288" ht="15" hidden="0" customHeight="1">
      <x:c r="A4288" s="3" t="str">
        <x:v>EXP248</x:v>
      </x:c>
      <x:c r="B4288" s="3" t="str">
        <x:v>Weak</x:v>
      </x:c>
      <x:c r="C4288" s="18" t="n">
        <x:v>1706141618</x:v>
      </x:c>
      <x:c r="D4288" s="3" t="str">
        <x:v>Full</x:v>
      </x:c>
      <x:c r="E4288" s="18" t="n">
        <x:v>800</x:v>
      </x:c>
      <x:c r="F4288" s="21" t="n">
        <x:v>311.3803559103042</x:v>
      </x:c>
      <x:c r="G4288" s="21" t="n">
        <x:f>F4283</x:f>
        <x:v>304.4708636445998</x:v>
      </x:c>
      <x:c r="H4288" s="21" t="n">
        <x:f>F4288</x:f>
        <x:v>311.3803559103042</x:v>
      </x:c>
      <x:c r="I4288" s="27" t="n">
        <x:f>IF(AND(ISNUMBER(G4288),ISNUMBER(H4288),H4288&gt;0),G4288/H4288-1,"")</x:f>
        <x:v>-0.022189878502466565</x:v>
      </x:c>
      <x:c r="J4288" s="27" t="n">
        <x:f>IF(AND(ISNUMBER(G4288),F4288&gt;0),G4288/F4288-1,"")</x:f>
        <x:v>-0.022189878502466565</x:v>
      </x:c>
      <x:c r="K4288" s="19" t="str">
        <x:v>Weak/EXP248/results/seed1706141618_Full.json</x:v>
      </x:c>
    </x:row>
    <x:row r="4289" ht="15" hidden="0" customHeight="1">
      <x:c r="A4289" s="3" t="str">
        <x:v>EXP248</x:v>
      </x:c>
      <x:c r="B4289" s="3" t="str">
        <x:v>Weak</x:v>
      </x:c>
      <x:c r="C4289" s="18" t="n">
        <x:v>1706141618</x:v>
      </x:c>
      <x:c r="D4289" s="3" t="str">
        <x:v>Relative cutoff 1e-2</x:v>
      </x:c>
      <x:c r="E4289" s="18" t="n">
        <x:v>800</x:v>
      </x:c>
      <x:c r="F4289" s="21" t="n">
        <x:v>443.1706928060278</x:v>
      </x:c>
      <x:c r="G4289" s="21" t="n">
        <x:f>F4283</x:f>
        <x:v>304.4708636445998</x:v>
      </x:c>
      <x:c r="H4289" s="21" t="n">
        <x:f>F4288</x:f>
        <x:v>311.3803559103042</x:v>
      </x:c>
      <x:c r="I4289" s="27" t="n">
        <x:f>IF(AND(ISNUMBER(G4289),ISNUMBER(H4289),H4289&gt;0),G4289/H4289-1,"")</x:f>
        <x:v>-0.022189878502466565</x:v>
      </x:c>
      <x:c r="J4289" s="27" t="n">
        <x:f>IF(AND(ISNUMBER(G4289),F4289&gt;0),G4289/F4289-1,"")</x:f>
        <x:v>-0.3129715737365688</x:v>
      </x:c>
      <x:c r="K4289" s="19" t="str">
        <x:v>Weak/EXP248/results/seed1706141618_Relative_cutoff_1e-2.json</x:v>
      </x:c>
    </x:row>
    <x:row r="4290" ht="15" hidden="0" customHeight="1">
      <x:c r="A4290" s="3" t="str">
        <x:v>EXP248</x:v>
      </x:c>
      <x:c r="B4290" s="3" t="str">
        <x:v>Weak</x:v>
      </x:c>
      <x:c r="C4290" s="18" t="n">
        <x:v>1706141618</x:v>
      </x:c>
      <x:c r="D4290" s="3" t="str">
        <x:v>Relative cutoff 1e-4</x:v>
      </x:c>
      <x:c r="E4290" s="18" t="n">
        <x:v>800</x:v>
      </x:c>
      <x:c r="F4290" s="21" t="n">
        <x:v>295.85580737863893</x:v>
      </x:c>
      <x:c r="G4290" s="21" t="n">
        <x:f>F4283</x:f>
        <x:v>304.4708636445998</x:v>
      </x:c>
      <x:c r="H4290" s="21" t="n">
        <x:f>F4288</x:f>
        <x:v>311.3803559103042</x:v>
      </x:c>
      <x:c r="I4290" s="27" t="n">
        <x:f>IF(AND(ISNUMBER(G4290),ISNUMBER(H4290),H4290&gt;0),G4290/H4290-1,"")</x:f>
        <x:v>-0.022189878502466565</x:v>
      </x:c>
      <x:c r="J4290" s="27" t="n">
        <x:f>IF(AND(ISNUMBER(G4290),F4290&gt;0),G4290/F4290-1,"")</x:f>
        <x:v>0.029119104817622254</x:v>
      </x:c>
      <x:c r="K4290" s="19" t="str">
        <x:v>Weak/EXP248/results/seed1706141618_Relative_cutoff_1e-4.json</x:v>
      </x:c>
    </x:row>
    <x:row r="4291" ht="15" hidden="0" customHeight="1">
      <x:c r="A4291" s="3" t="str">
        <x:v>EXP248</x:v>
      </x:c>
      <x:c r="B4291" s="3" t="str">
        <x:v>Weak</x:v>
      </x:c>
      <x:c r="C4291" s="18" t="n">
        <x:v>1774119025</x:v>
      </x:c>
      <x:c r="D4291" s="3" t="str">
        <x:v>BBP</x:v>
      </x:c>
      <x:c r="E4291" s="18" t="n">
        <x:v>800</x:v>
      </x:c>
      <x:c r="F4291" s="21" t="n">
        <x:v>332.0914624920828</x:v>
      </x:c>
      <x:c r="G4291" s="21" t="n">
        <x:f>F4291</x:f>
        <x:v>332.0914624920828</x:v>
      </x:c>
      <x:c r="H4291" s="21" t="n">
        <x:f>F4296</x:f>
        <x:v>358.0561459954682</x:v>
      </x:c>
      <x:c r="I4291" s="27" t="n">
        <x:f>IF(AND(ISNUMBER(G4291),ISNUMBER(H4291),H4291&gt;0),G4291/H4291-1,"")</x:f>
        <x:v>-0.07251567608537579</x:v>
      </x:c>
      <x:c r="J4291" s="27" t="n">
        <x:f>IF(AND(ISNUMBER(G4291),F4291&gt;0),G4291/F4291-1,"")</x:f>
        <x:v>0</x:v>
      </x:c>
      <x:c r="K4291" s="19" t="str">
        <x:v>Weak/EXP248/results/seed1774119025_BBP.json</x:v>
      </x:c>
    </x:row>
    <x:row r="4292" ht="15" hidden="0" customHeight="1">
      <x:c r="A4292" s="3" t="str">
        <x:v>EXP248</x:v>
      </x:c>
      <x:c r="B4292" s="3" t="str">
        <x:v>Weak</x:v>
      </x:c>
      <x:c r="C4292" s="18" t="n">
        <x:v>1774119025</x:v>
      </x:c>
      <x:c r="D4292" s="3" t="str">
        <x:v>Relative cutoff 1e-5</x:v>
      </x:c>
      <x:c r="E4292" s="18" t="n">
        <x:v>800</x:v>
      </x:c>
      <x:c r="F4292" s="21" t="n">
        <x:v>347.11513275159257</x:v>
      </x:c>
      <x:c r="G4292" s="21" t="n">
        <x:f>F4291</x:f>
        <x:v>332.0914624920828</x:v>
      </x:c>
      <x:c r="H4292" s="21" t="n">
        <x:f>F4296</x:f>
        <x:v>358.0561459954682</x:v>
      </x:c>
      <x:c r="I4292" s="27" t="n">
        <x:f>IF(AND(ISNUMBER(G4292),ISNUMBER(H4292),H4292&gt;0),G4292/H4292-1,"")</x:f>
        <x:v>-0.07251567608537579</x:v>
      </x:c>
      <x:c r="J4292" s="27" t="n">
        <x:f>IF(AND(ISNUMBER(G4292),F4292&gt;0),G4292/F4292-1,"")</x:f>
        <x:v>-0.04328151913290734</x:v>
      </x:c>
      <x:c r="K4292" s="19" t="str">
        <x:v>Weak/EXP248/results/seed1774119025_Relative_cutoff_1e-5.json</x:v>
      </x:c>
    </x:row>
    <x:row r="4293" ht="15" hidden="0" customHeight="1">
      <x:c r="A4293" s="3" t="str">
        <x:v>EXP248</x:v>
      </x:c>
      <x:c r="B4293" s="3" t="str">
        <x:v>Weak</x:v>
      </x:c>
      <x:c r="C4293" s="18" t="n">
        <x:v>1774119025</x:v>
      </x:c>
      <x:c r="D4293" s="3" t="str">
        <x:v>Fixed rank 10</x:v>
      </x:c>
      <x:c r="E4293" s="18" t="n">
        <x:v>800</x:v>
      </x:c>
      <x:c r="F4293" s="21" t="n">
        <x:v>326.7935716348234</x:v>
      </x:c>
      <x:c r="G4293" s="21" t="n">
        <x:f>F4291</x:f>
        <x:v>332.0914624920828</x:v>
      </x:c>
      <x:c r="H4293" s="21" t="n">
        <x:f>F4296</x:f>
        <x:v>358.0561459954682</x:v>
      </x:c>
      <x:c r="I4293" s="27" t="n">
        <x:f>IF(AND(ISNUMBER(G4293),ISNUMBER(H4293),H4293&gt;0),G4293/H4293-1,"")</x:f>
        <x:v>-0.07251567608537579</x:v>
      </x:c>
      <x:c r="J4293" s="27" t="n">
        <x:f>IF(AND(ISNUMBER(G4293),F4293&gt;0),G4293/F4293-1,"")</x:f>
        <x:v>0.01621173522709185</x:v>
      </x:c>
      <x:c r="K4293" s="19" t="str">
        <x:v>Weak/EXP248/results/seed1774119025_Fixed_rank_10.json</x:v>
      </x:c>
    </x:row>
    <x:row r="4294" ht="15" hidden="0" customHeight="1">
      <x:c r="A4294" s="3" t="str">
        <x:v>EXP248</x:v>
      </x:c>
      <x:c r="B4294" s="3" t="str">
        <x:v>Weak</x:v>
      </x:c>
      <x:c r="C4294" s="18" t="n">
        <x:v>1774119025</x:v>
      </x:c>
      <x:c r="D4294" s="3" t="str">
        <x:v>Fixed rank 25</x:v>
      </x:c>
      <x:c r="E4294" s="18" t="n">
        <x:v>800</x:v>
      </x:c>
      <x:c r="F4294" s="21" t="n">
        <x:v>350.979213321499</x:v>
      </x:c>
      <x:c r="G4294" s="21" t="n">
        <x:f>F4291</x:f>
        <x:v>332.0914624920828</x:v>
      </x:c>
      <x:c r="H4294" s="21" t="n">
        <x:f>F4296</x:f>
        <x:v>358.0561459954682</x:v>
      </x:c>
      <x:c r="I4294" s="27" t="n">
        <x:f>IF(AND(ISNUMBER(G4294),ISNUMBER(H4294),H4294&gt;0),G4294/H4294-1,"")</x:f>
        <x:v>-0.07251567608537579</x:v>
      </x:c>
      <x:c r="J4294" s="27" t="n">
        <x:f>IF(AND(ISNUMBER(G4294),F4294&gt;0),G4294/F4294-1,"")</x:f>
        <x:v>-0.053814442885866565</x:v>
      </x:c>
      <x:c r="K4294" s="19" t="str">
        <x:v>Weak/EXP248/results/seed1774119025_Fixed_rank_25.json</x:v>
      </x:c>
    </x:row>
    <x:row r="4295" ht="15" hidden="0" customHeight="1">
      <x:c r="A4295" s="3" t="str">
        <x:v>EXP248</x:v>
      </x:c>
      <x:c r="B4295" s="3" t="str">
        <x:v>Weak</x:v>
      </x:c>
      <x:c r="C4295" s="18" t="n">
        <x:v>1774119025</x:v>
      </x:c>
      <x:c r="D4295" s="3" t="str">
        <x:v>Relative cutoff 1e-6</x:v>
      </x:c>
      <x:c r="E4295" s="18" t="n">
        <x:v>800</x:v>
      </x:c>
      <x:c r="F4295" s="21" t="n">
        <x:v>339.4614948566527</x:v>
      </x:c>
      <x:c r="G4295" s="21" t="n">
        <x:f>F4291</x:f>
        <x:v>332.0914624920828</x:v>
      </x:c>
      <x:c r="H4295" s="21" t="n">
        <x:f>F4296</x:f>
        <x:v>358.0561459954682</x:v>
      </x:c>
      <x:c r="I4295" s="27" t="n">
        <x:f>IF(AND(ISNUMBER(G4295),ISNUMBER(H4295),H4295&gt;0),G4295/H4295-1,"")</x:f>
        <x:v>-0.07251567608537579</x:v>
      </x:c>
      <x:c r="J4295" s="27" t="n">
        <x:f>IF(AND(ISNUMBER(G4295),F4295&gt;0),G4295/F4295-1,"")</x:f>
        <x:v>-0.021710952423873775</x:v>
      </x:c>
      <x:c r="K4295" s="19" t="str">
        <x:v>Weak/EXP248/results/seed1774119025_Relative_cutoff_1e-6.json</x:v>
      </x:c>
    </x:row>
    <x:row r="4296" ht="15" hidden="0" customHeight="1">
      <x:c r="A4296" s="3" t="str">
        <x:v>EXP248</x:v>
      </x:c>
      <x:c r="B4296" s="3" t="str">
        <x:v>Weak</x:v>
      </x:c>
      <x:c r="C4296" s="18" t="n">
        <x:v>1774119025</x:v>
      </x:c>
      <x:c r="D4296" s="3" t="str">
        <x:v>Full</x:v>
      </x:c>
      <x:c r="E4296" s="18" t="n">
        <x:v>800</x:v>
      </x:c>
      <x:c r="F4296" s="21" t="n">
        <x:v>358.0561459954682</x:v>
      </x:c>
      <x:c r="G4296" s="21" t="n">
        <x:f>F4291</x:f>
        <x:v>332.0914624920828</x:v>
      </x:c>
      <x:c r="H4296" s="21" t="n">
        <x:f>F4296</x:f>
        <x:v>358.0561459954682</x:v>
      </x:c>
      <x:c r="I4296" s="27" t="n">
        <x:f>IF(AND(ISNUMBER(G4296),ISNUMBER(H4296),H4296&gt;0),G4296/H4296-1,"")</x:f>
        <x:v>-0.07251567608537579</x:v>
      </x:c>
      <x:c r="J4296" s="27" t="n">
        <x:f>IF(AND(ISNUMBER(G4296),F4296&gt;0),G4296/F4296-1,"")</x:f>
        <x:v>-0.07251567608537579</x:v>
      </x:c>
      <x:c r="K4296" s="19" t="str">
        <x:v>Weak/EXP248/results/seed1774119025_Full.json</x:v>
      </x:c>
    </x:row>
    <x:row r="4297" ht="15" hidden="0" customHeight="1">
      <x:c r="A4297" s="3" t="str">
        <x:v>EXP248</x:v>
      </x:c>
      <x:c r="B4297" s="3" t="str">
        <x:v>Weak</x:v>
      </x:c>
      <x:c r="C4297" s="18" t="n">
        <x:v>1774119025</x:v>
      </x:c>
      <x:c r="D4297" s="3" t="str">
        <x:v>Relative cutoff 1e-2</x:v>
      </x:c>
      <x:c r="E4297" s="18" t="n">
        <x:v>800</x:v>
      </x:c>
      <x:c r="F4297" s="21" t="n">
        <x:v>511.99541781949887</x:v>
      </x:c>
      <x:c r="G4297" s="21" t="n">
        <x:f>F4291</x:f>
        <x:v>332.0914624920828</x:v>
      </x:c>
      <x:c r="H4297" s="21" t="n">
        <x:f>F4296</x:f>
        <x:v>358.0561459954682</x:v>
      </x:c>
      <x:c r="I4297" s="27" t="n">
        <x:f>IF(AND(ISNUMBER(G4297),ISNUMBER(H4297),H4297&gt;0),G4297/H4297-1,"")</x:f>
        <x:v>-0.07251567608537579</x:v>
      </x:c>
      <x:c r="J4297" s="27" t="n">
        <x:f>IF(AND(ISNUMBER(G4297),F4297&gt;0),G4297/F4297-1,"")</x:f>
        <x:v>-0.3513780574318346</x:v>
      </x:c>
      <x:c r="K4297" s="19" t="str">
        <x:v>Weak/EXP248/results/seed1774119025_Relative_cutoff_1e-2.json</x:v>
      </x:c>
    </x:row>
    <x:row r="4298" ht="15" hidden="0" customHeight="1">
      <x:c r="A4298" s="3" t="str">
        <x:v>EXP248</x:v>
      </x:c>
      <x:c r="B4298" s="3" t="str">
        <x:v>Weak</x:v>
      </x:c>
      <x:c r="C4298" s="18" t="n">
        <x:v>1774119025</x:v>
      </x:c>
      <x:c r="D4298" s="3" t="str">
        <x:v>Relative cutoff 1e-4</x:v>
      </x:c>
      <x:c r="E4298" s="18" t="n">
        <x:v>800</x:v>
      </x:c>
      <x:c r="F4298" s="21" t="n">
        <x:v>354.47719427102516</x:v>
      </x:c>
      <x:c r="G4298" s="21" t="n">
        <x:f>F4291</x:f>
        <x:v>332.0914624920828</x:v>
      </x:c>
      <x:c r="H4298" s="21" t="n">
        <x:f>F4296</x:f>
        <x:v>358.0561459954682</x:v>
      </x:c>
      <x:c r="I4298" s="27" t="n">
        <x:f>IF(AND(ISNUMBER(G4298),ISNUMBER(H4298),H4298&gt;0),G4298/H4298-1,"")</x:f>
        <x:v>-0.07251567608537579</x:v>
      </x:c>
      <x:c r="J4298" s="27" t="n">
        <x:f>IF(AND(ISNUMBER(G4298),F4298&gt;0),G4298/F4298-1,"")</x:f>
        <x:v>-0.0631514019540188</x:v>
      </x:c>
      <x:c r="K4298" s="19" t="str">
        <x:v>Weak/EXP248/results/seed1774119025_Relative_cutoff_1e-4.json</x:v>
      </x:c>
    </x:row>
    <x:row r="4299" ht="15" hidden="0" customHeight="1">
      <x:c r="A4299" s="3" t="str">
        <x:v>EXP248</x:v>
      </x:c>
      <x:c r="B4299" s="3" t="str">
        <x:v>Weak</x:v>
      </x:c>
      <x:c r="C4299" s="18" t="n">
        <x:v>1858567448</x:v>
      </x:c>
      <x:c r="D4299" s="3" t="str">
        <x:v>BBP</x:v>
      </x:c>
      <x:c r="E4299" s="18" t="n">
        <x:v>800</x:v>
      </x:c>
      <x:c r="F4299" s="21" t="n">
        <x:v>369.5656229458122</x:v>
      </x:c>
      <x:c r="G4299" s="21" t="n">
        <x:f>F4299</x:f>
        <x:v>369.5656229458122</x:v>
      </x:c>
      <x:c r="H4299" s="21" t="n">
        <x:f>F4304</x:f>
        <x:v>351.57818943789437</x:v>
      </x:c>
      <x:c r="I4299" s="27" t="n">
        <x:f>IF(AND(ISNUMBER(G4299),ISNUMBER(H4299),H4299&gt;0),G4299/H4299-1,"")</x:f>
        <x:v>0.05116197206850703</x:v>
      </x:c>
      <x:c r="J4299" s="27" t="n">
        <x:f>IF(AND(ISNUMBER(G4299),F4299&gt;0),G4299/F4299-1,"")</x:f>
        <x:v>0</x:v>
      </x:c>
      <x:c r="K4299" s="19" t="str">
        <x:v>Weak/EXP248/results/seed1858567448_BBP.json</x:v>
      </x:c>
    </x:row>
    <x:row r="4300" ht="15" hidden="0" customHeight="1">
      <x:c r="A4300" s="3" t="str">
        <x:v>EXP248</x:v>
      </x:c>
      <x:c r="B4300" s="3" t="str">
        <x:v>Weak</x:v>
      </x:c>
      <x:c r="C4300" s="18" t="n">
        <x:v>1858567448</x:v>
      </x:c>
      <x:c r="D4300" s="3" t="str">
        <x:v>Relative cutoff 1e-5</x:v>
      </x:c>
      <x:c r="E4300" s="18" t="n">
        <x:v>800</x:v>
      </x:c>
      <x:c r="F4300" s="21" t="n">
        <x:v>368.7999987002947</x:v>
      </x:c>
      <x:c r="G4300" s="21" t="n">
        <x:f>F4299</x:f>
        <x:v>369.5656229458122</x:v>
      </x:c>
      <x:c r="H4300" s="21" t="n">
        <x:f>F4304</x:f>
        <x:v>351.57818943789437</x:v>
      </x:c>
      <x:c r="I4300" s="27" t="n">
        <x:f>IF(AND(ISNUMBER(G4300),ISNUMBER(H4300),H4300&gt;0),G4300/H4300-1,"")</x:f>
        <x:v>0.05116197206850703</x:v>
      </x:c>
      <x:c r="J4300" s="27" t="n">
        <x:f>IF(AND(ISNUMBER(G4300),F4300&gt;0),G4300/F4300-1,"")</x:f>
        <x:v>0.0020759876578517744</x:v>
      </x:c>
      <x:c r="K4300" s="19" t="str">
        <x:v>Weak/EXP248/results/seed1858567448_Relative_cutoff_1e-5.json</x:v>
      </x:c>
    </x:row>
    <x:row r="4301" ht="15" hidden="0" customHeight="1">
      <x:c r="A4301" s="3" t="str">
        <x:v>EXP248</x:v>
      </x:c>
      <x:c r="B4301" s="3" t="str">
        <x:v>Weak</x:v>
      </x:c>
      <x:c r="C4301" s="18" t="n">
        <x:v>1858567448</x:v>
      </x:c>
      <x:c r="D4301" s="3" t="str">
        <x:v>Fixed rank 10</x:v>
      </x:c>
      <x:c r="E4301" s="18" t="n">
        <x:v>800</x:v>
      </x:c>
      <x:c r="F4301" s="21" t="n">
        <x:v>375.57066868800985</x:v>
      </x:c>
      <x:c r="G4301" s="21" t="n">
        <x:f>F4299</x:f>
        <x:v>369.5656229458122</x:v>
      </x:c>
      <x:c r="H4301" s="21" t="n">
        <x:f>F4304</x:f>
        <x:v>351.57818943789437</x:v>
      </x:c>
      <x:c r="I4301" s="27" t="n">
        <x:f>IF(AND(ISNUMBER(G4301),ISNUMBER(H4301),H4301&gt;0),G4301/H4301-1,"")</x:f>
        <x:v>0.05116197206850703</x:v>
      </x:c>
      <x:c r="J4301" s="27" t="n">
        <x:f>IF(AND(ISNUMBER(G4301),F4301&gt;0),G4301/F4301-1,"")</x:f>
        <x:v>-0.01598912333376623</x:v>
      </x:c>
      <x:c r="K4301" s="19" t="str">
        <x:v>Weak/EXP248/results/seed1858567448_Fixed_rank_10.json</x:v>
      </x:c>
    </x:row>
    <x:row r="4302" ht="15" hidden="0" customHeight="1">
      <x:c r="A4302" s="3" t="str">
        <x:v>EXP248</x:v>
      </x:c>
      <x:c r="B4302" s="3" t="str">
        <x:v>Weak</x:v>
      </x:c>
      <x:c r="C4302" s="18" t="n">
        <x:v>1858567448</x:v>
      </x:c>
      <x:c r="D4302" s="3" t="str">
        <x:v>Fixed rank 25</x:v>
      </x:c>
      <x:c r="E4302" s="18" t="n">
        <x:v>800</x:v>
      </x:c>
      <x:c r="F4302" s="21" t="n">
        <x:v>372.20158762133724</x:v>
      </x:c>
      <x:c r="G4302" s="21" t="n">
        <x:f>F4299</x:f>
        <x:v>369.5656229458122</x:v>
      </x:c>
      <x:c r="H4302" s="21" t="n">
        <x:f>F4304</x:f>
        <x:v>351.57818943789437</x:v>
      </x:c>
      <x:c r="I4302" s="27" t="n">
        <x:f>IF(AND(ISNUMBER(G4302),ISNUMBER(H4302),H4302&gt;0),G4302/H4302-1,"")</x:f>
        <x:v>0.05116197206850703</x:v>
      </x:c>
      <x:c r="J4302" s="27" t="n">
        <x:f>IF(AND(ISNUMBER(G4302),F4302&gt;0),G4302/F4302-1,"")</x:f>
        <x:v>-0.007082088747581428</x:v>
      </x:c>
      <x:c r="K4302" s="19" t="str">
        <x:v>Weak/EXP248/results/seed1858567448_Fixed_rank_25.json</x:v>
      </x:c>
    </x:row>
    <x:row r="4303" ht="15" hidden="0" customHeight="1">
      <x:c r="A4303" s="3" t="str">
        <x:v>EXP248</x:v>
      </x:c>
      <x:c r="B4303" s="3" t="str">
        <x:v>Weak</x:v>
      </x:c>
      <x:c r="C4303" s="18" t="n">
        <x:v>1858567448</x:v>
      </x:c>
      <x:c r="D4303" s="3" t="str">
        <x:v>Relative cutoff 1e-6</x:v>
      </x:c>
      <x:c r="E4303" s="18" t="n">
        <x:v>800</x:v>
      </x:c>
      <x:c r="F4303" s="21" t="n">
        <x:v>376.9147661735134</x:v>
      </x:c>
      <x:c r="G4303" s="21" t="n">
        <x:f>F4299</x:f>
        <x:v>369.5656229458122</x:v>
      </x:c>
      <x:c r="H4303" s="21" t="n">
        <x:f>F4304</x:f>
        <x:v>351.57818943789437</x:v>
      </x:c>
      <x:c r="I4303" s="27" t="n">
        <x:f>IF(AND(ISNUMBER(G4303),ISNUMBER(H4303),H4303&gt;0),G4303/H4303-1,"")</x:f>
        <x:v>0.05116197206850703</x:v>
      </x:c>
      <x:c r="J4303" s="27" t="n">
        <x:f>IF(AND(ISNUMBER(G4303),F4303&gt;0),G4303/F4303-1,"")</x:f>
        <x:v>-0.01949815684408074</x:v>
      </x:c>
      <x:c r="K4303" s="19" t="str">
        <x:v>Weak/EXP248/results/seed1858567448_Relative_cutoff_1e-6.json</x:v>
      </x:c>
    </x:row>
    <x:row r="4304" ht="15" hidden="0" customHeight="1">
      <x:c r="A4304" s="3" t="str">
        <x:v>EXP248</x:v>
      </x:c>
      <x:c r="B4304" s="3" t="str">
        <x:v>Weak</x:v>
      </x:c>
      <x:c r="C4304" s="18" t="n">
        <x:v>1858567448</x:v>
      </x:c>
      <x:c r="D4304" s="3" t="str">
        <x:v>Full</x:v>
      </x:c>
      <x:c r="E4304" s="18" t="n">
        <x:v>800</x:v>
      </x:c>
      <x:c r="F4304" s="21" t="n">
        <x:v>351.57818943789437</x:v>
      </x:c>
      <x:c r="G4304" s="21" t="n">
        <x:f>F4299</x:f>
        <x:v>369.5656229458122</x:v>
      </x:c>
      <x:c r="H4304" s="21" t="n">
        <x:f>F4304</x:f>
        <x:v>351.57818943789437</x:v>
      </x:c>
      <x:c r="I4304" s="27" t="n">
        <x:f>IF(AND(ISNUMBER(G4304),ISNUMBER(H4304),H4304&gt;0),G4304/H4304-1,"")</x:f>
        <x:v>0.05116197206850703</x:v>
      </x:c>
      <x:c r="J4304" s="27" t="n">
        <x:f>IF(AND(ISNUMBER(G4304),F4304&gt;0),G4304/F4304-1,"")</x:f>
        <x:v>0.05116197206850703</x:v>
      </x:c>
      <x:c r="K4304" s="19" t="str">
        <x:v>Weak/EXP248/results/seed1858567448_Full.json</x:v>
      </x:c>
    </x:row>
    <x:row r="4305" ht="15" hidden="0" customHeight="1">
      <x:c r="A4305" s="3" t="str">
        <x:v>EXP248</x:v>
      </x:c>
      <x:c r="B4305" s="3" t="str">
        <x:v>Weak</x:v>
      </x:c>
      <x:c r="C4305" s="18" t="n">
        <x:v>1858567448</x:v>
      </x:c>
      <x:c r="D4305" s="3" t="str">
        <x:v>Relative cutoff 1e-2</x:v>
      </x:c>
      <x:c r="E4305" s="18" t="n">
        <x:v>800</x:v>
      </x:c>
      <x:c r="F4305" s="21" t="n">
        <x:v>401.70631890142477</x:v>
      </x:c>
      <x:c r="G4305" s="21" t="n">
        <x:f>F4299</x:f>
        <x:v>369.5656229458122</x:v>
      </x:c>
      <x:c r="H4305" s="21" t="n">
        <x:f>F4304</x:f>
        <x:v>351.57818943789437</x:v>
      </x:c>
      <x:c r="I4305" s="27" t="n">
        <x:f>IF(AND(ISNUMBER(G4305),ISNUMBER(H4305),H4305&gt;0),G4305/H4305-1,"")</x:f>
        <x:v>0.05116197206850703</x:v>
      </x:c>
      <x:c r="J4305" s="27" t="n">
        <x:f>IF(AND(ISNUMBER(G4305),F4305&gt;0),G4305/F4305-1,"")</x:f>
        <x:v>-0.08001043160961474</x:v>
      </x:c>
      <x:c r="K4305" s="19" t="str">
        <x:v>Weak/EXP248/results/seed1858567448_Relative_cutoff_1e-2.json</x:v>
      </x:c>
    </x:row>
    <x:row r="4306" ht="15" hidden="0" customHeight="1">
      <x:c r="A4306" s="3" t="str">
        <x:v>EXP248</x:v>
      </x:c>
      <x:c r="B4306" s="3" t="str">
        <x:v>Weak</x:v>
      </x:c>
      <x:c r="C4306" s="18" t="n">
        <x:v>1858567448</x:v>
      </x:c>
      <x:c r="D4306" s="3" t="str">
        <x:v>Relative cutoff 1e-4</x:v>
      </x:c>
      <x:c r="E4306" s="18" t="n">
        <x:v>800</x:v>
      </x:c>
      <x:c r="F4306" s="21" t="n">
        <x:v>361.4308825492034</x:v>
      </x:c>
      <x:c r="G4306" s="21" t="n">
        <x:f>F4299</x:f>
        <x:v>369.5656229458122</x:v>
      </x:c>
      <x:c r="H4306" s="21" t="n">
        <x:f>F4304</x:f>
        <x:v>351.57818943789437</x:v>
      </x:c>
      <x:c r="I4306" s="27" t="n">
        <x:f>IF(AND(ISNUMBER(G4306),ISNUMBER(H4306),H4306&gt;0),G4306/H4306-1,"")</x:f>
        <x:v>0.05116197206850703</x:v>
      </x:c>
      <x:c r="J4306" s="27" t="n">
        <x:f>IF(AND(ISNUMBER(G4306),F4306&gt;0),G4306/F4306-1,"")</x:f>
        <x:v>0.02250704294894179</x:v>
      </x:c>
      <x:c r="K4306" s="19" t="str">
        <x:v>Weak/EXP248/results/seed1858567448_Relative_cutoff_1e-4.json</x:v>
      </x:c>
    </x:row>
    <x:row r="4307" ht="15" hidden="0" customHeight="1">
      <x:c r="A4307" s="3" t="str">
        <x:v>EXP248</x:v>
      </x:c>
      <x:c r="B4307" s="3" t="str">
        <x:v>Weak</x:v>
      </x:c>
      <x:c r="C4307" s="18" t="n">
        <x:v>1966030676</x:v>
      </x:c>
      <x:c r="D4307" s="3" t="str">
        <x:v>BBP</x:v>
      </x:c>
      <x:c r="E4307" s="18" t="n">
        <x:v>800</x:v>
      </x:c>
      <x:c r="F4307" s="21" t="n">
        <x:v>333.61474791625955</x:v>
      </x:c>
      <x:c r="G4307" s="21" t="n">
        <x:f>F4307</x:f>
        <x:v>333.61474791625955</x:v>
      </x:c>
      <x:c r="H4307" s="21" t="n">
        <x:f>F4312</x:f>
        <x:v>313.3438188218099</x:v>
      </x:c>
      <x:c r="I4307" s="27" t="n">
        <x:f>IF(AND(ISNUMBER(G4307),ISNUMBER(H4307),H4307&gt;0),G4307/H4307-1,"")</x:f>
        <x:v>0.06469228967295226</x:v>
      </x:c>
      <x:c r="J4307" s="27" t="n">
        <x:f>IF(AND(ISNUMBER(G4307),F4307&gt;0),G4307/F4307-1,"")</x:f>
        <x:v>0</x:v>
      </x:c>
      <x:c r="K4307" s="19" t="str">
        <x:v>Weak/EXP248/results/seed1966030676_BBP.json</x:v>
      </x:c>
    </x:row>
    <x:row r="4308" ht="15" hidden="0" customHeight="1">
      <x:c r="A4308" s="3" t="str">
        <x:v>EXP248</x:v>
      </x:c>
      <x:c r="B4308" s="3" t="str">
        <x:v>Weak</x:v>
      </x:c>
      <x:c r="C4308" s="18" t="n">
        <x:v>1966030676</x:v>
      </x:c>
      <x:c r="D4308" s="3" t="str">
        <x:v>Relative cutoff 1e-5</x:v>
      </x:c>
      <x:c r="E4308" s="18" t="n">
        <x:v>800</x:v>
      </x:c>
      <x:c r="F4308" s="21" t="n">
        <x:v>343.7756645497527</x:v>
      </x:c>
      <x:c r="G4308" s="21" t="n">
        <x:f>F4307</x:f>
        <x:v>333.61474791625955</x:v>
      </x:c>
      <x:c r="H4308" s="21" t="n">
        <x:f>F4312</x:f>
        <x:v>313.3438188218099</x:v>
      </x:c>
      <x:c r="I4308" s="27" t="n">
        <x:f>IF(AND(ISNUMBER(G4308),ISNUMBER(H4308),H4308&gt;0),G4308/H4308-1,"")</x:f>
        <x:v>0.06469228967295226</x:v>
      </x:c>
      <x:c r="J4308" s="27" t="n">
        <x:f>IF(AND(ISNUMBER(G4308),F4308&gt;0),G4308/F4308-1,"")</x:f>
        <x:v>-0.029556823479058747</x:v>
      </x:c>
      <x:c r="K4308" s="19" t="str">
        <x:v>Weak/EXP248/results/seed1966030676_Relative_cutoff_1e-5.json</x:v>
      </x:c>
    </x:row>
    <x:row r="4309" ht="15" hidden="0" customHeight="1">
      <x:c r="A4309" s="3" t="str">
        <x:v>EXP248</x:v>
      </x:c>
      <x:c r="B4309" s="3" t="str">
        <x:v>Weak</x:v>
      </x:c>
      <x:c r="C4309" s="18" t="n">
        <x:v>1966030676</x:v>
      </x:c>
      <x:c r="D4309" s="3" t="str">
        <x:v>Fixed rank 10</x:v>
      </x:c>
      <x:c r="E4309" s="18" t="n">
        <x:v>800</x:v>
      </x:c>
      <x:c r="F4309" s="21" t="n">
        <x:v>355.5766420659188</x:v>
      </x:c>
      <x:c r="G4309" s="21" t="n">
        <x:f>F4307</x:f>
        <x:v>333.61474791625955</x:v>
      </x:c>
      <x:c r="H4309" s="21" t="n">
        <x:f>F4312</x:f>
        <x:v>313.3438188218099</x:v>
      </x:c>
      <x:c r="I4309" s="27" t="n">
        <x:f>IF(AND(ISNUMBER(G4309),ISNUMBER(H4309),H4309&gt;0),G4309/H4309-1,"")</x:f>
        <x:v>0.06469228967295226</x:v>
      </x:c>
      <x:c r="J4309" s="27" t="n">
        <x:f>IF(AND(ISNUMBER(G4309),F4309&gt;0),G4309/F4309-1,"")</x:f>
        <x:v>-0.06176416432209808</x:v>
      </x:c>
      <x:c r="K4309" s="19" t="str">
        <x:v>Weak/EXP248/results/seed1966030676_Fixed_rank_10.json</x:v>
      </x:c>
    </x:row>
    <x:row r="4310" ht="15" hidden="0" customHeight="1">
      <x:c r="A4310" s="3" t="str">
        <x:v>EXP248</x:v>
      </x:c>
      <x:c r="B4310" s="3" t="str">
        <x:v>Weak</x:v>
      </x:c>
      <x:c r="C4310" s="18" t="n">
        <x:v>1966030676</x:v>
      </x:c>
      <x:c r="D4310" s="3" t="str">
        <x:v>Fixed rank 25</x:v>
      </x:c>
      <x:c r="E4310" s="18" t="n">
        <x:v>800</x:v>
      </x:c>
      <x:c r="F4310" s="21" t="n">
        <x:v>345.5834816783414</x:v>
      </x:c>
      <x:c r="G4310" s="21" t="n">
        <x:f>F4307</x:f>
        <x:v>333.61474791625955</x:v>
      </x:c>
      <x:c r="H4310" s="21" t="n">
        <x:f>F4312</x:f>
        <x:v>313.3438188218099</x:v>
      </x:c>
      <x:c r="I4310" s="27" t="n">
        <x:f>IF(AND(ISNUMBER(G4310),ISNUMBER(H4310),H4310&gt;0),G4310/H4310-1,"")</x:f>
        <x:v>0.06469228967295226</x:v>
      </x:c>
      <x:c r="J4310" s="27" t="n">
        <x:f>IF(AND(ISNUMBER(G4310),F4310&gt;0),G4310/F4310-1,"")</x:f>
        <x:v>-0.03463340812458737</x:v>
      </x:c>
      <x:c r="K4310" s="19" t="str">
        <x:v>Weak/EXP248/results/seed1966030676_Fixed_rank_25.json</x:v>
      </x:c>
    </x:row>
    <x:row r="4311" ht="15" hidden="0" customHeight="1">
      <x:c r="A4311" s="3" t="str">
        <x:v>EXP248</x:v>
      </x:c>
      <x:c r="B4311" s="3" t="str">
        <x:v>Weak</x:v>
      </x:c>
      <x:c r="C4311" s="18" t="n">
        <x:v>1966030676</x:v>
      </x:c>
      <x:c r="D4311" s="3" t="str">
        <x:v>Relative cutoff 1e-6</x:v>
      </x:c>
      <x:c r="E4311" s="18" t="n">
        <x:v>800</x:v>
      </x:c>
      <x:c r="F4311" s="21" t="n">
        <x:v>337.62379410892174</x:v>
      </x:c>
      <x:c r="G4311" s="21" t="n">
        <x:f>F4307</x:f>
        <x:v>333.61474791625955</x:v>
      </x:c>
      <x:c r="H4311" s="21" t="n">
        <x:f>F4312</x:f>
        <x:v>313.3438188218099</x:v>
      </x:c>
      <x:c r="I4311" s="27" t="n">
        <x:f>IF(AND(ISNUMBER(G4311),ISNUMBER(H4311),H4311&gt;0),G4311/H4311-1,"")</x:f>
        <x:v>0.06469228967295226</x:v>
      </x:c>
      <x:c r="J4311" s="27" t="n">
        <x:f>IF(AND(ISNUMBER(G4311),F4311&gt;0),G4311/F4311-1,"")</x:f>
        <x:v>-0.011874299923804621</x:v>
      </x:c>
      <x:c r="K4311" s="19" t="str">
        <x:v>Weak/EXP248/results/seed1966030676_Relative_cutoff_1e-6.json</x:v>
      </x:c>
    </x:row>
    <x:row r="4312" ht="15" hidden="0" customHeight="1">
      <x:c r="A4312" s="3" t="str">
        <x:v>EXP248</x:v>
      </x:c>
      <x:c r="B4312" s="3" t="str">
        <x:v>Weak</x:v>
      </x:c>
      <x:c r="C4312" s="18" t="n">
        <x:v>1966030676</x:v>
      </x:c>
      <x:c r="D4312" s="3" t="str">
        <x:v>Full</x:v>
      </x:c>
      <x:c r="E4312" s="18" t="n">
        <x:v>800</x:v>
      </x:c>
      <x:c r="F4312" s="21" t="n">
        <x:v>313.3438188218099</x:v>
      </x:c>
      <x:c r="G4312" s="21" t="n">
        <x:f>F4307</x:f>
        <x:v>333.61474791625955</x:v>
      </x:c>
      <x:c r="H4312" s="21" t="n">
        <x:f>F4312</x:f>
        <x:v>313.3438188218099</x:v>
      </x:c>
      <x:c r="I4312" s="27" t="n">
        <x:f>IF(AND(ISNUMBER(G4312),ISNUMBER(H4312),H4312&gt;0),G4312/H4312-1,"")</x:f>
        <x:v>0.06469228967295226</x:v>
      </x:c>
      <x:c r="J4312" s="27" t="n">
        <x:f>IF(AND(ISNUMBER(G4312),F4312&gt;0),G4312/F4312-1,"")</x:f>
        <x:v>0.06469228967295226</x:v>
      </x:c>
      <x:c r="K4312" s="19" t="str">
        <x:v>Weak/EXP248/results/seed1966030676_Full.json</x:v>
      </x:c>
    </x:row>
    <x:row r="4313" ht="15" hidden="0" customHeight="1">
      <x:c r="A4313" s="3" t="str">
        <x:v>EXP248</x:v>
      </x:c>
      <x:c r="B4313" s="3" t="str">
        <x:v>Weak</x:v>
      </x:c>
      <x:c r="C4313" s="18" t="n">
        <x:v>1966030676</x:v>
      </x:c>
      <x:c r="D4313" s="3" t="str">
        <x:v>Relative cutoff 1e-2</x:v>
      </x:c>
      <x:c r="E4313" s="18" t="n">
        <x:v>800</x:v>
      </x:c>
      <x:c r="F4313" s="21" t="n">
        <x:v>475.7372074070765</x:v>
      </x:c>
      <x:c r="G4313" s="21" t="n">
        <x:f>F4307</x:f>
        <x:v>333.61474791625955</x:v>
      </x:c>
      <x:c r="H4313" s="21" t="n">
        <x:f>F4312</x:f>
        <x:v>313.3438188218099</x:v>
      </x:c>
      <x:c r="I4313" s="27" t="n">
        <x:f>IF(AND(ISNUMBER(G4313),ISNUMBER(H4313),H4313&gt;0),G4313/H4313-1,"")</x:f>
        <x:v>0.06469228967295226</x:v>
      </x:c>
      <x:c r="J4313" s="27" t="n">
        <x:f>IF(AND(ISNUMBER(G4313),F4313&gt;0),G4313/F4313-1,"")</x:f>
        <x:v>-0.2987415263679519</x:v>
      </x:c>
      <x:c r="K4313" s="19" t="str">
        <x:v>Weak/EXP248/results/seed1966030676_Relative_cutoff_1e-2.json</x:v>
      </x:c>
    </x:row>
    <x:row r="4314" ht="15" hidden="0" customHeight="1">
      <x:c r="A4314" s="3" t="str">
        <x:v>EXP248</x:v>
      </x:c>
      <x:c r="B4314" s="3" t="str">
        <x:v>Weak</x:v>
      </x:c>
      <x:c r="C4314" s="18" t="n">
        <x:v>1966030676</x:v>
      </x:c>
      <x:c r="D4314" s="3" t="str">
        <x:v>Relative cutoff 1e-4</x:v>
      </x:c>
      <x:c r="E4314" s="18" t="n">
        <x:v>800</x:v>
      </x:c>
      <x:c r="F4314" s="21" t="n">
        <x:v>332.2454263158612</x:v>
      </x:c>
      <x:c r="G4314" s="21" t="n">
        <x:f>F4307</x:f>
        <x:v>333.61474791625955</x:v>
      </x:c>
      <x:c r="H4314" s="21" t="n">
        <x:f>F4312</x:f>
        <x:v>313.3438188218099</x:v>
      </x:c>
      <x:c r="I4314" s="27" t="n">
        <x:f>IF(AND(ISNUMBER(G4314),ISNUMBER(H4314),H4314&gt;0),G4314/H4314-1,"")</x:f>
        <x:v>0.06469228967295226</x:v>
      </x:c>
      <x:c r="J4314" s="27" t="n">
        <x:f>IF(AND(ISNUMBER(G4314),F4314&gt;0),G4314/F4314-1,"")</x:f>
        <x:v>0.0041214159532072525</x:v>
      </x:c>
      <x:c r="K4314" s="19" t="str">
        <x:v>Weak/EXP248/results/seed1966030676_Relative_cutoff_1e-4.json</x:v>
      </x:c>
    </x:row>
    <x:row r="4315" ht="15" hidden="0" customHeight="1">
      <x:c r="A4315" s="3" t="str">
        <x:v>EXP268</x:v>
      </x:c>
      <x:c r="B4315" s="3" t="str">
        <x:v>Weak</x:v>
      </x:c>
      <x:c r="C4315" s="18" t="n">
        <x:v>8300</x:v>
      </x:c>
      <x:c r="D4315" s="3" t="str">
        <x:v>BBP</x:v>
      </x:c>
      <x:c r="E4315" s="18" t="n">
        <x:v>800</x:v>
      </x:c>
      <x:c r="F4315" s="21" t="n">
        <x:v>359.18848421271247</x:v>
      </x:c>
      <x:c r="G4315" s="21" t="n">
        <x:f>F4315</x:f>
        <x:v>359.18848421271247</x:v>
      </x:c>
      <x:c r="H4315" s="21" t="str">
        <x:f>""</x:f>
      </x:c>
      <x:c r="I4315" s="27" t="str">
        <x:f>IF(AND(ISNUMBER(G4315),ISNUMBER(H4315),H4315&gt;0),G4315/H4315-1,"")</x:f>
      </x:c>
      <x:c r="J4315" s="27" t="n">
        <x:f>IF(AND(ISNUMBER(G4315),F4315&gt;0),G4315/F4315-1,"")</x:f>
        <x:v>0</x:v>
      </x:c>
      <x:c r="K4315" s="19" t="str">
        <x:v>Weak/EXP268/results/seed8300_BBP.json</x:v>
      </x:c>
    </x:row>
    <x:row r="4316" ht="15" hidden="0" customHeight="1">
      <x:c r="A4316" s="3" t="str">
        <x:v>EXP268</x:v>
      </x:c>
      <x:c r="B4316" s="3" t="str">
        <x:v>Weak</x:v>
      </x:c>
      <x:c r="C4316" s="18" t="n">
        <x:v>8300</x:v>
      </x:c>
      <x:c r="D4316" s="3" t="str">
        <x:v>BBP + physical compression</x:v>
      </x:c>
      <x:c r="E4316" s="18" t="n">
        <x:v>800</x:v>
      </x:c>
      <x:c r="F4316" s="21" t="n">
        <x:v>361.7899839106621</x:v>
      </x:c>
      <x:c r="G4316" s="21" t="n">
        <x:f>F4315</x:f>
        <x:v>359.18848421271247</x:v>
      </x:c>
      <x:c r="H4316" s="21" t="str">
        <x:f>""</x:f>
      </x:c>
      <x:c r="I4316" s="27" t="str">
        <x:f>IF(AND(ISNUMBER(G4316),ISNUMBER(H4316),H4316&gt;0),G4316/H4316-1,"")</x:f>
      </x:c>
      <x:c r="J4316" s="27" t="n">
        <x:f>IF(AND(ISNUMBER(G4316),F4316&gt;0),G4316/F4316-1,"")</x:f>
        <x:v>-0.007190634936405593</x:v>
      </x:c>
      <x:c r="K4316" s="19" t="str">
        <x:v>Weak/EXP268/results/seed8300_BBP_physical_compression.json</x:v>
      </x:c>
    </x:row>
    <x:row r="4317" ht="15" hidden="0" customHeight="1">
      <x:c r="A4317" s="3" t="str">
        <x:v>EXP268</x:v>
      </x:c>
      <x:c r="B4317" s="3" t="str">
        <x:v>Weak</x:v>
      </x:c>
      <x:c r="C4317" s="18" t="n">
        <x:v>8301</x:v>
      </x:c>
      <x:c r="D4317" s="3" t="str">
        <x:v>BBP</x:v>
      </x:c>
      <x:c r="E4317" s="18" t="n">
        <x:v>800</x:v>
      </x:c>
      <x:c r="F4317" s="21" t="n">
        <x:v>420.63490373942386</x:v>
      </x:c>
      <x:c r="G4317" s="21" t="n">
        <x:f>F4317</x:f>
        <x:v>420.63490373942386</x:v>
      </x:c>
      <x:c r="H4317" s="21" t="str">
        <x:f>""</x:f>
      </x:c>
      <x:c r="I4317" s="27" t="str">
        <x:f>IF(AND(ISNUMBER(G4317),ISNUMBER(H4317),H4317&gt;0),G4317/H4317-1,"")</x:f>
      </x:c>
      <x:c r="J4317" s="27" t="n">
        <x:f>IF(AND(ISNUMBER(G4317),F4317&gt;0),G4317/F4317-1,"")</x:f>
        <x:v>0</x:v>
      </x:c>
      <x:c r="K4317" s="19" t="str">
        <x:v>Weak/EXP268/results/seed8301_BBP.json</x:v>
      </x:c>
    </x:row>
    <x:row r="4318" ht="15" hidden="0" customHeight="1">
      <x:c r="A4318" s="3" t="str">
        <x:v>EXP268</x:v>
      </x:c>
      <x:c r="B4318" s="3" t="str">
        <x:v>Weak</x:v>
      </x:c>
      <x:c r="C4318" s="18" t="n">
        <x:v>8301</x:v>
      </x:c>
      <x:c r="D4318" s="3" t="str">
        <x:v>BBP + physical compression</x:v>
      </x:c>
      <x:c r="E4318" s="18" t="n">
        <x:v>800</x:v>
      </x:c>
      <x:c r="F4318" s="21" t="n">
        <x:v>418.4497452289063</x:v>
      </x:c>
      <x:c r="G4318" s="21" t="n">
        <x:f>F4317</x:f>
        <x:v>420.63490373942386</x:v>
      </x:c>
      <x:c r="H4318" s="21" t="str">
        <x:f>""</x:f>
      </x:c>
      <x:c r="I4318" s="27" t="str">
        <x:f>IF(AND(ISNUMBER(G4318),ISNUMBER(H4318),H4318&gt;0),G4318/H4318-1,"")</x:f>
      </x:c>
      <x:c r="J4318" s="27" t="n">
        <x:f>IF(AND(ISNUMBER(G4318),F4318&gt;0),G4318/F4318-1,"")</x:f>
        <x:v>0.00522203331566673</x:v>
      </x:c>
      <x:c r="K4318" s="19" t="str">
        <x:v>Weak/EXP268/results/seed8301_BBP_physical_compression.json</x:v>
      </x:c>
    </x:row>
    <x:row r="4319" ht="15" hidden="0" customHeight="1">
      <x:c r="A4319" s="3" t="str">
        <x:v>EXP268</x:v>
      </x:c>
      <x:c r="B4319" s="3" t="str">
        <x:v>Weak</x:v>
      </x:c>
      <x:c r="C4319" s="18" t="n">
        <x:v>8302</x:v>
      </x:c>
      <x:c r="D4319" s="3" t="str">
        <x:v>BBP</x:v>
      </x:c>
      <x:c r="E4319" s="18" t="n">
        <x:v>800</x:v>
      </x:c>
      <x:c r="F4319" s="21" t="n">
        <x:v>343.52489782158887</x:v>
      </x:c>
      <x:c r="G4319" s="21" t="n">
        <x:f>F4319</x:f>
        <x:v>343.52489782158887</x:v>
      </x:c>
      <x:c r="H4319" s="21" t="str">
        <x:f>""</x:f>
      </x:c>
      <x:c r="I4319" s="27" t="str">
        <x:f>IF(AND(ISNUMBER(G4319),ISNUMBER(H4319),H4319&gt;0),G4319/H4319-1,"")</x:f>
      </x:c>
      <x:c r="J4319" s="27" t="n">
        <x:f>IF(AND(ISNUMBER(G4319),F4319&gt;0),G4319/F4319-1,"")</x:f>
        <x:v>0</x:v>
      </x:c>
      <x:c r="K4319" s="19" t="str">
        <x:v>Weak/EXP268/results/seed8302_BBP.json</x:v>
      </x:c>
    </x:row>
    <x:row r="4320" ht="15" hidden="0" customHeight="1">
      <x:c r="A4320" s="3" t="str">
        <x:v>EXP268</x:v>
      </x:c>
      <x:c r="B4320" s="3" t="str">
        <x:v>Weak</x:v>
      </x:c>
      <x:c r="C4320" s="18" t="n">
        <x:v>8302</x:v>
      </x:c>
      <x:c r="D4320" s="3" t="str">
        <x:v>BBP + physical compression</x:v>
      </x:c>
      <x:c r="E4320" s="18" t="n">
        <x:v>800</x:v>
      </x:c>
      <x:c r="F4320" s="21" t="n">
        <x:v>344.1643349981406</x:v>
      </x:c>
      <x:c r="G4320" s="21" t="n">
        <x:f>F4319</x:f>
        <x:v>343.52489782158887</x:v>
      </x:c>
      <x:c r="H4320" s="21" t="str">
        <x:f>""</x:f>
      </x:c>
      <x:c r="I4320" s="27" t="str">
        <x:f>IF(AND(ISNUMBER(G4320),ISNUMBER(H4320),H4320&gt;0),G4320/H4320-1,"")</x:f>
      </x:c>
      <x:c r="J4320" s="27" t="n">
        <x:f>IF(AND(ISNUMBER(G4320),F4320&gt;0),G4320/F4320-1,"")</x:f>
        <x:v>-0.001857941429506904</x:v>
      </x:c>
      <x:c r="K4320" s="19" t="str">
        <x:v>Weak/EXP268/results/seed8302_BBP_physical_compression.json</x:v>
      </x:c>
    </x:row>
    <x:row r="4321" ht="15" hidden="0" customHeight="1">
      <x:c r="A4321" s="3" t="str">
        <x:v>EXP268</x:v>
      </x:c>
      <x:c r="B4321" s="3" t="str">
        <x:v>Weak</x:v>
      </x:c>
      <x:c r="C4321" s="18" t="n">
        <x:v>8303</x:v>
      </x:c>
      <x:c r="D4321" s="3" t="str">
        <x:v>BBP</x:v>
      </x:c>
      <x:c r="E4321" s="18" t="n">
        <x:v>800</x:v>
      </x:c>
      <x:c r="F4321" s="21" t="n">
        <x:v>334.48958956975406</x:v>
      </x:c>
      <x:c r="G4321" s="21" t="n">
        <x:f>F4321</x:f>
        <x:v>334.48958956975406</x:v>
      </x:c>
      <x:c r="H4321" s="21" t="str">
        <x:f>""</x:f>
      </x:c>
      <x:c r="I4321" s="27" t="str">
        <x:f>IF(AND(ISNUMBER(G4321),ISNUMBER(H4321),H4321&gt;0),G4321/H4321-1,"")</x:f>
      </x:c>
      <x:c r="J4321" s="27" t="n">
        <x:f>IF(AND(ISNUMBER(G4321),F4321&gt;0),G4321/F4321-1,"")</x:f>
        <x:v>0</x:v>
      </x:c>
      <x:c r="K4321" s="19" t="str">
        <x:v>Weak/EXP268/results/seed8303_BBP.json</x:v>
      </x:c>
    </x:row>
    <x:row r="4322" ht="15" hidden="0" customHeight="1">
      <x:c r="A4322" s="3" t="str">
        <x:v>EXP268</x:v>
      </x:c>
      <x:c r="B4322" s="3" t="str">
        <x:v>Weak</x:v>
      </x:c>
      <x:c r="C4322" s="18" t="n">
        <x:v>8303</x:v>
      </x:c>
      <x:c r="D4322" s="3" t="str">
        <x:v>BBP + physical compression</x:v>
      </x:c>
      <x:c r="E4322" s="18" t="n">
        <x:v>800</x:v>
      </x:c>
      <x:c r="F4322" s="21" t="n">
        <x:v>331.9901807003301</x:v>
      </x:c>
      <x:c r="G4322" s="21" t="n">
        <x:f>F4321</x:f>
        <x:v>334.48958956975406</x:v>
      </x:c>
      <x:c r="H4322" s="21" t="str">
        <x:f>""</x:f>
      </x:c>
      <x:c r="I4322" s="27" t="str">
        <x:f>IF(AND(ISNUMBER(G4322),ISNUMBER(H4322),H4322&gt;0),G4322/H4322-1,"")</x:f>
      </x:c>
      <x:c r="J4322" s="27" t="n">
        <x:f>IF(AND(ISNUMBER(G4322),F4322&gt;0),G4322/F4322-1,"")</x:f>
        <x:v>0.0075285626344474554</x:v>
      </x:c>
      <x:c r="K4322" s="19" t="str">
        <x:v>Weak/EXP268/results/seed8303_BBP_physical_compression.json</x:v>
      </x:c>
    </x:row>
    <x:row r="4323" ht="15" hidden="0" customHeight="1">
      <x:c r="A4323" s="3" t="str">
        <x:v>EXP268</x:v>
      </x:c>
      <x:c r="B4323" s="3" t="str">
        <x:v>Weak</x:v>
      </x:c>
      <x:c r="C4323" s="18" t="n">
        <x:v>8304</x:v>
      </x:c>
      <x:c r="D4323" s="3" t="str">
        <x:v>BBP</x:v>
      </x:c>
      <x:c r="E4323" s="18" t="n">
        <x:v>800</x:v>
      </x:c>
      <x:c r="F4323" s="21" t="n">
        <x:v>356.31770043499466</x:v>
      </x:c>
      <x:c r="G4323" s="21" t="n">
        <x:f>F4323</x:f>
        <x:v>356.31770043499466</x:v>
      </x:c>
      <x:c r="H4323" s="21" t="str">
        <x:f>""</x:f>
      </x:c>
      <x:c r="I4323" s="27" t="str">
        <x:f>IF(AND(ISNUMBER(G4323),ISNUMBER(H4323),H4323&gt;0),G4323/H4323-1,"")</x:f>
      </x:c>
      <x:c r="J4323" s="27" t="n">
        <x:f>IF(AND(ISNUMBER(G4323),F4323&gt;0),G4323/F4323-1,"")</x:f>
        <x:v>0</x:v>
      </x:c>
      <x:c r="K4323" s="19" t="str">
        <x:v>Weak/EXP268/results/seed8304_BBP.json</x:v>
      </x:c>
    </x:row>
    <x:row r="4324" ht="15" hidden="0" customHeight="1">
      <x:c r="A4324" s="3" t="str">
        <x:v>EXP268</x:v>
      </x:c>
      <x:c r="B4324" s="3" t="str">
        <x:v>Weak</x:v>
      </x:c>
      <x:c r="C4324" s="18" t="n">
        <x:v>8304</x:v>
      </x:c>
      <x:c r="D4324" s="3" t="str">
        <x:v>BBP + physical compression</x:v>
      </x:c>
      <x:c r="E4324" s="18" t="n">
        <x:v>800</x:v>
      </x:c>
      <x:c r="F4324" s="21" t="n">
        <x:v>350.1143525361231</x:v>
      </x:c>
      <x:c r="G4324" s="21" t="n">
        <x:f>F4323</x:f>
        <x:v>356.31770043499466</x:v>
      </x:c>
      <x:c r="H4324" s="21" t="str">
        <x:f>""</x:f>
      </x:c>
      <x:c r="I4324" s="27" t="str">
        <x:f>IF(AND(ISNUMBER(G4324),ISNUMBER(H4324),H4324&gt;0),G4324/H4324-1,"")</x:f>
      </x:c>
      <x:c r="J4324" s="27" t="n">
        <x:f>IF(AND(ISNUMBER(G4324),F4324&gt;0),G4324/F4324-1,"")</x:f>
        <x:v>0.017718062267189083</x:v>
      </x:c>
      <x:c r="K4324" s="19" t="str">
        <x:v>Weak/EXP268/results/seed8304_BBP_physical_compression.json</x:v>
      </x:c>
    </x:row>
    <x:row r="4325" ht="15" hidden="0" customHeight="1">
      <x:c r="A4325" s="3" t="str">
        <x:v>EXP283</x:v>
      </x:c>
      <x:c r="B4325" s="3" t="str">
        <x:v>KuaiRec (10 users)</x:v>
      </x:c>
      <x:c r="C4325" s="18" t="n">
        <x:v>1000</x:v>
      </x:c>
      <x:c r="D4325" s="3" t="str">
        <x:v>Full</x:v>
      </x:c>
      <x:c r="E4325" s="18" t="n">
        <x:v>2000</x:v>
      </x:c>
      <x:c r="F4325" s="21" t="n">
        <x:v>2965.1379777452134</x:v>
      </x:c>
      <x:c r="G4325" s="21" t="str">
        <x:f>""</x:f>
      </x:c>
      <x:c r="H4325" s="21" t="n">
        <x:f>F4325</x:f>
        <x:v>2965.1379777452134</x:v>
      </x:c>
      <x:c r="I4325" s="27" t="str">
        <x:f>IF(AND(ISNUMBER(G4325),ISNUMBER(H4325),H4325&gt;0),G4325/H4325-1,"")</x:f>
      </x:c>
      <x:c r="J4325" s="27" t="str">
        <x:f>IF(AND(ISNUMBER(G4325),F4325&gt;0),G4325/F4325-1,"")</x:f>
      </x:c>
      <x:c r="K4325" s="19" t="str">
        <x:v>KuaiRec/EXP283/results/seed1000_Full.json</x:v>
      </x:c>
    </x:row>
    <x:row r="4326" ht="15" hidden="0" customHeight="1">
      <x:c r="A4326" s="3" t="str">
        <x:v>EXP283</x:v>
      </x:c>
      <x:c r="B4326" s="3" t="str">
        <x:v>KuaiRec (10 users)</x:v>
      </x:c>
      <x:c r="C4326" s="18" t="n">
        <x:v>1000</x:v>
      </x:c>
      <x:c r="D4326" s="3" t="str">
        <x:v>Relative cutoff 1e-2</x:v>
      </x:c>
      <x:c r="E4326" s="18" t="n">
        <x:v>2000</x:v>
      </x:c>
      <x:c r="F4326" s="21" t="n">
        <x:v>3095.886229348408</x:v>
      </x:c>
      <x:c r="G4326" s="21" t="str">
        <x:f>""</x:f>
      </x:c>
      <x:c r="H4326" s="21" t="n">
        <x:f>F4325</x:f>
        <x:v>2965.1379777452134</x:v>
      </x:c>
      <x:c r="I4326" s="27" t="str">
        <x:f>IF(AND(ISNUMBER(G4326),ISNUMBER(H4326),H4326&gt;0),G4326/H4326-1,"")</x:f>
      </x:c>
      <x:c r="J4326" s="27" t="str">
        <x:f>IF(AND(ISNUMBER(G4326),F4326&gt;0),G4326/F4326-1,"")</x:f>
      </x:c>
      <x:c r="K4326" s="19" t="str">
        <x:v>KuaiRec/EXP283/results/seed1000_Relative_cutoff_1e-2.json</x:v>
      </x:c>
    </x:row>
    <x:row r="4327" ht="15" hidden="0" customHeight="1">
      <x:c r="A4327" s="3" t="str">
        <x:v>EXP283</x:v>
      </x:c>
      <x:c r="B4327" s="3" t="str">
        <x:v>KuaiRec (10 users)</x:v>
      </x:c>
      <x:c r="C4327" s="18" t="n">
        <x:v>1001</x:v>
      </x:c>
      <x:c r="D4327" s="3" t="str">
        <x:v>Full</x:v>
      </x:c>
      <x:c r="E4327" s="18" t="n">
        <x:v>2000</x:v>
      </x:c>
      <x:c r="F4327" s="21" t="n">
        <x:v>1858.6158143380908</x:v>
      </x:c>
      <x:c r="G4327" s="21" t="str">
        <x:f>""</x:f>
      </x:c>
      <x:c r="H4327" s="21" t="n">
        <x:f>F4327</x:f>
        <x:v>1858.6158143380908</x:v>
      </x:c>
      <x:c r="I4327" s="27" t="str">
        <x:f>IF(AND(ISNUMBER(G4327),ISNUMBER(H4327),H4327&gt;0),G4327/H4327-1,"")</x:f>
      </x:c>
      <x:c r="J4327" s="27" t="str">
        <x:f>IF(AND(ISNUMBER(G4327),F4327&gt;0),G4327/F4327-1,"")</x:f>
      </x:c>
      <x:c r="K4327" s="19" t="str">
        <x:v>KuaiRec/EXP283/results/seed1001_Full.json</x:v>
      </x:c>
    </x:row>
    <x:row r="4328" ht="15" hidden="0" customHeight="1">
      <x:c r="A4328" s="3" t="str">
        <x:v>EXP283</x:v>
      </x:c>
      <x:c r="B4328" s="3" t="str">
        <x:v>KuaiRec (10 users)</x:v>
      </x:c>
      <x:c r="C4328" s="18" t="n">
        <x:v>1001</x:v>
      </x:c>
      <x:c r="D4328" s="3" t="str">
        <x:v>Relative cutoff 1e-2</x:v>
      </x:c>
      <x:c r="E4328" s="18" t="n">
        <x:v>2000</x:v>
      </x:c>
      <x:c r="F4328" s="21" t="n">
        <x:v>1720.3449249943872</x:v>
      </x:c>
      <x:c r="G4328" s="21" t="str">
        <x:f>""</x:f>
      </x:c>
      <x:c r="H4328" s="21" t="n">
        <x:f>F4327</x:f>
        <x:v>1858.6158143380908</x:v>
      </x:c>
      <x:c r="I4328" s="27" t="str">
        <x:f>IF(AND(ISNUMBER(G4328),ISNUMBER(H4328),H4328&gt;0),G4328/H4328-1,"")</x:f>
      </x:c>
      <x:c r="J4328" s="27" t="str">
        <x:f>IF(AND(ISNUMBER(G4328),F4328&gt;0),G4328/F4328-1,"")</x:f>
      </x:c>
      <x:c r="K4328" s="19" t="str">
        <x:v>KuaiRec/EXP283/results/seed1001_Relative_cutoff_1e-2.json</x:v>
      </x:c>
    </x:row>
    <x:row r="4329" ht="15" hidden="0" customHeight="1">
      <x:c r="A4329" s="3" t="str">
        <x:v>EXP283</x:v>
      </x:c>
      <x:c r="B4329" s="3" t="str">
        <x:v>KuaiRec (10 users)</x:v>
      </x:c>
      <x:c r="C4329" s="18" t="n">
        <x:v>1002</x:v>
      </x:c>
      <x:c r="D4329" s="3" t="str">
        <x:v>Full</x:v>
      </x:c>
      <x:c r="E4329" s="18" t="n">
        <x:v>2000</x:v>
      </x:c>
      <x:c r="F4329" s="21" t="n">
        <x:v>3710.2395057509825</x:v>
      </x:c>
      <x:c r="G4329" s="21" t="str">
        <x:f>""</x:f>
      </x:c>
      <x:c r="H4329" s="21" t="n">
        <x:f>F4329</x:f>
        <x:v>3710.2395057509825</x:v>
      </x:c>
      <x:c r="I4329" s="27" t="str">
        <x:f>IF(AND(ISNUMBER(G4329),ISNUMBER(H4329),H4329&gt;0),G4329/H4329-1,"")</x:f>
      </x:c>
      <x:c r="J4329" s="27" t="str">
        <x:f>IF(AND(ISNUMBER(G4329),F4329&gt;0),G4329/F4329-1,"")</x:f>
      </x:c>
      <x:c r="K4329" s="19" t="str">
        <x:v>KuaiRec/EXP283/results/seed1002_Full.json</x:v>
      </x:c>
    </x:row>
    <x:row r="4330" ht="15" hidden="0" customHeight="1">
      <x:c r="A4330" s="3" t="str">
        <x:v>EXP283</x:v>
      </x:c>
      <x:c r="B4330" s="3" t="str">
        <x:v>KuaiRec (10 users)</x:v>
      </x:c>
      <x:c r="C4330" s="18" t="n">
        <x:v>1002</x:v>
      </x:c>
      <x:c r="D4330" s="3" t="str">
        <x:v>Relative cutoff 1e-2</x:v>
      </x:c>
      <x:c r="E4330" s="18" t="n">
        <x:v>2000</x:v>
      </x:c>
      <x:c r="F4330" s="21" t="n">
        <x:v>3688.3381512775873</x:v>
      </x:c>
      <x:c r="G4330" s="21" t="str">
        <x:f>""</x:f>
      </x:c>
      <x:c r="H4330" s="21" t="n">
        <x:f>F4329</x:f>
        <x:v>3710.2395057509825</x:v>
      </x:c>
      <x:c r="I4330" s="27" t="str">
        <x:f>IF(AND(ISNUMBER(G4330),ISNUMBER(H4330),H4330&gt;0),G4330/H4330-1,"")</x:f>
      </x:c>
      <x:c r="J4330" s="27" t="str">
        <x:f>IF(AND(ISNUMBER(G4330),F4330&gt;0),G4330/F4330-1,"")</x:f>
      </x:c>
      <x:c r="K4330" s="19" t="str">
        <x:v>KuaiRec/EXP283/results/seed1002_Relative_cutoff_1e-2.json</x:v>
      </x:c>
    </x:row>
    <x:row r="4331" ht="15" hidden="0" customHeight="1">
      <x:c r="A4331" s="3" t="str">
        <x:v>EXP283</x:v>
      </x:c>
      <x:c r="B4331" s="3" t="str">
        <x:v>KuaiRec (10 users)</x:v>
      </x:c>
      <x:c r="C4331" s="18" t="n">
        <x:v>1003</x:v>
      </x:c>
      <x:c r="D4331" s="3" t="str">
        <x:v>Full</x:v>
      </x:c>
      <x:c r="E4331" s="18" t="n">
        <x:v>2000</x:v>
      </x:c>
      <x:c r="F4331" s="21" t="n">
        <x:v>2334.051689129369</x:v>
      </x:c>
      <x:c r="G4331" s="21" t="str">
        <x:f>""</x:f>
      </x:c>
      <x:c r="H4331" s="21" t="n">
        <x:f>F4331</x:f>
        <x:v>2334.051689129369</x:v>
      </x:c>
      <x:c r="I4331" s="27" t="str">
        <x:f>IF(AND(ISNUMBER(G4331),ISNUMBER(H4331),H4331&gt;0),G4331/H4331-1,"")</x:f>
      </x:c>
      <x:c r="J4331" s="27" t="str">
        <x:f>IF(AND(ISNUMBER(G4331),F4331&gt;0),G4331/F4331-1,"")</x:f>
      </x:c>
      <x:c r="K4331" s="19" t="str">
        <x:v>KuaiRec/EXP283/results/seed1003_Full.json</x:v>
      </x:c>
    </x:row>
    <x:row r="4332" ht="15" hidden="0" customHeight="1">
      <x:c r="A4332" s="3" t="str">
        <x:v>EXP283</x:v>
      </x:c>
      <x:c r="B4332" s="3" t="str">
        <x:v>KuaiRec (10 users)</x:v>
      </x:c>
      <x:c r="C4332" s="18" t="n">
        <x:v>1003</x:v>
      </x:c>
      <x:c r="D4332" s="3" t="str">
        <x:v>Relative cutoff 1e-2</x:v>
      </x:c>
      <x:c r="E4332" s="18" t="n">
        <x:v>2000</x:v>
      </x:c>
      <x:c r="F4332" s="21" t="n">
        <x:v>2420.177412276515</x:v>
      </x:c>
      <x:c r="G4332" s="21" t="str">
        <x:f>""</x:f>
      </x:c>
      <x:c r="H4332" s="21" t="n">
        <x:f>F4331</x:f>
        <x:v>2334.051689129369</x:v>
      </x:c>
      <x:c r="I4332" s="27" t="str">
        <x:f>IF(AND(ISNUMBER(G4332),ISNUMBER(H4332),H4332&gt;0),G4332/H4332-1,"")</x:f>
      </x:c>
      <x:c r="J4332" s="27" t="str">
        <x:f>IF(AND(ISNUMBER(G4332),F4332&gt;0),G4332/F4332-1,"")</x:f>
      </x:c>
      <x:c r="K4332" s="19" t="str">
        <x:v>KuaiRec/EXP283/results/seed1003_Relative_cutoff_1e-2.json</x:v>
      </x:c>
    </x:row>
    <x:row r="4333" ht="15" hidden="0" customHeight="1">
      <x:c r="A4333" s="3" t="str">
        <x:v>EXP283</x:v>
      </x:c>
      <x:c r="B4333" s="3" t="str">
        <x:v>KuaiRec (10 users)</x:v>
      </x:c>
      <x:c r="C4333" s="18" t="n">
        <x:v>1004</x:v>
      </x:c>
      <x:c r="D4333" s="3" t="str">
        <x:v>Full</x:v>
      </x:c>
      <x:c r="E4333" s="18" t="n">
        <x:v>2000</x:v>
      </x:c>
      <x:c r="F4333" s="21" t="n">
        <x:v>2752.153855095047</x:v>
      </x:c>
      <x:c r="G4333" s="21" t="str">
        <x:f>""</x:f>
      </x:c>
      <x:c r="H4333" s="21" t="n">
        <x:f>F4333</x:f>
        <x:v>2752.153855095047</x:v>
      </x:c>
      <x:c r="I4333" s="27" t="str">
        <x:f>IF(AND(ISNUMBER(G4333),ISNUMBER(H4333),H4333&gt;0),G4333/H4333-1,"")</x:f>
      </x:c>
      <x:c r="J4333" s="27" t="str">
        <x:f>IF(AND(ISNUMBER(G4333),F4333&gt;0),G4333/F4333-1,"")</x:f>
      </x:c>
      <x:c r="K4333" s="19" t="str">
        <x:v>KuaiRec/EXP283/results/seed1004_Full.json</x:v>
      </x:c>
    </x:row>
    <x:row r="4334" ht="15" hidden="0" customHeight="1">
      <x:c r="A4334" s="3" t="str">
        <x:v>EXP283</x:v>
      </x:c>
      <x:c r="B4334" s="3" t="str">
        <x:v>KuaiRec (10 users)</x:v>
      </x:c>
      <x:c r="C4334" s="18" t="n">
        <x:v>1004</x:v>
      </x:c>
      <x:c r="D4334" s="3" t="str">
        <x:v>Relative cutoff 1e-2</x:v>
      </x:c>
      <x:c r="E4334" s="18" t="n">
        <x:v>2000</x:v>
      </x:c>
      <x:c r="F4334" s="21" t="n">
        <x:v>2026.1790815844388</x:v>
      </x:c>
      <x:c r="G4334" s="21" t="str">
        <x:f>""</x:f>
      </x:c>
      <x:c r="H4334" s="21" t="n">
        <x:f>F4333</x:f>
        <x:v>2752.153855095047</x:v>
      </x:c>
      <x:c r="I4334" s="27" t="str">
        <x:f>IF(AND(ISNUMBER(G4334),ISNUMBER(H4334),H4334&gt;0),G4334/H4334-1,"")</x:f>
      </x:c>
      <x:c r="J4334" s="27" t="str">
        <x:f>IF(AND(ISNUMBER(G4334),F4334&gt;0),G4334/F4334-1,"")</x:f>
      </x:c>
      <x:c r="K4334" s="19" t="str">
        <x:v>KuaiRec/EXP283/results/seed1004_Relative_cutoff_1e-2.json</x:v>
      </x:c>
    </x:row>
    <x:row r="4335" ht="15" hidden="0" customHeight="1">
      <x:c r="A4335" s="3" t="str">
        <x:v>EXP283</x:v>
      </x:c>
      <x:c r="B4335" s="3" t="str">
        <x:v>KuaiRec (10 users)</x:v>
      </x:c>
      <x:c r="C4335" s="18" t="n">
        <x:v>1005</x:v>
      </x:c>
      <x:c r="D4335" s="3" t="str">
        <x:v>Full</x:v>
      </x:c>
      <x:c r="E4335" s="18" t="n">
        <x:v>2000</x:v>
      </x:c>
      <x:c r="F4335" s="21" t="n">
        <x:v>2232.0937753780404</x:v>
      </x:c>
      <x:c r="G4335" s="21" t="str">
        <x:f>""</x:f>
      </x:c>
      <x:c r="H4335" s="21" t="n">
        <x:f>F4335</x:f>
        <x:v>2232.0937753780404</x:v>
      </x:c>
      <x:c r="I4335" s="27" t="str">
        <x:f>IF(AND(ISNUMBER(G4335),ISNUMBER(H4335),H4335&gt;0),G4335/H4335-1,"")</x:f>
      </x:c>
      <x:c r="J4335" s="27" t="str">
        <x:f>IF(AND(ISNUMBER(G4335),F4335&gt;0),G4335/F4335-1,"")</x:f>
      </x:c>
      <x:c r="K4335" s="19" t="str">
        <x:v>KuaiRec/EXP283/results/seed1005_Full.json</x:v>
      </x:c>
    </x:row>
    <x:row r="4336" ht="15" hidden="0" customHeight="1">
      <x:c r="A4336" s="3" t="str">
        <x:v>EXP283</x:v>
      </x:c>
      <x:c r="B4336" s="3" t="str">
        <x:v>KuaiRec (10 users)</x:v>
      </x:c>
      <x:c r="C4336" s="18" t="n">
        <x:v>1005</x:v>
      </x:c>
      <x:c r="D4336" s="3" t="str">
        <x:v>Relative cutoff 1e-2</x:v>
      </x:c>
      <x:c r="E4336" s="18" t="n">
        <x:v>2000</x:v>
      </x:c>
      <x:c r="F4336" s="21" t="n">
        <x:v>2424.883171951514</x:v>
      </x:c>
      <x:c r="G4336" s="21" t="str">
        <x:f>""</x:f>
      </x:c>
      <x:c r="H4336" s="21" t="n">
        <x:f>F4335</x:f>
        <x:v>2232.0937753780404</x:v>
      </x:c>
      <x:c r="I4336" s="27" t="str">
        <x:f>IF(AND(ISNUMBER(G4336),ISNUMBER(H4336),H4336&gt;0),G4336/H4336-1,"")</x:f>
      </x:c>
      <x:c r="J4336" s="27" t="str">
        <x:f>IF(AND(ISNUMBER(G4336),F4336&gt;0),G4336/F4336-1,"")</x:f>
      </x:c>
      <x:c r="K4336" s="19" t="str">
        <x:v>KuaiRec/EXP283/results/seed1005_Relative_cutoff_1e-2.json</x:v>
      </x:c>
    </x:row>
    <x:row r="4337" ht="15" hidden="0" customHeight="1">
      <x:c r="A4337" s="3" t="str">
        <x:v>EXP283</x:v>
      </x:c>
      <x:c r="B4337" s="3" t="str">
        <x:v>KuaiRec (10 users)</x:v>
      </x:c>
      <x:c r="C4337" s="18" t="n">
        <x:v>1006</x:v>
      </x:c>
      <x:c r="D4337" s="3" t="str">
        <x:v>Full</x:v>
      </x:c>
      <x:c r="E4337" s="18" t="n">
        <x:v>2000</x:v>
      </x:c>
      <x:c r="F4337" s="21" t="n">
        <x:v>3329.639169525013</x:v>
      </x:c>
      <x:c r="G4337" s="21" t="str">
        <x:f>""</x:f>
      </x:c>
      <x:c r="H4337" s="21" t="n">
        <x:f>F4337</x:f>
        <x:v>3329.639169525013</x:v>
      </x:c>
      <x:c r="I4337" s="27" t="str">
        <x:f>IF(AND(ISNUMBER(G4337),ISNUMBER(H4337),H4337&gt;0),G4337/H4337-1,"")</x:f>
      </x:c>
      <x:c r="J4337" s="27" t="str">
        <x:f>IF(AND(ISNUMBER(G4337),F4337&gt;0),G4337/F4337-1,"")</x:f>
      </x:c>
      <x:c r="K4337" s="19" t="str">
        <x:v>KuaiRec/EXP283/results/seed1006_Full.json</x:v>
      </x:c>
    </x:row>
    <x:row r="4338" ht="15" hidden="0" customHeight="1">
      <x:c r="A4338" s="3" t="str">
        <x:v>EXP283</x:v>
      </x:c>
      <x:c r="B4338" s="3" t="str">
        <x:v>KuaiRec (10 users)</x:v>
      </x:c>
      <x:c r="C4338" s="18" t="n">
        <x:v>1006</x:v>
      </x:c>
      <x:c r="D4338" s="3" t="str">
        <x:v>Relative cutoff 1e-2</x:v>
      </x:c>
      <x:c r="E4338" s="18" t="n">
        <x:v>2000</x:v>
      </x:c>
      <x:c r="F4338" s="21" t="n">
        <x:v>3277.6342523717926</x:v>
      </x:c>
      <x:c r="G4338" s="21" t="str">
        <x:f>""</x:f>
      </x:c>
      <x:c r="H4338" s="21" t="n">
        <x:f>F4337</x:f>
        <x:v>3329.639169525013</x:v>
      </x:c>
      <x:c r="I4338" s="27" t="str">
        <x:f>IF(AND(ISNUMBER(G4338),ISNUMBER(H4338),H4338&gt;0),G4338/H4338-1,"")</x:f>
      </x:c>
      <x:c r="J4338" s="27" t="str">
        <x:f>IF(AND(ISNUMBER(G4338),F4338&gt;0),G4338/F4338-1,"")</x:f>
      </x:c>
      <x:c r="K4338" s="19" t="str">
        <x:v>KuaiRec/EXP283/results/seed1006_Relative_cutoff_1e-2.json</x:v>
      </x:c>
    </x:row>
    <x:row r="4339" ht="15" hidden="0" customHeight="1">
      <x:c r="A4339" s="3" t="str">
        <x:v>EXP283</x:v>
      </x:c>
      <x:c r="B4339" s="3" t="str">
        <x:v>KuaiRec (10 users)</x:v>
      </x:c>
      <x:c r="C4339" s="18" t="n">
        <x:v>1007</x:v>
      </x:c>
      <x:c r="D4339" s="3" t="str">
        <x:v>Full</x:v>
      </x:c>
      <x:c r="E4339" s="18" t="n">
        <x:v>2000</x:v>
      </x:c>
      <x:c r="F4339" s="21" t="n">
        <x:v>4523.534703277339</x:v>
      </x:c>
      <x:c r="G4339" s="21" t="str">
        <x:f>""</x:f>
      </x:c>
      <x:c r="H4339" s="21" t="n">
        <x:f>F4339</x:f>
        <x:v>4523.534703277339</x:v>
      </x:c>
      <x:c r="I4339" s="27" t="str">
        <x:f>IF(AND(ISNUMBER(G4339),ISNUMBER(H4339),H4339&gt;0),G4339/H4339-1,"")</x:f>
      </x:c>
      <x:c r="J4339" s="27" t="str">
        <x:f>IF(AND(ISNUMBER(G4339),F4339&gt;0),G4339/F4339-1,"")</x:f>
      </x:c>
      <x:c r="K4339" s="19" t="str">
        <x:v>KuaiRec/EXP283/results/seed1007_Full.json</x:v>
      </x:c>
    </x:row>
    <x:row r="4340" ht="15" hidden="0" customHeight="1">
      <x:c r="A4340" s="3" t="str">
        <x:v>EXP283</x:v>
      </x:c>
      <x:c r="B4340" s="3" t="str">
        <x:v>KuaiRec (10 users)</x:v>
      </x:c>
      <x:c r="C4340" s="18" t="n">
        <x:v>1007</x:v>
      </x:c>
      <x:c r="D4340" s="3" t="str">
        <x:v>Relative cutoff 1e-2</x:v>
      </x:c>
      <x:c r="E4340" s="18" t="n">
        <x:v>2000</x:v>
      </x:c>
      <x:c r="F4340" s="21" t="n">
        <x:v>4299.515740657544</x:v>
      </x:c>
      <x:c r="G4340" s="21" t="str">
        <x:f>""</x:f>
      </x:c>
      <x:c r="H4340" s="21" t="n">
        <x:f>F4339</x:f>
        <x:v>4523.534703277339</x:v>
      </x:c>
      <x:c r="I4340" s="27" t="str">
        <x:f>IF(AND(ISNUMBER(G4340),ISNUMBER(H4340),H4340&gt;0),G4340/H4340-1,"")</x:f>
      </x:c>
      <x:c r="J4340" s="27" t="str">
        <x:f>IF(AND(ISNUMBER(G4340),F4340&gt;0),G4340/F4340-1,"")</x:f>
      </x:c>
      <x:c r="K4340" s="19" t="str">
        <x:v>KuaiRec/EXP283/results/seed1007_Relative_cutoff_1e-2.json</x:v>
      </x:c>
    </x:row>
    <x:row r="4341" ht="15" hidden="0" customHeight="1">
      <x:c r="A4341" s="3" t="str">
        <x:v>EXP283</x:v>
      </x:c>
      <x:c r="B4341" s="3" t="str">
        <x:v>KuaiRec (10 users)</x:v>
      </x:c>
      <x:c r="C4341" s="18" t="n">
        <x:v>1008</x:v>
      </x:c>
      <x:c r="D4341" s="3" t="str">
        <x:v>Full</x:v>
      </x:c>
      <x:c r="E4341" s="18" t="n">
        <x:v>2000</x:v>
      </x:c>
      <x:c r="F4341" s="21" t="n">
        <x:v>3342.7225759040584</x:v>
      </x:c>
      <x:c r="G4341" s="21" t="str">
        <x:f>""</x:f>
      </x:c>
      <x:c r="H4341" s="21" t="n">
        <x:f>F4341</x:f>
        <x:v>3342.7225759040584</x:v>
      </x:c>
      <x:c r="I4341" s="27" t="str">
        <x:f>IF(AND(ISNUMBER(G4341),ISNUMBER(H4341),H4341&gt;0),G4341/H4341-1,"")</x:f>
      </x:c>
      <x:c r="J4341" s="27" t="str">
        <x:f>IF(AND(ISNUMBER(G4341),F4341&gt;0),G4341/F4341-1,"")</x:f>
      </x:c>
      <x:c r="K4341" s="19" t="str">
        <x:v>KuaiRec/EXP283/results/seed1008_Full.json</x:v>
      </x:c>
    </x:row>
    <x:row r="4342" ht="15" hidden="0" customHeight="1">
      <x:c r="A4342" s="3" t="str">
        <x:v>EXP283</x:v>
      </x:c>
      <x:c r="B4342" s="3" t="str">
        <x:v>KuaiRec (10 users)</x:v>
      </x:c>
      <x:c r="C4342" s="18" t="n">
        <x:v>1008</x:v>
      </x:c>
      <x:c r="D4342" s="3" t="str">
        <x:v>Relative cutoff 1e-2</x:v>
      </x:c>
      <x:c r="E4342" s="18" t="n">
        <x:v>2000</x:v>
      </x:c>
      <x:c r="F4342" s="21" t="n">
        <x:v>3179.172483352076</x:v>
      </x:c>
      <x:c r="G4342" s="21" t="str">
        <x:f>""</x:f>
      </x:c>
      <x:c r="H4342" s="21" t="n">
        <x:f>F4341</x:f>
        <x:v>3342.7225759040584</x:v>
      </x:c>
      <x:c r="I4342" s="27" t="str">
        <x:f>IF(AND(ISNUMBER(G4342),ISNUMBER(H4342),H4342&gt;0),G4342/H4342-1,"")</x:f>
      </x:c>
      <x:c r="J4342" s="27" t="str">
        <x:f>IF(AND(ISNUMBER(G4342),F4342&gt;0),G4342/F4342-1,"")</x:f>
      </x:c>
      <x:c r="K4342" s="19" t="str">
        <x:v>KuaiRec/EXP283/results/seed1008_Relative_cutoff_1e-2.json</x:v>
      </x:c>
    </x:row>
    <x:row r="4343" ht="15" hidden="0" customHeight="1">
      <x:c r="A4343" s="3" t="str">
        <x:v>EXP283</x:v>
      </x:c>
      <x:c r="B4343" s="3" t="str">
        <x:v>KuaiRec (10 users)</x:v>
      </x:c>
      <x:c r="C4343" s="18" t="n">
        <x:v>1009</x:v>
      </x:c>
      <x:c r="D4343" s="3" t="str">
        <x:v>Full</x:v>
      </x:c>
      <x:c r="E4343" s="18" t="n">
        <x:v>2000</x:v>
      </x:c>
      <x:c r="F4343" s="21" t="n">
        <x:v>4082.022795416874</x:v>
      </x:c>
      <x:c r="G4343" s="21" t="str">
        <x:f>""</x:f>
      </x:c>
      <x:c r="H4343" s="21" t="n">
        <x:f>F4343</x:f>
        <x:v>4082.022795416874</x:v>
      </x:c>
      <x:c r="I4343" s="27" t="str">
        <x:f>IF(AND(ISNUMBER(G4343),ISNUMBER(H4343),H4343&gt;0),G4343/H4343-1,"")</x:f>
      </x:c>
      <x:c r="J4343" s="27" t="str">
        <x:f>IF(AND(ISNUMBER(G4343),F4343&gt;0),G4343/F4343-1,"")</x:f>
      </x:c>
      <x:c r="K4343" s="19" t="str">
        <x:v>KuaiRec/EXP283/results/seed1009_Full.json</x:v>
      </x:c>
    </x:row>
    <x:row r="4344" ht="15" hidden="0" customHeight="1">
      <x:c r="A4344" s="3" t="str">
        <x:v>EXP283</x:v>
      </x:c>
      <x:c r="B4344" s="3" t="str">
        <x:v>KuaiRec (10 users)</x:v>
      </x:c>
      <x:c r="C4344" s="18" t="n">
        <x:v>1009</x:v>
      </x:c>
      <x:c r="D4344" s="3" t="str">
        <x:v>Relative cutoff 1e-2</x:v>
      </x:c>
      <x:c r="E4344" s="18" t="n">
        <x:v>2000</x:v>
      </x:c>
      <x:c r="F4344" s="21" t="n">
        <x:v>3815.88715600031</x:v>
      </x:c>
      <x:c r="G4344" s="21" t="str">
        <x:f>""</x:f>
      </x:c>
      <x:c r="H4344" s="21" t="n">
        <x:f>F4343</x:f>
        <x:v>4082.022795416874</x:v>
      </x:c>
      <x:c r="I4344" s="27" t="str">
        <x:f>IF(AND(ISNUMBER(G4344),ISNUMBER(H4344),H4344&gt;0),G4344/H4344-1,"")</x:f>
      </x:c>
      <x:c r="J4344" s="27" t="str">
        <x:f>IF(AND(ISNUMBER(G4344),F4344&gt;0),G4344/F4344-1,"")</x:f>
      </x:c>
      <x:c r="K4344" s="19" t="str">
        <x:v>KuaiRec/EXP283/results/seed1009_Relative_cutoff_1e-2.json</x:v>
      </x:c>
    </x:row>
    <x:row r="4345" ht="15" hidden="0" customHeight="1">
      <x:c r="A4345" s="3" t="str">
        <x:v>EXP283</x:v>
      </x:c>
      <x:c r="B4345" s="3" t="str">
        <x:v>KuaiRec (10 users)</x:v>
      </x:c>
      <x:c r="C4345" s="18" t="n">
        <x:v>1010</x:v>
      </x:c>
      <x:c r="D4345" s="3" t="str">
        <x:v>Full</x:v>
      </x:c>
      <x:c r="E4345" s="18" t="n">
        <x:v>2000</x:v>
      </x:c>
      <x:c r="F4345" s="21" t="n">
        <x:v>4981.912049170891</x:v>
      </x:c>
      <x:c r="G4345" s="21" t="str">
        <x:f>""</x:f>
      </x:c>
      <x:c r="H4345" s="21" t="n">
        <x:f>F4345</x:f>
        <x:v>4981.912049170891</x:v>
      </x:c>
      <x:c r="I4345" s="27" t="str">
        <x:f>IF(AND(ISNUMBER(G4345),ISNUMBER(H4345),H4345&gt;0),G4345/H4345-1,"")</x:f>
      </x:c>
      <x:c r="J4345" s="27" t="str">
        <x:f>IF(AND(ISNUMBER(G4345),F4345&gt;0),G4345/F4345-1,"")</x:f>
      </x:c>
      <x:c r="K4345" s="19" t="str">
        <x:v>KuaiRec/EXP283/results/seed1010_Full.json</x:v>
      </x:c>
    </x:row>
    <x:row r="4346" ht="15" hidden="0" customHeight="1">
      <x:c r="A4346" s="3" t="str">
        <x:v>EXP283</x:v>
      </x:c>
      <x:c r="B4346" s="3" t="str">
        <x:v>KuaiRec (10 users)</x:v>
      </x:c>
      <x:c r="C4346" s="18" t="n">
        <x:v>1010</x:v>
      </x:c>
      <x:c r="D4346" s="3" t="str">
        <x:v>Relative cutoff 1e-2</x:v>
      </x:c>
      <x:c r="E4346" s="18" t="n">
        <x:v>2000</x:v>
      </x:c>
      <x:c r="F4346" s="21" t="n">
        <x:v>4950.606140882076</x:v>
      </x:c>
      <x:c r="G4346" s="21" t="str">
        <x:f>""</x:f>
      </x:c>
      <x:c r="H4346" s="21" t="n">
        <x:f>F4345</x:f>
        <x:v>4981.912049170891</x:v>
      </x:c>
      <x:c r="I4346" s="27" t="str">
        <x:f>IF(AND(ISNUMBER(G4346),ISNUMBER(H4346),H4346&gt;0),G4346/H4346-1,"")</x:f>
      </x:c>
      <x:c r="J4346" s="27" t="str">
        <x:f>IF(AND(ISNUMBER(G4346),F4346&gt;0),G4346/F4346-1,"")</x:f>
      </x:c>
      <x:c r="K4346" s="19" t="str">
        <x:v>KuaiRec/EXP283/results/seed1010_Relative_cutoff_1e-2.json</x:v>
      </x:c>
    </x:row>
    <x:row r="4347" ht="15" hidden="0" customHeight="1">
      <x:c r="A4347" s="3" t="str">
        <x:v>EXP283</x:v>
      </x:c>
      <x:c r="B4347" s="3" t="str">
        <x:v>KuaiRec (10 users)</x:v>
      </x:c>
      <x:c r="C4347" s="18" t="n">
        <x:v>1011</x:v>
      </x:c>
      <x:c r="D4347" s="3" t="str">
        <x:v>Full</x:v>
      </x:c>
      <x:c r="E4347" s="18" t="n">
        <x:v>2000</x:v>
      </x:c>
      <x:c r="F4347" s="21" t="n">
        <x:v>3918.0985380749635</x:v>
      </x:c>
      <x:c r="G4347" s="21" t="str">
        <x:f>""</x:f>
      </x:c>
      <x:c r="H4347" s="21" t="n">
        <x:f>F4347</x:f>
        <x:v>3918.0985380749635</x:v>
      </x:c>
      <x:c r="I4347" s="27" t="str">
        <x:f>IF(AND(ISNUMBER(G4347),ISNUMBER(H4347),H4347&gt;0),G4347/H4347-1,"")</x:f>
      </x:c>
      <x:c r="J4347" s="27" t="str">
        <x:f>IF(AND(ISNUMBER(G4347),F4347&gt;0),G4347/F4347-1,"")</x:f>
      </x:c>
      <x:c r="K4347" s="19" t="str">
        <x:v>KuaiRec/EXP283/results/seed1011_Full.json</x:v>
      </x:c>
    </x:row>
    <x:row r="4348" ht="15" hidden="0" customHeight="1">
      <x:c r="A4348" s="3" t="str">
        <x:v>EXP283</x:v>
      </x:c>
      <x:c r="B4348" s="3" t="str">
        <x:v>KuaiRec (10 users)</x:v>
      </x:c>
      <x:c r="C4348" s="18" t="n">
        <x:v>1011</x:v>
      </x:c>
      <x:c r="D4348" s="3" t="str">
        <x:v>Relative cutoff 1e-2</x:v>
      </x:c>
      <x:c r="E4348" s="18" t="n">
        <x:v>2000</x:v>
      </x:c>
      <x:c r="F4348" s="21" t="n">
        <x:v>3688.5787023305184</x:v>
      </x:c>
      <x:c r="G4348" s="21" t="str">
        <x:f>""</x:f>
      </x:c>
      <x:c r="H4348" s="21" t="n">
        <x:f>F4347</x:f>
        <x:v>3918.0985380749635</x:v>
      </x:c>
      <x:c r="I4348" s="27" t="str">
        <x:f>IF(AND(ISNUMBER(G4348),ISNUMBER(H4348),H4348&gt;0),G4348/H4348-1,"")</x:f>
      </x:c>
      <x:c r="J4348" s="27" t="str">
        <x:f>IF(AND(ISNUMBER(G4348),F4348&gt;0),G4348/F4348-1,"")</x:f>
      </x:c>
      <x:c r="K4348" s="19" t="str">
        <x:v>KuaiRec/EXP283/results/seed1011_Relative_cutoff_1e-2.json</x:v>
      </x:c>
    </x:row>
    <x:row r="4349" ht="15" hidden="0" customHeight="1">
      <x:c r="A4349" s="3" t="str">
        <x:v>EXP283</x:v>
      </x:c>
      <x:c r="B4349" s="3" t="str">
        <x:v>KuaiRec (10 users)</x:v>
      </x:c>
      <x:c r="C4349" s="18" t="n">
        <x:v>1012</x:v>
      </x:c>
      <x:c r="D4349" s="3" t="str">
        <x:v>Full</x:v>
      </x:c>
      <x:c r="E4349" s="18" t="n">
        <x:v>2000</x:v>
      </x:c>
      <x:c r="F4349" s="21" t="n">
        <x:v>4304.969068428591</x:v>
      </x:c>
      <x:c r="G4349" s="21" t="str">
        <x:f>""</x:f>
      </x:c>
      <x:c r="H4349" s="21" t="n">
        <x:f>F4349</x:f>
        <x:v>4304.969068428591</x:v>
      </x:c>
      <x:c r="I4349" s="27" t="str">
        <x:f>IF(AND(ISNUMBER(G4349),ISNUMBER(H4349),H4349&gt;0),G4349/H4349-1,"")</x:f>
      </x:c>
      <x:c r="J4349" s="27" t="str">
        <x:f>IF(AND(ISNUMBER(G4349),F4349&gt;0),G4349/F4349-1,"")</x:f>
      </x:c>
      <x:c r="K4349" s="19" t="str">
        <x:v>KuaiRec/EXP283/results/seed1012_Full.json</x:v>
      </x:c>
    </x:row>
    <x:row r="4350" ht="15" hidden="0" customHeight="1">
      <x:c r="A4350" s="3" t="str">
        <x:v>EXP283</x:v>
      </x:c>
      <x:c r="B4350" s="3" t="str">
        <x:v>KuaiRec (10 users)</x:v>
      </x:c>
      <x:c r="C4350" s="18" t="n">
        <x:v>1012</x:v>
      </x:c>
      <x:c r="D4350" s="3" t="str">
        <x:v>Relative cutoff 1e-2</x:v>
      </x:c>
      <x:c r="E4350" s="18" t="n">
        <x:v>2000</x:v>
      </x:c>
      <x:c r="F4350" s="21" t="n">
        <x:v>4470.494166818658</x:v>
      </x:c>
      <x:c r="G4350" s="21" t="str">
        <x:f>""</x:f>
      </x:c>
      <x:c r="H4350" s="21" t="n">
        <x:f>F4349</x:f>
        <x:v>4304.969068428591</x:v>
      </x:c>
      <x:c r="I4350" s="27" t="str">
        <x:f>IF(AND(ISNUMBER(G4350),ISNUMBER(H4350),H4350&gt;0),G4350/H4350-1,"")</x:f>
      </x:c>
      <x:c r="J4350" s="27" t="str">
        <x:f>IF(AND(ISNUMBER(G4350),F4350&gt;0),G4350/F4350-1,"")</x:f>
      </x:c>
      <x:c r="K4350" s="19" t="str">
        <x:v>KuaiRec/EXP283/results/seed1012_Relative_cutoff_1e-2.json</x:v>
      </x:c>
    </x:row>
    <x:row r="4351" ht="15" hidden="0" customHeight="1">
      <x:c r="A4351" s="3" t="str">
        <x:v>EXP283</x:v>
      </x:c>
      <x:c r="B4351" s="3" t="str">
        <x:v>KuaiRec (10 users)</x:v>
      </x:c>
      <x:c r="C4351" s="18" t="n">
        <x:v>1013</x:v>
      </x:c>
      <x:c r="D4351" s="3" t="str">
        <x:v>Full</x:v>
      </x:c>
      <x:c r="E4351" s="18" t="n">
        <x:v>2000</x:v>
      </x:c>
      <x:c r="F4351" s="21" t="n">
        <x:v>3803.25194885816</x:v>
      </x:c>
      <x:c r="G4351" s="21" t="str">
        <x:f>""</x:f>
      </x:c>
      <x:c r="H4351" s="21" t="n">
        <x:f>F4351</x:f>
        <x:v>3803.25194885816</x:v>
      </x:c>
      <x:c r="I4351" s="27" t="str">
        <x:f>IF(AND(ISNUMBER(G4351),ISNUMBER(H4351),H4351&gt;0),G4351/H4351-1,"")</x:f>
      </x:c>
      <x:c r="J4351" s="27" t="str">
        <x:f>IF(AND(ISNUMBER(G4351),F4351&gt;0),G4351/F4351-1,"")</x:f>
      </x:c>
      <x:c r="K4351" s="19" t="str">
        <x:v>KuaiRec/EXP283/results/seed1013_Full.json</x:v>
      </x:c>
    </x:row>
    <x:row r="4352" ht="15" hidden="0" customHeight="1">
      <x:c r="A4352" s="3" t="str">
        <x:v>EXP283</x:v>
      </x:c>
      <x:c r="B4352" s="3" t="str">
        <x:v>KuaiRec (10 users)</x:v>
      </x:c>
      <x:c r="C4352" s="18" t="n">
        <x:v>1013</x:v>
      </x:c>
      <x:c r="D4352" s="3" t="str">
        <x:v>Relative cutoff 1e-2</x:v>
      </x:c>
      <x:c r="E4352" s="18" t="n">
        <x:v>2000</x:v>
      </x:c>
      <x:c r="F4352" s="21" t="n">
        <x:v>3791.1700010830623</x:v>
      </x:c>
      <x:c r="G4352" s="21" t="str">
        <x:f>""</x:f>
      </x:c>
      <x:c r="H4352" s="21" t="n">
        <x:f>F4351</x:f>
        <x:v>3803.25194885816</x:v>
      </x:c>
      <x:c r="I4352" s="27" t="str">
        <x:f>IF(AND(ISNUMBER(G4352),ISNUMBER(H4352),H4352&gt;0),G4352/H4352-1,"")</x:f>
      </x:c>
      <x:c r="J4352" s="27" t="str">
        <x:f>IF(AND(ISNUMBER(G4352),F4352&gt;0),G4352/F4352-1,"")</x:f>
      </x:c>
      <x:c r="K4352" s="19" t="str">
        <x:v>KuaiRec/EXP283/results/seed1013_Relative_cutoff_1e-2.json</x:v>
      </x:c>
    </x:row>
    <x:row r="4353" ht="15" hidden="0" customHeight="1">
      <x:c r="A4353" s="3" t="str">
        <x:v>EXP283</x:v>
      </x:c>
      <x:c r="B4353" s="3" t="str">
        <x:v>KuaiRec (10 users)</x:v>
      </x:c>
      <x:c r="C4353" s="18" t="n">
        <x:v>1014</x:v>
      </x:c>
      <x:c r="D4353" s="3" t="str">
        <x:v>Full</x:v>
      </x:c>
      <x:c r="E4353" s="18" t="n">
        <x:v>2000</x:v>
      </x:c>
      <x:c r="F4353" s="21" t="n">
        <x:v>3889.3514025479317</x:v>
      </x:c>
      <x:c r="G4353" s="21" t="str">
        <x:f>""</x:f>
      </x:c>
      <x:c r="H4353" s="21" t="n">
        <x:f>F4353</x:f>
        <x:v>3889.3514025479317</x:v>
      </x:c>
      <x:c r="I4353" s="27" t="str">
        <x:f>IF(AND(ISNUMBER(G4353),ISNUMBER(H4353),H4353&gt;0),G4353/H4353-1,"")</x:f>
      </x:c>
      <x:c r="J4353" s="27" t="str">
        <x:f>IF(AND(ISNUMBER(G4353),F4353&gt;0),G4353/F4353-1,"")</x:f>
      </x:c>
      <x:c r="K4353" s="19" t="str">
        <x:v>KuaiRec/EXP283/results/seed1014_Full.json</x:v>
      </x:c>
    </x:row>
    <x:row r="4354" ht="15" hidden="0" customHeight="1">
      <x:c r="A4354" s="3" t="str">
        <x:v>EXP283</x:v>
      </x:c>
      <x:c r="B4354" s="3" t="str">
        <x:v>KuaiRec (10 users)</x:v>
      </x:c>
      <x:c r="C4354" s="18" t="n">
        <x:v>1014</x:v>
      </x:c>
      <x:c r="D4354" s="3" t="str">
        <x:v>Relative cutoff 1e-2</x:v>
      </x:c>
      <x:c r="E4354" s="18" t="n">
        <x:v>2000</x:v>
      </x:c>
      <x:c r="F4354" s="21" t="n">
        <x:v>3888.252198408317</x:v>
      </x:c>
      <x:c r="G4354" s="21" t="str">
        <x:f>""</x:f>
      </x:c>
      <x:c r="H4354" s="21" t="n">
        <x:f>F4353</x:f>
        <x:v>3889.3514025479317</x:v>
      </x:c>
      <x:c r="I4354" s="27" t="str">
        <x:f>IF(AND(ISNUMBER(G4354),ISNUMBER(H4354),H4354&gt;0),G4354/H4354-1,"")</x:f>
      </x:c>
      <x:c r="J4354" s="27" t="str">
        <x:f>IF(AND(ISNUMBER(G4354),F4354&gt;0),G4354/F4354-1,"")</x:f>
      </x:c>
      <x:c r="K4354" s="19" t="str">
        <x:v>KuaiRec/EXP283/results/seed1014_Relative_cutoff_1e-2.json</x:v>
      </x:c>
    </x:row>
    <x:row r="4355" ht="15" hidden="0" customHeight="1">
      <x:c r="A4355" s="3" t="str">
        <x:v>EXP283</x:v>
      </x:c>
      <x:c r="B4355" s="3" t="str">
        <x:v>KuaiRec (10 users)</x:v>
      </x:c>
      <x:c r="C4355" s="18" t="n">
        <x:v>1015</x:v>
      </x:c>
      <x:c r="D4355" s="3" t="str">
        <x:v>Full</x:v>
      </x:c>
      <x:c r="E4355" s="18" t="n">
        <x:v>2000</x:v>
      </x:c>
      <x:c r="F4355" s="21" t="n">
        <x:v>3334.261067981283</x:v>
      </x:c>
      <x:c r="G4355" s="21" t="str">
        <x:f>""</x:f>
      </x:c>
      <x:c r="H4355" s="21" t="n">
        <x:f>F4355</x:f>
        <x:v>3334.261067981283</x:v>
      </x:c>
      <x:c r="I4355" s="27" t="str">
        <x:f>IF(AND(ISNUMBER(G4355),ISNUMBER(H4355),H4355&gt;0),G4355/H4355-1,"")</x:f>
      </x:c>
      <x:c r="J4355" s="27" t="str">
        <x:f>IF(AND(ISNUMBER(G4355),F4355&gt;0),G4355/F4355-1,"")</x:f>
      </x:c>
      <x:c r="K4355" s="19" t="str">
        <x:v>KuaiRec/EXP283/results/seed1015_Full.json</x:v>
      </x:c>
    </x:row>
    <x:row r="4356" ht="15" hidden="0" customHeight="1">
      <x:c r="A4356" s="3" t="str">
        <x:v>EXP283</x:v>
      </x:c>
      <x:c r="B4356" s="3" t="str">
        <x:v>KuaiRec (10 users)</x:v>
      </x:c>
      <x:c r="C4356" s="18" t="n">
        <x:v>1015</x:v>
      </x:c>
      <x:c r="D4356" s="3" t="str">
        <x:v>Relative cutoff 1e-2</x:v>
      </x:c>
      <x:c r="E4356" s="18" t="n">
        <x:v>2000</x:v>
      </x:c>
      <x:c r="F4356" s="21" t="n">
        <x:v>2886.005460804298</x:v>
      </x:c>
      <x:c r="G4356" s="21" t="str">
        <x:f>""</x:f>
      </x:c>
      <x:c r="H4356" s="21" t="n">
        <x:f>F4355</x:f>
        <x:v>3334.261067981283</x:v>
      </x:c>
      <x:c r="I4356" s="27" t="str">
        <x:f>IF(AND(ISNUMBER(G4356),ISNUMBER(H4356),H4356&gt;0),G4356/H4356-1,"")</x:f>
      </x:c>
      <x:c r="J4356" s="27" t="str">
        <x:f>IF(AND(ISNUMBER(G4356),F4356&gt;0),G4356/F4356-1,"")</x:f>
      </x:c>
      <x:c r="K4356" s="19" t="str">
        <x:v>KuaiRec/EXP283/results/seed1015_Relative_cutoff_1e-2.json</x:v>
      </x:c>
    </x:row>
    <x:row r="4357" ht="15" hidden="0" customHeight="1">
      <x:c r="A4357" s="3" t="str">
        <x:v>EXP283</x:v>
      </x:c>
      <x:c r="B4357" s="3" t="str">
        <x:v>KuaiRec (10 users)</x:v>
      </x:c>
      <x:c r="C4357" s="18" t="n">
        <x:v>1016</x:v>
      </x:c>
      <x:c r="D4357" s="3" t="str">
        <x:v>Full</x:v>
      </x:c>
      <x:c r="E4357" s="18" t="n">
        <x:v>2000</x:v>
      </x:c>
      <x:c r="F4357" s="21" t="n">
        <x:v>3930.9086253995506</x:v>
      </x:c>
      <x:c r="G4357" s="21" t="str">
        <x:f>""</x:f>
      </x:c>
      <x:c r="H4357" s="21" t="n">
        <x:f>F4357</x:f>
        <x:v>3930.9086253995506</x:v>
      </x:c>
      <x:c r="I4357" s="27" t="str">
        <x:f>IF(AND(ISNUMBER(G4357),ISNUMBER(H4357),H4357&gt;0),G4357/H4357-1,"")</x:f>
      </x:c>
      <x:c r="J4357" s="27" t="str">
        <x:f>IF(AND(ISNUMBER(G4357),F4357&gt;0),G4357/F4357-1,"")</x:f>
      </x:c>
      <x:c r="K4357" s="19" t="str">
        <x:v>KuaiRec/EXP283/results/seed1016_Full.json</x:v>
      </x:c>
    </x:row>
    <x:row r="4358" ht="15" hidden="0" customHeight="1">
      <x:c r="A4358" s="3" t="str">
        <x:v>EXP283</x:v>
      </x:c>
      <x:c r="B4358" s="3" t="str">
        <x:v>KuaiRec (10 users)</x:v>
      </x:c>
      <x:c r="C4358" s="18" t="n">
        <x:v>1016</x:v>
      </x:c>
      <x:c r="D4358" s="3" t="str">
        <x:v>Relative cutoff 1e-2</x:v>
      </x:c>
      <x:c r="E4358" s="18" t="n">
        <x:v>2000</x:v>
      </x:c>
      <x:c r="F4358" s="21" t="n">
        <x:v>3975.2429717184655</x:v>
      </x:c>
      <x:c r="G4358" s="21" t="str">
        <x:f>""</x:f>
      </x:c>
      <x:c r="H4358" s="21" t="n">
        <x:f>F4357</x:f>
        <x:v>3930.9086253995506</x:v>
      </x:c>
      <x:c r="I4358" s="27" t="str">
        <x:f>IF(AND(ISNUMBER(G4358),ISNUMBER(H4358),H4358&gt;0),G4358/H4358-1,"")</x:f>
      </x:c>
      <x:c r="J4358" s="27" t="str">
        <x:f>IF(AND(ISNUMBER(G4358),F4358&gt;0),G4358/F4358-1,"")</x:f>
      </x:c>
      <x:c r="K4358" s="19" t="str">
        <x:v>KuaiRec/EXP283/results/seed1016_Relative_cutoff_1e-2.json</x:v>
      </x:c>
    </x:row>
    <x:row r="4359" ht="15" hidden="0" customHeight="1">
      <x:c r="A4359" s="3" t="str">
        <x:v>EXP283</x:v>
      </x:c>
      <x:c r="B4359" s="3" t="str">
        <x:v>KuaiRec (10 users)</x:v>
      </x:c>
      <x:c r="C4359" s="18" t="n">
        <x:v>1017</x:v>
      </x:c>
      <x:c r="D4359" s="3" t="str">
        <x:v>Full</x:v>
      </x:c>
      <x:c r="E4359" s="18" t="n">
        <x:v>2000</x:v>
      </x:c>
      <x:c r="F4359" s="21" t="n">
        <x:v>4411.7158131357955</x:v>
      </x:c>
      <x:c r="G4359" s="21" t="str">
        <x:f>""</x:f>
      </x:c>
      <x:c r="H4359" s="21" t="n">
        <x:f>F4359</x:f>
        <x:v>4411.7158131357955</x:v>
      </x:c>
      <x:c r="I4359" s="27" t="str">
        <x:f>IF(AND(ISNUMBER(G4359),ISNUMBER(H4359),H4359&gt;0),G4359/H4359-1,"")</x:f>
      </x:c>
      <x:c r="J4359" s="27" t="str">
        <x:f>IF(AND(ISNUMBER(G4359),F4359&gt;0),G4359/F4359-1,"")</x:f>
      </x:c>
      <x:c r="K4359" s="19" t="str">
        <x:v>KuaiRec/EXP283/results/seed1017_Full.json</x:v>
      </x:c>
    </x:row>
    <x:row r="4360" ht="15" hidden="0" customHeight="1">
      <x:c r="A4360" s="3" t="str">
        <x:v>EXP283</x:v>
      </x:c>
      <x:c r="B4360" s="3" t="str">
        <x:v>KuaiRec (10 users)</x:v>
      </x:c>
      <x:c r="C4360" s="18" t="n">
        <x:v>1017</x:v>
      </x:c>
      <x:c r="D4360" s="3" t="str">
        <x:v>Relative cutoff 1e-2</x:v>
      </x:c>
      <x:c r="E4360" s="18" t="n">
        <x:v>2000</x:v>
      </x:c>
      <x:c r="F4360" s="21" t="n">
        <x:v>3877.111969382167</x:v>
      </x:c>
      <x:c r="G4360" s="21" t="str">
        <x:f>""</x:f>
      </x:c>
      <x:c r="H4360" s="21" t="n">
        <x:f>F4359</x:f>
        <x:v>4411.7158131357955</x:v>
      </x:c>
      <x:c r="I4360" s="27" t="str">
        <x:f>IF(AND(ISNUMBER(G4360),ISNUMBER(H4360),H4360&gt;0),G4360/H4360-1,"")</x:f>
      </x:c>
      <x:c r="J4360" s="27" t="str">
        <x:f>IF(AND(ISNUMBER(G4360),F4360&gt;0),G4360/F4360-1,"")</x:f>
      </x:c>
      <x:c r="K4360" s="19" t="str">
        <x:v>KuaiRec/EXP283/results/seed1017_Relative_cutoff_1e-2.json</x:v>
      </x:c>
    </x:row>
    <x:row r="4361" ht="15" hidden="0" customHeight="1">
      <x:c r="A4361" s="3" t="str">
        <x:v>EXP283</x:v>
      </x:c>
      <x:c r="B4361" s="3" t="str">
        <x:v>KuaiRec (10 users)</x:v>
      </x:c>
      <x:c r="C4361" s="18" t="n">
        <x:v>1018</x:v>
      </x:c>
      <x:c r="D4361" s="3" t="str">
        <x:v>Full</x:v>
      </x:c>
      <x:c r="E4361" s="18" t="n">
        <x:v>2000</x:v>
      </x:c>
      <x:c r="F4361" s="21" t="n">
        <x:v>3147.679102764661</x:v>
      </x:c>
      <x:c r="G4361" s="21" t="str">
        <x:f>""</x:f>
      </x:c>
      <x:c r="H4361" s="21" t="n">
        <x:f>F4361</x:f>
        <x:v>3147.679102764661</x:v>
      </x:c>
      <x:c r="I4361" s="27" t="str">
        <x:f>IF(AND(ISNUMBER(G4361),ISNUMBER(H4361),H4361&gt;0),G4361/H4361-1,"")</x:f>
      </x:c>
      <x:c r="J4361" s="27" t="str">
        <x:f>IF(AND(ISNUMBER(G4361),F4361&gt;0),G4361/F4361-1,"")</x:f>
      </x:c>
      <x:c r="K4361" s="19" t="str">
        <x:v>KuaiRec/EXP283/results/seed1018_Full.json</x:v>
      </x:c>
    </x:row>
    <x:row r="4362" ht="15" hidden="0" customHeight="1">
      <x:c r="A4362" s="3" t="str">
        <x:v>EXP283</x:v>
      </x:c>
      <x:c r="B4362" s="3" t="str">
        <x:v>KuaiRec (10 users)</x:v>
      </x:c>
      <x:c r="C4362" s="18" t="n">
        <x:v>1018</x:v>
      </x:c>
      <x:c r="D4362" s="3" t="str">
        <x:v>Relative cutoff 1e-2</x:v>
      </x:c>
      <x:c r="E4362" s="18" t="n">
        <x:v>2000</x:v>
      </x:c>
      <x:c r="F4362" s="21" t="n">
        <x:v>3057.513509092624</x:v>
      </x:c>
      <x:c r="G4362" s="21" t="str">
        <x:f>""</x:f>
      </x:c>
      <x:c r="H4362" s="21" t="n">
        <x:f>F4361</x:f>
        <x:v>3147.679102764661</x:v>
      </x:c>
      <x:c r="I4362" s="27" t="str">
        <x:f>IF(AND(ISNUMBER(G4362),ISNUMBER(H4362),H4362&gt;0),G4362/H4362-1,"")</x:f>
      </x:c>
      <x:c r="J4362" s="27" t="str">
        <x:f>IF(AND(ISNUMBER(G4362),F4362&gt;0),G4362/F4362-1,"")</x:f>
      </x:c>
      <x:c r="K4362" s="19" t="str">
        <x:v>KuaiRec/EXP283/results/seed1018_Relative_cutoff_1e-2.json</x:v>
      </x:c>
    </x:row>
    <x:row r="4363" ht="15" hidden="0" customHeight="1">
      <x:c r="A4363" s="3" t="str">
        <x:v>EXP283</x:v>
      </x:c>
      <x:c r="B4363" s="3" t="str">
        <x:v>KuaiRec (10 users)</x:v>
      </x:c>
      <x:c r="C4363" s="18" t="n">
        <x:v>1019</x:v>
      </x:c>
      <x:c r="D4363" s="3" t="str">
        <x:v>Full</x:v>
      </x:c>
      <x:c r="E4363" s="18" t="n">
        <x:v>2000</x:v>
      </x:c>
      <x:c r="F4363" s="21" t="n">
        <x:v>5471.0185313033635</x:v>
      </x:c>
      <x:c r="G4363" s="21" t="str">
        <x:f>""</x:f>
      </x:c>
      <x:c r="H4363" s="21" t="n">
        <x:f>F4363</x:f>
        <x:v>5471.0185313033635</x:v>
      </x:c>
      <x:c r="I4363" s="27" t="str">
        <x:f>IF(AND(ISNUMBER(G4363),ISNUMBER(H4363),H4363&gt;0),G4363/H4363-1,"")</x:f>
      </x:c>
      <x:c r="J4363" s="27" t="str">
        <x:f>IF(AND(ISNUMBER(G4363),F4363&gt;0),G4363/F4363-1,"")</x:f>
      </x:c>
      <x:c r="K4363" s="19" t="str">
        <x:v>KuaiRec/EXP283/results/seed1019_Full.json</x:v>
      </x:c>
    </x:row>
    <x:row r="4364" ht="15" hidden="0" customHeight="1">
      <x:c r="A4364" s="3" t="str">
        <x:v>EXP283</x:v>
      </x:c>
      <x:c r="B4364" s="3" t="str">
        <x:v>KuaiRec (10 users)</x:v>
      </x:c>
      <x:c r="C4364" s="18" t="n">
        <x:v>1019</x:v>
      </x:c>
      <x:c r="D4364" s="3" t="str">
        <x:v>Relative cutoff 1e-2</x:v>
      </x:c>
      <x:c r="E4364" s="18" t="n">
        <x:v>2000</x:v>
      </x:c>
      <x:c r="F4364" s="21" t="n">
        <x:v>5551.53628235241</x:v>
      </x:c>
      <x:c r="G4364" s="21" t="str">
        <x:f>""</x:f>
      </x:c>
      <x:c r="H4364" s="21" t="n">
        <x:f>F4363</x:f>
        <x:v>5471.0185313033635</x:v>
      </x:c>
      <x:c r="I4364" s="27" t="str">
        <x:f>IF(AND(ISNUMBER(G4364),ISNUMBER(H4364),H4364&gt;0),G4364/H4364-1,"")</x:f>
      </x:c>
      <x:c r="J4364" s="27" t="str">
        <x:f>IF(AND(ISNUMBER(G4364),F4364&gt;0),G4364/F4364-1,"")</x:f>
      </x:c>
      <x:c r="K4364" s="19" t="str">
        <x:v>KuaiRec/EXP283/results/seed1019_Relative_cutoff_1e-2.json</x:v>
      </x:c>
    </x:row>
    <x:row r="4365" ht="15" hidden="0" customHeight="1">
      <x:c r="A4365" s="3" t="str">
        <x:v>EXP284</x:v>
      </x:c>
      <x:c r="B4365" s="3" t="str">
        <x:v>KuaiRec</x:v>
      </x:c>
      <x:c r="C4365" s="18" t="n">
        <x:v>3000</x:v>
      </x:c>
      <x:c r="D4365" s="3" t="str">
        <x:v>Full</x:v>
      </x:c>
      <x:c r="E4365" s="18" t="n">
        <x:v>2000</x:v>
      </x:c>
      <x:c r="F4365" s="21" t="n">
        <x:v>3151.9561471743577</x:v>
      </x:c>
      <x:c r="G4365" s="21" t="str">
        <x:f>""</x:f>
      </x:c>
      <x:c r="H4365" s="21" t="n">
        <x:f>F4365</x:f>
        <x:v>3151.9561471743577</x:v>
      </x:c>
      <x:c r="I4365" s="27" t="str">
        <x:f>IF(AND(ISNUMBER(G4365),ISNUMBER(H4365),H4365&gt;0),G4365/H4365-1,"")</x:f>
      </x:c>
      <x:c r="J4365" s="27" t="str">
        <x:f>IF(AND(ISNUMBER(G4365),F4365&gt;0),G4365/F4365-1,"")</x:f>
      </x:c>
      <x:c r="K4365" s="19" t="str">
        <x:v>KuaiRec/EXP284/results/seed3000_Full.json</x:v>
      </x:c>
    </x:row>
    <x:row r="4366" ht="15" hidden="0" customHeight="1">
      <x:c r="A4366" s="3" t="str">
        <x:v>EXP284</x:v>
      </x:c>
      <x:c r="B4366" s="3" t="str">
        <x:v>KuaiRec</x:v>
      </x:c>
      <x:c r="C4366" s="18" t="n">
        <x:v>3000</x:v>
      </x:c>
      <x:c r="D4366" s="3" t="str">
        <x:v>Relative cutoff 1e-2</x:v>
      </x:c>
      <x:c r="E4366" s="18" t="n">
        <x:v>2000</x:v>
      </x:c>
      <x:c r="F4366" s="21" t="n">
        <x:v>2986.598104168214</x:v>
      </x:c>
      <x:c r="G4366" s="21" t="str">
        <x:f>""</x:f>
      </x:c>
      <x:c r="H4366" s="21" t="n">
        <x:f>F4365</x:f>
        <x:v>3151.9561471743577</x:v>
      </x:c>
      <x:c r="I4366" s="27" t="str">
        <x:f>IF(AND(ISNUMBER(G4366),ISNUMBER(H4366),H4366&gt;0),G4366/H4366-1,"")</x:f>
      </x:c>
      <x:c r="J4366" s="27" t="str">
        <x:f>IF(AND(ISNUMBER(G4366),F4366&gt;0),G4366/F4366-1,"")</x:f>
      </x:c>
      <x:c r="K4366" s="19" t="str">
        <x:v>KuaiRec/EXP284/results/seed3000_Relative_cutoff_1e-2.json</x:v>
      </x:c>
    </x:row>
    <x:row r="4367" ht="15" hidden="0" customHeight="1">
      <x:c r="A4367" s="3" t="str">
        <x:v>EXP284</x:v>
      </x:c>
      <x:c r="B4367" s="3" t="str">
        <x:v>KuaiRec</x:v>
      </x:c>
      <x:c r="C4367" s="18" t="n">
        <x:v>3001</x:v>
      </x:c>
      <x:c r="D4367" s="3" t="str">
        <x:v>Full</x:v>
      </x:c>
      <x:c r="E4367" s="18" t="n">
        <x:v>2000</x:v>
      </x:c>
      <x:c r="F4367" s="21" t="n">
        <x:v>4466.583915870045</x:v>
      </x:c>
      <x:c r="G4367" s="21" t="str">
        <x:f>""</x:f>
      </x:c>
      <x:c r="H4367" s="21" t="n">
        <x:f>F4367</x:f>
        <x:v>4466.583915870045</x:v>
      </x:c>
      <x:c r="I4367" s="27" t="str">
        <x:f>IF(AND(ISNUMBER(G4367),ISNUMBER(H4367),H4367&gt;0),G4367/H4367-1,"")</x:f>
      </x:c>
      <x:c r="J4367" s="27" t="str">
        <x:f>IF(AND(ISNUMBER(G4367),F4367&gt;0),G4367/F4367-1,"")</x:f>
      </x:c>
      <x:c r="K4367" s="19" t="str">
        <x:v>KuaiRec/EXP284/results/seed3001_Full.json</x:v>
      </x:c>
    </x:row>
    <x:row r="4368" ht="15" hidden="0" customHeight="1">
      <x:c r="A4368" s="3" t="str">
        <x:v>EXP284</x:v>
      </x:c>
      <x:c r="B4368" s="3" t="str">
        <x:v>KuaiRec</x:v>
      </x:c>
      <x:c r="C4368" s="18" t="n">
        <x:v>3001</x:v>
      </x:c>
      <x:c r="D4368" s="3" t="str">
        <x:v>Relative cutoff 1e-2</x:v>
      </x:c>
      <x:c r="E4368" s="18" t="n">
        <x:v>2000</x:v>
      </x:c>
      <x:c r="F4368" s="21" t="n">
        <x:v>4745.749587874535</x:v>
      </x:c>
      <x:c r="G4368" s="21" t="str">
        <x:f>""</x:f>
      </x:c>
      <x:c r="H4368" s="21" t="n">
        <x:f>F4367</x:f>
        <x:v>4466.583915870045</x:v>
      </x:c>
      <x:c r="I4368" s="27" t="str">
        <x:f>IF(AND(ISNUMBER(G4368),ISNUMBER(H4368),H4368&gt;0),G4368/H4368-1,"")</x:f>
      </x:c>
      <x:c r="J4368" s="27" t="str">
        <x:f>IF(AND(ISNUMBER(G4368),F4368&gt;0),G4368/F4368-1,"")</x:f>
      </x:c>
      <x:c r="K4368" s="19" t="str">
        <x:v>KuaiRec/EXP284/results/seed3001_Relative_cutoff_1e-2.json</x:v>
      </x:c>
    </x:row>
    <x:row r="4369" ht="15" hidden="0" customHeight="1">
      <x:c r="A4369" s="3" t="str">
        <x:v>EXP284</x:v>
      </x:c>
      <x:c r="B4369" s="3" t="str">
        <x:v>KuaiRec</x:v>
      </x:c>
      <x:c r="C4369" s="18" t="n">
        <x:v>3002</x:v>
      </x:c>
      <x:c r="D4369" s="3" t="str">
        <x:v>Full</x:v>
      </x:c>
      <x:c r="E4369" s="18" t="n">
        <x:v>2000</x:v>
      </x:c>
      <x:c r="F4369" s="21" t="n">
        <x:v>5018.696350243564</x:v>
      </x:c>
      <x:c r="G4369" s="21" t="str">
        <x:f>""</x:f>
      </x:c>
      <x:c r="H4369" s="21" t="n">
        <x:f>F4369</x:f>
        <x:v>5018.696350243564</x:v>
      </x:c>
      <x:c r="I4369" s="27" t="str">
        <x:f>IF(AND(ISNUMBER(G4369),ISNUMBER(H4369),H4369&gt;0),G4369/H4369-1,"")</x:f>
      </x:c>
      <x:c r="J4369" s="27" t="str">
        <x:f>IF(AND(ISNUMBER(G4369),F4369&gt;0),G4369/F4369-1,"")</x:f>
      </x:c>
      <x:c r="K4369" s="19" t="str">
        <x:v>KuaiRec/EXP284/results/seed3002_Full.json</x:v>
      </x:c>
    </x:row>
    <x:row r="4370" ht="15" hidden="0" customHeight="1">
      <x:c r="A4370" s="3" t="str">
        <x:v>EXP284</x:v>
      </x:c>
      <x:c r="B4370" s="3" t="str">
        <x:v>KuaiRec</x:v>
      </x:c>
      <x:c r="C4370" s="18" t="n">
        <x:v>3002</x:v>
      </x:c>
      <x:c r="D4370" s="3" t="str">
        <x:v>Relative cutoff 1e-2</x:v>
      </x:c>
      <x:c r="E4370" s="18" t="n">
        <x:v>2000</x:v>
      </x:c>
      <x:c r="F4370" s="21" t="n">
        <x:v>4566.488581893805</x:v>
      </x:c>
      <x:c r="G4370" s="21" t="str">
        <x:f>""</x:f>
      </x:c>
      <x:c r="H4370" s="21" t="n">
        <x:f>F4369</x:f>
        <x:v>5018.696350243564</x:v>
      </x:c>
      <x:c r="I4370" s="27" t="str">
        <x:f>IF(AND(ISNUMBER(G4370),ISNUMBER(H4370),H4370&gt;0),G4370/H4370-1,"")</x:f>
      </x:c>
      <x:c r="J4370" s="27" t="str">
        <x:f>IF(AND(ISNUMBER(G4370),F4370&gt;0),G4370/F4370-1,"")</x:f>
      </x:c>
      <x:c r="K4370" s="19" t="str">
        <x:v>KuaiRec/EXP284/results/seed3002_Relative_cutoff_1e-2.json</x:v>
      </x:c>
    </x:row>
    <x:row r="4371" ht="15" hidden="0" customHeight="1">
      <x:c r="A4371" s="3" t="str">
        <x:v>EXP284</x:v>
      </x:c>
      <x:c r="B4371" s="3" t="str">
        <x:v>KuaiRec</x:v>
      </x:c>
      <x:c r="C4371" s="18" t="n">
        <x:v>3003</x:v>
      </x:c>
      <x:c r="D4371" s="3" t="str">
        <x:v>Full</x:v>
      </x:c>
      <x:c r="E4371" s="18" t="n">
        <x:v>2000</x:v>
      </x:c>
      <x:c r="F4371" s="21" t="n">
        <x:v>4257.7474537261305</x:v>
      </x:c>
      <x:c r="G4371" s="21" t="str">
        <x:f>""</x:f>
      </x:c>
      <x:c r="H4371" s="21" t="n">
        <x:f>F4371</x:f>
        <x:v>4257.7474537261305</x:v>
      </x:c>
      <x:c r="I4371" s="27" t="str">
        <x:f>IF(AND(ISNUMBER(G4371),ISNUMBER(H4371),H4371&gt;0),G4371/H4371-1,"")</x:f>
      </x:c>
      <x:c r="J4371" s="27" t="str">
        <x:f>IF(AND(ISNUMBER(G4371),F4371&gt;0),G4371/F4371-1,"")</x:f>
      </x:c>
      <x:c r="K4371" s="19" t="str">
        <x:v>KuaiRec/EXP284/results/seed3003_Full.json</x:v>
      </x:c>
    </x:row>
    <x:row r="4372" ht="15" hidden="0" customHeight="1">
      <x:c r="A4372" s="3" t="str">
        <x:v>EXP284</x:v>
      </x:c>
      <x:c r="B4372" s="3" t="str">
        <x:v>KuaiRec</x:v>
      </x:c>
      <x:c r="C4372" s="18" t="n">
        <x:v>3003</x:v>
      </x:c>
      <x:c r="D4372" s="3" t="str">
        <x:v>Relative cutoff 1e-2</x:v>
      </x:c>
      <x:c r="E4372" s="18" t="n">
        <x:v>2000</x:v>
      </x:c>
      <x:c r="F4372" s="21" t="n">
        <x:v>4080.1121389163186</x:v>
      </x:c>
      <x:c r="G4372" s="21" t="str">
        <x:f>""</x:f>
      </x:c>
      <x:c r="H4372" s="21" t="n">
        <x:f>F4371</x:f>
        <x:v>4257.7474537261305</x:v>
      </x:c>
      <x:c r="I4372" s="27" t="str">
        <x:f>IF(AND(ISNUMBER(G4372),ISNUMBER(H4372),H4372&gt;0),G4372/H4372-1,"")</x:f>
      </x:c>
      <x:c r="J4372" s="27" t="str">
        <x:f>IF(AND(ISNUMBER(G4372),F4372&gt;0),G4372/F4372-1,"")</x:f>
      </x:c>
      <x:c r="K4372" s="19" t="str">
        <x:v>KuaiRec/EXP284/results/seed3003_Relative_cutoff_1e-2.json</x:v>
      </x:c>
    </x:row>
    <x:row r="4373" ht="15" hidden="0" customHeight="1">
      <x:c r="A4373" s="3" t="str">
        <x:v>EXP284</x:v>
      </x:c>
      <x:c r="B4373" s="3" t="str">
        <x:v>KuaiRec</x:v>
      </x:c>
      <x:c r="C4373" s="18" t="n">
        <x:v>3004</x:v>
      </x:c>
      <x:c r="D4373" s="3" t="str">
        <x:v>Full</x:v>
      </x:c>
      <x:c r="E4373" s="18" t="n">
        <x:v>2000</x:v>
      </x:c>
      <x:c r="F4373" s="21" t="n">
        <x:v>3158.1563818790873</x:v>
      </x:c>
      <x:c r="G4373" s="21" t="str">
        <x:f>""</x:f>
      </x:c>
      <x:c r="H4373" s="21" t="n">
        <x:f>F4373</x:f>
        <x:v>3158.1563818790873</x:v>
      </x:c>
      <x:c r="I4373" s="27" t="str">
        <x:f>IF(AND(ISNUMBER(G4373),ISNUMBER(H4373),H4373&gt;0),G4373/H4373-1,"")</x:f>
      </x:c>
      <x:c r="J4373" s="27" t="str">
        <x:f>IF(AND(ISNUMBER(G4373),F4373&gt;0),G4373/F4373-1,"")</x:f>
      </x:c>
      <x:c r="K4373" s="19" t="str">
        <x:v>KuaiRec/EXP284/results/seed3004_Full.json</x:v>
      </x:c>
    </x:row>
    <x:row r="4374" ht="15" hidden="0" customHeight="1">
      <x:c r="A4374" s="3" t="str">
        <x:v>EXP284</x:v>
      </x:c>
      <x:c r="B4374" s="3" t="str">
        <x:v>KuaiRec</x:v>
      </x:c>
      <x:c r="C4374" s="18" t="n">
        <x:v>3004</x:v>
      </x:c>
      <x:c r="D4374" s="3" t="str">
        <x:v>Relative cutoff 1e-2</x:v>
      </x:c>
      <x:c r="E4374" s="18" t="n">
        <x:v>2000</x:v>
      </x:c>
      <x:c r="F4374" s="21" t="n">
        <x:v>3103.2758092139356</x:v>
      </x:c>
      <x:c r="G4374" s="21" t="str">
        <x:f>""</x:f>
      </x:c>
      <x:c r="H4374" s="21" t="n">
        <x:f>F4373</x:f>
        <x:v>3158.1563818790873</x:v>
      </x:c>
      <x:c r="I4374" s="27" t="str">
        <x:f>IF(AND(ISNUMBER(G4374),ISNUMBER(H4374),H4374&gt;0),G4374/H4374-1,"")</x:f>
      </x:c>
      <x:c r="J4374" s="27" t="str">
        <x:f>IF(AND(ISNUMBER(G4374),F4374&gt;0),G4374/F4374-1,"")</x:f>
      </x:c>
      <x:c r="K4374" s="19" t="str">
        <x:v>KuaiRec/EXP284/results/seed3004_Relative_cutoff_1e-2.json</x:v>
      </x:c>
    </x:row>
    <x:row r="4375" ht="15" hidden="0" customHeight="1">
      <x:c r="A4375" s="3" t="str">
        <x:v>EXP284</x:v>
      </x:c>
      <x:c r="B4375" s="3" t="str">
        <x:v>KuaiRec</x:v>
      </x:c>
      <x:c r="C4375" s="18" t="n">
        <x:v>3005</x:v>
      </x:c>
      <x:c r="D4375" s="3" t="str">
        <x:v>Full</x:v>
      </x:c>
      <x:c r="E4375" s="18" t="n">
        <x:v>2000</x:v>
      </x:c>
      <x:c r="F4375" s="21" t="n">
        <x:v>3667.5868599784467</x:v>
      </x:c>
      <x:c r="G4375" s="21" t="str">
        <x:f>""</x:f>
      </x:c>
      <x:c r="H4375" s="21" t="n">
        <x:f>F4375</x:f>
        <x:v>3667.5868599784467</x:v>
      </x:c>
      <x:c r="I4375" s="27" t="str">
        <x:f>IF(AND(ISNUMBER(G4375),ISNUMBER(H4375),H4375&gt;0),G4375/H4375-1,"")</x:f>
      </x:c>
      <x:c r="J4375" s="27" t="str">
        <x:f>IF(AND(ISNUMBER(G4375),F4375&gt;0),G4375/F4375-1,"")</x:f>
      </x:c>
      <x:c r="K4375" s="19" t="str">
        <x:v>KuaiRec/EXP284/results/seed3005_Full.json</x:v>
      </x:c>
    </x:row>
    <x:row r="4376" ht="15" hidden="0" customHeight="1">
      <x:c r="A4376" s="3" t="str">
        <x:v>EXP284</x:v>
      </x:c>
      <x:c r="B4376" s="3" t="str">
        <x:v>KuaiRec</x:v>
      </x:c>
      <x:c r="C4376" s="18" t="n">
        <x:v>3005</x:v>
      </x:c>
      <x:c r="D4376" s="3" t="str">
        <x:v>Relative cutoff 1e-2</x:v>
      </x:c>
      <x:c r="E4376" s="18" t="n">
        <x:v>2000</x:v>
      </x:c>
      <x:c r="F4376" s="21" t="n">
        <x:v>3844.752908289053</x:v>
      </x:c>
      <x:c r="G4376" s="21" t="str">
        <x:f>""</x:f>
      </x:c>
      <x:c r="H4376" s="21" t="n">
        <x:f>F4375</x:f>
        <x:v>3667.5868599784467</x:v>
      </x:c>
      <x:c r="I4376" s="27" t="str">
        <x:f>IF(AND(ISNUMBER(G4376),ISNUMBER(H4376),H4376&gt;0),G4376/H4376-1,"")</x:f>
      </x:c>
      <x:c r="J4376" s="27" t="str">
        <x:f>IF(AND(ISNUMBER(G4376),F4376&gt;0),G4376/F4376-1,"")</x:f>
      </x:c>
      <x:c r="K4376" s="19" t="str">
        <x:v>KuaiRec/EXP284/results/seed3005_Relative_cutoff_1e-2.json</x:v>
      </x:c>
    </x:row>
    <x:row r="4377" ht="15" hidden="0" customHeight="1">
      <x:c r="A4377" s="3" t="str">
        <x:v>EXP284</x:v>
      </x:c>
      <x:c r="B4377" s="3" t="str">
        <x:v>KuaiRec</x:v>
      </x:c>
      <x:c r="C4377" s="18" t="n">
        <x:v>3006</x:v>
      </x:c>
      <x:c r="D4377" s="3" t="str">
        <x:v>Full</x:v>
      </x:c>
      <x:c r="E4377" s="18" t="n">
        <x:v>2000</x:v>
      </x:c>
      <x:c r="F4377" s="21" t="n">
        <x:v>4608.640654169656</x:v>
      </x:c>
      <x:c r="G4377" s="21" t="str">
        <x:f>""</x:f>
      </x:c>
      <x:c r="H4377" s="21" t="n">
        <x:f>F4377</x:f>
        <x:v>4608.640654169656</x:v>
      </x:c>
      <x:c r="I4377" s="27" t="str">
        <x:f>IF(AND(ISNUMBER(G4377),ISNUMBER(H4377),H4377&gt;0),G4377/H4377-1,"")</x:f>
      </x:c>
      <x:c r="J4377" s="27" t="str">
        <x:f>IF(AND(ISNUMBER(G4377),F4377&gt;0),G4377/F4377-1,"")</x:f>
      </x:c>
      <x:c r="K4377" s="19" t="str">
        <x:v>KuaiRec/EXP284/results/seed3006_Full.json</x:v>
      </x:c>
    </x:row>
    <x:row r="4378" ht="15" hidden="0" customHeight="1">
      <x:c r="A4378" s="3" t="str">
        <x:v>EXP284</x:v>
      </x:c>
      <x:c r="B4378" s="3" t="str">
        <x:v>KuaiRec</x:v>
      </x:c>
      <x:c r="C4378" s="18" t="n">
        <x:v>3006</x:v>
      </x:c>
      <x:c r="D4378" s="3" t="str">
        <x:v>Relative cutoff 1e-2</x:v>
      </x:c>
      <x:c r="E4378" s="18" t="n">
        <x:v>2000</x:v>
      </x:c>
      <x:c r="F4378" s="21" t="n">
        <x:v>4498.676967655509</x:v>
      </x:c>
      <x:c r="G4378" s="21" t="str">
        <x:f>""</x:f>
      </x:c>
      <x:c r="H4378" s="21" t="n">
        <x:f>F4377</x:f>
        <x:v>4608.640654169656</x:v>
      </x:c>
      <x:c r="I4378" s="27" t="str">
        <x:f>IF(AND(ISNUMBER(G4378),ISNUMBER(H4378),H4378&gt;0),G4378/H4378-1,"")</x:f>
      </x:c>
      <x:c r="J4378" s="27" t="str">
        <x:f>IF(AND(ISNUMBER(G4378),F4378&gt;0),G4378/F4378-1,"")</x:f>
      </x:c>
      <x:c r="K4378" s="19" t="str">
        <x:v>KuaiRec/EXP284/results/seed3006_Relative_cutoff_1e-2.json</x:v>
      </x:c>
    </x:row>
    <x:row r="4379" ht="15" hidden="0" customHeight="1">
      <x:c r="A4379" s="3" t="str">
        <x:v>EXP284</x:v>
      </x:c>
      <x:c r="B4379" s="3" t="str">
        <x:v>KuaiRec</x:v>
      </x:c>
      <x:c r="C4379" s="18" t="n">
        <x:v>3007</x:v>
      </x:c>
      <x:c r="D4379" s="3" t="str">
        <x:v>Full</x:v>
      </x:c>
      <x:c r="E4379" s="18" t="n">
        <x:v>2000</x:v>
      </x:c>
      <x:c r="F4379" s="21" t="n">
        <x:v>3601.0656401870165</x:v>
      </x:c>
      <x:c r="G4379" s="21" t="str">
        <x:f>""</x:f>
      </x:c>
      <x:c r="H4379" s="21" t="n">
        <x:f>F4379</x:f>
        <x:v>3601.0656401870165</x:v>
      </x:c>
      <x:c r="I4379" s="27" t="str">
        <x:f>IF(AND(ISNUMBER(G4379),ISNUMBER(H4379),H4379&gt;0),G4379/H4379-1,"")</x:f>
      </x:c>
      <x:c r="J4379" s="27" t="str">
        <x:f>IF(AND(ISNUMBER(G4379),F4379&gt;0),G4379/F4379-1,"")</x:f>
      </x:c>
      <x:c r="K4379" s="19" t="str">
        <x:v>KuaiRec/EXP284/results/seed3007_Full.json</x:v>
      </x:c>
    </x:row>
    <x:row r="4380" ht="15" hidden="0" customHeight="1">
      <x:c r="A4380" s="3" t="str">
        <x:v>EXP284</x:v>
      </x:c>
      <x:c r="B4380" s="3" t="str">
        <x:v>KuaiRec</x:v>
      </x:c>
      <x:c r="C4380" s="18" t="n">
        <x:v>3007</x:v>
      </x:c>
      <x:c r="D4380" s="3" t="str">
        <x:v>Relative cutoff 1e-2</x:v>
      </x:c>
      <x:c r="E4380" s="18" t="n">
        <x:v>2000</x:v>
      </x:c>
      <x:c r="F4380" s="21" t="n">
        <x:v>3716.207832215737</x:v>
      </x:c>
      <x:c r="G4380" s="21" t="str">
        <x:f>""</x:f>
      </x:c>
      <x:c r="H4380" s="21" t="n">
        <x:f>F4379</x:f>
        <x:v>3601.0656401870165</x:v>
      </x:c>
      <x:c r="I4380" s="27" t="str">
        <x:f>IF(AND(ISNUMBER(G4380),ISNUMBER(H4380),H4380&gt;0),G4380/H4380-1,"")</x:f>
      </x:c>
      <x:c r="J4380" s="27" t="str">
        <x:f>IF(AND(ISNUMBER(G4380),F4380&gt;0),G4380/F4380-1,"")</x:f>
      </x:c>
      <x:c r="K4380" s="19" t="str">
        <x:v>KuaiRec/EXP284/results/seed3007_Relative_cutoff_1e-2.json</x:v>
      </x:c>
    </x:row>
    <x:row r="4381" ht="15" hidden="0" customHeight="1">
      <x:c r="A4381" s="3" t="str">
        <x:v>EXP284</x:v>
      </x:c>
      <x:c r="B4381" s="3" t="str">
        <x:v>KuaiRec</x:v>
      </x:c>
      <x:c r="C4381" s="18" t="n">
        <x:v>3008</x:v>
      </x:c>
      <x:c r="D4381" s="3" t="str">
        <x:v>Full</x:v>
      </x:c>
      <x:c r="E4381" s="18" t="n">
        <x:v>2000</x:v>
      </x:c>
      <x:c r="F4381" s="21" t="n">
        <x:v>4420.045563259237</x:v>
      </x:c>
      <x:c r="G4381" s="21" t="str">
        <x:f>""</x:f>
      </x:c>
      <x:c r="H4381" s="21" t="n">
        <x:f>F4381</x:f>
        <x:v>4420.045563259237</x:v>
      </x:c>
      <x:c r="I4381" s="27" t="str">
        <x:f>IF(AND(ISNUMBER(G4381),ISNUMBER(H4381),H4381&gt;0),G4381/H4381-1,"")</x:f>
      </x:c>
      <x:c r="J4381" s="27" t="str">
        <x:f>IF(AND(ISNUMBER(G4381),F4381&gt;0),G4381/F4381-1,"")</x:f>
      </x:c>
      <x:c r="K4381" s="19" t="str">
        <x:v>KuaiRec/EXP284/results/seed3008_Full.json</x:v>
      </x:c>
    </x:row>
    <x:row r="4382" ht="15" hidden="0" customHeight="1">
      <x:c r="A4382" s="3" t="str">
        <x:v>EXP284</x:v>
      </x:c>
      <x:c r="B4382" s="3" t="str">
        <x:v>KuaiRec</x:v>
      </x:c>
      <x:c r="C4382" s="18" t="n">
        <x:v>3008</x:v>
      </x:c>
      <x:c r="D4382" s="3" t="str">
        <x:v>Relative cutoff 1e-2</x:v>
      </x:c>
      <x:c r="E4382" s="18" t="n">
        <x:v>2000</x:v>
      </x:c>
      <x:c r="F4382" s="21" t="n">
        <x:v>4713.648957841522</x:v>
      </x:c>
      <x:c r="G4382" s="21" t="str">
        <x:f>""</x:f>
      </x:c>
      <x:c r="H4382" s="21" t="n">
        <x:f>F4381</x:f>
        <x:v>4420.045563259237</x:v>
      </x:c>
      <x:c r="I4382" s="27" t="str">
        <x:f>IF(AND(ISNUMBER(G4382),ISNUMBER(H4382),H4382&gt;0),G4382/H4382-1,"")</x:f>
      </x:c>
      <x:c r="J4382" s="27" t="str">
        <x:f>IF(AND(ISNUMBER(G4382),F4382&gt;0),G4382/F4382-1,"")</x:f>
      </x:c>
      <x:c r="K4382" s="19" t="str">
        <x:v>KuaiRec/EXP284/results/seed3008_Relative_cutoff_1e-2.json</x:v>
      </x:c>
    </x:row>
    <x:row r="4383" ht="15" hidden="0" customHeight="1">
      <x:c r="A4383" s="3" t="str">
        <x:v>EXP284</x:v>
      </x:c>
      <x:c r="B4383" s="3" t="str">
        <x:v>KuaiRec</x:v>
      </x:c>
      <x:c r="C4383" s="18" t="n">
        <x:v>3009</x:v>
      </x:c>
      <x:c r="D4383" s="3" t="str">
        <x:v>Full</x:v>
      </x:c>
      <x:c r="E4383" s="18" t="n">
        <x:v>2000</x:v>
      </x:c>
      <x:c r="F4383" s="21" t="n">
        <x:v>4879.806280639202</x:v>
      </x:c>
      <x:c r="G4383" s="21" t="str">
        <x:f>""</x:f>
      </x:c>
      <x:c r="H4383" s="21" t="n">
        <x:f>F4383</x:f>
        <x:v>4879.806280639202</x:v>
      </x:c>
      <x:c r="I4383" s="27" t="str">
        <x:f>IF(AND(ISNUMBER(G4383),ISNUMBER(H4383),H4383&gt;0),G4383/H4383-1,"")</x:f>
      </x:c>
      <x:c r="J4383" s="27" t="str">
        <x:f>IF(AND(ISNUMBER(G4383),F4383&gt;0),G4383/F4383-1,"")</x:f>
      </x:c>
      <x:c r="K4383" s="19" t="str">
        <x:v>KuaiRec/EXP284/results/seed3009_Full.json</x:v>
      </x:c>
    </x:row>
    <x:row r="4384" ht="15" hidden="0" customHeight="1">
      <x:c r="A4384" s="3" t="str">
        <x:v>EXP284</x:v>
      </x:c>
      <x:c r="B4384" s="3" t="str">
        <x:v>KuaiRec</x:v>
      </x:c>
      <x:c r="C4384" s="18" t="n">
        <x:v>3009</x:v>
      </x:c>
      <x:c r="D4384" s="3" t="str">
        <x:v>Relative cutoff 1e-2</x:v>
      </x:c>
      <x:c r="E4384" s="18" t="n">
        <x:v>2000</x:v>
      </x:c>
      <x:c r="F4384" s="21" t="n">
        <x:v>4901.514682334642</x:v>
      </x:c>
      <x:c r="G4384" s="21" t="str">
        <x:f>""</x:f>
      </x:c>
      <x:c r="H4384" s="21" t="n">
        <x:f>F4383</x:f>
        <x:v>4879.806280639202</x:v>
      </x:c>
      <x:c r="I4384" s="27" t="str">
        <x:f>IF(AND(ISNUMBER(G4384),ISNUMBER(H4384),H4384&gt;0),G4384/H4384-1,"")</x:f>
      </x:c>
      <x:c r="J4384" s="27" t="str">
        <x:f>IF(AND(ISNUMBER(G4384),F4384&gt;0),G4384/F4384-1,"")</x:f>
      </x:c>
      <x:c r="K4384" s="19" t="str">
        <x:v>KuaiRec/EXP284/results/seed3009_Relative_cutoff_1e-2.json</x:v>
      </x:c>
    </x:row>
  </x:sheetData>
  <x:pageMargins left="0.7" right="0.7" top="0.75" bottom="0.75" header="0.3" footer="0.3"/>
  <x:tableParts count="1">
    <x:tablePart xmlns:r="http://schemas.openxmlformats.org/officeDocument/2006/relationships" r:id="Reee75c469511414c"/>
  </x:tableParts>
</x:worksheet>
</file>